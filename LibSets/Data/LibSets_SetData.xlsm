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DE8D83C4-B26E-4F83-A39E-6BAE68DE5FDE}"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data)'!$A$2:$BI$727</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BE726" i="7" l="1"/>
  <c r="BF726" i="7"/>
  <c r="BG726" i="7"/>
  <c r="BH726" i="7"/>
  <c r="BI726" i="7"/>
  <c r="BE727" i="7"/>
  <c r="BF727" i="7"/>
  <c r="BG727" i="7"/>
  <c r="BH727" i="7"/>
  <c r="BI727" i="7"/>
  <c r="Q727" i="7"/>
  <c r="T726" i="7"/>
  <c r="T727" i="7"/>
  <c r="B726" i="9"/>
  <c r="C726" i="9"/>
  <c r="B727" i="9"/>
  <c r="C727" i="9"/>
  <c r="E726" i="9"/>
  <c r="E727" i="9"/>
  <c r="Q726" i="7"/>
  <c r="U726" i="7"/>
  <c r="Z726" i="7"/>
  <c r="AA726" i="7" s="1"/>
  <c r="AF726" i="7"/>
  <c r="AG726" i="7" s="1"/>
  <c r="AK726" i="7"/>
  <c r="AP726" i="7"/>
  <c r="AU726" i="7"/>
  <c r="Z727" i="7"/>
  <c r="AA727" i="7" s="1"/>
  <c r="AF727" i="7"/>
  <c r="AG727" i="7" s="1"/>
  <c r="AK727" i="7"/>
  <c r="AP727" i="7"/>
  <c r="AU727" i="7"/>
  <c r="D727" i="7"/>
  <c r="D726" i="7"/>
  <c r="E1090" i="13"/>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N587" i="15"/>
  <c r="M587" i="15"/>
  <c r="L587" i="15"/>
  <c r="K587" i="15"/>
  <c r="J587" i="15"/>
  <c r="N586" i="15"/>
  <c r="M586" i="15"/>
  <c r="L586" i="15"/>
  <c r="K586" i="15"/>
  <c r="J586" i="15"/>
  <c r="N585" i="15"/>
  <c r="M585" i="15"/>
  <c r="L585" i="15"/>
  <c r="K585" i="15"/>
  <c r="J585" i="15"/>
  <c r="N584" i="15"/>
  <c r="M584" i="15"/>
  <c r="L584" i="15"/>
  <c r="K584" i="15"/>
  <c r="J584" i="15"/>
  <c r="N583" i="15"/>
  <c r="M583" i="15"/>
  <c r="L583" i="15"/>
  <c r="K583" i="15"/>
  <c r="J583" i="15"/>
  <c r="N582" i="15"/>
  <c r="M582" i="15"/>
  <c r="L582" i="15"/>
  <c r="K582" i="15"/>
  <c r="J582" i="15"/>
  <c r="N581" i="15"/>
  <c r="M581" i="15"/>
  <c r="L581" i="15"/>
  <c r="K581" i="15"/>
  <c r="J581" i="15"/>
  <c r="N580" i="15"/>
  <c r="M580" i="15"/>
  <c r="L580" i="15"/>
  <c r="K580" i="15"/>
  <c r="J580" i="15"/>
  <c r="N579" i="15"/>
  <c r="M579" i="15"/>
  <c r="L579" i="15"/>
  <c r="K579" i="15"/>
  <c r="J579" i="15"/>
  <c r="N578" i="15"/>
  <c r="M578" i="15"/>
  <c r="L578" i="15"/>
  <c r="K578" i="15"/>
  <c r="J578" i="15"/>
  <c r="N577" i="15"/>
  <c r="M577" i="15"/>
  <c r="L577" i="15"/>
  <c r="K577" i="15"/>
  <c r="J577" i="15"/>
  <c r="N576" i="15"/>
  <c r="M576" i="15"/>
  <c r="L576" i="15"/>
  <c r="K576" i="15"/>
  <c r="J576" i="15"/>
  <c r="N575" i="15"/>
  <c r="M575" i="15"/>
  <c r="L575" i="15"/>
  <c r="K575" i="15"/>
  <c r="J575" i="15"/>
  <c r="N574" i="15"/>
  <c r="M574" i="15"/>
  <c r="L574" i="15"/>
  <c r="K574" i="15"/>
  <c r="J574" i="15"/>
  <c r="N573" i="15"/>
  <c r="M573" i="15"/>
  <c r="L573" i="15"/>
  <c r="K573" i="15"/>
  <c r="J573" i="15"/>
  <c r="N572" i="15"/>
  <c r="M572" i="15"/>
  <c r="L572" i="15"/>
  <c r="K572" i="15"/>
  <c r="J572" i="15"/>
  <c r="N571" i="15"/>
  <c r="M571" i="15"/>
  <c r="L571" i="15"/>
  <c r="K571" i="15"/>
  <c r="J571" i="15"/>
  <c r="N570" i="15"/>
  <c r="M570" i="15"/>
  <c r="L570" i="15"/>
  <c r="K570" i="15"/>
  <c r="J570" i="15"/>
  <c r="N569" i="15"/>
  <c r="M569" i="15"/>
  <c r="L569" i="15"/>
  <c r="K569" i="15"/>
  <c r="J569" i="15"/>
  <c r="N568" i="15"/>
  <c r="M568" i="15"/>
  <c r="L568" i="15"/>
  <c r="K568" i="15"/>
  <c r="J568" i="15"/>
  <c r="N567" i="15"/>
  <c r="M567" i="15"/>
  <c r="L567" i="15"/>
  <c r="K567" i="15"/>
  <c r="J567" i="15"/>
  <c r="N566" i="15"/>
  <c r="R694" i="7" s="1"/>
  <c r="M566" i="15"/>
  <c r="L566" i="15"/>
  <c r="K566" i="15"/>
  <c r="J566" i="15"/>
  <c r="N565" i="15"/>
  <c r="M565" i="15"/>
  <c r="L565" i="15"/>
  <c r="K565" i="15"/>
  <c r="J565" i="15"/>
  <c r="N564" i="15"/>
  <c r="M564" i="15"/>
  <c r="L564" i="15"/>
  <c r="K564" i="15"/>
  <c r="J564" i="15"/>
  <c r="N563" i="15"/>
  <c r="M563" i="15"/>
  <c r="L563" i="15"/>
  <c r="K563" i="15"/>
  <c r="J563" i="15"/>
  <c r="N562" i="15"/>
  <c r="M562" i="15"/>
  <c r="L562" i="15"/>
  <c r="K562" i="15"/>
  <c r="J562" i="15"/>
  <c r="N561" i="15"/>
  <c r="M561" i="15"/>
  <c r="L561" i="15"/>
  <c r="K561" i="15"/>
  <c r="J561" i="15"/>
  <c r="N560" i="15"/>
  <c r="M560" i="15"/>
  <c r="L560" i="15"/>
  <c r="K560" i="15"/>
  <c r="J560" i="15"/>
  <c r="N559" i="15"/>
  <c r="M559" i="15"/>
  <c r="L559" i="15"/>
  <c r="K559" i="15"/>
  <c r="J559" i="15"/>
  <c r="N558" i="15"/>
  <c r="M558" i="15"/>
  <c r="L558" i="15"/>
  <c r="K558" i="15"/>
  <c r="J558" i="15"/>
  <c r="N557" i="15"/>
  <c r="M557" i="15"/>
  <c r="L557" i="15"/>
  <c r="K557" i="15"/>
  <c r="J557" i="15"/>
  <c r="N556" i="15"/>
  <c r="M556" i="15"/>
  <c r="L556" i="15"/>
  <c r="K556" i="15"/>
  <c r="J556" i="15"/>
  <c r="N555" i="15"/>
  <c r="M555" i="15"/>
  <c r="L555" i="15"/>
  <c r="K555" i="15"/>
  <c r="J555" i="15"/>
  <c r="N554" i="15"/>
  <c r="M554" i="15"/>
  <c r="L554" i="15"/>
  <c r="K554" i="15"/>
  <c r="J554" i="15"/>
  <c r="N553" i="15"/>
  <c r="M553" i="15"/>
  <c r="L553" i="15"/>
  <c r="K553" i="15"/>
  <c r="J553" i="15"/>
  <c r="N552" i="15"/>
  <c r="M552" i="15"/>
  <c r="L552" i="15"/>
  <c r="K552" i="15"/>
  <c r="J552" i="15"/>
  <c r="N551" i="15"/>
  <c r="M551" i="15"/>
  <c r="L551" i="15"/>
  <c r="K551" i="15"/>
  <c r="J551" i="15"/>
  <c r="N550" i="15"/>
  <c r="M550" i="15"/>
  <c r="L550" i="15"/>
  <c r="K550" i="15"/>
  <c r="J550" i="15"/>
  <c r="N549" i="15"/>
  <c r="M549" i="15"/>
  <c r="L549" i="15"/>
  <c r="K549" i="15"/>
  <c r="J549" i="15"/>
  <c r="N548" i="15"/>
  <c r="M548" i="15"/>
  <c r="L548" i="15"/>
  <c r="K548" i="15"/>
  <c r="J548" i="15"/>
  <c r="N547" i="15"/>
  <c r="M547" i="15"/>
  <c r="L547" i="15"/>
  <c r="K547" i="15"/>
  <c r="J547" i="15"/>
  <c r="N546" i="15"/>
  <c r="M546" i="15"/>
  <c r="L546" i="15"/>
  <c r="K546" i="15"/>
  <c r="J546" i="15"/>
  <c r="N545" i="15"/>
  <c r="M545" i="15"/>
  <c r="L545" i="15"/>
  <c r="K545" i="15"/>
  <c r="J545" i="15"/>
  <c r="N544" i="15"/>
  <c r="M544" i="15"/>
  <c r="L544" i="15"/>
  <c r="K544" i="15"/>
  <c r="J544" i="15"/>
  <c r="N543" i="15"/>
  <c r="M543" i="15"/>
  <c r="L543" i="15"/>
  <c r="K543" i="15"/>
  <c r="J543" i="15"/>
  <c r="N542" i="15"/>
  <c r="M542" i="15"/>
  <c r="L542" i="15"/>
  <c r="K542" i="15"/>
  <c r="J542" i="15"/>
  <c r="N541" i="15"/>
  <c r="M541" i="15"/>
  <c r="L541" i="15"/>
  <c r="K541" i="15"/>
  <c r="J541" i="15"/>
  <c r="N540" i="15"/>
  <c r="M540" i="15"/>
  <c r="L540" i="15"/>
  <c r="K540" i="15"/>
  <c r="J540" i="15"/>
  <c r="N539" i="15"/>
  <c r="M539" i="15"/>
  <c r="L539" i="15"/>
  <c r="K539" i="15"/>
  <c r="J539" i="15"/>
  <c r="N538" i="15"/>
  <c r="M538" i="15"/>
  <c r="L538" i="15"/>
  <c r="K538" i="15"/>
  <c r="J538" i="15"/>
  <c r="N537" i="15"/>
  <c r="M537" i="15"/>
  <c r="L537" i="15"/>
  <c r="K537" i="15"/>
  <c r="J537" i="15"/>
  <c r="N536" i="15"/>
  <c r="M536" i="15"/>
  <c r="L536" i="15"/>
  <c r="K536" i="15"/>
  <c r="J536" i="15"/>
  <c r="N535" i="15"/>
  <c r="M535" i="15"/>
  <c r="L535" i="15"/>
  <c r="K535" i="15"/>
  <c r="J535" i="15"/>
  <c r="N534" i="15"/>
  <c r="M534" i="15"/>
  <c r="L534" i="15"/>
  <c r="K534" i="15"/>
  <c r="J534" i="15"/>
  <c r="N533" i="15"/>
  <c r="M533" i="15"/>
  <c r="L533" i="15"/>
  <c r="K533" i="15"/>
  <c r="J533" i="15"/>
  <c r="N532" i="15"/>
  <c r="M532" i="15"/>
  <c r="L532" i="15"/>
  <c r="K532" i="15"/>
  <c r="J532" i="15"/>
  <c r="N531" i="15"/>
  <c r="M531" i="15"/>
  <c r="L531" i="15"/>
  <c r="K531" i="15"/>
  <c r="J531" i="15"/>
  <c r="N530" i="15"/>
  <c r="M530" i="15"/>
  <c r="L530" i="15"/>
  <c r="K530" i="15"/>
  <c r="J530" i="15"/>
  <c r="N529" i="15"/>
  <c r="M529" i="15"/>
  <c r="L529" i="15"/>
  <c r="K529" i="15"/>
  <c r="J529" i="15"/>
  <c r="N528" i="15"/>
  <c r="M528" i="15"/>
  <c r="L528" i="15"/>
  <c r="K528" i="15"/>
  <c r="J528" i="15"/>
  <c r="N527" i="15"/>
  <c r="M527" i="15"/>
  <c r="L527" i="15"/>
  <c r="K527" i="15"/>
  <c r="J527" i="15"/>
  <c r="N526" i="15"/>
  <c r="M526" i="15"/>
  <c r="L526" i="15"/>
  <c r="K526" i="15"/>
  <c r="J526" i="15"/>
  <c r="N525" i="15"/>
  <c r="M525" i="15"/>
  <c r="L525" i="15"/>
  <c r="K525" i="15"/>
  <c r="J525" i="15"/>
  <c r="N524" i="15"/>
  <c r="M524" i="15"/>
  <c r="L524" i="15"/>
  <c r="K524" i="15"/>
  <c r="J524" i="15"/>
  <c r="N523" i="15"/>
  <c r="M523" i="15"/>
  <c r="L523" i="15"/>
  <c r="K523" i="15"/>
  <c r="J523" i="15"/>
  <c r="N522" i="15"/>
  <c r="M522" i="15"/>
  <c r="L522" i="15"/>
  <c r="K522" i="15"/>
  <c r="J522" i="15"/>
  <c r="N521" i="15"/>
  <c r="M521" i="15"/>
  <c r="L521" i="15"/>
  <c r="K521" i="15"/>
  <c r="J521" i="15"/>
  <c r="N520" i="15"/>
  <c r="M520" i="15"/>
  <c r="L520" i="15"/>
  <c r="K520" i="15"/>
  <c r="J520" i="15"/>
  <c r="N519" i="15"/>
  <c r="M519" i="15"/>
  <c r="L519" i="15"/>
  <c r="K519" i="15"/>
  <c r="J519" i="15"/>
  <c r="N518" i="15"/>
  <c r="M518" i="15"/>
  <c r="L518" i="15"/>
  <c r="K518" i="15"/>
  <c r="J518" i="15"/>
  <c r="N517" i="15"/>
  <c r="M517" i="15"/>
  <c r="L517" i="15"/>
  <c r="K517" i="15"/>
  <c r="J517" i="15"/>
  <c r="N516" i="15"/>
  <c r="M516" i="15"/>
  <c r="L516" i="15"/>
  <c r="K516" i="15"/>
  <c r="J516" i="15"/>
  <c r="N515" i="15"/>
  <c r="M515" i="15"/>
  <c r="L515" i="15"/>
  <c r="K515" i="15"/>
  <c r="J515" i="15"/>
  <c r="N514" i="15"/>
  <c r="M514" i="15"/>
  <c r="L514" i="15"/>
  <c r="K514" i="15"/>
  <c r="J514" i="15"/>
  <c r="N513" i="15"/>
  <c r="M513" i="15"/>
  <c r="L513" i="15"/>
  <c r="K513" i="15"/>
  <c r="J513" i="15"/>
  <c r="N512" i="15"/>
  <c r="M512" i="15"/>
  <c r="L512" i="15"/>
  <c r="K512" i="15"/>
  <c r="J512" i="15"/>
  <c r="N511" i="15"/>
  <c r="M511" i="15"/>
  <c r="L511" i="15"/>
  <c r="K511" i="15"/>
  <c r="J511" i="15"/>
  <c r="N510" i="15"/>
  <c r="M510" i="15"/>
  <c r="L510" i="15"/>
  <c r="K510" i="15"/>
  <c r="J510" i="15"/>
  <c r="N509" i="15"/>
  <c r="M509" i="15"/>
  <c r="L509" i="15"/>
  <c r="K509" i="15"/>
  <c r="J509" i="15"/>
  <c r="N508" i="15"/>
  <c r="M508" i="15"/>
  <c r="L508" i="15"/>
  <c r="K508" i="15"/>
  <c r="J508" i="15"/>
  <c r="N507" i="15"/>
  <c r="M507" i="15"/>
  <c r="L507" i="15"/>
  <c r="K507" i="15"/>
  <c r="J507" i="15"/>
  <c r="N506" i="15"/>
  <c r="M506" i="15"/>
  <c r="L506" i="15"/>
  <c r="K506" i="15"/>
  <c r="J506" i="15"/>
  <c r="N505" i="15"/>
  <c r="M505" i="15"/>
  <c r="L505" i="15"/>
  <c r="K505" i="15"/>
  <c r="J505" i="15"/>
  <c r="N504" i="15"/>
  <c r="M504" i="15"/>
  <c r="L504" i="15"/>
  <c r="K504" i="15"/>
  <c r="J504" i="15"/>
  <c r="N503" i="15"/>
  <c r="M503" i="15"/>
  <c r="L503" i="15"/>
  <c r="K503" i="15"/>
  <c r="J503" i="15"/>
  <c r="N502" i="15"/>
  <c r="M502" i="15"/>
  <c r="L502" i="15"/>
  <c r="K502" i="15"/>
  <c r="J502" i="15"/>
  <c r="N501" i="15"/>
  <c r="M501" i="15"/>
  <c r="L501" i="15"/>
  <c r="K501" i="15"/>
  <c r="J501" i="15"/>
  <c r="N500" i="15"/>
  <c r="M500" i="15"/>
  <c r="L500" i="15"/>
  <c r="K500" i="15"/>
  <c r="J500" i="15"/>
  <c r="N499" i="15"/>
  <c r="M499" i="15"/>
  <c r="L499" i="15"/>
  <c r="K499" i="15"/>
  <c r="J499" i="15"/>
  <c r="N498" i="15"/>
  <c r="M498" i="15"/>
  <c r="L498" i="15"/>
  <c r="K498" i="15"/>
  <c r="J498" i="15"/>
  <c r="N497" i="15"/>
  <c r="M497" i="15"/>
  <c r="L497" i="15"/>
  <c r="K497" i="15"/>
  <c r="J497" i="15"/>
  <c r="N496" i="15"/>
  <c r="M496" i="15"/>
  <c r="L496" i="15"/>
  <c r="K496" i="15"/>
  <c r="J496" i="15"/>
  <c r="N495" i="15"/>
  <c r="M495" i="15"/>
  <c r="L495" i="15"/>
  <c r="K495" i="15"/>
  <c r="J495" i="15"/>
  <c r="N494" i="15"/>
  <c r="M494" i="15"/>
  <c r="L494" i="15"/>
  <c r="K494" i="15"/>
  <c r="J494" i="15"/>
  <c r="N493" i="15"/>
  <c r="M493" i="15"/>
  <c r="L493" i="15"/>
  <c r="K493" i="15"/>
  <c r="J493" i="15"/>
  <c r="N492" i="15"/>
  <c r="M492" i="15"/>
  <c r="L492" i="15"/>
  <c r="K492" i="15"/>
  <c r="J492" i="15"/>
  <c r="N491" i="15"/>
  <c r="M491" i="15"/>
  <c r="L491" i="15"/>
  <c r="K491" i="15"/>
  <c r="J491" i="15"/>
  <c r="N490" i="15"/>
  <c r="M490" i="15"/>
  <c r="L490" i="15"/>
  <c r="K490" i="15"/>
  <c r="J490" i="15"/>
  <c r="N489" i="15"/>
  <c r="M489" i="15"/>
  <c r="L489" i="15"/>
  <c r="K489" i="15"/>
  <c r="J489" i="15"/>
  <c r="N488" i="15"/>
  <c r="M488" i="15"/>
  <c r="L488" i="15"/>
  <c r="K488" i="15"/>
  <c r="J488" i="15"/>
  <c r="N487" i="15"/>
  <c r="M487" i="15"/>
  <c r="L487" i="15"/>
  <c r="K487" i="15"/>
  <c r="J487" i="15"/>
  <c r="N486" i="15"/>
  <c r="R561" i="7" s="1"/>
  <c r="M486" i="15"/>
  <c r="L486" i="15"/>
  <c r="K486" i="15"/>
  <c r="J486" i="15"/>
  <c r="N485" i="15"/>
  <c r="R593" i="7" s="1"/>
  <c r="M485" i="15"/>
  <c r="L485" i="15"/>
  <c r="K485" i="15"/>
  <c r="J485" i="15"/>
  <c r="N484" i="15"/>
  <c r="M484" i="15"/>
  <c r="L484" i="15"/>
  <c r="K484" i="15"/>
  <c r="J484" i="15"/>
  <c r="N483" i="15"/>
  <c r="M483" i="15"/>
  <c r="L483" i="15"/>
  <c r="K483" i="15"/>
  <c r="J483" i="15"/>
  <c r="N482" i="15"/>
  <c r="M482" i="15"/>
  <c r="L482" i="15"/>
  <c r="K482" i="15"/>
  <c r="J482" i="15"/>
  <c r="N481" i="15"/>
  <c r="M481" i="15"/>
  <c r="L481" i="15"/>
  <c r="K481" i="15"/>
  <c r="J481" i="15"/>
  <c r="N480" i="15"/>
  <c r="M480" i="15"/>
  <c r="L480" i="15"/>
  <c r="K480" i="15"/>
  <c r="J480" i="15"/>
  <c r="N479" i="15"/>
  <c r="M479" i="15"/>
  <c r="L479" i="15"/>
  <c r="K479" i="15"/>
  <c r="J479" i="15"/>
  <c r="N478" i="15"/>
  <c r="M478" i="15"/>
  <c r="L478" i="15"/>
  <c r="K478" i="15"/>
  <c r="J478" i="15"/>
  <c r="N477" i="15"/>
  <c r="M477" i="15"/>
  <c r="L477" i="15"/>
  <c r="K477" i="15"/>
  <c r="J477" i="15"/>
  <c r="N476" i="15"/>
  <c r="M476" i="15"/>
  <c r="L476" i="15"/>
  <c r="K476" i="15"/>
  <c r="J476" i="15"/>
  <c r="N475" i="15"/>
  <c r="M475" i="15"/>
  <c r="L475" i="15"/>
  <c r="K475" i="15"/>
  <c r="J475" i="15"/>
  <c r="N474" i="15"/>
  <c r="M474" i="15"/>
  <c r="L474" i="15"/>
  <c r="K474" i="15"/>
  <c r="J474" i="15"/>
  <c r="N473" i="15"/>
  <c r="M473" i="15"/>
  <c r="L473" i="15"/>
  <c r="K473" i="15"/>
  <c r="J473" i="15"/>
  <c r="N472" i="15"/>
  <c r="M472" i="15"/>
  <c r="L472" i="15"/>
  <c r="K472" i="15"/>
  <c r="J472" i="15"/>
  <c r="N471" i="15"/>
  <c r="M471" i="15"/>
  <c r="L471" i="15"/>
  <c r="K471" i="15"/>
  <c r="J471" i="15"/>
  <c r="N470" i="15"/>
  <c r="M470" i="15"/>
  <c r="L470" i="15"/>
  <c r="K470" i="15"/>
  <c r="J470" i="15"/>
  <c r="N469" i="15"/>
  <c r="M469" i="15"/>
  <c r="L469" i="15"/>
  <c r="K469" i="15"/>
  <c r="J469" i="15"/>
  <c r="N468" i="15"/>
  <c r="M468" i="15"/>
  <c r="L468" i="15"/>
  <c r="K468" i="15"/>
  <c r="J468" i="15"/>
  <c r="N467" i="15"/>
  <c r="M467" i="15"/>
  <c r="L467" i="15"/>
  <c r="K467" i="15"/>
  <c r="J467" i="15"/>
  <c r="N466" i="15"/>
  <c r="R508" i="7" s="1"/>
  <c r="M466" i="15"/>
  <c r="L466" i="15"/>
  <c r="K466" i="15"/>
  <c r="J466" i="15"/>
  <c r="N465" i="15"/>
  <c r="M465" i="15"/>
  <c r="L465" i="15"/>
  <c r="K465" i="15"/>
  <c r="J465" i="15"/>
  <c r="N464" i="15"/>
  <c r="M464" i="15"/>
  <c r="L464" i="15"/>
  <c r="K464" i="15"/>
  <c r="J464" i="15"/>
  <c r="N463" i="15"/>
  <c r="M463" i="15"/>
  <c r="L463" i="15"/>
  <c r="K463" i="15"/>
  <c r="J463" i="15"/>
  <c r="N462" i="15"/>
  <c r="M462" i="15"/>
  <c r="L462" i="15"/>
  <c r="K462" i="15"/>
  <c r="J462" i="15"/>
  <c r="N461" i="15"/>
  <c r="M461" i="15"/>
  <c r="L461" i="15"/>
  <c r="K461" i="15"/>
  <c r="J461" i="15"/>
  <c r="N460" i="15"/>
  <c r="M460" i="15"/>
  <c r="L460" i="15"/>
  <c r="K460" i="15"/>
  <c r="J460" i="15"/>
  <c r="N459" i="15"/>
  <c r="M459" i="15"/>
  <c r="L459" i="15"/>
  <c r="K459" i="15"/>
  <c r="J459" i="15"/>
  <c r="N458" i="15"/>
  <c r="M458" i="15"/>
  <c r="L458" i="15"/>
  <c r="K458" i="15"/>
  <c r="J458" i="15"/>
  <c r="N457" i="15"/>
  <c r="M457" i="15"/>
  <c r="L457" i="15"/>
  <c r="K457" i="15"/>
  <c r="J457" i="15"/>
  <c r="N456" i="15"/>
  <c r="M456" i="15"/>
  <c r="L456" i="15"/>
  <c r="K456" i="15"/>
  <c r="J456" i="15"/>
  <c r="N455" i="15"/>
  <c r="M455" i="15"/>
  <c r="L455" i="15"/>
  <c r="K455" i="15"/>
  <c r="J455" i="15"/>
  <c r="N454" i="15"/>
  <c r="M454" i="15"/>
  <c r="L454" i="15"/>
  <c r="K454" i="15"/>
  <c r="J454" i="15"/>
  <c r="N453" i="15"/>
  <c r="M453" i="15"/>
  <c r="L453" i="15"/>
  <c r="K453" i="15"/>
  <c r="J453" i="15"/>
  <c r="N452" i="15"/>
  <c r="M452" i="15"/>
  <c r="L452" i="15"/>
  <c r="K452" i="15"/>
  <c r="J452" i="15"/>
  <c r="N451" i="15"/>
  <c r="M451" i="15"/>
  <c r="L451" i="15"/>
  <c r="K451" i="15"/>
  <c r="J451" i="15"/>
  <c r="N450" i="15"/>
  <c r="M450" i="15"/>
  <c r="L450" i="15"/>
  <c r="K450" i="15"/>
  <c r="J450" i="15"/>
  <c r="N449" i="15"/>
  <c r="M449" i="15"/>
  <c r="L449" i="15"/>
  <c r="K449" i="15"/>
  <c r="J449" i="15"/>
  <c r="N448" i="15"/>
  <c r="M448" i="15"/>
  <c r="L448" i="15"/>
  <c r="K448" i="15"/>
  <c r="J448" i="15"/>
  <c r="N447" i="15"/>
  <c r="M447" i="15"/>
  <c r="L447" i="15"/>
  <c r="K447" i="15"/>
  <c r="J447" i="15"/>
  <c r="N446" i="15"/>
  <c r="M446" i="15"/>
  <c r="L446" i="15"/>
  <c r="K446" i="15"/>
  <c r="J446" i="15"/>
  <c r="N445" i="15"/>
  <c r="M445" i="15"/>
  <c r="L445" i="15"/>
  <c r="K445" i="15"/>
  <c r="J445" i="15"/>
  <c r="N444" i="15"/>
  <c r="M444" i="15"/>
  <c r="L444" i="15"/>
  <c r="K444" i="15"/>
  <c r="J444" i="15"/>
  <c r="N443" i="15"/>
  <c r="M443" i="15"/>
  <c r="L443" i="15"/>
  <c r="K443" i="15"/>
  <c r="J443" i="15"/>
  <c r="N442" i="15"/>
  <c r="M442" i="15"/>
  <c r="L442" i="15"/>
  <c r="K442" i="15"/>
  <c r="J442" i="15"/>
  <c r="N441" i="15"/>
  <c r="M441" i="15"/>
  <c r="L441" i="15"/>
  <c r="K441" i="15"/>
  <c r="J441" i="15"/>
  <c r="N440" i="15"/>
  <c r="M440" i="15"/>
  <c r="L440" i="15"/>
  <c r="K440" i="15"/>
  <c r="J440" i="15"/>
  <c r="N439" i="15"/>
  <c r="M439" i="15"/>
  <c r="L439" i="15"/>
  <c r="K439" i="15"/>
  <c r="J439" i="15"/>
  <c r="N438" i="15"/>
  <c r="M438" i="15"/>
  <c r="L438" i="15"/>
  <c r="K438" i="15"/>
  <c r="J438" i="15"/>
  <c r="N437" i="15"/>
  <c r="M437" i="15"/>
  <c r="L437" i="15"/>
  <c r="K437" i="15"/>
  <c r="J437" i="15"/>
  <c r="N436" i="15"/>
  <c r="M436" i="15"/>
  <c r="L436" i="15"/>
  <c r="K436" i="15"/>
  <c r="J436" i="15"/>
  <c r="N435" i="15"/>
  <c r="M435" i="15"/>
  <c r="L435" i="15"/>
  <c r="K435" i="15"/>
  <c r="J435" i="15"/>
  <c r="N434" i="15"/>
  <c r="M434" i="15"/>
  <c r="L434" i="15"/>
  <c r="K434" i="15"/>
  <c r="J434" i="15"/>
  <c r="N433" i="15"/>
  <c r="M433" i="15"/>
  <c r="L433" i="15"/>
  <c r="K433" i="15"/>
  <c r="J433" i="15"/>
  <c r="N432" i="15"/>
  <c r="M432" i="15"/>
  <c r="L432" i="15"/>
  <c r="K432" i="15"/>
  <c r="J432" i="15"/>
  <c r="N431" i="15"/>
  <c r="M431" i="15"/>
  <c r="L431" i="15"/>
  <c r="K431" i="15"/>
  <c r="J431" i="15"/>
  <c r="N430" i="15"/>
  <c r="M430" i="15"/>
  <c r="L430" i="15"/>
  <c r="K430" i="15"/>
  <c r="J430" i="15"/>
  <c r="N429" i="15"/>
  <c r="M429" i="15"/>
  <c r="L429" i="15"/>
  <c r="K429" i="15"/>
  <c r="J429" i="15"/>
  <c r="N428" i="15"/>
  <c r="M428" i="15"/>
  <c r="L428" i="15"/>
  <c r="K428" i="15"/>
  <c r="J428" i="15"/>
  <c r="N427" i="15"/>
  <c r="M427" i="15"/>
  <c r="L427" i="15"/>
  <c r="K427" i="15"/>
  <c r="J427" i="15"/>
  <c r="N426" i="15"/>
  <c r="M426" i="15"/>
  <c r="L426" i="15"/>
  <c r="K426" i="15"/>
  <c r="J426" i="15"/>
  <c r="N425" i="15"/>
  <c r="M425" i="15"/>
  <c r="L425" i="15"/>
  <c r="K425" i="15"/>
  <c r="J425" i="15"/>
  <c r="N424" i="15"/>
  <c r="M424" i="15"/>
  <c r="L424" i="15"/>
  <c r="K424" i="15"/>
  <c r="J424" i="15"/>
  <c r="N423" i="15"/>
  <c r="M423" i="15"/>
  <c r="L423" i="15"/>
  <c r="K423" i="15"/>
  <c r="J423" i="15"/>
  <c r="N422" i="15"/>
  <c r="M422" i="15"/>
  <c r="L422" i="15"/>
  <c r="K422" i="15"/>
  <c r="J422" i="15"/>
  <c r="N421" i="15"/>
  <c r="M421" i="15"/>
  <c r="L421" i="15"/>
  <c r="K421" i="15"/>
  <c r="J421" i="15"/>
  <c r="N420" i="15"/>
  <c r="M420" i="15"/>
  <c r="L420" i="15"/>
  <c r="K420" i="15"/>
  <c r="J420" i="15"/>
  <c r="N419" i="15"/>
  <c r="M419" i="15"/>
  <c r="L419" i="15"/>
  <c r="K419" i="15"/>
  <c r="J419" i="15"/>
  <c r="N418" i="15"/>
  <c r="M418" i="15"/>
  <c r="L418" i="15"/>
  <c r="K418" i="15"/>
  <c r="J418" i="15"/>
  <c r="N417" i="15"/>
  <c r="M417" i="15"/>
  <c r="L417" i="15"/>
  <c r="K417" i="15"/>
  <c r="J417" i="15"/>
  <c r="N416" i="15"/>
  <c r="M416" i="15"/>
  <c r="L416" i="15"/>
  <c r="K416" i="15"/>
  <c r="J416" i="15"/>
  <c r="N415" i="15"/>
  <c r="M415" i="15"/>
  <c r="L415" i="15"/>
  <c r="K415" i="15"/>
  <c r="J415" i="15"/>
  <c r="N414" i="15"/>
  <c r="M414" i="15"/>
  <c r="L414" i="15"/>
  <c r="K414" i="15"/>
  <c r="J414" i="15"/>
  <c r="N413" i="15"/>
  <c r="M413" i="15"/>
  <c r="L413" i="15"/>
  <c r="K413" i="15"/>
  <c r="J413" i="15"/>
  <c r="N412" i="15"/>
  <c r="M412" i="15"/>
  <c r="L412" i="15"/>
  <c r="K412" i="15"/>
  <c r="J412" i="15"/>
  <c r="N411" i="15"/>
  <c r="M411" i="15"/>
  <c r="L411" i="15"/>
  <c r="K411" i="15"/>
  <c r="J411" i="15"/>
  <c r="N410" i="15"/>
  <c r="M410" i="15"/>
  <c r="L410" i="15"/>
  <c r="K410" i="15"/>
  <c r="J410" i="15"/>
  <c r="N409" i="15"/>
  <c r="M409" i="15"/>
  <c r="L409" i="15"/>
  <c r="K409" i="15"/>
  <c r="J409" i="15"/>
  <c r="N408" i="15"/>
  <c r="M408" i="15"/>
  <c r="L408" i="15"/>
  <c r="K408" i="15"/>
  <c r="J408" i="15"/>
  <c r="N407" i="15"/>
  <c r="M407" i="15"/>
  <c r="L407" i="15"/>
  <c r="K407" i="15"/>
  <c r="J407" i="15"/>
  <c r="N406" i="15"/>
  <c r="M406" i="15"/>
  <c r="L406" i="15"/>
  <c r="K406" i="15"/>
  <c r="J406" i="15"/>
  <c r="N405" i="15"/>
  <c r="M405" i="15"/>
  <c r="L405" i="15"/>
  <c r="K405" i="15"/>
  <c r="J405" i="15"/>
  <c r="N404" i="15"/>
  <c r="M404" i="15"/>
  <c r="L404" i="15"/>
  <c r="K404" i="15"/>
  <c r="J404" i="15"/>
  <c r="N403" i="15"/>
  <c r="M403" i="15"/>
  <c r="L403" i="15"/>
  <c r="K403" i="15"/>
  <c r="J403" i="15"/>
  <c r="N402" i="15"/>
  <c r="R430" i="7" s="1"/>
  <c r="M402" i="15"/>
  <c r="L402" i="15"/>
  <c r="K402" i="15"/>
  <c r="J402" i="15"/>
  <c r="N401" i="15"/>
  <c r="M401" i="15"/>
  <c r="L401" i="15"/>
  <c r="K401" i="15"/>
  <c r="J401" i="15"/>
  <c r="N400" i="15"/>
  <c r="M400" i="15"/>
  <c r="L400" i="15"/>
  <c r="K400" i="15"/>
  <c r="J400" i="15"/>
  <c r="N399" i="15"/>
  <c r="M399" i="15"/>
  <c r="L399" i="15"/>
  <c r="K399" i="15"/>
  <c r="J399" i="15"/>
  <c r="N398" i="15"/>
  <c r="M398" i="15"/>
  <c r="L398" i="15"/>
  <c r="K398" i="15"/>
  <c r="J398" i="15"/>
  <c r="N397" i="15"/>
  <c r="M397" i="15"/>
  <c r="L397" i="15"/>
  <c r="K397" i="15"/>
  <c r="J397" i="15"/>
  <c r="N396" i="15"/>
  <c r="M396" i="15"/>
  <c r="L396" i="15"/>
  <c r="K396" i="15"/>
  <c r="J396" i="15"/>
  <c r="N395" i="15"/>
  <c r="M395" i="15"/>
  <c r="L395" i="15"/>
  <c r="K395" i="15"/>
  <c r="J395" i="15"/>
  <c r="N394" i="15"/>
  <c r="M394" i="15"/>
  <c r="L394" i="15"/>
  <c r="K394" i="15"/>
  <c r="J394" i="15"/>
  <c r="N393" i="15"/>
  <c r="M393" i="15"/>
  <c r="L393" i="15"/>
  <c r="K393" i="15"/>
  <c r="J393" i="15"/>
  <c r="N392" i="15"/>
  <c r="M392" i="15"/>
  <c r="L392" i="15"/>
  <c r="K392" i="15"/>
  <c r="J392" i="15"/>
  <c r="N391" i="15"/>
  <c r="M391" i="15"/>
  <c r="L391" i="15"/>
  <c r="K391" i="15"/>
  <c r="J391" i="15"/>
  <c r="N390" i="15"/>
  <c r="M390" i="15"/>
  <c r="L390" i="15"/>
  <c r="K390" i="15"/>
  <c r="J390" i="15"/>
  <c r="N389" i="15"/>
  <c r="M389" i="15"/>
  <c r="L389" i="15"/>
  <c r="K389" i="15"/>
  <c r="J389" i="15"/>
  <c r="N388" i="15"/>
  <c r="M388" i="15"/>
  <c r="L388" i="15"/>
  <c r="K388" i="15"/>
  <c r="J388" i="15"/>
  <c r="N387" i="15"/>
  <c r="M387" i="15"/>
  <c r="L387" i="15"/>
  <c r="K387" i="15"/>
  <c r="J387" i="15"/>
  <c r="N386" i="15"/>
  <c r="M386" i="15"/>
  <c r="L386" i="15"/>
  <c r="K386" i="15"/>
  <c r="J386" i="15"/>
  <c r="N385" i="15"/>
  <c r="M385" i="15"/>
  <c r="L385" i="15"/>
  <c r="K385" i="15"/>
  <c r="J385" i="15"/>
  <c r="N384" i="15"/>
  <c r="M384" i="15"/>
  <c r="L384" i="15"/>
  <c r="K384" i="15"/>
  <c r="J384" i="15"/>
  <c r="N383" i="15"/>
  <c r="M383" i="15"/>
  <c r="L383" i="15"/>
  <c r="K383" i="15"/>
  <c r="J383" i="15"/>
  <c r="N382" i="15"/>
  <c r="M382" i="15"/>
  <c r="L382" i="15"/>
  <c r="K382" i="15"/>
  <c r="J382" i="15"/>
  <c r="N381" i="15"/>
  <c r="M381" i="15"/>
  <c r="L381" i="15"/>
  <c r="K381" i="15"/>
  <c r="J381" i="15"/>
  <c r="N380" i="15"/>
  <c r="M380" i="15"/>
  <c r="L380" i="15"/>
  <c r="K380" i="15"/>
  <c r="J380" i="15"/>
  <c r="N379" i="15"/>
  <c r="M379" i="15"/>
  <c r="L379" i="15"/>
  <c r="K379" i="15"/>
  <c r="J379" i="15"/>
  <c r="N378" i="15"/>
  <c r="M378" i="15"/>
  <c r="L378" i="15"/>
  <c r="K378" i="15"/>
  <c r="J378" i="15"/>
  <c r="N377" i="15"/>
  <c r="M377" i="15"/>
  <c r="L377" i="15"/>
  <c r="K377" i="15"/>
  <c r="J377" i="15"/>
  <c r="N376" i="15"/>
  <c r="M376" i="15"/>
  <c r="L376" i="15"/>
  <c r="K376" i="15"/>
  <c r="J376" i="15"/>
  <c r="N375" i="15"/>
  <c r="M375" i="15"/>
  <c r="L375" i="15"/>
  <c r="K375" i="15"/>
  <c r="J375" i="15"/>
  <c r="N374" i="15"/>
  <c r="M374" i="15"/>
  <c r="L374" i="15"/>
  <c r="K374" i="15"/>
  <c r="J374" i="15"/>
  <c r="N373" i="15"/>
  <c r="R384" i="7" s="1"/>
  <c r="Q384" i="7" s="1"/>
  <c r="M373" i="15"/>
  <c r="L373" i="15"/>
  <c r="K373" i="15"/>
  <c r="J373" i="15"/>
  <c r="N372" i="15"/>
  <c r="M372" i="15"/>
  <c r="L372" i="15"/>
  <c r="K372" i="15"/>
  <c r="J372" i="15"/>
  <c r="N371" i="15"/>
  <c r="M371" i="15"/>
  <c r="L371" i="15"/>
  <c r="K371" i="15"/>
  <c r="J371" i="15"/>
  <c r="N370" i="15"/>
  <c r="M370" i="15"/>
  <c r="L370" i="15"/>
  <c r="K370" i="15"/>
  <c r="J370" i="15"/>
  <c r="N369" i="15"/>
  <c r="M369" i="15"/>
  <c r="L369" i="15"/>
  <c r="K369" i="15"/>
  <c r="J369" i="15"/>
  <c r="N368" i="15"/>
  <c r="M368" i="15"/>
  <c r="L368" i="15"/>
  <c r="K368" i="15"/>
  <c r="J368" i="15"/>
  <c r="N367" i="15"/>
  <c r="M367" i="15"/>
  <c r="L367" i="15"/>
  <c r="K367" i="15"/>
  <c r="J367" i="15"/>
  <c r="N366" i="15"/>
  <c r="M366" i="15"/>
  <c r="L366" i="15"/>
  <c r="K366" i="15"/>
  <c r="J366" i="15"/>
  <c r="N365" i="15"/>
  <c r="M365" i="15"/>
  <c r="L365" i="15"/>
  <c r="K365" i="15"/>
  <c r="J365" i="15"/>
  <c r="N364" i="15"/>
  <c r="M364" i="15"/>
  <c r="L364" i="15"/>
  <c r="K364" i="15"/>
  <c r="J364" i="15"/>
  <c r="N363" i="15"/>
  <c r="M363" i="15"/>
  <c r="L363" i="15"/>
  <c r="K363" i="15"/>
  <c r="J363" i="15"/>
  <c r="N362" i="15"/>
  <c r="M362" i="15"/>
  <c r="L362" i="15"/>
  <c r="K362" i="15"/>
  <c r="J362" i="15"/>
  <c r="N361" i="15"/>
  <c r="M361" i="15"/>
  <c r="L361" i="15"/>
  <c r="K361" i="15"/>
  <c r="J361" i="15"/>
  <c r="N360" i="15"/>
  <c r="M360" i="15"/>
  <c r="L360" i="15"/>
  <c r="K360" i="15"/>
  <c r="J360" i="15"/>
  <c r="N359" i="15"/>
  <c r="M359" i="15"/>
  <c r="L359" i="15"/>
  <c r="K359" i="15"/>
  <c r="J359" i="15"/>
  <c r="N358" i="15"/>
  <c r="M358" i="15"/>
  <c r="L358" i="15"/>
  <c r="K358" i="15"/>
  <c r="J358" i="15"/>
  <c r="N357" i="15"/>
  <c r="M357" i="15"/>
  <c r="L357" i="15"/>
  <c r="K357" i="15"/>
  <c r="J357" i="15"/>
  <c r="N356" i="15"/>
  <c r="M356" i="15"/>
  <c r="L356" i="15"/>
  <c r="K356" i="15"/>
  <c r="J356" i="15"/>
  <c r="N355" i="15"/>
  <c r="M355" i="15"/>
  <c r="L355" i="15"/>
  <c r="K355" i="15"/>
  <c r="J355" i="15"/>
  <c r="N354" i="15"/>
  <c r="M354" i="15"/>
  <c r="L354" i="15"/>
  <c r="K354" i="15"/>
  <c r="J354" i="15"/>
  <c r="N353" i="15"/>
  <c r="M353" i="15"/>
  <c r="L353" i="15"/>
  <c r="K353" i="15"/>
  <c r="J353" i="15"/>
  <c r="N352" i="15"/>
  <c r="M352" i="15"/>
  <c r="L352" i="15"/>
  <c r="K352" i="15"/>
  <c r="J352" i="15"/>
  <c r="N351" i="15"/>
  <c r="M351" i="15"/>
  <c r="L351" i="15"/>
  <c r="K351" i="15"/>
  <c r="J351" i="15"/>
  <c r="N350" i="15"/>
  <c r="M350" i="15"/>
  <c r="L350" i="15"/>
  <c r="K350" i="15"/>
  <c r="J350" i="15"/>
  <c r="N349" i="15"/>
  <c r="M349" i="15"/>
  <c r="L349" i="15"/>
  <c r="K349" i="15"/>
  <c r="J349" i="15"/>
  <c r="N348" i="15"/>
  <c r="M348" i="15"/>
  <c r="L348" i="15"/>
  <c r="K348" i="15"/>
  <c r="J348" i="15"/>
  <c r="N347" i="15"/>
  <c r="M347" i="15"/>
  <c r="L347" i="15"/>
  <c r="K347" i="15"/>
  <c r="J347" i="15"/>
  <c r="N346" i="15"/>
  <c r="M346" i="15"/>
  <c r="L346" i="15"/>
  <c r="K346" i="15"/>
  <c r="J346" i="15"/>
  <c r="N345" i="15"/>
  <c r="M345" i="15"/>
  <c r="L345" i="15"/>
  <c r="K345" i="15"/>
  <c r="J345" i="15"/>
  <c r="N344" i="15"/>
  <c r="M344" i="15"/>
  <c r="L344" i="15"/>
  <c r="K344" i="15"/>
  <c r="J344" i="15"/>
  <c r="N343" i="15"/>
  <c r="M343" i="15"/>
  <c r="L343" i="15"/>
  <c r="K343" i="15"/>
  <c r="J343" i="15"/>
  <c r="N342" i="15"/>
  <c r="R576" i="7" s="1"/>
  <c r="M342" i="15"/>
  <c r="L342" i="15"/>
  <c r="K342" i="15"/>
  <c r="J342" i="15"/>
  <c r="N341" i="15"/>
  <c r="M341" i="15"/>
  <c r="L341" i="15"/>
  <c r="K341" i="15"/>
  <c r="J341" i="15"/>
  <c r="N340" i="15"/>
  <c r="M340" i="15"/>
  <c r="L340" i="15"/>
  <c r="K340" i="15"/>
  <c r="J340" i="15"/>
  <c r="N339" i="15"/>
  <c r="M339" i="15"/>
  <c r="L339" i="15"/>
  <c r="K339" i="15"/>
  <c r="J339" i="15"/>
  <c r="N338" i="15"/>
  <c r="M338" i="15"/>
  <c r="L338" i="15"/>
  <c r="K338" i="15"/>
  <c r="J338" i="15"/>
  <c r="N337" i="15"/>
  <c r="M337" i="15"/>
  <c r="L337" i="15"/>
  <c r="K337" i="15"/>
  <c r="J337" i="15"/>
  <c r="N336" i="15"/>
  <c r="M336" i="15"/>
  <c r="L336" i="15"/>
  <c r="K336" i="15"/>
  <c r="J336" i="15"/>
  <c r="N335" i="15"/>
  <c r="M335" i="15"/>
  <c r="L335" i="15"/>
  <c r="K335" i="15"/>
  <c r="J335" i="15"/>
  <c r="N334" i="15"/>
  <c r="M334" i="15"/>
  <c r="L334" i="15"/>
  <c r="K334" i="15"/>
  <c r="J334" i="15"/>
  <c r="N333" i="15"/>
  <c r="M333" i="15"/>
  <c r="L333" i="15"/>
  <c r="K333" i="15"/>
  <c r="J333" i="15"/>
  <c r="N332" i="15"/>
  <c r="M332" i="15"/>
  <c r="L332" i="15"/>
  <c r="K332" i="15"/>
  <c r="J332" i="15"/>
  <c r="N331" i="15"/>
  <c r="M331" i="15"/>
  <c r="L331" i="15"/>
  <c r="K331" i="15"/>
  <c r="J331" i="15"/>
  <c r="N330" i="15"/>
  <c r="M330" i="15"/>
  <c r="L330" i="15"/>
  <c r="K330" i="15"/>
  <c r="J330" i="15"/>
  <c r="N329" i="15"/>
  <c r="M329" i="15"/>
  <c r="L329" i="15"/>
  <c r="K329" i="15"/>
  <c r="J329" i="15"/>
  <c r="N328" i="15"/>
  <c r="M328" i="15"/>
  <c r="L328" i="15"/>
  <c r="K328" i="15"/>
  <c r="J328" i="15"/>
  <c r="N327" i="15"/>
  <c r="M327" i="15"/>
  <c r="L327" i="15"/>
  <c r="K327" i="15"/>
  <c r="J327" i="15"/>
  <c r="N326" i="15"/>
  <c r="R306" i="7" s="1"/>
  <c r="M326" i="15"/>
  <c r="L326" i="15"/>
  <c r="K326" i="15"/>
  <c r="J326" i="15"/>
  <c r="N325" i="15"/>
  <c r="R305" i="7" s="1"/>
  <c r="M325" i="15"/>
  <c r="L325" i="15"/>
  <c r="K325" i="15"/>
  <c r="J325" i="15"/>
  <c r="N324" i="15"/>
  <c r="M324" i="15"/>
  <c r="L324" i="15"/>
  <c r="K324" i="15"/>
  <c r="J324" i="15"/>
  <c r="N323" i="15"/>
  <c r="M323" i="15"/>
  <c r="L323" i="15"/>
  <c r="K323" i="15"/>
  <c r="J323" i="15"/>
  <c r="N322" i="15"/>
  <c r="M322" i="15"/>
  <c r="L322" i="15"/>
  <c r="K322" i="15"/>
  <c r="J322" i="15"/>
  <c r="N321" i="15"/>
  <c r="M321" i="15"/>
  <c r="L321" i="15"/>
  <c r="K321" i="15"/>
  <c r="J321" i="15"/>
  <c r="N320" i="15"/>
  <c r="M320" i="15"/>
  <c r="L320" i="15"/>
  <c r="K320" i="15"/>
  <c r="J320" i="15"/>
  <c r="N319" i="15"/>
  <c r="M319" i="15"/>
  <c r="L319" i="15"/>
  <c r="K319" i="15"/>
  <c r="J319" i="15"/>
  <c r="N318" i="15"/>
  <c r="M318" i="15"/>
  <c r="L318" i="15"/>
  <c r="K318" i="15"/>
  <c r="J318" i="15"/>
  <c r="N317" i="15"/>
  <c r="M317" i="15"/>
  <c r="L317" i="15"/>
  <c r="K317" i="15"/>
  <c r="J317" i="15"/>
  <c r="N316" i="15"/>
  <c r="M316" i="15"/>
  <c r="L316" i="15"/>
  <c r="K316" i="15"/>
  <c r="J316" i="15"/>
  <c r="N315" i="15"/>
  <c r="M315" i="15"/>
  <c r="L315" i="15"/>
  <c r="K315" i="15"/>
  <c r="J315" i="15"/>
  <c r="N314" i="15"/>
  <c r="M314" i="15"/>
  <c r="L314" i="15"/>
  <c r="K314" i="15"/>
  <c r="J314" i="15"/>
  <c r="N313" i="15"/>
  <c r="M313" i="15"/>
  <c r="L313" i="15"/>
  <c r="K313" i="15"/>
  <c r="J313" i="15"/>
  <c r="N312" i="15"/>
  <c r="M312" i="15"/>
  <c r="L312" i="15"/>
  <c r="K312" i="15"/>
  <c r="J312" i="15"/>
  <c r="N311" i="15"/>
  <c r="M311" i="15"/>
  <c r="L311" i="15"/>
  <c r="K311" i="15"/>
  <c r="J311" i="15"/>
  <c r="N310" i="15"/>
  <c r="M310" i="15"/>
  <c r="L310" i="15"/>
  <c r="K310" i="15"/>
  <c r="J310" i="15"/>
  <c r="N309" i="15"/>
  <c r="M309" i="15"/>
  <c r="L309" i="15"/>
  <c r="K309" i="15"/>
  <c r="J309" i="15"/>
  <c r="N308" i="15"/>
  <c r="M308" i="15"/>
  <c r="L308" i="15"/>
  <c r="K308" i="15"/>
  <c r="J308" i="15"/>
  <c r="N307" i="15"/>
  <c r="M307" i="15"/>
  <c r="L307" i="15"/>
  <c r="K307" i="15"/>
  <c r="J307" i="15"/>
  <c r="N306" i="15"/>
  <c r="M306" i="15"/>
  <c r="L306" i="15"/>
  <c r="K306" i="15"/>
  <c r="J306" i="15"/>
  <c r="N305" i="15"/>
  <c r="M305" i="15"/>
  <c r="L305" i="15"/>
  <c r="K305" i="15"/>
  <c r="J305" i="15"/>
  <c r="N304" i="15"/>
  <c r="M304" i="15"/>
  <c r="L304" i="15"/>
  <c r="K304" i="15"/>
  <c r="J304" i="15"/>
  <c r="N303" i="15"/>
  <c r="M303" i="15"/>
  <c r="L303" i="15"/>
  <c r="K303" i="15"/>
  <c r="J303" i="15"/>
  <c r="N302" i="15"/>
  <c r="M302" i="15"/>
  <c r="L302" i="15"/>
  <c r="K302" i="15"/>
  <c r="J302" i="15"/>
  <c r="N301" i="15"/>
  <c r="M301" i="15"/>
  <c r="L301" i="15"/>
  <c r="K301" i="15"/>
  <c r="J301" i="15"/>
  <c r="N300" i="15"/>
  <c r="M300" i="15"/>
  <c r="L300" i="15"/>
  <c r="K300" i="15"/>
  <c r="J300" i="15"/>
  <c r="N299" i="15"/>
  <c r="M299" i="15"/>
  <c r="L299" i="15"/>
  <c r="K299" i="15"/>
  <c r="J299" i="15"/>
  <c r="N298" i="15"/>
  <c r="M298" i="15"/>
  <c r="L298" i="15"/>
  <c r="K298" i="15"/>
  <c r="J298" i="15"/>
  <c r="N297" i="15"/>
  <c r="M297" i="15"/>
  <c r="L297" i="15"/>
  <c r="K297" i="15"/>
  <c r="J297" i="15"/>
  <c r="N296" i="15"/>
  <c r="M296" i="15"/>
  <c r="L296" i="15"/>
  <c r="K296" i="15"/>
  <c r="J296" i="15"/>
  <c r="N295" i="15"/>
  <c r="M295" i="15"/>
  <c r="L295" i="15"/>
  <c r="K295" i="15"/>
  <c r="J295" i="15"/>
  <c r="N294" i="15"/>
  <c r="M294" i="15"/>
  <c r="L294" i="15"/>
  <c r="K294" i="15"/>
  <c r="J294" i="15"/>
  <c r="N293" i="15"/>
  <c r="M293" i="15"/>
  <c r="L293" i="15"/>
  <c r="K293" i="15"/>
  <c r="J293" i="15"/>
  <c r="N292" i="15"/>
  <c r="M292" i="15"/>
  <c r="L292" i="15"/>
  <c r="K292" i="15"/>
  <c r="J292" i="15"/>
  <c r="N291" i="15"/>
  <c r="M291" i="15"/>
  <c r="L291" i="15"/>
  <c r="K291" i="15"/>
  <c r="J291" i="15"/>
  <c r="N290" i="15"/>
  <c r="M290" i="15"/>
  <c r="L290" i="15"/>
  <c r="K290" i="15"/>
  <c r="J290" i="15"/>
  <c r="N289" i="15"/>
  <c r="M289" i="15"/>
  <c r="L289" i="15"/>
  <c r="K289" i="15"/>
  <c r="J289" i="15"/>
  <c r="N288" i="15"/>
  <c r="M288" i="15"/>
  <c r="L288" i="15"/>
  <c r="K288" i="15"/>
  <c r="J288" i="15"/>
  <c r="N287" i="15"/>
  <c r="M287" i="15"/>
  <c r="L287" i="15"/>
  <c r="K287" i="15"/>
  <c r="J287" i="15"/>
  <c r="N286" i="15"/>
  <c r="M286" i="15"/>
  <c r="L286" i="15"/>
  <c r="K286" i="15"/>
  <c r="J286" i="15"/>
  <c r="N285" i="15"/>
  <c r="M285" i="15"/>
  <c r="L285" i="15"/>
  <c r="K285" i="15"/>
  <c r="J285" i="15"/>
  <c r="N284" i="15"/>
  <c r="M284" i="15"/>
  <c r="L284" i="15"/>
  <c r="K284" i="15"/>
  <c r="J284" i="15"/>
  <c r="N283" i="15"/>
  <c r="M283" i="15"/>
  <c r="L283" i="15"/>
  <c r="K283" i="15"/>
  <c r="J283" i="15"/>
  <c r="N282" i="15"/>
  <c r="M282" i="15"/>
  <c r="L282" i="15"/>
  <c r="K282" i="15"/>
  <c r="J282" i="15"/>
  <c r="N281" i="15"/>
  <c r="M281" i="15"/>
  <c r="L281" i="15"/>
  <c r="K281" i="15"/>
  <c r="J281" i="15"/>
  <c r="N280" i="15"/>
  <c r="M280" i="15"/>
  <c r="L280" i="15"/>
  <c r="K280" i="15"/>
  <c r="J280" i="15"/>
  <c r="N279" i="15"/>
  <c r="M279" i="15"/>
  <c r="L279" i="15"/>
  <c r="K279" i="15"/>
  <c r="J279" i="15"/>
  <c r="N278" i="15"/>
  <c r="M278" i="15"/>
  <c r="L278" i="15"/>
  <c r="K278" i="15"/>
  <c r="J278" i="15"/>
  <c r="N277" i="15"/>
  <c r="M277" i="15"/>
  <c r="L277" i="15"/>
  <c r="K277" i="15"/>
  <c r="J277" i="15"/>
  <c r="N276" i="15"/>
  <c r="M276" i="15"/>
  <c r="L276" i="15"/>
  <c r="K276" i="15"/>
  <c r="J276" i="15"/>
  <c r="N275" i="15"/>
  <c r="M275" i="15"/>
  <c r="L275" i="15"/>
  <c r="K275" i="15"/>
  <c r="J275" i="15"/>
  <c r="N274" i="15"/>
  <c r="M274" i="15"/>
  <c r="L274" i="15"/>
  <c r="K274" i="15"/>
  <c r="J274" i="15"/>
  <c r="N273" i="15"/>
  <c r="M273" i="15"/>
  <c r="L273" i="15"/>
  <c r="K273" i="15"/>
  <c r="J273" i="15"/>
  <c r="N272" i="15"/>
  <c r="M272" i="15"/>
  <c r="L272" i="15"/>
  <c r="K272" i="15"/>
  <c r="J272" i="15"/>
  <c r="N271" i="15"/>
  <c r="M271" i="15"/>
  <c r="L271" i="15"/>
  <c r="K271" i="15"/>
  <c r="J271" i="15"/>
  <c r="N270" i="15"/>
  <c r="M270" i="15"/>
  <c r="L270" i="15"/>
  <c r="K270" i="15"/>
  <c r="J270" i="15"/>
  <c r="N269" i="15"/>
  <c r="M269" i="15"/>
  <c r="L269" i="15"/>
  <c r="K269" i="15"/>
  <c r="J269" i="15"/>
  <c r="N268" i="15"/>
  <c r="M268" i="15"/>
  <c r="L268" i="15"/>
  <c r="K268" i="15"/>
  <c r="J268" i="15"/>
  <c r="N267" i="15"/>
  <c r="M267" i="15"/>
  <c r="L267" i="15"/>
  <c r="K267" i="15"/>
  <c r="J267" i="15"/>
  <c r="N266" i="15"/>
  <c r="M266" i="15"/>
  <c r="L266" i="15"/>
  <c r="K266" i="15"/>
  <c r="J266" i="15"/>
  <c r="N265" i="15"/>
  <c r="M265" i="15"/>
  <c r="L265" i="15"/>
  <c r="K265" i="15"/>
  <c r="J265" i="15"/>
  <c r="N264" i="15"/>
  <c r="M264" i="15"/>
  <c r="L264" i="15"/>
  <c r="K264" i="15"/>
  <c r="J264" i="15"/>
  <c r="N263" i="15"/>
  <c r="M263" i="15"/>
  <c r="L263" i="15"/>
  <c r="K263" i="15"/>
  <c r="J263" i="15"/>
  <c r="N262" i="15"/>
  <c r="M262" i="15"/>
  <c r="L262" i="15"/>
  <c r="K262" i="15"/>
  <c r="J262" i="15"/>
  <c r="N261" i="15"/>
  <c r="M261" i="15"/>
  <c r="L261" i="15"/>
  <c r="K261" i="15"/>
  <c r="J261" i="15"/>
  <c r="N260" i="15"/>
  <c r="M260" i="15"/>
  <c r="L260" i="15"/>
  <c r="K260" i="15"/>
  <c r="J260" i="15"/>
  <c r="N259" i="15"/>
  <c r="M259" i="15"/>
  <c r="L259" i="15"/>
  <c r="K259" i="15"/>
  <c r="J259" i="15"/>
  <c r="N258" i="15"/>
  <c r="M258" i="15"/>
  <c r="L258" i="15"/>
  <c r="K258" i="15"/>
  <c r="J258" i="15"/>
  <c r="N257" i="15"/>
  <c r="M257" i="15"/>
  <c r="L257" i="15"/>
  <c r="K257" i="15"/>
  <c r="J257" i="15"/>
  <c r="N256" i="15"/>
  <c r="M256" i="15"/>
  <c r="L256" i="15"/>
  <c r="K256" i="15"/>
  <c r="J256" i="15"/>
  <c r="N255" i="15"/>
  <c r="M255" i="15"/>
  <c r="L255" i="15"/>
  <c r="K255" i="15"/>
  <c r="J255" i="15"/>
  <c r="N254" i="15"/>
  <c r="M254" i="15"/>
  <c r="L254" i="15"/>
  <c r="K254" i="15"/>
  <c r="J254" i="15"/>
  <c r="N253" i="15"/>
  <c r="M253" i="15"/>
  <c r="L253" i="15"/>
  <c r="K253" i="15"/>
  <c r="J253" i="15"/>
  <c r="N252" i="15"/>
  <c r="M252" i="15"/>
  <c r="L252" i="15"/>
  <c r="K252" i="15"/>
  <c r="J252" i="15"/>
  <c r="N251" i="15"/>
  <c r="M251" i="15"/>
  <c r="L251" i="15"/>
  <c r="K251" i="15"/>
  <c r="J251" i="15"/>
  <c r="N250" i="15"/>
  <c r="M250" i="15"/>
  <c r="L250" i="15"/>
  <c r="K250" i="15"/>
  <c r="J250" i="15"/>
  <c r="N249" i="15"/>
  <c r="M249" i="15"/>
  <c r="L249" i="15"/>
  <c r="K249" i="15"/>
  <c r="J249" i="15"/>
  <c r="N248" i="15"/>
  <c r="M248" i="15"/>
  <c r="L248" i="15"/>
  <c r="K248" i="15"/>
  <c r="J248" i="15"/>
  <c r="N247" i="15"/>
  <c r="M247" i="15"/>
  <c r="L247" i="15"/>
  <c r="K247" i="15"/>
  <c r="J247" i="15"/>
  <c r="N246" i="15"/>
  <c r="R204" i="7" s="1"/>
  <c r="M246" i="15"/>
  <c r="L246" i="15"/>
  <c r="K246" i="15"/>
  <c r="J246" i="15"/>
  <c r="N245" i="15"/>
  <c r="M245" i="15"/>
  <c r="L245" i="15"/>
  <c r="K245" i="15"/>
  <c r="J245" i="15"/>
  <c r="N244" i="15"/>
  <c r="M244" i="15"/>
  <c r="L244" i="15"/>
  <c r="K244" i="15"/>
  <c r="J244" i="15"/>
  <c r="N243" i="15"/>
  <c r="M243" i="15"/>
  <c r="L243" i="15"/>
  <c r="K243" i="15"/>
  <c r="J243" i="15"/>
  <c r="N242" i="15"/>
  <c r="M242" i="15"/>
  <c r="L242" i="15"/>
  <c r="K242" i="15"/>
  <c r="J242" i="15"/>
  <c r="N241" i="15"/>
  <c r="M241" i="15"/>
  <c r="L241" i="15"/>
  <c r="K241" i="15"/>
  <c r="J241" i="15"/>
  <c r="N240" i="15"/>
  <c r="M240" i="15"/>
  <c r="L240" i="15"/>
  <c r="K240" i="15"/>
  <c r="J240" i="15"/>
  <c r="N239" i="15"/>
  <c r="M239" i="15"/>
  <c r="L239" i="15"/>
  <c r="K239" i="15"/>
  <c r="J239" i="15"/>
  <c r="N238" i="15"/>
  <c r="M238" i="15"/>
  <c r="L238" i="15"/>
  <c r="K238" i="15"/>
  <c r="J238" i="15"/>
  <c r="N237" i="15"/>
  <c r="M237" i="15"/>
  <c r="L237" i="15"/>
  <c r="K237" i="15"/>
  <c r="J237" i="15"/>
  <c r="N236" i="15"/>
  <c r="M236" i="15"/>
  <c r="L236" i="15"/>
  <c r="K236" i="15"/>
  <c r="J236" i="15"/>
  <c r="N235" i="15"/>
  <c r="M235" i="15"/>
  <c r="L235" i="15"/>
  <c r="K235" i="15"/>
  <c r="J235" i="15"/>
  <c r="N234" i="15"/>
  <c r="M234" i="15"/>
  <c r="L234" i="15"/>
  <c r="K234" i="15"/>
  <c r="J234" i="15"/>
  <c r="N233" i="15"/>
  <c r="M233" i="15"/>
  <c r="L233" i="15"/>
  <c r="K233" i="15"/>
  <c r="J233" i="15"/>
  <c r="N232" i="15"/>
  <c r="M232" i="15"/>
  <c r="L232" i="15"/>
  <c r="K232" i="15"/>
  <c r="J232" i="15"/>
  <c r="N231" i="15"/>
  <c r="M231" i="15"/>
  <c r="L231" i="15"/>
  <c r="K231" i="15"/>
  <c r="J231" i="15"/>
  <c r="N230" i="15"/>
  <c r="R175" i="7" s="1"/>
  <c r="M230" i="15"/>
  <c r="L230" i="15"/>
  <c r="K230" i="15"/>
  <c r="J230" i="15"/>
  <c r="N229" i="15"/>
  <c r="M229" i="15"/>
  <c r="L229" i="15"/>
  <c r="K229" i="15"/>
  <c r="J229" i="15"/>
  <c r="N228" i="15"/>
  <c r="M228" i="15"/>
  <c r="L228" i="15"/>
  <c r="K228" i="15"/>
  <c r="J228" i="15"/>
  <c r="N227" i="15"/>
  <c r="M227" i="15"/>
  <c r="L227" i="15"/>
  <c r="K227" i="15"/>
  <c r="J227" i="15"/>
  <c r="N226" i="15"/>
  <c r="M226" i="15"/>
  <c r="L226" i="15"/>
  <c r="K226" i="15"/>
  <c r="J226" i="15"/>
  <c r="N225" i="15"/>
  <c r="M225" i="15"/>
  <c r="L225" i="15"/>
  <c r="K225" i="15"/>
  <c r="J225" i="15"/>
  <c r="N224" i="15"/>
  <c r="M224" i="15"/>
  <c r="L224" i="15"/>
  <c r="K224" i="15"/>
  <c r="J224" i="15"/>
  <c r="N223" i="15"/>
  <c r="M223" i="15"/>
  <c r="L223" i="15"/>
  <c r="K223" i="15"/>
  <c r="J223" i="15"/>
  <c r="N222" i="15"/>
  <c r="M222" i="15"/>
  <c r="L222" i="15"/>
  <c r="K222" i="15"/>
  <c r="J222" i="15"/>
  <c r="N221" i="15"/>
  <c r="M221" i="15"/>
  <c r="L221" i="15"/>
  <c r="K221" i="15"/>
  <c r="J221" i="15"/>
  <c r="N220" i="15"/>
  <c r="M220" i="15"/>
  <c r="L220" i="15"/>
  <c r="K220" i="15"/>
  <c r="J220" i="15"/>
  <c r="N219" i="15"/>
  <c r="M219" i="15"/>
  <c r="L219" i="15"/>
  <c r="K219" i="15"/>
  <c r="J219" i="15"/>
  <c r="N218" i="15"/>
  <c r="M218" i="15"/>
  <c r="L218" i="15"/>
  <c r="K218" i="15"/>
  <c r="J218" i="15"/>
  <c r="N217" i="15"/>
  <c r="M217" i="15"/>
  <c r="L217" i="15"/>
  <c r="K217" i="15"/>
  <c r="J217" i="15"/>
  <c r="N216" i="15"/>
  <c r="M216" i="15"/>
  <c r="L216" i="15"/>
  <c r="K216" i="15"/>
  <c r="J216" i="15"/>
  <c r="N215" i="15"/>
  <c r="M215" i="15"/>
  <c r="L215" i="15"/>
  <c r="K215" i="15"/>
  <c r="J215" i="15"/>
  <c r="N214" i="15"/>
  <c r="R24" i="7" s="1"/>
  <c r="M214" i="15"/>
  <c r="L214" i="15"/>
  <c r="K214" i="15"/>
  <c r="J214" i="15"/>
  <c r="N213" i="15"/>
  <c r="M213" i="15"/>
  <c r="L213" i="15"/>
  <c r="K213" i="15"/>
  <c r="J213" i="15"/>
  <c r="N212" i="15"/>
  <c r="M212" i="15"/>
  <c r="L212" i="15"/>
  <c r="K212" i="15"/>
  <c r="J212" i="15"/>
  <c r="N211" i="15"/>
  <c r="M211" i="15"/>
  <c r="L211" i="15"/>
  <c r="K211" i="15"/>
  <c r="J211" i="15"/>
  <c r="N210" i="15"/>
  <c r="M210" i="15"/>
  <c r="L210" i="15"/>
  <c r="K210" i="15"/>
  <c r="J210" i="15"/>
  <c r="N209" i="15"/>
  <c r="M209" i="15"/>
  <c r="L209" i="15"/>
  <c r="K209" i="15"/>
  <c r="J209" i="15"/>
  <c r="N208" i="15"/>
  <c r="M208" i="15"/>
  <c r="L208" i="15"/>
  <c r="K208" i="15"/>
  <c r="J208" i="15"/>
  <c r="N207" i="15"/>
  <c r="M207" i="15"/>
  <c r="L207" i="15"/>
  <c r="K207" i="15"/>
  <c r="J207" i="15"/>
  <c r="N206" i="15"/>
  <c r="M206" i="15"/>
  <c r="L206" i="15"/>
  <c r="K206" i="15"/>
  <c r="J206" i="15"/>
  <c r="N205" i="15"/>
  <c r="M205" i="15"/>
  <c r="L205" i="15"/>
  <c r="K205" i="15"/>
  <c r="J205" i="15"/>
  <c r="N204" i="15"/>
  <c r="M204" i="15"/>
  <c r="L204" i="15"/>
  <c r="K204" i="15"/>
  <c r="J204" i="15"/>
  <c r="N203" i="15"/>
  <c r="M203" i="15"/>
  <c r="L203" i="15"/>
  <c r="K203" i="15"/>
  <c r="J203" i="15"/>
  <c r="N202" i="15"/>
  <c r="M202" i="15"/>
  <c r="L202" i="15"/>
  <c r="K202" i="15"/>
  <c r="J202" i="15"/>
  <c r="N201" i="15"/>
  <c r="M201" i="15"/>
  <c r="L201" i="15"/>
  <c r="K201" i="15"/>
  <c r="J201" i="15"/>
  <c r="N200" i="15"/>
  <c r="M200" i="15"/>
  <c r="L200" i="15"/>
  <c r="K200" i="15"/>
  <c r="J200" i="15"/>
  <c r="N199" i="15"/>
  <c r="M199" i="15"/>
  <c r="L199" i="15"/>
  <c r="K199" i="15"/>
  <c r="J199" i="15"/>
  <c r="N198" i="15"/>
  <c r="M198" i="15"/>
  <c r="L198" i="15"/>
  <c r="K198" i="15"/>
  <c r="J198" i="15"/>
  <c r="N197" i="15"/>
  <c r="M197" i="15"/>
  <c r="L197" i="15"/>
  <c r="K197" i="15"/>
  <c r="J197" i="15"/>
  <c r="N196" i="15"/>
  <c r="M196" i="15"/>
  <c r="L196" i="15"/>
  <c r="K196" i="15"/>
  <c r="J196" i="15"/>
  <c r="N195" i="15"/>
  <c r="M195" i="15"/>
  <c r="L195" i="15"/>
  <c r="K195" i="15"/>
  <c r="J195" i="15"/>
  <c r="N194" i="15"/>
  <c r="M194" i="15"/>
  <c r="L194" i="15"/>
  <c r="K194" i="15"/>
  <c r="J194" i="15"/>
  <c r="N193" i="15"/>
  <c r="M193" i="15"/>
  <c r="L193" i="15"/>
  <c r="K193" i="15"/>
  <c r="J193" i="15"/>
  <c r="N192" i="15"/>
  <c r="M192" i="15"/>
  <c r="L192" i="15"/>
  <c r="K192" i="15"/>
  <c r="J192" i="15"/>
  <c r="N191" i="15"/>
  <c r="M191" i="15"/>
  <c r="L191" i="15"/>
  <c r="K191" i="15"/>
  <c r="J191" i="15"/>
  <c r="N190" i="15"/>
  <c r="M190" i="15"/>
  <c r="L190" i="15"/>
  <c r="K190" i="15"/>
  <c r="J190" i="15"/>
  <c r="N189" i="15"/>
  <c r="M189" i="15"/>
  <c r="L189" i="15"/>
  <c r="K189" i="15"/>
  <c r="J189" i="15"/>
  <c r="N188" i="15"/>
  <c r="M188" i="15"/>
  <c r="L188" i="15"/>
  <c r="K188" i="15"/>
  <c r="J188" i="15"/>
  <c r="N187" i="15"/>
  <c r="M187" i="15"/>
  <c r="L187" i="15"/>
  <c r="K187" i="15"/>
  <c r="J187" i="15"/>
  <c r="N186" i="15"/>
  <c r="M186" i="15"/>
  <c r="L186" i="15"/>
  <c r="K186" i="15"/>
  <c r="J186" i="15"/>
  <c r="N185" i="15"/>
  <c r="M185" i="15"/>
  <c r="L185" i="15"/>
  <c r="K185" i="15"/>
  <c r="J185" i="15"/>
  <c r="N184" i="15"/>
  <c r="M184" i="15"/>
  <c r="L184" i="15"/>
  <c r="K184" i="15"/>
  <c r="J184" i="15"/>
  <c r="N183" i="15"/>
  <c r="M183" i="15"/>
  <c r="L183" i="15"/>
  <c r="K183" i="15"/>
  <c r="J183" i="15"/>
  <c r="N182" i="15"/>
  <c r="M182" i="15"/>
  <c r="L182" i="15"/>
  <c r="K182" i="15"/>
  <c r="J182" i="15"/>
  <c r="N181" i="15"/>
  <c r="M181" i="15"/>
  <c r="L181" i="15"/>
  <c r="K181" i="15"/>
  <c r="J181" i="15"/>
  <c r="N180" i="15"/>
  <c r="M180" i="15"/>
  <c r="L180" i="15"/>
  <c r="K180" i="15"/>
  <c r="J180" i="15"/>
  <c r="N179" i="15"/>
  <c r="M179" i="15"/>
  <c r="L179" i="15"/>
  <c r="K179" i="15"/>
  <c r="J179" i="15"/>
  <c r="N178" i="15"/>
  <c r="M178" i="15"/>
  <c r="L178" i="15"/>
  <c r="K178" i="15"/>
  <c r="J178" i="15"/>
  <c r="N177" i="15"/>
  <c r="M177" i="15"/>
  <c r="L177" i="15"/>
  <c r="K177" i="15"/>
  <c r="J177" i="15"/>
  <c r="N176" i="15"/>
  <c r="M176" i="15"/>
  <c r="L176" i="15"/>
  <c r="K176" i="15"/>
  <c r="J176" i="15"/>
  <c r="N175" i="15"/>
  <c r="M175" i="15"/>
  <c r="L175" i="15"/>
  <c r="K175" i="15"/>
  <c r="J175" i="15"/>
  <c r="N174" i="15"/>
  <c r="M174" i="15"/>
  <c r="L174" i="15"/>
  <c r="K174" i="15"/>
  <c r="J174" i="15"/>
  <c r="N173" i="15"/>
  <c r="M173" i="15"/>
  <c r="L173" i="15"/>
  <c r="K173" i="15"/>
  <c r="J173" i="15"/>
  <c r="N172" i="15"/>
  <c r="M172" i="15"/>
  <c r="L172" i="15"/>
  <c r="K172" i="15"/>
  <c r="J172" i="15"/>
  <c r="N171" i="15"/>
  <c r="M171" i="15"/>
  <c r="L171" i="15"/>
  <c r="K171" i="15"/>
  <c r="J171" i="15"/>
  <c r="N170" i="15"/>
  <c r="M170" i="15"/>
  <c r="L170" i="15"/>
  <c r="K170" i="15"/>
  <c r="J170" i="15"/>
  <c r="N169" i="15"/>
  <c r="M169" i="15"/>
  <c r="L169" i="15"/>
  <c r="K169" i="15"/>
  <c r="J169" i="15"/>
  <c r="N168" i="15"/>
  <c r="M168" i="15"/>
  <c r="L168" i="15"/>
  <c r="K168" i="15"/>
  <c r="J168" i="15"/>
  <c r="N167" i="15"/>
  <c r="M167" i="15"/>
  <c r="L167" i="15"/>
  <c r="K167" i="15"/>
  <c r="J167" i="15"/>
  <c r="N166" i="15"/>
  <c r="M166" i="15"/>
  <c r="L166" i="15"/>
  <c r="K166" i="15"/>
  <c r="J166" i="15"/>
  <c r="N165" i="15"/>
  <c r="M165" i="15"/>
  <c r="L165" i="15"/>
  <c r="K165" i="15"/>
  <c r="J165" i="15"/>
  <c r="N164" i="15"/>
  <c r="M164" i="15"/>
  <c r="L164" i="15"/>
  <c r="K164" i="15"/>
  <c r="J164" i="15"/>
  <c r="N163" i="15"/>
  <c r="M163" i="15"/>
  <c r="L163" i="15"/>
  <c r="K163" i="15"/>
  <c r="J163" i="15"/>
  <c r="N162" i="15"/>
  <c r="M162" i="15"/>
  <c r="L162" i="15"/>
  <c r="K162" i="15"/>
  <c r="J162" i="15"/>
  <c r="N161" i="15"/>
  <c r="M161" i="15"/>
  <c r="L161" i="15"/>
  <c r="K161" i="15"/>
  <c r="J161" i="15"/>
  <c r="N160" i="15"/>
  <c r="M160" i="15"/>
  <c r="L160" i="15"/>
  <c r="K160" i="15"/>
  <c r="J160" i="15"/>
  <c r="N159" i="15"/>
  <c r="M159" i="15"/>
  <c r="L159" i="15"/>
  <c r="K159" i="15"/>
  <c r="J159" i="15"/>
  <c r="N158" i="15"/>
  <c r="M158" i="15"/>
  <c r="L158" i="15"/>
  <c r="K158" i="15"/>
  <c r="J158" i="15"/>
  <c r="N157" i="15"/>
  <c r="M157" i="15"/>
  <c r="L157" i="15"/>
  <c r="K157" i="15"/>
  <c r="J157" i="15"/>
  <c r="N156" i="15"/>
  <c r="M156" i="15"/>
  <c r="L156" i="15"/>
  <c r="K156" i="15"/>
  <c r="J156" i="15"/>
  <c r="N155" i="15"/>
  <c r="M155" i="15"/>
  <c r="L155" i="15"/>
  <c r="K155" i="15"/>
  <c r="J155" i="15"/>
  <c r="N154" i="15"/>
  <c r="M154" i="15"/>
  <c r="L154" i="15"/>
  <c r="K154" i="15"/>
  <c r="J154" i="15"/>
  <c r="N153" i="15"/>
  <c r="M153" i="15"/>
  <c r="L153" i="15"/>
  <c r="K153" i="15"/>
  <c r="J153" i="15"/>
  <c r="N152" i="15"/>
  <c r="M152" i="15"/>
  <c r="L152" i="15"/>
  <c r="K152" i="15"/>
  <c r="J152" i="15"/>
  <c r="N151" i="15"/>
  <c r="M151" i="15"/>
  <c r="L151" i="15"/>
  <c r="K151" i="15"/>
  <c r="J151" i="15"/>
  <c r="N150" i="15"/>
  <c r="M150" i="15"/>
  <c r="L150" i="15"/>
  <c r="K150" i="15"/>
  <c r="J150" i="15"/>
  <c r="N149" i="15"/>
  <c r="M149" i="15"/>
  <c r="L149" i="15"/>
  <c r="K149" i="15"/>
  <c r="J149" i="15"/>
  <c r="N148" i="15"/>
  <c r="M148" i="15"/>
  <c r="L148" i="15"/>
  <c r="K148" i="15"/>
  <c r="J148" i="15"/>
  <c r="N147" i="15"/>
  <c r="M147" i="15"/>
  <c r="L147" i="15"/>
  <c r="K147" i="15"/>
  <c r="J147" i="15"/>
  <c r="N146" i="15"/>
  <c r="M146" i="15"/>
  <c r="L146" i="15"/>
  <c r="K146" i="15"/>
  <c r="J146" i="15"/>
  <c r="N145" i="15"/>
  <c r="M145" i="15"/>
  <c r="L145" i="15"/>
  <c r="K145" i="15"/>
  <c r="J145" i="15"/>
  <c r="N144" i="15"/>
  <c r="M144" i="15"/>
  <c r="L144" i="15"/>
  <c r="K144" i="15"/>
  <c r="J144" i="15"/>
  <c r="N143" i="15"/>
  <c r="M143" i="15"/>
  <c r="L143" i="15"/>
  <c r="K143" i="15"/>
  <c r="J143" i="15"/>
  <c r="N142" i="15"/>
  <c r="M142" i="15"/>
  <c r="L142" i="15"/>
  <c r="K142" i="15"/>
  <c r="J142" i="15"/>
  <c r="N141" i="15"/>
  <c r="M141" i="15"/>
  <c r="L141" i="15"/>
  <c r="K141" i="15"/>
  <c r="J141" i="15"/>
  <c r="N140" i="15"/>
  <c r="M140" i="15"/>
  <c r="L140" i="15"/>
  <c r="K140" i="15"/>
  <c r="J140" i="15"/>
  <c r="N139" i="15"/>
  <c r="M139" i="15"/>
  <c r="L139" i="15"/>
  <c r="K139" i="15"/>
  <c r="J139" i="15"/>
  <c r="N138" i="15"/>
  <c r="M138" i="15"/>
  <c r="L138" i="15"/>
  <c r="K138" i="15"/>
  <c r="J138" i="15"/>
  <c r="N137" i="15"/>
  <c r="M137" i="15"/>
  <c r="L137" i="15"/>
  <c r="K137" i="15"/>
  <c r="J137" i="15"/>
  <c r="N136" i="15"/>
  <c r="M136" i="15"/>
  <c r="L136" i="15"/>
  <c r="K136" i="15"/>
  <c r="J136" i="15"/>
  <c r="N135" i="15"/>
  <c r="M135" i="15"/>
  <c r="L135" i="15"/>
  <c r="K135" i="15"/>
  <c r="J135" i="15"/>
  <c r="N134" i="15"/>
  <c r="M134" i="15"/>
  <c r="L134" i="15"/>
  <c r="K134" i="15"/>
  <c r="J134" i="15"/>
  <c r="N133" i="15"/>
  <c r="R56" i="7" s="1"/>
  <c r="Q56" i="7" s="1"/>
  <c r="M133" i="15"/>
  <c r="L133" i="15"/>
  <c r="K133" i="15"/>
  <c r="J133" i="15"/>
  <c r="N132" i="15"/>
  <c r="M132" i="15"/>
  <c r="L132" i="15"/>
  <c r="K132" i="15"/>
  <c r="J132" i="15"/>
  <c r="N131" i="15"/>
  <c r="M131" i="15"/>
  <c r="L131" i="15"/>
  <c r="K131" i="15"/>
  <c r="J131" i="15"/>
  <c r="N130" i="15"/>
  <c r="R549" i="7" s="1"/>
  <c r="M130" i="15"/>
  <c r="L130" i="15"/>
  <c r="K130" i="15"/>
  <c r="J130" i="15"/>
  <c r="N129" i="15"/>
  <c r="M129" i="15"/>
  <c r="L129" i="15"/>
  <c r="K129" i="15"/>
  <c r="J129" i="15"/>
  <c r="N128" i="15"/>
  <c r="M128" i="15"/>
  <c r="L128" i="15"/>
  <c r="K128" i="15"/>
  <c r="J128" i="15"/>
  <c r="N127" i="15"/>
  <c r="M127" i="15"/>
  <c r="L127" i="15"/>
  <c r="K127" i="15"/>
  <c r="J127" i="15"/>
  <c r="N126" i="15"/>
  <c r="M126" i="15"/>
  <c r="L126" i="15"/>
  <c r="K126" i="15"/>
  <c r="J126" i="15"/>
  <c r="N125" i="15"/>
  <c r="M125" i="15"/>
  <c r="L125" i="15"/>
  <c r="K125" i="15"/>
  <c r="J125" i="15"/>
  <c r="N124" i="15"/>
  <c r="M124" i="15"/>
  <c r="L124" i="15"/>
  <c r="K124" i="15"/>
  <c r="J124" i="15"/>
  <c r="N123" i="15"/>
  <c r="M123" i="15"/>
  <c r="L123" i="15"/>
  <c r="K123" i="15"/>
  <c r="J123" i="15"/>
  <c r="N122" i="15"/>
  <c r="M122" i="15"/>
  <c r="L122" i="15"/>
  <c r="K122" i="15"/>
  <c r="J122" i="15"/>
  <c r="N121" i="15"/>
  <c r="M121" i="15"/>
  <c r="L121" i="15"/>
  <c r="K121" i="15"/>
  <c r="J121" i="15"/>
  <c r="N120" i="15"/>
  <c r="M120" i="15"/>
  <c r="L120" i="15"/>
  <c r="K120" i="15"/>
  <c r="J120" i="15"/>
  <c r="N119" i="15"/>
  <c r="M119" i="15"/>
  <c r="L119" i="15"/>
  <c r="K119" i="15"/>
  <c r="J119" i="15"/>
  <c r="N118" i="15"/>
  <c r="M118" i="15"/>
  <c r="L118" i="15"/>
  <c r="K118" i="15"/>
  <c r="J118" i="15"/>
  <c r="N117" i="15"/>
  <c r="M117" i="15"/>
  <c r="L117" i="15"/>
  <c r="K117" i="15"/>
  <c r="J117" i="15"/>
  <c r="N116" i="15"/>
  <c r="M116" i="15"/>
  <c r="L116" i="15"/>
  <c r="K116" i="15"/>
  <c r="J116" i="15"/>
  <c r="N115" i="15"/>
  <c r="M115" i="15"/>
  <c r="L115" i="15"/>
  <c r="K115" i="15"/>
  <c r="J115" i="15"/>
  <c r="N114" i="15"/>
  <c r="M114" i="15"/>
  <c r="L114" i="15"/>
  <c r="K114" i="15"/>
  <c r="J114" i="15"/>
  <c r="N113" i="15"/>
  <c r="M113" i="15"/>
  <c r="L113" i="15"/>
  <c r="K113" i="15"/>
  <c r="J113" i="15"/>
  <c r="N112" i="15"/>
  <c r="M112" i="15"/>
  <c r="L112" i="15"/>
  <c r="K112" i="15"/>
  <c r="J112" i="15"/>
  <c r="N111" i="15"/>
  <c r="M111" i="15"/>
  <c r="L111" i="15"/>
  <c r="K111" i="15"/>
  <c r="J111" i="15"/>
  <c r="N110" i="15"/>
  <c r="M110" i="15"/>
  <c r="L110" i="15"/>
  <c r="K110" i="15"/>
  <c r="J110" i="15"/>
  <c r="N109" i="15"/>
  <c r="M109" i="15"/>
  <c r="L109" i="15"/>
  <c r="K109" i="15"/>
  <c r="J109" i="15"/>
  <c r="N108" i="15"/>
  <c r="M108" i="15"/>
  <c r="L108" i="15"/>
  <c r="K108" i="15"/>
  <c r="J108" i="15"/>
  <c r="N107" i="15"/>
  <c r="M107" i="15"/>
  <c r="L107" i="15"/>
  <c r="K107" i="15"/>
  <c r="J107" i="15"/>
  <c r="N106" i="15"/>
  <c r="M106" i="15"/>
  <c r="L106" i="15"/>
  <c r="K106" i="15"/>
  <c r="J106" i="15"/>
  <c r="N105" i="15"/>
  <c r="M105" i="15"/>
  <c r="L105" i="15"/>
  <c r="K105" i="15"/>
  <c r="J105" i="15"/>
  <c r="N104" i="15"/>
  <c r="M104" i="15"/>
  <c r="L104" i="15"/>
  <c r="K104" i="15"/>
  <c r="J104" i="15"/>
  <c r="N103" i="15"/>
  <c r="M103" i="15"/>
  <c r="L103" i="15"/>
  <c r="K103" i="15"/>
  <c r="J103" i="15"/>
  <c r="N102" i="15"/>
  <c r="M102" i="15"/>
  <c r="L102" i="15"/>
  <c r="K102" i="15"/>
  <c r="J102" i="15"/>
  <c r="N101" i="15"/>
  <c r="M101" i="15"/>
  <c r="L101" i="15"/>
  <c r="K101" i="15"/>
  <c r="J101" i="15"/>
  <c r="N100" i="15"/>
  <c r="M100" i="15"/>
  <c r="L100" i="15"/>
  <c r="K100" i="15"/>
  <c r="J100" i="15"/>
  <c r="N99" i="15"/>
  <c r="M99" i="15"/>
  <c r="L99" i="15"/>
  <c r="K99" i="15"/>
  <c r="J99" i="15"/>
  <c r="N98" i="15"/>
  <c r="M98" i="15"/>
  <c r="L98" i="15"/>
  <c r="K98" i="15"/>
  <c r="J98" i="15"/>
  <c r="N97" i="15"/>
  <c r="M97" i="15"/>
  <c r="L97" i="15"/>
  <c r="K97" i="15"/>
  <c r="J97" i="15"/>
  <c r="N96" i="15"/>
  <c r="M96" i="15"/>
  <c r="L96" i="15"/>
  <c r="K96" i="15"/>
  <c r="J96" i="15"/>
  <c r="N95" i="15"/>
  <c r="M95" i="15"/>
  <c r="L95" i="15"/>
  <c r="K95" i="15"/>
  <c r="J95" i="15"/>
  <c r="N94" i="15"/>
  <c r="M94" i="15"/>
  <c r="L94" i="15"/>
  <c r="K94" i="15"/>
  <c r="J94" i="15"/>
  <c r="N93" i="15"/>
  <c r="M93" i="15"/>
  <c r="L93" i="15"/>
  <c r="K93" i="15"/>
  <c r="J93" i="15"/>
  <c r="N92" i="15"/>
  <c r="M92" i="15"/>
  <c r="L92" i="15"/>
  <c r="K92" i="15"/>
  <c r="J92" i="15"/>
  <c r="N91" i="15"/>
  <c r="M91" i="15"/>
  <c r="L91" i="15"/>
  <c r="K91" i="15"/>
  <c r="J91" i="15"/>
  <c r="N90" i="15"/>
  <c r="M90" i="15"/>
  <c r="L90" i="15"/>
  <c r="K90" i="15"/>
  <c r="J90" i="15"/>
  <c r="N89" i="15"/>
  <c r="M89" i="15"/>
  <c r="L89" i="15"/>
  <c r="K89" i="15"/>
  <c r="J89" i="15"/>
  <c r="N88" i="15"/>
  <c r="M88" i="15"/>
  <c r="L88" i="15"/>
  <c r="K88" i="15"/>
  <c r="J88" i="15"/>
  <c r="N87" i="15"/>
  <c r="M87" i="15"/>
  <c r="L87" i="15"/>
  <c r="K87" i="15"/>
  <c r="J87" i="15"/>
  <c r="N86" i="15"/>
  <c r="M86" i="15"/>
  <c r="L86" i="15"/>
  <c r="K86" i="15"/>
  <c r="J86" i="15"/>
  <c r="N85" i="15"/>
  <c r="M85" i="15"/>
  <c r="L85" i="15"/>
  <c r="K85" i="15"/>
  <c r="J85" i="15"/>
  <c r="N84" i="15"/>
  <c r="M84" i="15"/>
  <c r="L84" i="15"/>
  <c r="K84" i="15"/>
  <c r="J84" i="15"/>
  <c r="N83" i="15"/>
  <c r="M83" i="15"/>
  <c r="L83" i="15"/>
  <c r="K83" i="15"/>
  <c r="J83" i="15"/>
  <c r="N82" i="15"/>
  <c r="R25" i="7" s="1"/>
  <c r="M82" i="15"/>
  <c r="L82" i="15"/>
  <c r="K82" i="15"/>
  <c r="J82" i="15"/>
  <c r="N81" i="15"/>
  <c r="M81" i="15"/>
  <c r="L81" i="15"/>
  <c r="K81" i="15"/>
  <c r="J81" i="15"/>
  <c r="N80" i="15"/>
  <c r="M80" i="15"/>
  <c r="L80" i="15"/>
  <c r="K80" i="15"/>
  <c r="J80" i="15"/>
  <c r="N79" i="15"/>
  <c r="M79" i="15"/>
  <c r="L79" i="15"/>
  <c r="K79" i="15"/>
  <c r="J79" i="15"/>
  <c r="N78" i="15"/>
  <c r="M78" i="15"/>
  <c r="L78" i="15"/>
  <c r="K78" i="15"/>
  <c r="J78" i="15"/>
  <c r="N77" i="15"/>
  <c r="M77" i="15"/>
  <c r="L77" i="15"/>
  <c r="K77" i="15"/>
  <c r="J77" i="15"/>
  <c r="N76" i="15"/>
  <c r="M76" i="15"/>
  <c r="L76" i="15"/>
  <c r="K76" i="15"/>
  <c r="J76" i="15"/>
  <c r="N75" i="15"/>
  <c r="M75" i="15"/>
  <c r="L75" i="15"/>
  <c r="K75" i="15"/>
  <c r="J75" i="15"/>
  <c r="N74" i="15"/>
  <c r="M74" i="15"/>
  <c r="L74" i="15"/>
  <c r="K74" i="15"/>
  <c r="J74" i="15"/>
  <c r="N73" i="15"/>
  <c r="M73" i="15"/>
  <c r="L73" i="15"/>
  <c r="K73" i="15"/>
  <c r="J73" i="15"/>
  <c r="N72" i="15"/>
  <c r="M72" i="15"/>
  <c r="L72" i="15"/>
  <c r="K72" i="15"/>
  <c r="J72" i="15"/>
  <c r="N71" i="15"/>
  <c r="M71" i="15"/>
  <c r="L71" i="15"/>
  <c r="K71" i="15"/>
  <c r="J71" i="15"/>
  <c r="N70" i="15"/>
  <c r="M70" i="15"/>
  <c r="L70" i="15"/>
  <c r="K70" i="15"/>
  <c r="J70" i="15"/>
  <c r="N69" i="15"/>
  <c r="M69" i="15"/>
  <c r="L69" i="15"/>
  <c r="K69" i="15"/>
  <c r="J69" i="15"/>
  <c r="N68" i="15"/>
  <c r="M68" i="15"/>
  <c r="L68" i="15"/>
  <c r="K68" i="15"/>
  <c r="J68" i="15"/>
  <c r="N67" i="15"/>
  <c r="M67" i="15"/>
  <c r="L67" i="15"/>
  <c r="K67" i="15"/>
  <c r="J67" i="15"/>
  <c r="N66" i="15"/>
  <c r="M66" i="15"/>
  <c r="L66" i="15"/>
  <c r="K66" i="15"/>
  <c r="J66" i="15"/>
  <c r="N65" i="15"/>
  <c r="M65" i="15"/>
  <c r="L65" i="15"/>
  <c r="K65" i="15"/>
  <c r="J65" i="15"/>
  <c r="N64" i="15"/>
  <c r="M64" i="15"/>
  <c r="L64" i="15"/>
  <c r="K64" i="15"/>
  <c r="J64" i="15"/>
  <c r="N63" i="15"/>
  <c r="M63" i="15"/>
  <c r="L63" i="15"/>
  <c r="K63" i="15"/>
  <c r="J63" i="15"/>
  <c r="N62" i="15"/>
  <c r="M62" i="15"/>
  <c r="L62" i="15"/>
  <c r="K62" i="15"/>
  <c r="J62" i="15"/>
  <c r="N61" i="15"/>
  <c r="M61" i="15"/>
  <c r="L61" i="15"/>
  <c r="K61" i="15"/>
  <c r="J61" i="15"/>
  <c r="N60" i="15"/>
  <c r="M60" i="15"/>
  <c r="L60" i="15"/>
  <c r="K60" i="15"/>
  <c r="J60" i="15"/>
  <c r="N59" i="15"/>
  <c r="M59" i="15"/>
  <c r="L59" i="15"/>
  <c r="K59" i="15"/>
  <c r="J59" i="15"/>
  <c r="N58" i="15"/>
  <c r="M58" i="15"/>
  <c r="L58" i="15"/>
  <c r="K58" i="15"/>
  <c r="J58" i="15"/>
  <c r="N57" i="15"/>
  <c r="M57" i="15"/>
  <c r="L57" i="15"/>
  <c r="K57" i="15"/>
  <c r="J57" i="15"/>
  <c r="N56" i="15"/>
  <c r="M56" i="15"/>
  <c r="L56" i="15"/>
  <c r="K56" i="15"/>
  <c r="J56" i="15"/>
  <c r="N55" i="15"/>
  <c r="M55" i="15"/>
  <c r="L55" i="15"/>
  <c r="K55" i="15"/>
  <c r="J55" i="15"/>
  <c r="N54" i="15"/>
  <c r="M54" i="15"/>
  <c r="L54" i="15"/>
  <c r="K54" i="15"/>
  <c r="J54" i="15"/>
  <c r="N53" i="15"/>
  <c r="M53" i="15"/>
  <c r="L53" i="15"/>
  <c r="K53" i="15"/>
  <c r="J53" i="15"/>
  <c r="N52" i="15"/>
  <c r="M52" i="15"/>
  <c r="L52" i="15"/>
  <c r="K52" i="15"/>
  <c r="J52" i="15"/>
  <c r="N51" i="15"/>
  <c r="M51" i="15"/>
  <c r="L51" i="15"/>
  <c r="K51" i="15"/>
  <c r="J51" i="15"/>
  <c r="N50" i="15"/>
  <c r="R459" i="7" s="1"/>
  <c r="M50" i="15"/>
  <c r="L50" i="15"/>
  <c r="K50" i="15"/>
  <c r="J50" i="15"/>
  <c r="N49" i="15"/>
  <c r="M49" i="15"/>
  <c r="L49" i="15"/>
  <c r="K49" i="15"/>
  <c r="J49" i="15"/>
  <c r="N48" i="15"/>
  <c r="M48" i="15"/>
  <c r="L48" i="15"/>
  <c r="K48" i="15"/>
  <c r="J48" i="15"/>
  <c r="N47" i="15"/>
  <c r="M47" i="15"/>
  <c r="L47" i="15"/>
  <c r="K47" i="15"/>
  <c r="J47" i="15"/>
  <c r="N46" i="15"/>
  <c r="M46" i="15"/>
  <c r="L46" i="15"/>
  <c r="K46" i="15"/>
  <c r="J46" i="15"/>
  <c r="N45" i="15"/>
  <c r="M45" i="15"/>
  <c r="L45" i="15"/>
  <c r="K45" i="15"/>
  <c r="J45" i="15"/>
  <c r="N44" i="15"/>
  <c r="M44" i="15"/>
  <c r="L44" i="15"/>
  <c r="K44" i="15"/>
  <c r="J44" i="15"/>
  <c r="N43" i="15"/>
  <c r="M43" i="15"/>
  <c r="L43" i="15"/>
  <c r="K43" i="15"/>
  <c r="J43" i="15"/>
  <c r="N42" i="15"/>
  <c r="M42" i="15"/>
  <c r="L42" i="15"/>
  <c r="K42" i="15"/>
  <c r="J42" i="15"/>
  <c r="N41" i="15"/>
  <c r="M41" i="15"/>
  <c r="L41" i="15"/>
  <c r="K41" i="15"/>
  <c r="J41" i="15"/>
  <c r="N40" i="15"/>
  <c r="M40" i="15"/>
  <c r="L40" i="15"/>
  <c r="K40" i="15"/>
  <c r="J40" i="15"/>
  <c r="N39" i="15"/>
  <c r="M39" i="15"/>
  <c r="L39" i="15"/>
  <c r="K39" i="15"/>
  <c r="J39" i="15"/>
  <c r="N38" i="15"/>
  <c r="M38" i="15"/>
  <c r="L38" i="15"/>
  <c r="K38" i="15"/>
  <c r="J38" i="15"/>
  <c r="N37" i="15"/>
  <c r="R61" i="7" s="1"/>
  <c r="Q61" i="7" s="1"/>
  <c r="M37" i="15"/>
  <c r="L37" i="15"/>
  <c r="K37" i="15"/>
  <c r="J37" i="15"/>
  <c r="N36" i="15"/>
  <c r="M36" i="15"/>
  <c r="L36" i="15"/>
  <c r="K36" i="15"/>
  <c r="J36" i="15"/>
  <c r="N35" i="15"/>
  <c r="M35" i="15"/>
  <c r="L35" i="15"/>
  <c r="K35" i="15"/>
  <c r="J35" i="15"/>
  <c r="N34" i="15"/>
  <c r="M34" i="15"/>
  <c r="L34" i="15"/>
  <c r="K34" i="15"/>
  <c r="J34" i="15"/>
  <c r="N33" i="15"/>
  <c r="M33" i="15"/>
  <c r="L33" i="15"/>
  <c r="K33" i="15"/>
  <c r="J33" i="15"/>
  <c r="N32" i="15"/>
  <c r="M32" i="15"/>
  <c r="L32" i="15"/>
  <c r="K32" i="15"/>
  <c r="J32" i="15"/>
  <c r="N31" i="15"/>
  <c r="M31" i="15"/>
  <c r="L31" i="15"/>
  <c r="K31" i="15"/>
  <c r="J31" i="15"/>
  <c r="N30" i="15"/>
  <c r="M30" i="15"/>
  <c r="L30" i="15"/>
  <c r="K30" i="15"/>
  <c r="J30" i="15"/>
  <c r="N29" i="15"/>
  <c r="M29" i="15"/>
  <c r="L29" i="15"/>
  <c r="K29" i="15"/>
  <c r="J29" i="15"/>
  <c r="N28" i="15"/>
  <c r="M28" i="15"/>
  <c r="L28" i="15"/>
  <c r="K28" i="15"/>
  <c r="J28" i="15"/>
  <c r="N27" i="15"/>
  <c r="M27" i="15"/>
  <c r="L27" i="15"/>
  <c r="K27" i="15"/>
  <c r="J27" i="15"/>
  <c r="N26" i="15"/>
  <c r="M26" i="15"/>
  <c r="L26" i="15"/>
  <c r="K26" i="15"/>
  <c r="J26" i="15"/>
  <c r="N25" i="15"/>
  <c r="M25" i="15"/>
  <c r="L25" i="15"/>
  <c r="K25" i="15"/>
  <c r="J25" i="15"/>
  <c r="N24" i="15"/>
  <c r="M24" i="15"/>
  <c r="L24" i="15"/>
  <c r="K24" i="15"/>
  <c r="J24" i="15"/>
  <c r="N23" i="15"/>
  <c r="M23" i="15"/>
  <c r="L23" i="15"/>
  <c r="K23" i="15"/>
  <c r="J23" i="15"/>
  <c r="N22" i="15"/>
  <c r="M22" i="15"/>
  <c r="L22" i="15"/>
  <c r="K22" i="15"/>
  <c r="J22" i="15"/>
  <c r="N21" i="15"/>
  <c r="R57" i="7" s="1"/>
  <c r="Q57" i="7" s="1"/>
  <c r="M21" i="15"/>
  <c r="L21" i="15"/>
  <c r="K21" i="15"/>
  <c r="J21" i="15"/>
  <c r="N20" i="15"/>
  <c r="M20" i="15"/>
  <c r="L20" i="15"/>
  <c r="K20" i="15"/>
  <c r="J20" i="15"/>
  <c r="N19" i="15"/>
  <c r="M19" i="15"/>
  <c r="L19" i="15"/>
  <c r="K19" i="15"/>
  <c r="J19" i="15"/>
  <c r="N18" i="15"/>
  <c r="M18" i="15"/>
  <c r="L18" i="15"/>
  <c r="K18" i="15"/>
  <c r="J18" i="15"/>
  <c r="N17" i="15"/>
  <c r="M17" i="15"/>
  <c r="L17" i="15"/>
  <c r="K17" i="15"/>
  <c r="J17" i="15"/>
  <c r="N16" i="15"/>
  <c r="M16" i="15"/>
  <c r="L16" i="15"/>
  <c r="K16" i="15"/>
  <c r="J16" i="15"/>
  <c r="N15" i="15"/>
  <c r="M15" i="15"/>
  <c r="L15" i="15"/>
  <c r="K15" i="15"/>
  <c r="J15" i="15"/>
  <c r="N14" i="15"/>
  <c r="M14" i="15"/>
  <c r="L14" i="15"/>
  <c r="K14" i="15"/>
  <c r="J14" i="15"/>
  <c r="N13" i="15"/>
  <c r="M13" i="15"/>
  <c r="L13" i="15"/>
  <c r="K13" i="15"/>
  <c r="J13" i="15"/>
  <c r="N12" i="15"/>
  <c r="M12" i="15"/>
  <c r="L12" i="15"/>
  <c r="K12" i="15"/>
  <c r="J12" i="15"/>
  <c r="N11" i="15"/>
  <c r="M11" i="15"/>
  <c r="L11" i="15"/>
  <c r="K11" i="15"/>
  <c r="J11" i="15"/>
  <c r="N10" i="15"/>
  <c r="M10" i="15"/>
  <c r="L10" i="15"/>
  <c r="K10" i="15"/>
  <c r="J10" i="15"/>
  <c r="N9" i="15"/>
  <c r="M9" i="15"/>
  <c r="L9" i="15"/>
  <c r="K9" i="15"/>
  <c r="J9" i="15"/>
  <c r="N8" i="15"/>
  <c r="M8" i="15"/>
  <c r="L8" i="15"/>
  <c r="K8" i="15"/>
  <c r="J8" i="15"/>
  <c r="N7" i="15"/>
  <c r="M7" i="15"/>
  <c r="L7" i="15"/>
  <c r="K7" i="15"/>
  <c r="J7" i="15"/>
  <c r="N6" i="15"/>
  <c r="M6" i="15"/>
  <c r="L6" i="15"/>
  <c r="K6" i="15"/>
  <c r="J6" i="15"/>
  <c r="N5" i="15"/>
  <c r="M5" i="15"/>
  <c r="L5" i="15"/>
  <c r="K5" i="15"/>
  <c r="J5" i="15"/>
  <c r="N4" i="15"/>
  <c r="M4" i="15"/>
  <c r="L4" i="15"/>
  <c r="K4" i="15"/>
  <c r="J4" i="15"/>
  <c r="N3" i="15"/>
  <c r="M3" i="15"/>
  <c r="L3" i="15"/>
  <c r="K3" i="15"/>
  <c r="J3" i="15"/>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3" i="14"/>
  <c r="I1089" i="13"/>
  <c r="H1089" i="13"/>
  <c r="G1089" i="13"/>
  <c r="F1089" i="13"/>
  <c r="E1089" i="13"/>
  <c r="I1088" i="13"/>
  <c r="H1088" i="13"/>
  <c r="G1088" i="13"/>
  <c r="F1088" i="13"/>
  <c r="E1088" i="13"/>
  <c r="I1087" i="13"/>
  <c r="H1087" i="13"/>
  <c r="G1087" i="13"/>
  <c r="F1087" i="13"/>
  <c r="E1087" i="13"/>
  <c r="I1086" i="13"/>
  <c r="H1086" i="13"/>
  <c r="G1086" i="13"/>
  <c r="F1086" i="13"/>
  <c r="E1086" i="13"/>
  <c r="I1085" i="13"/>
  <c r="H1085" i="13"/>
  <c r="G1085" i="13"/>
  <c r="F1085" i="13"/>
  <c r="E1085" i="13"/>
  <c r="I1084" i="13"/>
  <c r="H1084" i="13"/>
  <c r="G1084" i="13"/>
  <c r="F1084" i="13"/>
  <c r="E1084" i="13"/>
  <c r="I1083" i="13"/>
  <c r="H1083" i="13"/>
  <c r="G1083" i="13"/>
  <c r="F1083" i="13"/>
  <c r="E1083" i="13"/>
  <c r="I1082" i="13"/>
  <c r="H1082" i="13"/>
  <c r="G1082" i="13"/>
  <c r="F1082" i="13"/>
  <c r="E1082" i="13"/>
  <c r="I1081" i="13"/>
  <c r="H1081" i="13"/>
  <c r="G1081" i="13"/>
  <c r="F1081" i="13"/>
  <c r="E1081" i="13"/>
  <c r="I1080" i="13"/>
  <c r="H1080" i="13"/>
  <c r="G1080" i="13"/>
  <c r="F1080" i="13"/>
  <c r="E1080" i="13"/>
  <c r="I1079" i="13"/>
  <c r="H1079" i="13"/>
  <c r="G1079" i="13"/>
  <c r="F1079" i="13"/>
  <c r="E1079" i="13"/>
  <c r="I1078" i="13"/>
  <c r="H1078" i="13"/>
  <c r="G1078" i="13"/>
  <c r="F1078" i="13"/>
  <c r="E1078" i="13"/>
  <c r="I1077" i="13"/>
  <c r="H1077" i="13"/>
  <c r="G1077" i="13"/>
  <c r="F1077" i="13"/>
  <c r="E1077" i="13"/>
  <c r="I1076" i="13"/>
  <c r="H1076" i="13"/>
  <c r="G1076" i="13"/>
  <c r="F1076" i="13"/>
  <c r="E1076" i="13"/>
  <c r="I1075" i="13"/>
  <c r="H1075" i="13"/>
  <c r="G1075" i="13"/>
  <c r="F1075" i="13"/>
  <c r="E1075" i="13"/>
  <c r="I1074" i="13"/>
  <c r="H1074" i="13"/>
  <c r="G1074" i="13"/>
  <c r="F1074" i="13"/>
  <c r="E1074" i="13"/>
  <c r="I1073" i="13"/>
  <c r="H1073" i="13"/>
  <c r="D95" i="17" s="1"/>
  <c r="J95" i="17" s="1"/>
  <c r="G1073" i="13"/>
  <c r="F1073" i="13"/>
  <c r="E1073" i="13"/>
  <c r="I1072" i="13"/>
  <c r="H1072" i="13"/>
  <c r="D94" i="17" s="1"/>
  <c r="J94" i="17" s="1"/>
  <c r="G1072" i="13"/>
  <c r="F1072" i="13"/>
  <c r="E1072" i="13"/>
  <c r="I1071" i="13"/>
  <c r="H1071" i="13"/>
  <c r="D109" i="17" s="1"/>
  <c r="G1071" i="13"/>
  <c r="F1071" i="13"/>
  <c r="E1071" i="13"/>
  <c r="I1070" i="13"/>
  <c r="H1070" i="13"/>
  <c r="G1070" i="13"/>
  <c r="F1070" i="13"/>
  <c r="E1070" i="13"/>
  <c r="I1069" i="13"/>
  <c r="H1069" i="13"/>
  <c r="G1069" i="13"/>
  <c r="F1069" i="13"/>
  <c r="E1069" i="13"/>
  <c r="I1068" i="13"/>
  <c r="H1068" i="13"/>
  <c r="G1068" i="13"/>
  <c r="F1068" i="13"/>
  <c r="E1068" i="13"/>
  <c r="I1067" i="13"/>
  <c r="H1067" i="13"/>
  <c r="G1067" i="13"/>
  <c r="F1067" i="13"/>
  <c r="E1067" i="13"/>
  <c r="I1066" i="13"/>
  <c r="H1066" i="13"/>
  <c r="G1066" i="13"/>
  <c r="F1066" i="13"/>
  <c r="E1066" i="13"/>
  <c r="I1065" i="13"/>
  <c r="H1065" i="13"/>
  <c r="G1065" i="13"/>
  <c r="F1065" i="13"/>
  <c r="E1065" i="13"/>
  <c r="I1064" i="13"/>
  <c r="H1064" i="13"/>
  <c r="G1064" i="13"/>
  <c r="F1064" i="13"/>
  <c r="E1064" i="13"/>
  <c r="I1063" i="13"/>
  <c r="H1063" i="13"/>
  <c r="G1063" i="13"/>
  <c r="F1063" i="13"/>
  <c r="E1063" i="13"/>
  <c r="I1062" i="13"/>
  <c r="H1062" i="13"/>
  <c r="G1062" i="13"/>
  <c r="F1062" i="13"/>
  <c r="E1062" i="13"/>
  <c r="I1061" i="13"/>
  <c r="H1061" i="13"/>
  <c r="G1061" i="13"/>
  <c r="F1061" i="13"/>
  <c r="E1061" i="13"/>
  <c r="I1060" i="13"/>
  <c r="H1060" i="13"/>
  <c r="G1060" i="13"/>
  <c r="F1060" i="13"/>
  <c r="E1060" i="13"/>
  <c r="I1059" i="13"/>
  <c r="H1059" i="13"/>
  <c r="G1059" i="13"/>
  <c r="F1059" i="13"/>
  <c r="E1059" i="13"/>
  <c r="I1058" i="13"/>
  <c r="H1058" i="13"/>
  <c r="G1058" i="13"/>
  <c r="F1058" i="13"/>
  <c r="E1058" i="13"/>
  <c r="I1057" i="13"/>
  <c r="H1057" i="13"/>
  <c r="G1057" i="13"/>
  <c r="F1057" i="13"/>
  <c r="E1057" i="13"/>
  <c r="I1056" i="13"/>
  <c r="H1056" i="13"/>
  <c r="G1056" i="13"/>
  <c r="F1056" i="13"/>
  <c r="E1056" i="13"/>
  <c r="I1055" i="13"/>
  <c r="H1055" i="13"/>
  <c r="G1055" i="13"/>
  <c r="F1055" i="13"/>
  <c r="E1055" i="13"/>
  <c r="I1054" i="13"/>
  <c r="H1054" i="13"/>
  <c r="G1054" i="13"/>
  <c r="F1054" i="13"/>
  <c r="E1054" i="13"/>
  <c r="I1053" i="13"/>
  <c r="H1053" i="13"/>
  <c r="G1053" i="13"/>
  <c r="F1053" i="13"/>
  <c r="E1053" i="13"/>
  <c r="I1052" i="13"/>
  <c r="H1052" i="13"/>
  <c r="G1052" i="13"/>
  <c r="F1052" i="13"/>
  <c r="E1052" i="13"/>
  <c r="I1051" i="13"/>
  <c r="H1051" i="13"/>
  <c r="G1051" i="13"/>
  <c r="F1051" i="13"/>
  <c r="E1051" i="13"/>
  <c r="I1050" i="13"/>
  <c r="H1050" i="13"/>
  <c r="G1050" i="13"/>
  <c r="F1050" i="13"/>
  <c r="E1050" i="13"/>
  <c r="I1049" i="13"/>
  <c r="H1049" i="13"/>
  <c r="G1049" i="13"/>
  <c r="F1049" i="13"/>
  <c r="E1049" i="13"/>
  <c r="I1048" i="13"/>
  <c r="H1048" i="13"/>
  <c r="AK698" i="7" s="1"/>
  <c r="G1048" i="13"/>
  <c r="F1048" i="13"/>
  <c r="E1048" i="13"/>
  <c r="I1047" i="13"/>
  <c r="H1047" i="13"/>
  <c r="G1047" i="13"/>
  <c r="F1047" i="13"/>
  <c r="E1047" i="13"/>
  <c r="I1046" i="13"/>
  <c r="H1046" i="13"/>
  <c r="G1046" i="13"/>
  <c r="F1046" i="13"/>
  <c r="E1046" i="13"/>
  <c r="I1045" i="13"/>
  <c r="H1045" i="13"/>
  <c r="G1045" i="13"/>
  <c r="F1045" i="13"/>
  <c r="E1045" i="13"/>
  <c r="I1044" i="13"/>
  <c r="H1044" i="13"/>
  <c r="G1044" i="13"/>
  <c r="F1044" i="13"/>
  <c r="E1044" i="13"/>
  <c r="I1043" i="13"/>
  <c r="H1043" i="13"/>
  <c r="G1043" i="13"/>
  <c r="F1043" i="13"/>
  <c r="E1043" i="13"/>
  <c r="I1042" i="13"/>
  <c r="H1042" i="13"/>
  <c r="G1042" i="13"/>
  <c r="F1042" i="13"/>
  <c r="E1042" i="13"/>
  <c r="I1041" i="13"/>
  <c r="H1041" i="13"/>
  <c r="G1041" i="13"/>
  <c r="F1041" i="13"/>
  <c r="E1041" i="13"/>
  <c r="I1040" i="13"/>
  <c r="H1040" i="13"/>
  <c r="G1040" i="13"/>
  <c r="F1040" i="13"/>
  <c r="E1040" i="13"/>
  <c r="I1039" i="13"/>
  <c r="H1039" i="13"/>
  <c r="G1039" i="13"/>
  <c r="F1039" i="13"/>
  <c r="E1039" i="13"/>
  <c r="I1038" i="13"/>
  <c r="H1038" i="13"/>
  <c r="G1038" i="13"/>
  <c r="F1038" i="13"/>
  <c r="E1038" i="13"/>
  <c r="L1037" i="13"/>
  <c r="K1037" i="13"/>
  <c r="I1037" i="13"/>
  <c r="H1037" i="13"/>
  <c r="G1037" i="13"/>
  <c r="F1037" i="13"/>
  <c r="E1037" i="13"/>
  <c r="I1036" i="13"/>
  <c r="H1036" i="13"/>
  <c r="G1036" i="13"/>
  <c r="F1036" i="13"/>
  <c r="E1036" i="13"/>
  <c r="I1035" i="13"/>
  <c r="H1035" i="13"/>
  <c r="G1035" i="13"/>
  <c r="F1035" i="13"/>
  <c r="E1035" i="13"/>
  <c r="I1034" i="13"/>
  <c r="H1034" i="13"/>
  <c r="G1034" i="13"/>
  <c r="F1034" i="13"/>
  <c r="E1034" i="13"/>
  <c r="I1033" i="13"/>
  <c r="H1033" i="13"/>
  <c r="D93" i="17" s="1"/>
  <c r="J93" i="17" s="1"/>
  <c r="G1033" i="13"/>
  <c r="F1033" i="13"/>
  <c r="E1033" i="13"/>
  <c r="I1032" i="13"/>
  <c r="H1032" i="13"/>
  <c r="D92" i="17" s="1"/>
  <c r="G1032" i="13"/>
  <c r="F1032" i="13"/>
  <c r="E1032" i="13"/>
  <c r="I1031" i="13"/>
  <c r="H1031" i="13"/>
  <c r="G1031" i="13"/>
  <c r="F1031" i="13"/>
  <c r="E1031" i="13"/>
  <c r="L1030" i="13"/>
  <c r="K1030" i="13"/>
  <c r="I1030" i="13"/>
  <c r="H1030" i="13"/>
  <c r="G1030" i="13"/>
  <c r="F1030" i="13"/>
  <c r="E1030" i="13"/>
  <c r="I1029" i="13"/>
  <c r="H1029" i="13"/>
  <c r="G1029" i="13"/>
  <c r="F1029" i="13"/>
  <c r="E1029" i="13"/>
  <c r="I1028" i="13"/>
  <c r="H1028" i="13"/>
  <c r="G1028" i="13"/>
  <c r="F1028" i="13"/>
  <c r="E1028" i="13"/>
  <c r="I1027" i="13"/>
  <c r="H1027" i="13"/>
  <c r="G1027" i="13"/>
  <c r="F1027" i="13"/>
  <c r="E1027" i="13"/>
  <c r="I1026" i="13"/>
  <c r="H1026" i="13"/>
  <c r="G1026" i="13"/>
  <c r="F1026" i="13"/>
  <c r="E1026" i="13"/>
  <c r="I1025" i="13"/>
  <c r="H1025" i="13"/>
  <c r="G1025" i="13"/>
  <c r="F1025" i="13"/>
  <c r="E1025" i="13"/>
  <c r="I1024" i="13"/>
  <c r="H1024" i="13"/>
  <c r="G1024" i="13"/>
  <c r="F1024" i="13"/>
  <c r="E1024" i="13"/>
  <c r="I1023" i="13"/>
  <c r="H1023" i="13"/>
  <c r="G1023" i="13"/>
  <c r="F1023" i="13"/>
  <c r="E1023" i="13"/>
  <c r="I1022" i="13"/>
  <c r="H1022" i="13"/>
  <c r="G1022" i="13"/>
  <c r="F1022" i="13"/>
  <c r="E1022" i="13"/>
  <c r="I1021" i="13"/>
  <c r="H1021" i="13"/>
  <c r="G1021" i="13"/>
  <c r="F1021" i="13"/>
  <c r="E1021" i="13"/>
  <c r="I1020" i="13"/>
  <c r="H1020" i="13"/>
  <c r="G1020" i="13"/>
  <c r="F1020" i="13"/>
  <c r="E1020" i="13"/>
  <c r="I1019" i="13"/>
  <c r="H1019" i="13"/>
  <c r="D108" i="17" s="1"/>
  <c r="G1019" i="13"/>
  <c r="F1019" i="13"/>
  <c r="E1019" i="13"/>
  <c r="I1018" i="13"/>
  <c r="H1018" i="13"/>
  <c r="G1018" i="13"/>
  <c r="F1018" i="13"/>
  <c r="E1018" i="13"/>
  <c r="I1017" i="13"/>
  <c r="H1017" i="13"/>
  <c r="G1017" i="13"/>
  <c r="F1017" i="13"/>
  <c r="E1017" i="13"/>
  <c r="I1016" i="13"/>
  <c r="H1016" i="13"/>
  <c r="G1016" i="13"/>
  <c r="F1016" i="13"/>
  <c r="E1016" i="13"/>
  <c r="I1015" i="13"/>
  <c r="H1015" i="13"/>
  <c r="G1015" i="13"/>
  <c r="F1015" i="13"/>
  <c r="E1015" i="13"/>
  <c r="I1014" i="13"/>
  <c r="H1014" i="13"/>
  <c r="D91" i="17" s="1"/>
  <c r="J91" i="17" s="1"/>
  <c r="G1014" i="13"/>
  <c r="F1014" i="13"/>
  <c r="E1014" i="13"/>
  <c r="I1013" i="13"/>
  <c r="H1013" i="13"/>
  <c r="D90" i="17" s="1"/>
  <c r="J90" i="17" s="1"/>
  <c r="G1013" i="13"/>
  <c r="F1013" i="13"/>
  <c r="E1013" i="13"/>
  <c r="I1012" i="13"/>
  <c r="H1012" i="13"/>
  <c r="G1012" i="13"/>
  <c r="F1012" i="13"/>
  <c r="E1012" i="13"/>
  <c r="I1011" i="13"/>
  <c r="H1011" i="13"/>
  <c r="G1011" i="13"/>
  <c r="F1011" i="13"/>
  <c r="E1011" i="13"/>
  <c r="I1010" i="13"/>
  <c r="H1010" i="13"/>
  <c r="G1010" i="13"/>
  <c r="F1010" i="13"/>
  <c r="E1010" i="13"/>
  <c r="I1009" i="13"/>
  <c r="H1009" i="13"/>
  <c r="G1009" i="13"/>
  <c r="F1009" i="13"/>
  <c r="E1009" i="13"/>
  <c r="I1008" i="13"/>
  <c r="H1008" i="13"/>
  <c r="G1008" i="13"/>
  <c r="F1008" i="13"/>
  <c r="E1008" i="13"/>
  <c r="I1007" i="13"/>
  <c r="H1007" i="13"/>
  <c r="G1007" i="13"/>
  <c r="F1007" i="13"/>
  <c r="E1007" i="13"/>
  <c r="I1006" i="13"/>
  <c r="H1006" i="13"/>
  <c r="G1006" i="13"/>
  <c r="F1006" i="13"/>
  <c r="E1006" i="13"/>
  <c r="I1005" i="13"/>
  <c r="H1005" i="13"/>
  <c r="G1005" i="13"/>
  <c r="F1005" i="13"/>
  <c r="E1005" i="13"/>
  <c r="I1004" i="13"/>
  <c r="H1004" i="13"/>
  <c r="G1004" i="13"/>
  <c r="F1004" i="13"/>
  <c r="E1004" i="13"/>
  <c r="I1003" i="13"/>
  <c r="H1003" i="13"/>
  <c r="G1003" i="13"/>
  <c r="F1003" i="13"/>
  <c r="E1003" i="13"/>
  <c r="I1002" i="13"/>
  <c r="H1002" i="13"/>
  <c r="G1002" i="13"/>
  <c r="F1002" i="13"/>
  <c r="E1002" i="13"/>
  <c r="I1001" i="13"/>
  <c r="H1001" i="13"/>
  <c r="G1001" i="13"/>
  <c r="F1001" i="13"/>
  <c r="E1001" i="13"/>
  <c r="I1000" i="13"/>
  <c r="H1000" i="13"/>
  <c r="G1000" i="13"/>
  <c r="F1000" i="13"/>
  <c r="E1000" i="13"/>
  <c r="I999" i="13"/>
  <c r="H999" i="13"/>
  <c r="G999" i="13"/>
  <c r="F999" i="13"/>
  <c r="E999" i="13"/>
  <c r="I998" i="13"/>
  <c r="H998" i="13"/>
  <c r="G998" i="13"/>
  <c r="F998" i="13"/>
  <c r="E998" i="13"/>
  <c r="I997" i="13"/>
  <c r="H997" i="13"/>
  <c r="G997" i="13"/>
  <c r="F997" i="13"/>
  <c r="E997" i="13"/>
  <c r="I996" i="13"/>
  <c r="H996" i="13"/>
  <c r="G996" i="13"/>
  <c r="F996" i="13"/>
  <c r="E996" i="13"/>
  <c r="I995" i="13"/>
  <c r="H995" i="13"/>
  <c r="G995" i="13"/>
  <c r="F995" i="13"/>
  <c r="E995" i="13"/>
  <c r="I994" i="13"/>
  <c r="H994" i="13"/>
  <c r="G994" i="13"/>
  <c r="F994" i="13"/>
  <c r="E994" i="13"/>
  <c r="I993" i="13"/>
  <c r="H993" i="13"/>
  <c r="G993" i="13"/>
  <c r="F993" i="13"/>
  <c r="E993" i="13"/>
  <c r="I992" i="13"/>
  <c r="H992" i="13"/>
  <c r="G992" i="13"/>
  <c r="F992" i="13"/>
  <c r="E992" i="13"/>
  <c r="I991" i="13"/>
  <c r="H991" i="13"/>
  <c r="G991" i="13"/>
  <c r="F991" i="13"/>
  <c r="E991" i="13"/>
  <c r="I990" i="13"/>
  <c r="H990" i="13"/>
  <c r="G990" i="13"/>
  <c r="F990" i="13"/>
  <c r="E990" i="13"/>
  <c r="I989" i="13"/>
  <c r="H989" i="13"/>
  <c r="G989" i="13"/>
  <c r="F989" i="13"/>
  <c r="E989" i="13"/>
  <c r="I988" i="13"/>
  <c r="H988" i="13"/>
  <c r="G988" i="13"/>
  <c r="F988" i="13"/>
  <c r="E988" i="13"/>
  <c r="I987" i="13"/>
  <c r="H987" i="13"/>
  <c r="G987" i="13"/>
  <c r="F987" i="13"/>
  <c r="E987" i="13"/>
  <c r="I986" i="13"/>
  <c r="H986" i="13"/>
  <c r="G986" i="13"/>
  <c r="F986" i="13"/>
  <c r="E986" i="13"/>
  <c r="I985" i="13"/>
  <c r="H985" i="13"/>
  <c r="G985" i="13"/>
  <c r="F985" i="13"/>
  <c r="E985" i="13"/>
  <c r="I984" i="13"/>
  <c r="H984" i="13"/>
  <c r="G984" i="13"/>
  <c r="F984" i="13"/>
  <c r="E984" i="13"/>
  <c r="I983" i="13"/>
  <c r="H983" i="13"/>
  <c r="G983" i="13"/>
  <c r="F983" i="13"/>
  <c r="E983" i="13"/>
  <c r="L982" i="13"/>
  <c r="K982" i="13"/>
  <c r="I982" i="13"/>
  <c r="H982" i="13"/>
  <c r="G982" i="13"/>
  <c r="F982" i="13"/>
  <c r="E982" i="13"/>
  <c r="I981" i="13"/>
  <c r="H981" i="13"/>
  <c r="G981" i="13"/>
  <c r="F981" i="13"/>
  <c r="E981" i="13"/>
  <c r="I980" i="13"/>
  <c r="H980" i="13"/>
  <c r="D24" i="17" s="1"/>
  <c r="G980" i="13"/>
  <c r="F980" i="13"/>
  <c r="E980" i="13"/>
  <c r="I979" i="13"/>
  <c r="H979" i="13"/>
  <c r="G979" i="13"/>
  <c r="F979" i="13"/>
  <c r="E979" i="13"/>
  <c r="I978" i="13"/>
  <c r="H978" i="13"/>
  <c r="G978" i="13"/>
  <c r="F978" i="13"/>
  <c r="E978" i="13"/>
  <c r="I977" i="13"/>
  <c r="H977" i="13"/>
  <c r="G977" i="13"/>
  <c r="F977" i="13"/>
  <c r="E977" i="13"/>
  <c r="I976" i="13"/>
  <c r="H976" i="13"/>
  <c r="G976" i="13"/>
  <c r="F976" i="13"/>
  <c r="E976" i="13"/>
  <c r="I975" i="13"/>
  <c r="H975" i="13"/>
  <c r="G975" i="13"/>
  <c r="F975" i="13"/>
  <c r="E975" i="13"/>
  <c r="I974" i="13"/>
  <c r="H974" i="13"/>
  <c r="D107" i="17" s="1"/>
  <c r="J107" i="17" s="1"/>
  <c r="G974" i="13"/>
  <c r="F974" i="13"/>
  <c r="E974" i="13"/>
  <c r="I973" i="13"/>
  <c r="H973" i="13"/>
  <c r="G973" i="13"/>
  <c r="F973" i="13"/>
  <c r="E973" i="13"/>
  <c r="I972" i="13"/>
  <c r="H972" i="13"/>
  <c r="G972" i="13"/>
  <c r="F972" i="13"/>
  <c r="E972" i="13"/>
  <c r="I971" i="13"/>
  <c r="H971" i="13"/>
  <c r="G971" i="13"/>
  <c r="F971" i="13"/>
  <c r="E971" i="13"/>
  <c r="I970" i="13"/>
  <c r="H970" i="13"/>
  <c r="G970" i="13"/>
  <c r="F970" i="13"/>
  <c r="E970" i="13"/>
  <c r="I969" i="13"/>
  <c r="H969" i="13"/>
  <c r="G969" i="13"/>
  <c r="F969" i="13"/>
  <c r="E969" i="13"/>
  <c r="I968" i="13"/>
  <c r="H968" i="13"/>
  <c r="G968" i="13"/>
  <c r="F968" i="13"/>
  <c r="E968" i="13"/>
  <c r="I967" i="13"/>
  <c r="H967" i="13"/>
  <c r="G967" i="13"/>
  <c r="F967" i="13"/>
  <c r="E967" i="13"/>
  <c r="I966" i="13"/>
  <c r="H966" i="13"/>
  <c r="G966" i="13"/>
  <c r="F966" i="13"/>
  <c r="E966" i="13"/>
  <c r="I965" i="13"/>
  <c r="H965" i="13"/>
  <c r="G965" i="13"/>
  <c r="F965" i="13"/>
  <c r="E965" i="13"/>
  <c r="I964" i="13"/>
  <c r="H964" i="13"/>
  <c r="G964" i="13"/>
  <c r="F964" i="13"/>
  <c r="E964" i="13"/>
  <c r="I963" i="13"/>
  <c r="H963" i="13"/>
  <c r="AU617" i="7" s="1"/>
  <c r="G963" i="13"/>
  <c r="F963" i="13"/>
  <c r="E963" i="13"/>
  <c r="I962" i="13"/>
  <c r="H962" i="13"/>
  <c r="G962" i="13"/>
  <c r="F962" i="13"/>
  <c r="E962" i="13"/>
  <c r="I961" i="13"/>
  <c r="H961" i="13"/>
  <c r="G961" i="13"/>
  <c r="F961" i="13"/>
  <c r="E961" i="13"/>
  <c r="I960" i="13"/>
  <c r="H960" i="13"/>
  <c r="G960" i="13"/>
  <c r="F960" i="13"/>
  <c r="E960" i="13"/>
  <c r="I959" i="13"/>
  <c r="H959" i="13"/>
  <c r="G959" i="13"/>
  <c r="F959" i="13"/>
  <c r="E959" i="13"/>
  <c r="I958" i="13"/>
  <c r="H958" i="13"/>
  <c r="G958" i="13"/>
  <c r="F958" i="13"/>
  <c r="E958" i="13"/>
  <c r="I957" i="13"/>
  <c r="H957" i="13"/>
  <c r="G957" i="13"/>
  <c r="F957" i="13"/>
  <c r="E957" i="13"/>
  <c r="I956" i="13"/>
  <c r="H956" i="13"/>
  <c r="G956" i="13"/>
  <c r="F956" i="13"/>
  <c r="E956" i="13"/>
  <c r="I955" i="13"/>
  <c r="H955" i="13"/>
  <c r="G955" i="13"/>
  <c r="F955" i="13"/>
  <c r="E955" i="13"/>
  <c r="I954" i="13"/>
  <c r="H954" i="13"/>
  <c r="G954" i="13"/>
  <c r="F954" i="13"/>
  <c r="E954" i="13"/>
  <c r="I953" i="13"/>
  <c r="H953" i="13"/>
  <c r="G953" i="13"/>
  <c r="F953" i="13"/>
  <c r="E953" i="13"/>
  <c r="I952" i="13"/>
  <c r="H952" i="13"/>
  <c r="G952" i="13"/>
  <c r="F952" i="13"/>
  <c r="E952" i="13"/>
  <c r="I951" i="13"/>
  <c r="H951" i="13"/>
  <c r="G951" i="13"/>
  <c r="F951" i="13"/>
  <c r="E951" i="13"/>
  <c r="I950" i="13"/>
  <c r="H950" i="13"/>
  <c r="G950" i="13"/>
  <c r="F950" i="13"/>
  <c r="E950" i="13"/>
  <c r="I949" i="13"/>
  <c r="H949" i="13"/>
  <c r="G949" i="13"/>
  <c r="F949" i="13"/>
  <c r="E949" i="13"/>
  <c r="I948" i="13"/>
  <c r="H948" i="13"/>
  <c r="G948" i="13"/>
  <c r="F948" i="13"/>
  <c r="E948" i="13"/>
  <c r="I947" i="13"/>
  <c r="H947" i="13"/>
  <c r="G947" i="13"/>
  <c r="F947" i="13"/>
  <c r="E947" i="13"/>
  <c r="I946" i="13"/>
  <c r="H946" i="13"/>
  <c r="G946" i="13"/>
  <c r="F946" i="13"/>
  <c r="E946" i="13"/>
  <c r="I945" i="13"/>
  <c r="H945" i="13"/>
  <c r="G945" i="13"/>
  <c r="F945" i="13"/>
  <c r="E945" i="13"/>
  <c r="I944" i="13"/>
  <c r="H944" i="13"/>
  <c r="G944" i="13"/>
  <c r="F944" i="13"/>
  <c r="E944" i="13"/>
  <c r="I943" i="13"/>
  <c r="H943" i="13"/>
  <c r="G943" i="13"/>
  <c r="F943" i="13"/>
  <c r="E943" i="13"/>
  <c r="L942" i="13"/>
  <c r="K942" i="13"/>
  <c r="I942" i="13"/>
  <c r="H942" i="13"/>
  <c r="G942" i="13"/>
  <c r="F942" i="13"/>
  <c r="E942" i="13"/>
  <c r="L941" i="13"/>
  <c r="K941" i="13"/>
  <c r="I941" i="13"/>
  <c r="H941" i="13"/>
  <c r="G941" i="13"/>
  <c r="F941" i="13"/>
  <c r="E941" i="13"/>
  <c r="I940" i="13"/>
  <c r="H940" i="13"/>
  <c r="D89" i="17" s="1"/>
  <c r="J89" i="17" s="1"/>
  <c r="G940" i="13"/>
  <c r="F940" i="13"/>
  <c r="E940" i="13"/>
  <c r="I939" i="13"/>
  <c r="H939" i="13"/>
  <c r="D88" i="17" s="1"/>
  <c r="G939" i="13"/>
  <c r="F939" i="13"/>
  <c r="E939" i="13"/>
  <c r="I938" i="13"/>
  <c r="H938" i="13"/>
  <c r="G938" i="13"/>
  <c r="F938" i="13"/>
  <c r="E938" i="13"/>
  <c r="I937" i="13"/>
  <c r="H937" i="13"/>
  <c r="G937" i="13"/>
  <c r="F937" i="13"/>
  <c r="E937" i="13"/>
  <c r="I936" i="13"/>
  <c r="H936" i="13"/>
  <c r="G936" i="13"/>
  <c r="F936" i="13"/>
  <c r="E936" i="13"/>
  <c r="I935" i="13"/>
  <c r="H935" i="13"/>
  <c r="G935" i="13"/>
  <c r="F935" i="13"/>
  <c r="E935" i="13"/>
  <c r="I934" i="13"/>
  <c r="H934" i="13"/>
  <c r="G934" i="13"/>
  <c r="F934" i="13"/>
  <c r="E934" i="13"/>
  <c r="I933" i="13"/>
  <c r="H933" i="13"/>
  <c r="G933" i="13"/>
  <c r="F933" i="13"/>
  <c r="E933" i="13"/>
  <c r="I932" i="13"/>
  <c r="H932" i="13"/>
  <c r="G932" i="13"/>
  <c r="F932" i="13"/>
  <c r="E932" i="13"/>
  <c r="I931" i="13"/>
  <c r="H931" i="13"/>
  <c r="G931" i="13"/>
  <c r="F931" i="13"/>
  <c r="E931" i="13"/>
  <c r="I930" i="13"/>
  <c r="H930" i="13"/>
  <c r="G930" i="13"/>
  <c r="F930" i="13"/>
  <c r="E930" i="13"/>
  <c r="I929" i="13"/>
  <c r="H929" i="13"/>
  <c r="G929" i="13"/>
  <c r="F929" i="13"/>
  <c r="E929" i="13"/>
  <c r="I928" i="13"/>
  <c r="H928" i="13"/>
  <c r="G928" i="13"/>
  <c r="F928" i="13"/>
  <c r="E928" i="13"/>
  <c r="I927" i="13"/>
  <c r="H927" i="13"/>
  <c r="G927" i="13"/>
  <c r="F927" i="13"/>
  <c r="E927" i="13"/>
  <c r="I926" i="13"/>
  <c r="H926" i="13"/>
  <c r="G926" i="13"/>
  <c r="F926" i="13"/>
  <c r="E926" i="13"/>
  <c r="I925" i="13"/>
  <c r="H925" i="13"/>
  <c r="G925" i="13"/>
  <c r="F925" i="13"/>
  <c r="E925" i="13"/>
  <c r="I924" i="13"/>
  <c r="H924" i="13"/>
  <c r="G924" i="13"/>
  <c r="F924" i="13"/>
  <c r="E924" i="13"/>
  <c r="I923" i="13"/>
  <c r="H923" i="13"/>
  <c r="G923" i="13"/>
  <c r="F923" i="13"/>
  <c r="E923" i="13"/>
  <c r="I922" i="13"/>
  <c r="H922" i="13"/>
  <c r="G922" i="13"/>
  <c r="F922" i="13"/>
  <c r="E922" i="13"/>
  <c r="I921" i="13"/>
  <c r="H921" i="13"/>
  <c r="G921" i="13"/>
  <c r="F921" i="13"/>
  <c r="E921" i="13"/>
  <c r="I920" i="13"/>
  <c r="H920" i="13"/>
  <c r="G920" i="13"/>
  <c r="F920" i="13"/>
  <c r="E920" i="13"/>
  <c r="I919" i="13"/>
  <c r="H919" i="13"/>
  <c r="G919" i="13"/>
  <c r="F919" i="13"/>
  <c r="E919" i="13"/>
  <c r="L918" i="13"/>
  <c r="K918" i="13"/>
  <c r="I918" i="13"/>
  <c r="H918" i="13"/>
  <c r="G918" i="13"/>
  <c r="F918" i="13"/>
  <c r="E918" i="13"/>
  <c r="L917" i="13"/>
  <c r="K917" i="13"/>
  <c r="I917" i="13"/>
  <c r="H917" i="13"/>
  <c r="G917" i="13"/>
  <c r="F917" i="13"/>
  <c r="E917" i="13"/>
  <c r="I916" i="13"/>
  <c r="H916" i="13"/>
  <c r="G916" i="13"/>
  <c r="F916" i="13"/>
  <c r="E916" i="13"/>
  <c r="I915" i="13"/>
  <c r="H915" i="13"/>
  <c r="G915" i="13"/>
  <c r="F915" i="13"/>
  <c r="E915" i="13"/>
  <c r="I914" i="13"/>
  <c r="H914" i="13"/>
  <c r="D87" i="17" s="1"/>
  <c r="J87" i="17" s="1"/>
  <c r="G914" i="13"/>
  <c r="F914" i="13"/>
  <c r="E914" i="13"/>
  <c r="I913" i="13"/>
  <c r="H913" i="13"/>
  <c r="D86" i="17" s="1"/>
  <c r="J86" i="17" s="1"/>
  <c r="G913" i="13"/>
  <c r="F913" i="13"/>
  <c r="E913" i="13"/>
  <c r="L912" i="13"/>
  <c r="K912" i="13"/>
  <c r="I912" i="13"/>
  <c r="H912" i="13"/>
  <c r="G912" i="13"/>
  <c r="F912" i="13"/>
  <c r="E912" i="13"/>
  <c r="I911" i="13"/>
  <c r="H911" i="13"/>
  <c r="D106" i="17" s="1"/>
  <c r="G911" i="13"/>
  <c r="F911" i="13"/>
  <c r="E911" i="13"/>
  <c r="I910" i="13"/>
  <c r="H910" i="13"/>
  <c r="G910" i="13"/>
  <c r="F910" i="13"/>
  <c r="E910" i="13"/>
  <c r="I909" i="13"/>
  <c r="H909" i="13"/>
  <c r="G909" i="13"/>
  <c r="F909" i="13"/>
  <c r="E909" i="13"/>
  <c r="I908" i="13"/>
  <c r="H908" i="13"/>
  <c r="G908" i="13"/>
  <c r="F908" i="13"/>
  <c r="E908" i="13"/>
  <c r="I907" i="13"/>
  <c r="H907" i="13"/>
  <c r="AP565" i="7" s="1"/>
  <c r="G907" i="13"/>
  <c r="F907" i="13"/>
  <c r="E907" i="13"/>
  <c r="I906" i="13"/>
  <c r="H906" i="13"/>
  <c r="G906" i="13"/>
  <c r="F906" i="13"/>
  <c r="E906" i="13"/>
  <c r="I905" i="13"/>
  <c r="H905" i="13"/>
  <c r="G905" i="13"/>
  <c r="F905" i="13"/>
  <c r="E905" i="13"/>
  <c r="I904" i="13"/>
  <c r="H904" i="13"/>
  <c r="AP593" i="7" s="1"/>
  <c r="G904" i="13"/>
  <c r="F904" i="13"/>
  <c r="E904" i="13"/>
  <c r="I903" i="13"/>
  <c r="H903" i="13"/>
  <c r="G903" i="13"/>
  <c r="F903" i="13"/>
  <c r="E903" i="13"/>
  <c r="I902" i="13"/>
  <c r="H902" i="13"/>
  <c r="G902" i="13"/>
  <c r="F902" i="13"/>
  <c r="E902" i="13"/>
  <c r="I901" i="13"/>
  <c r="H901" i="13"/>
  <c r="G901" i="13"/>
  <c r="F901" i="13"/>
  <c r="E901" i="13"/>
  <c r="I900" i="13"/>
  <c r="H900" i="13"/>
  <c r="G900" i="13"/>
  <c r="F900" i="13"/>
  <c r="E900" i="13"/>
  <c r="I899" i="13"/>
  <c r="H899" i="13"/>
  <c r="G899" i="13"/>
  <c r="F899" i="13"/>
  <c r="E899" i="13"/>
  <c r="I898" i="13"/>
  <c r="H898" i="13"/>
  <c r="G898" i="13"/>
  <c r="F898" i="13"/>
  <c r="E898" i="13"/>
  <c r="I897" i="13"/>
  <c r="H897" i="13"/>
  <c r="G897" i="13"/>
  <c r="F897" i="13"/>
  <c r="E897" i="13"/>
  <c r="I896" i="13"/>
  <c r="H896" i="13"/>
  <c r="G896" i="13"/>
  <c r="F896" i="13"/>
  <c r="E896" i="13"/>
  <c r="I895" i="13"/>
  <c r="H895" i="13"/>
  <c r="G895" i="13"/>
  <c r="F895" i="13"/>
  <c r="E895" i="13"/>
  <c r="I894" i="13"/>
  <c r="H894" i="13"/>
  <c r="G894" i="13"/>
  <c r="F894" i="13"/>
  <c r="E894" i="13"/>
  <c r="I893" i="13"/>
  <c r="H893" i="13"/>
  <c r="G893" i="13"/>
  <c r="F893" i="13"/>
  <c r="E893" i="13"/>
  <c r="I892" i="13"/>
  <c r="H892" i="13"/>
  <c r="G892" i="13"/>
  <c r="F892" i="13"/>
  <c r="E892" i="13"/>
  <c r="I891" i="13"/>
  <c r="H891" i="13"/>
  <c r="G891" i="13"/>
  <c r="F891" i="13"/>
  <c r="E891" i="13"/>
  <c r="I890" i="13"/>
  <c r="H890" i="13"/>
  <c r="G890" i="13"/>
  <c r="F890" i="13"/>
  <c r="E890" i="13"/>
  <c r="L889" i="13"/>
  <c r="K889" i="13"/>
  <c r="I889" i="13"/>
  <c r="H889" i="13"/>
  <c r="G889" i="13"/>
  <c r="F889" i="13"/>
  <c r="E889" i="13"/>
  <c r="I888" i="13"/>
  <c r="H888" i="13"/>
  <c r="G888" i="13"/>
  <c r="F888" i="13"/>
  <c r="E888" i="13"/>
  <c r="I887" i="13"/>
  <c r="H887" i="13"/>
  <c r="G887" i="13"/>
  <c r="F887" i="13"/>
  <c r="E887" i="13"/>
  <c r="I886" i="13"/>
  <c r="H886" i="13"/>
  <c r="G886" i="13"/>
  <c r="F886" i="13"/>
  <c r="E886" i="13"/>
  <c r="L885" i="13"/>
  <c r="K885" i="13"/>
  <c r="I885" i="13"/>
  <c r="H885" i="13"/>
  <c r="G885" i="13"/>
  <c r="F885" i="13"/>
  <c r="E885" i="13"/>
  <c r="I884" i="13"/>
  <c r="H884" i="13"/>
  <c r="G884" i="13"/>
  <c r="F884" i="13"/>
  <c r="E884" i="13"/>
  <c r="I883" i="13"/>
  <c r="H883" i="13"/>
  <c r="G883" i="13"/>
  <c r="F883" i="13"/>
  <c r="E883" i="13"/>
  <c r="I882" i="13"/>
  <c r="H882" i="13"/>
  <c r="G882" i="13"/>
  <c r="F882" i="13"/>
  <c r="E882" i="13"/>
  <c r="I881" i="13"/>
  <c r="H881" i="13"/>
  <c r="G881" i="13"/>
  <c r="F881" i="13"/>
  <c r="E881" i="13"/>
  <c r="I880" i="13"/>
  <c r="H880" i="13"/>
  <c r="G880" i="13"/>
  <c r="F880" i="13"/>
  <c r="E880" i="13"/>
  <c r="L879" i="13"/>
  <c r="K879" i="13"/>
  <c r="I879" i="13"/>
  <c r="H879" i="13"/>
  <c r="G879" i="13"/>
  <c r="F879" i="13"/>
  <c r="E879" i="13"/>
  <c r="I878" i="13"/>
  <c r="H878" i="13"/>
  <c r="G878" i="13"/>
  <c r="F878" i="13"/>
  <c r="E878" i="13"/>
  <c r="I877" i="13"/>
  <c r="H877" i="13"/>
  <c r="D85" i="17" s="1"/>
  <c r="J85" i="17" s="1"/>
  <c r="G877" i="13"/>
  <c r="F877" i="13"/>
  <c r="E877" i="13"/>
  <c r="I876" i="13"/>
  <c r="H876" i="13"/>
  <c r="D84" i="17" s="1"/>
  <c r="G876" i="13"/>
  <c r="F876" i="13"/>
  <c r="E876" i="13"/>
  <c r="I875" i="13"/>
  <c r="H875" i="13"/>
  <c r="G875" i="13"/>
  <c r="F875" i="13"/>
  <c r="E875" i="13"/>
  <c r="I874" i="13"/>
  <c r="H874" i="13"/>
  <c r="G874" i="13"/>
  <c r="F874" i="13"/>
  <c r="E874" i="13"/>
  <c r="I873" i="13"/>
  <c r="H873" i="13"/>
  <c r="G873" i="13"/>
  <c r="F873" i="13"/>
  <c r="E873" i="13"/>
  <c r="I872" i="13"/>
  <c r="H872" i="13"/>
  <c r="G872" i="13"/>
  <c r="F872" i="13"/>
  <c r="E872" i="13"/>
  <c r="I871" i="13"/>
  <c r="H871" i="13"/>
  <c r="G871" i="13"/>
  <c r="F871" i="13"/>
  <c r="E871" i="13"/>
  <c r="I870" i="13"/>
  <c r="H870" i="13"/>
  <c r="G870" i="13"/>
  <c r="F870" i="13"/>
  <c r="E870" i="13"/>
  <c r="I869" i="13"/>
  <c r="H869" i="13"/>
  <c r="G869" i="13"/>
  <c r="F869" i="13"/>
  <c r="E869" i="13"/>
  <c r="I868" i="13"/>
  <c r="H868" i="13"/>
  <c r="G868" i="13"/>
  <c r="F868" i="13"/>
  <c r="E868" i="13"/>
  <c r="I867" i="13"/>
  <c r="H867" i="13"/>
  <c r="G867" i="13"/>
  <c r="F867" i="13"/>
  <c r="E867" i="13"/>
  <c r="I866" i="13"/>
  <c r="H866" i="13"/>
  <c r="G866" i="13"/>
  <c r="F866" i="13"/>
  <c r="E866" i="13"/>
  <c r="I865" i="13"/>
  <c r="H865" i="13"/>
  <c r="G865" i="13"/>
  <c r="F865" i="13"/>
  <c r="E865" i="13"/>
  <c r="I864" i="13"/>
  <c r="H864" i="13"/>
  <c r="G864" i="13"/>
  <c r="F864" i="13"/>
  <c r="E864" i="13"/>
  <c r="L863" i="13"/>
  <c r="K863" i="13"/>
  <c r="I863" i="13"/>
  <c r="H863" i="13"/>
  <c r="G863" i="13"/>
  <c r="F863" i="13"/>
  <c r="E863" i="13"/>
  <c r="I862" i="13"/>
  <c r="H862" i="13"/>
  <c r="G862" i="13"/>
  <c r="F862" i="13"/>
  <c r="E862" i="13"/>
  <c r="I861" i="13"/>
  <c r="H861" i="13"/>
  <c r="G861" i="13"/>
  <c r="F861" i="13"/>
  <c r="E861" i="13"/>
  <c r="I860" i="13"/>
  <c r="H860" i="13"/>
  <c r="G860" i="13"/>
  <c r="F860" i="13"/>
  <c r="E860" i="13"/>
  <c r="I859" i="13"/>
  <c r="H859" i="13"/>
  <c r="G859" i="13"/>
  <c r="F859" i="13"/>
  <c r="E859" i="13"/>
  <c r="L858" i="13"/>
  <c r="K858" i="13"/>
  <c r="I858" i="13"/>
  <c r="H858" i="13"/>
  <c r="G858" i="13"/>
  <c r="F858" i="13"/>
  <c r="E858" i="13"/>
  <c r="L857" i="13"/>
  <c r="K857" i="13"/>
  <c r="I857" i="13"/>
  <c r="H857" i="13"/>
  <c r="G857" i="13"/>
  <c r="F857" i="13"/>
  <c r="E857" i="13"/>
  <c r="L856" i="13"/>
  <c r="K856" i="13"/>
  <c r="I856" i="13"/>
  <c r="H856" i="13"/>
  <c r="G856" i="13"/>
  <c r="F856" i="13"/>
  <c r="E856" i="13"/>
  <c r="L855" i="13"/>
  <c r="K855" i="13"/>
  <c r="I855" i="13"/>
  <c r="H855" i="13"/>
  <c r="G855" i="13"/>
  <c r="F855" i="13"/>
  <c r="E855" i="13"/>
  <c r="I854" i="13"/>
  <c r="H854" i="13"/>
  <c r="G854" i="13"/>
  <c r="F854" i="13"/>
  <c r="E854" i="13"/>
  <c r="I853" i="13"/>
  <c r="H853" i="13"/>
  <c r="G853" i="13"/>
  <c r="F853" i="13"/>
  <c r="E853" i="13"/>
  <c r="I852" i="13"/>
  <c r="H852" i="13"/>
  <c r="G852" i="13"/>
  <c r="F852" i="13"/>
  <c r="E852" i="13"/>
  <c r="L851" i="13"/>
  <c r="K851" i="13"/>
  <c r="I851" i="13"/>
  <c r="H851" i="13"/>
  <c r="G851" i="13"/>
  <c r="F851" i="13"/>
  <c r="E851" i="13"/>
  <c r="I850" i="13"/>
  <c r="H850" i="13"/>
  <c r="G850" i="13"/>
  <c r="F850" i="13"/>
  <c r="E850" i="13"/>
  <c r="I849" i="13"/>
  <c r="H849" i="13"/>
  <c r="G849" i="13"/>
  <c r="F849" i="13"/>
  <c r="E849" i="13"/>
  <c r="I848" i="13"/>
  <c r="H848" i="13"/>
  <c r="G848" i="13"/>
  <c r="F848" i="13"/>
  <c r="E848" i="13"/>
  <c r="I847" i="13"/>
  <c r="H847" i="13"/>
  <c r="G847" i="13"/>
  <c r="F847" i="13"/>
  <c r="E847" i="13"/>
  <c r="I846" i="13"/>
  <c r="H846" i="13"/>
  <c r="G846" i="13"/>
  <c r="F846" i="13"/>
  <c r="E846" i="13"/>
  <c r="I845" i="13"/>
  <c r="H845" i="13"/>
  <c r="G845" i="13"/>
  <c r="F845" i="13"/>
  <c r="E845" i="13"/>
  <c r="I844" i="13"/>
  <c r="H844" i="13"/>
  <c r="G844" i="13"/>
  <c r="F844" i="13"/>
  <c r="E844" i="13"/>
  <c r="I843" i="13"/>
  <c r="H843" i="13"/>
  <c r="G843" i="13"/>
  <c r="F843" i="13"/>
  <c r="E843" i="13"/>
  <c r="I842" i="13"/>
  <c r="H842" i="13"/>
  <c r="G842" i="13"/>
  <c r="F842" i="13"/>
  <c r="E842" i="13"/>
  <c r="L841" i="13"/>
  <c r="K841" i="13"/>
  <c r="I841" i="13"/>
  <c r="H841" i="13"/>
  <c r="G841" i="13"/>
  <c r="F841" i="13"/>
  <c r="E841" i="13"/>
  <c r="I840" i="13"/>
  <c r="H840" i="13"/>
  <c r="D38" i="17" s="1"/>
  <c r="G840" i="13"/>
  <c r="F840" i="13"/>
  <c r="E840" i="13"/>
  <c r="I839" i="13"/>
  <c r="H839" i="13"/>
  <c r="G839" i="13"/>
  <c r="F839" i="13"/>
  <c r="E839" i="13"/>
  <c r="I838" i="13"/>
  <c r="H838" i="13"/>
  <c r="G838" i="13"/>
  <c r="F838" i="13"/>
  <c r="E838" i="13"/>
  <c r="I837" i="13"/>
  <c r="H837" i="13"/>
  <c r="G837" i="13"/>
  <c r="F837" i="13"/>
  <c r="E837" i="13"/>
  <c r="I836" i="13"/>
  <c r="H836" i="13"/>
  <c r="G836" i="13"/>
  <c r="F836" i="13"/>
  <c r="E836" i="13"/>
  <c r="I835" i="13"/>
  <c r="H835" i="13"/>
  <c r="G835" i="13"/>
  <c r="F835" i="13"/>
  <c r="E835" i="13"/>
  <c r="I834" i="13"/>
  <c r="H834" i="13"/>
  <c r="G834" i="13"/>
  <c r="F834" i="13"/>
  <c r="E834" i="13"/>
  <c r="I833" i="13"/>
  <c r="H833" i="13"/>
  <c r="G833" i="13"/>
  <c r="F833" i="13"/>
  <c r="E833" i="13"/>
  <c r="I832" i="13"/>
  <c r="H832" i="13"/>
  <c r="G832" i="13"/>
  <c r="F832" i="13"/>
  <c r="E832" i="13"/>
  <c r="I831" i="13"/>
  <c r="H831" i="13"/>
  <c r="G831" i="13"/>
  <c r="F831" i="13"/>
  <c r="E831" i="13"/>
  <c r="I830" i="13"/>
  <c r="H830" i="13"/>
  <c r="G830" i="13"/>
  <c r="F830" i="13"/>
  <c r="E830" i="13"/>
  <c r="I829" i="13"/>
  <c r="H829" i="13"/>
  <c r="G829" i="13"/>
  <c r="F829" i="13"/>
  <c r="E829" i="13"/>
  <c r="I828" i="13"/>
  <c r="H828" i="13"/>
  <c r="G828" i="13"/>
  <c r="F828" i="13"/>
  <c r="E828" i="13"/>
  <c r="I827" i="13"/>
  <c r="H827" i="13"/>
  <c r="G827" i="13"/>
  <c r="F827" i="13"/>
  <c r="E827" i="13"/>
  <c r="I826" i="13"/>
  <c r="H826" i="13"/>
  <c r="G826" i="13"/>
  <c r="F826" i="13"/>
  <c r="E826" i="13"/>
  <c r="I825" i="13"/>
  <c r="H825" i="13"/>
  <c r="G825" i="13"/>
  <c r="F825" i="13"/>
  <c r="E825" i="13"/>
  <c r="I824" i="13"/>
  <c r="H824" i="13"/>
  <c r="G824" i="13"/>
  <c r="F824" i="13"/>
  <c r="E824" i="13"/>
  <c r="I823" i="13"/>
  <c r="H823" i="13"/>
  <c r="G823" i="13"/>
  <c r="F823" i="13"/>
  <c r="E823" i="13"/>
  <c r="I822" i="13"/>
  <c r="H822" i="13"/>
  <c r="G822" i="13"/>
  <c r="F822" i="13"/>
  <c r="E822" i="13"/>
  <c r="I821" i="13"/>
  <c r="H821" i="13"/>
  <c r="G821" i="13"/>
  <c r="F821" i="13"/>
  <c r="E821" i="13"/>
  <c r="I820" i="13"/>
  <c r="H820" i="13"/>
  <c r="G820" i="13"/>
  <c r="F820" i="13"/>
  <c r="E820" i="13"/>
  <c r="I819" i="13"/>
  <c r="H819" i="13"/>
  <c r="G819" i="13"/>
  <c r="F819" i="13"/>
  <c r="E819" i="13"/>
  <c r="I818" i="13"/>
  <c r="H818" i="13"/>
  <c r="G818" i="13"/>
  <c r="F818" i="13"/>
  <c r="E818" i="13"/>
  <c r="I817" i="13"/>
  <c r="H817" i="13"/>
  <c r="G817" i="13"/>
  <c r="F817" i="13"/>
  <c r="E817" i="13"/>
  <c r="L816" i="13"/>
  <c r="K816" i="13"/>
  <c r="I816" i="13"/>
  <c r="H816" i="13"/>
  <c r="G816" i="13"/>
  <c r="F816" i="13"/>
  <c r="E816" i="13"/>
  <c r="I815" i="13"/>
  <c r="H815" i="13"/>
  <c r="G815" i="13"/>
  <c r="F815" i="13"/>
  <c r="E815" i="13"/>
  <c r="L814" i="13"/>
  <c r="K814" i="13"/>
  <c r="I814" i="13"/>
  <c r="H814" i="13"/>
  <c r="G814" i="13"/>
  <c r="F814" i="13"/>
  <c r="E814" i="13"/>
  <c r="I813" i="13"/>
  <c r="H813" i="13"/>
  <c r="G813" i="13"/>
  <c r="F813" i="13"/>
  <c r="E813" i="13"/>
  <c r="I812" i="13"/>
  <c r="H812" i="13"/>
  <c r="G812" i="13"/>
  <c r="F812" i="13"/>
  <c r="E812" i="13"/>
  <c r="I811" i="13"/>
  <c r="H811" i="13"/>
  <c r="D81" i="17" s="1"/>
  <c r="G811" i="13"/>
  <c r="F811" i="13"/>
  <c r="E811" i="13"/>
  <c r="I810" i="13"/>
  <c r="H810" i="13"/>
  <c r="D80" i="17" s="1"/>
  <c r="J80" i="17" s="1"/>
  <c r="G810" i="13"/>
  <c r="F810" i="13"/>
  <c r="E810" i="13"/>
  <c r="I809" i="13"/>
  <c r="H809" i="13"/>
  <c r="D114" i="17" s="1"/>
  <c r="G809" i="13"/>
  <c r="F809" i="13"/>
  <c r="E809" i="13"/>
  <c r="I808" i="13"/>
  <c r="H808" i="13"/>
  <c r="G808" i="13"/>
  <c r="F808" i="13"/>
  <c r="E808" i="13"/>
  <c r="I807" i="13"/>
  <c r="H807" i="13"/>
  <c r="G807" i="13"/>
  <c r="F807" i="13"/>
  <c r="E807" i="13"/>
  <c r="I806" i="13"/>
  <c r="H806" i="13"/>
  <c r="G806" i="13"/>
  <c r="F806" i="13"/>
  <c r="E806" i="13"/>
  <c r="I805" i="13"/>
  <c r="H805" i="13"/>
  <c r="G805" i="13"/>
  <c r="F805" i="13"/>
  <c r="E805" i="13"/>
  <c r="I804" i="13"/>
  <c r="H804" i="13"/>
  <c r="G804" i="13"/>
  <c r="F804" i="13"/>
  <c r="E804" i="13"/>
  <c r="I803" i="13"/>
  <c r="H803" i="13"/>
  <c r="G803" i="13"/>
  <c r="F803" i="13"/>
  <c r="E803" i="13"/>
  <c r="I802" i="13"/>
  <c r="H802" i="13"/>
  <c r="G802" i="13"/>
  <c r="F802" i="13"/>
  <c r="E802" i="13"/>
  <c r="I801" i="13"/>
  <c r="H801" i="13"/>
  <c r="G801" i="13"/>
  <c r="F801" i="13"/>
  <c r="E801" i="13"/>
  <c r="I800" i="13"/>
  <c r="H800" i="13"/>
  <c r="G800" i="13"/>
  <c r="F800" i="13"/>
  <c r="E800" i="13"/>
  <c r="I799" i="13"/>
  <c r="H799" i="13"/>
  <c r="G799" i="13"/>
  <c r="F799" i="13"/>
  <c r="E799" i="13"/>
  <c r="I798" i="13"/>
  <c r="H798" i="13"/>
  <c r="G798" i="13"/>
  <c r="F798" i="13"/>
  <c r="E798" i="13"/>
  <c r="I797" i="13"/>
  <c r="H797" i="13"/>
  <c r="G797" i="13"/>
  <c r="F797" i="13"/>
  <c r="E797" i="13"/>
  <c r="I796" i="13"/>
  <c r="H796" i="13"/>
  <c r="G796" i="13"/>
  <c r="F796" i="13"/>
  <c r="E796" i="13"/>
  <c r="I795" i="13"/>
  <c r="H795" i="13"/>
  <c r="G795" i="13"/>
  <c r="F795" i="13"/>
  <c r="E795" i="13"/>
  <c r="I794" i="13"/>
  <c r="H794" i="13"/>
  <c r="G794" i="13"/>
  <c r="F794" i="13"/>
  <c r="E794" i="13"/>
  <c r="I793" i="13"/>
  <c r="H793" i="13"/>
  <c r="G793" i="13"/>
  <c r="F793" i="13"/>
  <c r="E793" i="13"/>
  <c r="I792" i="13"/>
  <c r="H792" i="13"/>
  <c r="G792" i="13"/>
  <c r="F792" i="13"/>
  <c r="E792" i="13"/>
  <c r="I791" i="13"/>
  <c r="H791" i="13"/>
  <c r="G791" i="13"/>
  <c r="F791" i="13"/>
  <c r="E791" i="13"/>
  <c r="L790" i="13"/>
  <c r="K790" i="13"/>
  <c r="I790" i="13"/>
  <c r="H790" i="13"/>
  <c r="G790" i="13"/>
  <c r="F790" i="13"/>
  <c r="E790" i="13"/>
  <c r="L789" i="13"/>
  <c r="K789" i="13"/>
  <c r="I789" i="13"/>
  <c r="H789" i="13"/>
  <c r="G789" i="13"/>
  <c r="F789" i="13"/>
  <c r="E789" i="13"/>
  <c r="L788" i="13"/>
  <c r="K788" i="13"/>
  <c r="I788" i="13"/>
  <c r="H788" i="13"/>
  <c r="G788" i="13"/>
  <c r="F788" i="13"/>
  <c r="E788" i="13"/>
  <c r="L787" i="13"/>
  <c r="K787" i="13"/>
  <c r="I787" i="13"/>
  <c r="H787" i="13"/>
  <c r="G787" i="13"/>
  <c r="F787" i="13"/>
  <c r="E787" i="13"/>
  <c r="I786" i="13"/>
  <c r="H786" i="13"/>
  <c r="G786" i="13"/>
  <c r="F786" i="13"/>
  <c r="E786" i="13"/>
  <c r="I785" i="13"/>
  <c r="H785" i="13"/>
  <c r="D78" i="17" s="1"/>
  <c r="J78" i="17" s="1"/>
  <c r="G785" i="13"/>
  <c r="F785" i="13"/>
  <c r="E785" i="13"/>
  <c r="L784" i="13"/>
  <c r="K784" i="13"/>
  <c r="I784" i="13"/>
  <c r="H784" i="13"/>
  <c r="G784" i="13"/>
  <c r="F784" i="13"/>
  <c r="E784" i="13"/>
  <c r="I783" i="13"/>
  <c r="H783" i="13"/>
  <c r="G783" i="13"/>
  <c r="F783" i="13"/>
  <c r="E783" i="13"/>
  <c r="I782" i="13"/>
  <c r="H782" i="13"/>
  <c r="D79" i="17" s="1"/>
  <c r="J79" i="17" s="1"/>
  <c r="G782" i="13"/>
  <c r="F782" i="13"/>
  <c r="E782" i="13"/>
  <c r="I781" i="13"/>
  <c r="H781" i="13"/>
  <c r="D105" i="17" s="1"/>
  <c r="J105" i="17" s="1"/>
  <c r="G781" i="13"/>
  <c r="F781" i="13"/>
  <c r="E781" i="13"/>
  <c r="I780" i="13"/>
  <c r="H780" i="13"/>
  <c r="G780" i="13"/>
  <c r="F780" i="13"/>
  <c r="E780" i="13"/>
  <c r="I779" i="13"/>
  <c r="H779" i="13"/>
  <c r="G779" i="13"/>
  <c r="F779" i="13"/>
  <c r="E779" i="13"/>
  <c r="I778" i="13"/>
  <c r="H778" i="13"/>
  <c r="G778" i="13"/>
  <c r="F778" i="13"/>
  <c r="E778" i="13"/>
  <c r="L777" i="13"/>
  <c r="K777" i="13"/>
  <c r="I777" i="13"/>
  <c r="H777" i="13"/>
  <c r="G777" i="13"/>
  <c r="F777" i="13"/>
  <c r="E777" i="13"/>
  <c r="L776" i="13"/>
  <c r="K776" i="13"/>
  <c r="I776" i="13"/>
  <c r="H776" i="13"/>
  <c r="G776" i="13"/>
  <c r="F776" i="13"/>
  <c r="E776" i="13"/>
  <c r="L775" i="13"/>
  <c r="K775" i="13"/>
  <c r="I775" i="13"/>
  <c r="H775" i="13"/>
  <c r="G775" i="13"/>
  <c r="F775" i="13"/>
  <c r="E775" i="13"/>
  <c r="L774" i="13"/>
  <c r="K774" i="13"/>
  <c r="I774" i="13"/>
  <c r="H774" i="13"/>
  <c r="G774" i="13"/>
  <c r="F774" i="13"/>
  <c r="E774" i="13"/>
  <c r="I773" i="13"/>
  <c r="H773" i="13"/>
  <c r="G773" i="13"/>
  <c r="F773" i="13"/>
  <c r="E773" i="13"/>
  <c r="I772" i="13"/>
  <c r="H772" i="13"/>
  <c r="G772" i="13"/>
  <c r="F772" i="13"/>
  <c r="E772" i="13"/>
  <c r="I771" i="13"/>
  <c r="H771" i="13"/>
  <c r="G771" i="13"/>
  <c r="F771" i="13"/>
  <c r="E771" i="13"/>
  <c r="I770" i="13"/>
  <c r="H770" i="13"/>
  <c r="G770" i="13"/>
  <c r="F770" i="13"/>
  <c r="E770" i="13"/>
  <c r="I769" i="13"/>
  <c r="H769" i="13"/>
  <c r="G769" i="13"/>
  <c r="F769" i="13"/>
  <c r="E769" i="13"/>
  <c r="I768" i="13"/>
  <c r="H768" i="13"/>
  <c r="G768" i="13"/>
  <c r="F768" i="13"/>
  <c r="E768" i="13"/>
  <c r="I767" i="13"/>
  <c r="H767" i="13"/>
  <c r="G767" i="13"/>
  <c r="F767" i="13"/>
  <c r="E767" i="13"/>
  <c r="L766" i="13"/>
  <c r="K766" i="13"/>
  <c r="I766" i="13"/>
  <c r="H766" i="13"/>
  <c r="G766" i="13"/>
  <c r="F766" i="13"/>
  <c r="E766" i="13"/>
  <c r="I765" i="13"/>
  <c r="H765" i="13"/>
  <c r="G765" i="13"/>
  <c r="F765" i="13"/>
  <c r="E765" i="13"/>
  <c r="I764" i="13"/>
  <c r="H764" i="13"/>
  <c r="G764" i="13"/>
  <c r="F764" i="13"/>
  <c r="E764" i="13"/>
  <c r="I763" i="13"/>
  <c r="H763" i="13"/>
  <c r="G763" i="13"/>
  <c r="F763" i="13"/>
  <c r="E763" i="13"/>
  <c r="I762" i="13"/>
  <c r="H762" i="13"/>
  <c r="G762" i="13"/>
  <c r="F762" i="13"/>
  <c r="E762" i="13"/>
  <c r="L761" i="13"/>
  <c r="K761" i="13"/>
  <c r="I761" i="13"/>
  <c r="H761" i="13"/>
  <c r="G761" i="13"/>
  <c r="F761" i="13"/>
  <c r="E761" i="13"/>
  <c r="I760" i="13"/>
  <c r="H760" i="13"/>
  <c r="G760" i="13"/>
  <c r="F760" i="13"/>
  <c r="E760" i="13"/>
  <c r="I759" i="13"/>
  <c r="H759" i="13"/>
  <c r="G759" i="13"/>
  <c r="F759" i="13"/>
  <c r="E759" i="13"/>
  <c r="I758" i="13"/>
  <c r="H758" i="13"/>
  <c r="G758" i="13"/>
  <c r="F758" i="13"/>
  <c r="E758" i="13"/>
  <c r="I757" i="13"/>
  <c r="H757" i="13"/>
  <c r="G757" i="13"/>
  <c r="F757" i="13"/>
  <c r="E757" i="13"/>
  <c r="I756" i="13"/>
  <c r="H756" i="13"/>
  <c r="G756" i="13"/>
  <c r="F756" i="13"/>
  <c r="E756" i="13"/>
  <c r="I755" i="13"/>
  <c r="H755" i="13"/>
  <c r="G755" i="13"/>
  <c r="F755" i="13"/>
  <c r="E755" i="13"/>
  <c r="I754" i="13"/>
  <c r="H754" i="13"/>
  <c r="G754" i="13"/>
  <c r="F754" i="13"/>
  <c r="E754" i="13"/>
  <c r="I753" i="13"/>
  <c r="H753" i="13"/>
  <c r="G753" i="13"/>
  <c r="F753" i="13"/>
  <c r="E753" i="13"/>
  <c r="I752" i="13"/>
  <c r="H752" i="13"/>
  <c r="G752" i="13"/>
  <c r="F752" i="13"/>
  <c r="E752" i="13"/>
  <c r="I751" i="13"/>
  <c r="H751" i="13"/>
  <c r="G751" i="13"/>
  <c r="F751" i="13"/>
  <c r="E751" i="13"/>
  <c r="L750" i="13"/>
  <c r="K750" i="13"/>
  <c r="I750" i="13"/>
  <c r="H750" i="13"/>
  <c r="G750" i="13"/>
  <c r="F750" i="13"/>
  <c r="E750" i="13"/>
  <c r="I749" i="13"/>
  <c r="H749" i="13"/>
  <c r="G749" i="13"/>
  <c r="F749" i="13"/>
  <c r="E749" i="13"/>
  <c r="L748" i="13"/>
  <c r="K748" i="13"/>
  <c r="I748" i="13"/>
  <c r="H748" i="13"/>
  <c r="G748" i="13"/>
  <c r="F748" i="13"/>
  <c r="E748" i="13"/>
  <c r="I747" i="13"/>
  <c r="H747" i="13"/>
  <c r="G747" i="13"/>
  <c r="F747" i="13"/>
  <c r="E747" i="13"/>
  <c r="I746" i="13"/>
  <c r="H746" i="13"/>
  <c r="D77" i="17" s="1"/>
  <c r="J77" i="17" s="1"/>
  <c r="G746" i="13"/>
  <c r="F746" i="13"/>
  <c r="E746" i="13"/>
  <c r="I745" i="13"/>
  <c r="H745" i="13"/>
  <c r="D76" i="17" s="1"/>
  <c r="J76" i="17" s="1"/>
  <c r="G745" i="13"/>
  <c r="F745" i="13"/>
  <c r="E745" i="13"/>
  <c r="I744" i="13"/>
  <c r="H744" i="13"/>
  <c r="G744" i="13"/>
  <c r="F744" i="13"/>
  <c r="E744" i="13"/>
  <c r="I743" i="13"/>
  <c r="H743" i="13"/>
  <c r="G743" i="13"/>
  <c r="F743" i="13"/>
  <c r="E743" i="13"/>
  <c r="I742" i="13"/>
  <c r="H742" i="13"/>
  <c r="G742" i="13"/>
  <c r="F742" i="13"/>
  <c r="E742" i="13"/>
  <c r="I741" i="13"/>
  <c r="H741" i="13"/>
  <c r="G741" i="13"/>
  <c r="F741" i="13"/>
  <c r="E741" i="13"/>
  <c r="I740" i="13"/>
  <c r="H740" i="13"/>
  <c r="G740" i="13"/>
  <c r="F740" i="13"/>
  <c r="E740" i="13"/>
  <c r="I739" i="13"/>
  <c r="H739" i="13"/>
  <c r="G739" i="13"/>
  <c r="F739" i="13"/>
  <c r="E739" i="13"/>
  <c r="I738" i="13"/>
  <c r="H738" i="13"/>
  <c r="G738" i="13"/>
  <c r="F738" i="13"/>
  <c r="E738" i="13"/>
  <c r="L737" i="13"/>
  <c r="K737" i="13"/>
  <c r="I737" i="13"/>
  <c r="H737" i="13"/>
  <c r="G737" i="13"/>
  <c r="F737" i="13"/>
  <c r="E737" i="13"/>
  <c r="L736" i="13"/>
  <c r="K736" i="13"/>
  <c r="I736" i="13"/>
  <c r="H736" i="13"/>
  <c r="G736" i="13"/>
  <c r="F736" i="13"/>
  <c r="E736" i="13"/>
  <c r="L735" i="13"/>
  <c r="K735" i="13"/>
  <c r="I735" i="13"/>
  <c r="H735" i="13"/>
  <c r="G735" i="13"/>
  <c r="F735" i="13"/>
  <c r="E735" i="13"/>
  <c r="L734" i="13"/>
  <c r="K734" i="13"/>
  <c r="I734" i="13"/>
  <c r="H734" i="13"/>
  <c r="G734" i="13"/>
  <c r="F734" i="13"/>
  <c r="E734" i="13"/>
  <c r="L733" i="13"/>
  <c r="K733" i="13"/>
  <c r="I733" i="13"/>
  <c r="H733" i="13"/>
  <c r="G733" i="13"/>
  <c r="F733" i="13"/>
  <c r="E733" i="13"/>
  <c r="I732" i="13"/>
  <c r="H732" i="13"/>
  <c r="G732" i="13"/>
  <c r="F732" i="13"/>
  <c r="E732" i="13"/>
  <c r="I731" i="13"/>
  <c r="H731" i="13"/>
  <c r="G731" i="13"/>
  <c r="F731" i="13"/>
  <c r="E731" i="13"/>
  <c r="I730" i="13"/>
  <c r="H730" i="13"/>
  <c r="G730" i="13"/>
  <c r="F730" i="13"/>
  <c r="E730" i="13"/>
  <c r="I729" i="13"/>
  <c r="H729" i="13"/>
  <c r="G729" i="13"/>
  <c r="F729" i="13"/>
  <c r="E729" i="13"/>
  <c r="I728" i="13"/>
  <c r="H728" i="13"/>
  <c r="G728" i="13"/>
  <c r="F728" i="13"/>
  <c r="E728" i="13"/>
  <c r="I727" i="13"/>
  <c r="H727" i="13"/>
  <c r="G727" i="13"/>
  <c r="F727" i="13"/>
  <c r="E727" i="13"/>
  <c r="L726" i="13"/>
  <c r="K726" i="13"/>
  <c r="I726" i="13"/>
  <c r="H726" i="13"/>
  <c r="D35" i="17" s="1"/>
  <c r="G726" i="13"/>
  <c r="F726" i="13"/>
  <c r="E726" i="13"/>
  <c r="I725" i="13"/>
  <c r="H725" i="13"/>
  <c r="G725" i="13"/>
  <c r="F725" i="13"/>
  <c r="E725" i="13"/>
  <c r="I724" i="13"/>
  <c r="H724" i="13"/>
  <c r="G724" i="13"/>
  <c r="F724" i="13"/>
  <c r="E724" i="13"/>
  <c r="I723" i="13"/>
  <c r="H723" i="13"/>
  <c r="G723" i="13"/>
  <c r="F723" i="13"/>
  <c r="E723" i="13"/>
  <c r="L722" i="13"/>
  <c r="K722" i="13"/>
  <c r="I722" i="13"/>
  <c r="H722" i="13"/>
  <c r="G722" i="13"/>
  <c r="F722" i="13"/>
  <c r="E722" i="13"/>
  <c r="L721" i="13"/>
  <c r="K721" i="13"/>
  <c r="I721" i="13"/>
  <c r="H721" i="13"/>
  <c r="G721" i="13"/>
  <c r="F721" i="13"/>
  <c r="E721" i="13"/>
  <c r="I720" i="13"/>
  <c r="H720" i="13"/>
  <c r="D74" i="17" s="1"/>
  <c r="J74" i="17" s="1"/>
  <c r="G720" i="13"/>
  <c r="F720" i="13"/>
  <c r="E720" i="13"/>
  <c r="I719" i="13"/>
  <c r="H719" i="13"/>
  <c r="D75" i="17" s="1"/>
  <c r="J75" i="17" s="1"/>
  <c r="G719" i="13"/>
  <c r="F719" i="13"/>
  <c r="E719" i="13"/>
  <c r="I718" i="13"/>
  <c r="H718" i="13"/>
  <c r="D104" i="17" s="1"/>
  <c r="J104" i="17" s="1"/>
  <c r="G718" i="13"/>
  <c r="F718" i="13"/>
  <c r="E718" i="13"/>
  <c r="I717" i="13"/>
  <c r="H717" i="13"/>
  <c r="G717" i="13"/>
  <c r="F717" i="13"/>
  <c r="E717" i="13"/>
  <c r="I716" i="13"/>
  <c r="H716" i="13"/>
  <c r="G716" i="13"/>
  <c r="F716" i="13"/>
  <c r="E716" i="13"/>
  <c r="I715" i="13"/>
  <c r="H715" i="13"/>
  <c r="G715" i="13"/>
  <c r="F715" i="13"/>
  <c r="E715" i="13"/>
  <c r="I714" i="13"/>
  <c r="H714" i="13"/>
  <c r="G714" i="13"/>
  <c r="F714" i="13"/>
  <c r="E714" i="13"/>
  <c r="L713" i="13"/>
  <c r="K713" i="13"/>
  <c r="I713" i="13"/>
  <c r="H713" i="13"/>
  <c r="G713" i="13"/>
  <c r="F713" i="13"/>
  <c r="E713" i="13"/>
  <c r="I712" i="13"/>
  <c r="H712" i="13"/>
  <c r="G712" i="13"/>
  <c r="F712" i="13"/>
  <c r="E712" i="13"/>
  <c r="I711" i="13"/>
  <c r="H711" i="13"/>
  <c r="G711" i="13"/>
  <c r="F711" i="13"/>
  <c r="E711" i="13"/>
  <c r="I710" i="13"/>
  <c r="H710" i="13"/>
  <c r="G710" i="13"/>
  <c r="F710" i="13"/>
  <c r="E710" i="13"/>
  <c r="I709" i="13"/>
  <c r="H709" i="13"/>
  <c r="G709" i="13"/>
  <c r="F709" i="13"/>
  <c r="E709" i="13"/>
  <c r="I708" i="13"/>
  <c r="H708" i="13"/>
  <c r="G708" i="13"/>
  <c r="F708" i="13"/>
  <c r="E708" i="13"/>
  <c r="I707" i="13"/>
  <c r="H707" i="13"/>
  <c r="G707" i="13"/>
  <c r="F707" i="13"/>
  <c r="E707" i="13"/>
  <c r="L706" i="13"/>
  <c r="K706" i="13"/>
  <c r="I706" i="13"/>
  <c r="H706" i="13"/>
  <c r="G706" i="13"/>
  <c r="F706" i="13"/>
  <c r="E706" i="13"/>
  <c r="I705" i="13"/>
  <c r="H705" i="13"/>
  <c r="G705" i="13"/>
  <c r="F705" i="13"/>
  <c r="E705" i="13"/>
  <c r="L704" i="13"/>
  <c r="K704" i="13"/>
  <c r="I704" i="13"/>
  <c r="H704" i="13"/>
  <c r="G704" i="13"/>
  <c r="F704" i="13"/>
  <c r="E704" i="13"/>
  <c r="I703" i="13"/>
  <c r="H703" i="13"/>
  <c r="G703" i="13"/>
  <c r="F703" i="13"/>
  <c r="E703" i="13"/>
  <c r="I702" i="13"/>
  <c r="H702" i="13"/>
  <c r="G702" i="13"/>
  <c r="F702" i="13"/>
  <c r="E702" i="13"/>
  <c r="I701" i="13"/>
  <c r="H701" i="13"/>
  <c r="G701" i="13"/>
  <c r="F701" i="13"/>
  <c r="E701" i="13"/>
  <c r="I700" i="13"/>
  <c r="H700" i="13"/>
  <c r="G700" i="13"/>
  <c r="F700" i="13"/>
  <c r="E700" i="13"/>
  <c r="I699" i="13"/>
  <c r="H699" i="13"/>
  <c r="G699" i="13"/>
  <c r="F699" i="13"/>
  <c r="E699" i="13"/>
  <c r="I698" i="13"/>
  <c r="H698" i="13"/>
  <c r="G698" i="13"/>
  <c r="F698" i="13"/>
  <c r="E698" i="13"/>
  <c r="I697" i="13"/>
  <c r="H697" i="13"/>
  <c r="G697" i="13"/>
  <c r="F697" i="13"/>
  <c r="E697" i="13"/>
  <c r="I696" i="13"/>
  <c r="H696" i="13"/>
  <c r="G696" i="13"/>
  <c r="F696" i="13"/>
  <c r="E696" i="13"/>
  <c r="I695" i="13"/>
  <c r="H695" i="13"/>
  <c r="G695" i="13"/>
  <c r="F695" i="13"/>
  <c r="E695" i="13"/>
  <c r="I694" i="13"/>
  <c r="H694" i="13"/>
  <c r="G694" i="13"/>
  <c r="F694" i="13"/>
  <c r="E694" i="13"/>
  <c r="I693" i="13"/>
  <c r="H693" i="13"/>
  <c r="G693" i="13"/>
  <c r="F693" i="13"/>
  <c r="E693" i="13"/>
  <c r="I692" i="13"/>
  <c r="H692" i="13"/>
  <c r="G692" i="13"/>
  <c r="F692" i="13"/>
  <c r="E692" i="13"/>
  <c r="I691" i="13"/>
  <c r="H691" i="13"/>
  <c r="G691" i="13"/>
  <c r="F691" i="13"/>
  <c r="E691" i="13"/>
  <c r="I690" i="13"/>
  <c r="H690" i="13"/>
  <c r="AK697" i="7" s="1"/>
  <c r="G690" i="13"/>
  <c r="F690" i="13"/>
  <c r="E690" i="13"/>
  <c r="I689" i="13"/>
  <c r="H689" i="13"/>
  <c r="G689" i="13"/>
  <c r="F689" i="13"/>
  <c r="E689" i="13"/>
  <c r="I688" i="13"/>
  <c r="H688" i="13"/>
  <c r="G688" i="13"/>
  <c r="F688" i="13"/>
  <c r="E688" i="13"/>
  <c r="I687" i="13"/>
  <c r="H687" i="13"/>
  <c r="D34" i="17" s="1"/>
  <c r="G687" i="13"/>
  <c r="F687" i="13"/>
  <c r="E687" i="13"/>
  <c r="I686" i="13"/>
  <c r="H686" i="13"/>
  <c r="G686" i="13"/>
  <c r="F686" i="13"/>
  <c r="E686" i="13"/>
  <c r="I685" i="13"/>
  <c r="H685" i="13"/>
  <c r="G685" i="13"/>
  <c r="F685" i="13"/>
  <c r="E685" i="13"/>
  <c r="I684" i="13"/>
  <c r="H684" i="13"/>
  <c r="D113" i="17" s="1"/>
  <c r="J113" i="17" s="1"/>
  <c r="G684" i="13"/>
  <c r="F684" i="13"/>
  <c r="E684" i="13"/>
  <c r="I683" i="13"/>
  <c r="H683" i="13"/>
  <c r="D72" i="17" s="1"/>
  <c r="J72" i="17" s="1"/>
  <c r="G683" i="13"/>
  <c r="F683" i="13"/>
  <c r="E683" i="13"/>
  <c r="I682" i="13"/>
  <c r="H682" i="13"/>
  <c r="D73" i="17" s="1"/>
  <c r="G682" i="13"/>
  <c r="F682" i="13"/>
  <c r="E682" i="13"/>
  <c r="I681" i="13"/>
  <c r="H681" i="13"/>
  <c r="G681" i="13"/>
  <c r="F681" i="13"/>
  <c r="E681" i="13"/>
  <c r="I680" i="13"/>
  <c r="H680" i="13"/>
  <c r="G680" i="13"/>
  <c r="F680" i="13"/>
  <c r="E680" i="13"/>
  <c r="I679" i="13"/>
  <c r="H679" i="13"/>
  <c r="G679" i="13"/>
  <c r="F679" i="13"/>
  <c r="E679" i="13"/>
  <c r="L678" i="13"/>
  <c r="K678" i="13"/>
  <c r="I678" i="13"/>
  <c r="H678" i="13"/>
  <c r="G678" i="13"/>
  <c r="F678" i="13"/>
  <c r="E678" i="13"/>
  <c r="L677" i="13"/>
  <c r="K677" i="13"/>
  <c r="I677" i="13"/>
  <c r="H677" i="13"/>
  <c r="G677" i="13"/>
  <c r="F677" i="13"/>
  <c r="E677" i="13"/>
  <c r="L676" i="13"/>
  <c r="K676" i="13"/>
  <c r="I676" i="13"/>
  <c r="H676" i="13"/>
  <c r="G676" i="13"/>
  <c r="F676" i="13"/>
  <c r="E676" i="13"/>
  <c r="I675" i="13"/>
  <c r="H675" i="13"/>
  <c r="G675" i="13"/>
  <c r="F675" i="13"/>
  <c r="E675" i="13"/>
  <c r="L674" i="13"/>
  <c r="K674" i="13"/>
  <c r="I674" i="13"/>
  <c r="H674" i="13"/>
  <c r="G674" i="13"/>
  <c r="F674" i="13"/>
  <c r="E674" i="13"/>
  <c r="I673" i="13"/>
  <c r="H673" i="13"/>
  <c r="G673" i="13"/>
  <c r="F673" i="13"/>
  <c r="E673" i="13"/>
  <c r="I672" i="13"/>
  <c r="H672" i="13"/>
  <c r="G672" i="13"/>
  <c r="F672" i="13"/>
  <c r="E672" i="13"/>
  <c r="I671" i="13"/>
  <c r="H671" i="13"/>
  <c r="G671" i="13"/>
  <c r="F671" i="13"/>
  <c r="E671" i="13"/>
  <c r="I670" i="13"/>
  <c r="H670" i="13"/>
  <c r="G670" i="13"/>
  <c r="F670" i="13"/>
  <c r="E670" i="13"/>
  <c r="I669" i="13"/>
  <c r="H669" i="13"/>
  <c r="G669" i="13"/>
  <c r="F669" i="13"/>
  <c r="E669" i="13"/>
  <c r="I668" i="13"/>
  <c r="H668" i="13"/>
  <c r="G668" i="13"/>
  <c r="F668" i="13"/>
  <c r="E668" i="13"/>
  <c r="I667" i="13"/>
  <c r="H667" i="13"/>
  <c r="G667" i="13"/>
  <c r="F667" i="13"/>
  <c r="E667" i="13"/>
  <c r="L666" i="13"/>
  <c r="K666" i="13"/>
  <c r="I666" i="13"/>
  <c r="H666" i="13"/>
  <c r="G666" i="13"/>
  <c r="F666" i="13"/>
  <c r="E666" i="13"/>
  <c r="L665" i="13"/>
  <c r="K665" i="13"/>
  <c r="I665" i="13"/>
  <c r="H665" i="13"/>
  <c r="G665" i="13"/>
  <c r="F665" i="13"/>
  <c r="E665" i="13"/>
  <c r="I664" i="13"/>
  <c r="H664" i="13"/>
  <c r="G664" i="13"/>
  <c r="F664" i="13"/>
  <c r="E664" i="13"/>
  <c r="I663" i="13"/>
  <c r="H663" i="13"/>
  <c r="G663" i="13"/>
  <c r="F663" i="13"/>
  <c r="E663" i="13"/>
  <c r="I662" i="13"/>
  <c r="H662" i="13"/>
  <c r="G662" i="13"/>
  <c r="F662" i="13"/>
  <c r="E662" i="13"/>
  <c r="I661" i="13"/>
  <c r="H661" i="13"/>
  <c r="D70" i="17" s="1"/>
  <c r="J70" i="17" s="1"/>
  <c r="G661" i="13"/>
  <c r="F661" i="13"/>
  <c r="E661" i="13"/>
  <c r="I660" i="13"/>
  <c r="H660" i="13"/>
  <c r="D71" i="17" s="1"/>
  <c r="J71" i="17" s="1"/>
  <c r="G660" i="13"/>
  <c r="F660" i="13"/>
  <c r="E660" i="13"/>
  <c r="I659" i="13"/>
  <c r="H659" i="13"/>
  <c r="D103" i="17" s="1"/>
  <c r="G659" i="13"/>
  <c r="F659" i="13"/>
  <c r="E659" i="13"/>
  <c r="I658" i="13"/>
  <c r="H658" i="13"/>
  <c r="G658" i="13"/>
  <c r="F658" i="13"/>
  <c r="E658" i="13"/>
  <c r="I657" i="13"/>
  <c r="H657" i="13"/>
  <c r="G657" i="13"/>
  <c r="F657" i="13"/>
  <c r="E657" i="13"/>
  <c r="I656" i="13"/>
  <c r="H656" i="13"/>
  <c r="G656" i="13"/>
  <c r="F656" i="13"/>
  <c r="E656" i="13"/>
  <c r="I655" i="13"/>
  <c r="H655" i="13"/>
  <c r="G655" i="13"/>
  <c r="F655" i="13"/>
  <c r="E655" i="13"/>
  <c r="I654" i="13"/>
  <c r="H654" i="13"/>
  <c r="G654" i="13"/>
  <c r="F654" i="13"/>
  <c r="E654" i="13"/>
  <c r="I653" i="13"/>
  <c r="H653" i="13"/>
  <c r="G653" i="13"/>
  <c r="F653" i="13"/>
  <c r="E653" i="13"/>
  <c r="I652" i="13"/>
  <c r="H652" i="13"/>
  <c r="G652" i="13"/>
  <c r="F652" i="13"/>
  <c r="E652" i="13"/>
  <c r="I651" i="13"/>
  <c r="H651" i="13"/>
  <c r="G651" i="13"/>
  <c r="F651" i="13"/>
  <c r="E651" i="13"/>
  <c r="I650" i="13"/>
  <c r="H650" i="13"/>
  <c r="G650" i="13"/>
  <c r="F650" i="13"/>
  <c r="E650" i="13"/>
  <c r="I649" i="13"/>
  <c r="H649" i="13"/>
  <c r="G649" i="13"/>
  <c r="F649" i="13"/>
  <c r="E649" i="13"/>
  <c r="I648" i="13"/>
  <c r="H648" i="13"/>
  <c r="G648" i="13"/>
  <c r="F648" i="13"/>
  <c r="E648" i="13"/>
  <c r="I647" i="13"/>
  <c r="H647" i="13"/>
  <c r="G647" i="13"/>
  <c r="F647" i="13"/>
  <c r="E647" i="13"/>
  <c r="I646" i="13"/>
  <c r="H646" i="13"/>
  <c r="G646" i="13"/>
  <c r="F646" i="13"/>
  <c r="E646" i="13"/>
  <c r="I645" i="13"/>
  <c r="H645" i="13"/>
  <c r="G645" i="13"/>
  <c r="F645" i="13"/>
  <c r="E645" i="13"/>
  <c r="I644" i="13"/>
  <c r="H644" i="13"/>
  <c r="G644" i="13"/>
  <c r="F644" i="13"/>
  <c r="E644" i="13"/>
  <c r="I643" i="13"/>
  <c r="H643" i="13"/>
  <c r="G643" i="13"/>
  <c r="F643" i="13"/>
  <c r="E643" i="13"/>
  <c r="I642" i="13"/>
  <c r="H642" i="13"/>
  <c r="G642" i="13"/>
  <c r="F642" i="13"/>
  <c r="E642" i="13"/>
  <c r="I641" i="13"/>
  <c r="H641" i="13"/>
  <c r="G641" i="13"/>
  <c r="F641" i="13"/>
  <c r="E641" i="13"/>
  <c r="I640" i="13"/>
  <c r="H640" i="13"/>
  <c r="G640" i="13"/>
  <c r="F640" i="13"/>
  <c r="E640" i="13"/>
  <c r="I639" i="13"/>
  <c r="H639" i="13"/>
  <c r="G639" i="13"/>
  <c r="F639" i="13"/>
  <c r="E639" i="13"/>
  <c r="I638" i="13"/>
  <c r="H638" i="13"/>
  <c r="G638" i="13"/>
  <c r="F638" i="13"/>
  <c r="E638" i="13"/>
  <c r="I637" i="13"/>
  <c r="H637" i="13"/>
  <c r="G637" i="13"/>
  <c r="F637" i="13"/>
  <c r="E637" i="13"/>
  <c r="I636" i="13"/>
  <c r="H636" i="13"/>
  <c r="G636" i="13"/>
  <c r="F636" i="13"/>
  <c r="E636" i="13"/>
  <c r="I635" i="13"/>
  <c r="H635" i="13"/>
  <c r="G635" i="13"/>
  <c r="F635" i="13"/>
  <c r="E635" i="13"/>
  <c r="I634" i="13"/>
  <c r="H634" i="13"/>
  <c r="G634" i="13"/>
  <c r="F634" i="13"/>
  <c r="E634" i="13"/>
  <c r="I633" i="13"/>
  <c r="H633" i="13"/>
  <c r="G633" i="13"/>
  <c r="F633" i="13"/>
  <c r="E633" i="13"/>
  <c r="I632" i="13"/>
  <c r="H632" i="13"/>
  <c r="G632" i="13"/>
  <c r="F632" i="13"/>
  <c r="E632" i="13"/>
  <c r="I631" i="13"/>
  <c r="H631" i="13"/>
  <c r="G631" i="13"/>
  <c r="F631" i="13"/>
  <c r="E631" i="13"/>
  <c r="I630" i="13"/>
  <c r="H630" i="13"/>
  <c r="G630" i="13"/>
  <c r="F630" i="13"/>
  <c r="E630" i="13"/>
  <c r="I629" i="13"/>
  <c r="H629" i="13"/>
  <c r="G629" i="13"/>
  <c r="F629" i="13"/>
  <c r="E629" i="13"/>
  <c r="I628" i="13"/>
  <c r="H628" i="13"/>
  <c r="G628" i="13"/>
  <c r="F628" i="13"/>
  <c r="E628" i="13"/>
  <c r="I627" i="13"/>
  <c r="H627" i="13"/>
  <c r="G627" i="13"/>
  <c r="F627" i="13"/>
  <c r="E627" i="13"/>
  <c r="I626" i="13"/>
  <c r="H626" i="13"/>
  <c r="G626" i="13"/>
  <c r="F626" i="13"/>
  <c r="E626" i="13"/>
  <c r="I625" i="13"/>
  <c r="H625" i="13"/>
  <c r="G625" i="13"/>
  <c r="F625" i="13"/>
  <c r="E625" i="13"/>
  <c r="I624" i="13"/>
  <c r="H624" i="13"/>
  <c r="G624" i="13"/>
  <c r="F624" i="13"/>
  <c r="E624" i="13"/>
  <c r="L623" i="13"/>
  <c r="K623" i="13"/>
  <c r="I623" i="13"/>
  <c r="H623" i="13"/>
  <c r="G623" i="13"/>
  <c r="F623" i="13"/>
  <c r="E623" i="13"/>
  <c r="I622" i="13"/>
  <c r="H622" i="13"/>
  <c r="G622" i="13"/>
  <c r="F622" i="13"/>
  <c r="E622" i="13"/>
  <c r="I621" i="13"/>
  <c r="H621" i="13"/>
  <c r="D69" i="17" s="1"/>
  <c r="J69" i="17" s="1"/>
  <c r="G621" i="13"/>
  <c r="F621" i="13"/>
  <c r="E621" i="13"/>
  <c r="I620" i="13"/>
  <c r="H620" i="13"/>
  <c r="D68" i="17" s="1"/>
  <c r="J68" i="17" s="1"/>
  <c r="G620" i="13"/>
  <c r="F620" i="13"/>
  <c r="E620" i="13"/>
  <c r="L619" i="13"/>
  <c r="K619" i="13"/>
  <c r="I619" i="13"/>
  <c r="H619" i="13"/>
  <c r="G619" i="13"/>
  <c r="F619" i="13"/>
  <c r="E619" i="13"/>
  <c r="L618" i="13"/>
  <c r="K618" i="13"/>
  <c r="I618" i="13"/>
  <c r="H618" i="13"/>
  <c r="G618" i="13"/>
  <c r="F618" i="13"/>
  <c r="E618" i="13"/>
  <c r="L617" i="13"/>
  <c r="K617" i="13"/>
  <c r="I617" i="13"/>
  <c r="H617" i="13"/>
  <c r="G617" i="13"/>
  <c r="F617" i="13"/>
  <c r="E617" i="13"/>
  <c r="I616" i="13"/>
  <c r="H616" i="13"/>
  <c r="G616" i="13"/>
  <c r="F616" i="13"/>
  <c r="E616" i="13"/>
  <c r="I615" i="13"/>
  <c r="H615" i="13"/>
  <c r="G615" i="13"/>
  <c r="F615" i="13"/>
  <c r="E615" i="13"/>
  <c r="I614" i="13"/>
  <c r="H614" i="13"/>
  <c r="D102" i="17" s="1"/>
  <c r="J102" i="17" s="1"/>
  <c r="G614" i="13"/>
  <c r="F614" i="13"/>
  <c r="E614" i="13"/>
  <c r="I613" i="13"/>
  <c r="H613" i="13"/>
  <c r="G613" i="13"/>
  <c r="F613" i="13"/>
  <c r="E613" i="13"/>
  <c r="L612" i="13"/>
  <c r="K612" i="13"/>
  <c r="I612" i="13"/>
  <c r="H612" i="13"/>
  <c r="G612" i="13"/>
  <c r="F612" i="13"/>
  <c r="E612" i="13"/>
  <c r="I611" i="13"/>
  <c r="H611" i="13"/>
  <c r="G611" i="13"/>
  <c r="F611" i="13"/>
  <c r="E611" i="13"/>
  <c r="I610" i="13"/>
  <c r="H610" i="13"/>
  <c r="G610" i="13"/>
  <c r="F610" i="13"/>
  <c r="E610" i="13"/>
  <c r="I609" i="13"/>
  <c r="H609" i="13"/>
  <c r="G609" i="13"/>
  <c r="F609" i="13"/>
  <c r="E609" i="13"/>
  <c r="I608" i="13"/>
  <c r="H608" i="13"/>
  <c r="G608" i="13"/>
  <c r="F608" i="13"/>
  <c r="E608" i="13"/>
  <c r="I607" i="13"/>
  <c r="H607" i="13"/>
  <c r="G607" i="13"/>
  <c r="F607" i="13"/>
  <c r="E607" i="13"/>
  <c r="I606" i="13"/>
  <c r="H606" i="13"/>
  <c r="G606" i="13"/>
  <c r="F606" i="13"/>
  <c r="E606" i="13"/>
  <c r="I605" i="13"/>
  <c r="H605" i="13"/>
  <c r="G605" i="13"/>
  <c r="F605" i="13"/>
  <c r="E605" i="13"/>
  <c r="I604" i="13"/>
  <c r="H604" i="13"/>
  <c r="G604" i="13"/>
  <c r="F604" i="13"/>
  <c r="E604" i="13"/>
  <c r="I603" i="13"/>
  <c r="H603" i="13"/>
  <c r="G603" i="13"/>
  <c r="F603" i="13"/>
  <c r="E603" i="13"/>
  <c r="I602" i="13"/>
  <c r="H602" i="13"/>
  <c r="G602" i="13"/>
  <c r="F602" i="13"/>
  <c r="E602" i="13"/>
  <c r="I601" i="13"/>
  <c r="H601" i="13"/>
  <c r="G601" i="13"/>
  <c r="F601" i="13"/>
  <c r="E601" i="13"/>
  <c r="I600" i="13"/>
  <c r="H600" i="13"/>
  <c r="G600" i="13"/>
  <c r="F600" i="13"/>
  <c r="E600" i="13"/>
  <c r="I599" i="13"/>
  <c r="H599" i="13"/>
  <c r="G599" i="13"/>
  <c r="F599" i="13"/>
  <c r="E599" i="13"/>
  <c r="I598" i="13"/>
  <c r="H598" i="13"/>
  <c r="G598" i="13"/>
  <c r="F598" i="13"/>
  <c r="E598" i="13"/>
  <c r="I597" i="13"/>
  <c r="H597" i="13"/>
  <c r="G597" i="13"/>
  <c r="F597" i="13"/>
  <c r="E597" i="13"/>
  <c r="I596" i="13"/>
  <c r="H596" i="13"/>
  <c r="G596" i="13"/>
  <c r="F596" i="13"/>
  <c r="E596" i="13"/>
  <c r="I595" i="13"/>
  <c r="H595" i="13"/>
  <c r="G595" i="13"/>
  <c r="F595" i="13"/>
  <c r="E595" i="13"/>
  <c r="I594" i="13"/>
  <c r="H594" i="13"/>
  <c r="G594" i="13"/>
  <c r="F594" i="13"/>
  <c r="E594" i="13"/>
  <c r="I593" i="13"/>
  <c r="H593" i="13"/>
  <c r="G593" i="13"/>
  <c r="F593" i="13"/>
  <c r="E593" i="13"/>
  <c r="I592" i="13"/>
  <c r="H592" i="13"/>
  <c r="G592" i="13"/>
  <c r="F592" i="13"/>
  <c r="E592" i="13"/>
  <c r="I591" i="13"/>
  <c r="H591" i="13"/>
  <c r="D67" i="17" s="1"/>
  <c r="G591" i="13"/>
  <c r="F591" i="13"/>
  <c r="E591" i="13"/>
  <c r="I590" i="13"/>
  <c r="H590" i="13"/>
  <c r="D66" i="17" s="1"/>
  <c r="J66" i="17" s="1"/>
  <c r="G590" i="13"/>
  <c r="F590" i="13"/>
  <c r="E590" i="13"/>
  <c r="I589" i="13"/>
  <c r="H589" i="13"/>
  <c r="G589" i="13"/>
  <c r="F589" i="13"/>
  <c r="E589" i="13"/>
  <c r="I588" i="13"/>
  <c r="H588" i="13"/>
  <c r="G588" i="13"/>
  <c r="F588" i="13"/>
  <c r="E588" i="13"/>
  <c r="I587" i="13"/>
  <c r="H587" i="13"/>
  <c r="G587" i="13"/>
  <c r="F587" i="13"/>
  <c r="E587" i="13"/>
  <c r="I586" i="13"/>
  <c r="H586" i="13"/>
  <c r="G586" i="13"/>
  <c r="F586" i="13"/>
  <c r="E586" i="13"/>
  <c r="I585" i="13"/>
  <c r="H585" i="13"/>
  <c r="G585" i="13"/>
  <c r="F585" i="13"/>
  <c r="E585" i="13"/>
  <c r="I584" i="13"/>
  <c r="H584" i="13"/>
  <c r="G584" i="13"/>
  <c r="F584" i="13"/>
  <c r="E584" i="13"/>
  <c r="I583" i="13"/>
  <c r="H583" i="13"/>
  <c r="G583" i="13"/>
  <c r="F583" i="13"/>
  <c r="E583" i="13"/>
  <c r="I582" i="13"/>
  <c r="H582" i="13"/>
  <c r="G582" i="13"/>
  <c r="F582" i="13"/>
  <c r="E582" i="13"/>
  <c r="I581" i="13"/>
  <c r="H581" i="13"/>
  <c r="G581" i="13"/>
  <c r="F581" i="13"/>
  <c r="E581" i="13"/>
  <c r="I580" i="13"/>
  <c r="H580" i="13"/>
  <c r="G580" i="13"/>
  <c r="F580" i="13"/>
  <c r="E580" i="13"/>
  <c r="I579" i="13"/>
  <c r="H579" i="13"/>
  <c r="G579" i="13"/>
  <c r="F579" i="13"/>
  <c r="E579" i="13"/>
  <c r="I578" i="13"/>
  <c r="H578" i="13"/>
  <c r="G578" i="13"/>
  <c r="F578" i="13"/>
  <c r="E578" i="13"/>
  <c r="I577" i="13"/>
  <c r="H577" i="13"/>
  <c r="G577" i="13"/>
  <c r="F577" i="13"/>
  <c r="E577" i="13"/>
  <c r="I576" i="13"/>
  <c r="H576" i="13"/>
  <c r="G576" i="13"/>
  <c r="F576" i="13"/>
  <c r="E576" i="13"/>
  <c r="I575" i="13"/>
  <c r="H575" i="13"/>
  <c r="G575" i="13"/>
  <c r="F575" i="13"/>
  <c r="E575" i="13"/>
  <c r="I574" i="13"/>
  <c r="H574" i="13"/>
  <c r="G574" i="13"/>
  <c r="F574" i="13"/>
  <c r="E574" i="13"/>
  <c r="I573" i="13"/>
  <c r="H573" i="13"/>
  <c r="G573" i="13"/>
  <c r="F573" i="13"/>
  <c r="E573" i="13"/>
  <c r="I572" i="13"/>
  <c r="H572" i="13"/>
  <c r="G572" i="13"/>
  <c r="F572" i="13"/>
  <c r="E572" i="13"/>
  <c r="I571" i="13"/>
  <c r="H571" i="13"/>
  <c r="G571" i="13"/>
  <c r="F571" i="13"/>
  <c r="E571" i="13"/>
  <c r="I570" i="13"/>
  <c r="H570" i="13"/>
  <c r="G570" i="13"/>
  <c r="F570" i="13"/>
  <c r="E570" i="13"/>
  <c r="I569" i="13"/>
  <c r="H569" i="13"/>
  <c r="G569" i="13"/>
  <c r="F569" i="13"/>
  <c r="E569" i="13"/>
  <c r="I568" i="13"/>
  <c r="H568" i="13"/>
  <c r="G568" i="13"/>
  <c r="F568" i="13"/>
  <c r="E568" i="13"/>
  <c r="I567" i="13"/>
  <c r="H567" i="13"/>
  <c r="G567" i="13"/>
  <c r="F567" i="13"/>
  <c r="E567" i="13"/>
  <c r="I566" i="13"/>
  <c r="H566" i="13"/>
  <c r="G566" i="13"/>
  <c r="F566" i="13"/>
  <c r="E566" i="13"/>
  <c r="I565" i="13"/>
  <c r="H565" i="13"/>
  <c r="G565" i="13"/>
  <c r="F565" i="13"/>
  <c r="E565" i="13"/>
  <c r="I564" i="13"/>
  <c r="H564" i="13"/>
  <c r="G564" i="13"/>
  <c r="F564" i="13"/>
  <c r="E564" i="13"/>
  <c r="I563" i="13"/>
  <c r="H563" i="13"/>
  <c r="G563" i="13"/>
  <c r="F563" i="13"/>
  <c r="E563" i="13"/>
  <c r="L562" i="13"/>
  <c r="K562" i="13"/>
  <c r="I562" i="13"/>
  <c r="H562" i="13"/>
  <c r="G562" i="13"/>
  <c r="F562" i="13"/>
  <c r="E562" i="13"/>
  <c r="L561" i="13"/>
  <c r="K561" i="13"/>
  <c r="I561" i="13"/>
  <c r="H561" i="13"/>
  <c r="G561" i="13"/>
  <c r="F561" i="13"/>
  <c r="E561" i="13"/>
  <c r="L560" i="13"/>
  <c r="K560" i="13"/>
  <c r="I560" i="13"/>
  <c r="H560" i="13"/>
  <c r="G560" i="13"/>
  <c r="F560" i="13"/>
  <c r="E560" i="13"/>
  <c r="L559" i="13"/>
  <c r="K559" i="13"/>
  <c r="I559" i="13"/>
  <c r="H559" i="13"/>
  <c r="G559" i="13"/>
  <c r="F559" i="13"/>
  <c r="E559" i="13"/>
  <c r="L558" i="13"/>
  <c r="K558" i="13"/>
  <c r="I558" i="13"/>
  <c r="H558" i="13"/>
  <c r="G558" i="13"/>
  <c r="F558" i="13"/>
  <c r="E558" i="13"/>
  <c r="L557" i="13"/>
  <c r="K557" i="13"/>
  <c r="I557" i="13"/>
  <c r="H557" i="13"/>
  <c r="G557" i="13"/>
  <c r="F557" i="13"/>
  <c r="E557" i="13"/>
  <c r="L556" i="13"/>
  <c r="K556" i="13"/>
  <c r="I556" i="13"/>
  <c r="H556" i="13"/>
  <c r="G556" i="13"/>
  <c r="F556" i="13"/>
  <c r="E556" i="13"/>
  <c r="L555" i="13"/>
  <c r="K555" i="13"/>
  <c r="I555" i="13"/>
  <c r="H555" i="13"/>
  <c r="G555" i="13"/>
  <c r="F555" i="13"/>
  <c r="E555" i="13"/>
  <c r="L554" i="13"/>
  <c r="K554" i="13"/>
  <c r="I554" i="13"/>
  <c r="H554" i="13"/>
  <c r="G554" i="13"/>
  <c r="F554" i="13"/>
  <c r="E554" i="13"/>
  <c r="L553" i="13"/>
  <c r="K553" i="13"/>
  <c r="I553" i="13"/>
  <c r="H553" i="13"/>
  <c r="E62" i="10" s="1"/>
  <c r="G62" i="10" s="1"/>
  <c r="H62" i="10" s="1"/>
  <c r="G553" i="13"/>
  <c r="F553" i="13"/>
  <c r="E553" i="13"/>
  <c r="L552" i="13"/>
  <c r="K552" i="13"/>
  <c r="I552" i="13"/>
  <c r="H552" i="13"/>
  <c r="G552" i="13"/>
  <c r="F552" i="13"/>
  <c r="E552" i="13"/>
  <c r="L551" i="13"/>
  <c r="K551" i="13"/>
  <c r="I551" i="13"/>
  <c r="H551" i="13"/>
  <c r="G551" i="13"/>
  <c r="F551" i="13"/>
  <c r="E551" i="13"/>
  <c r="L550" i="13"/>
  <c r="K550" i="13"/>
  <c r="I550" i="13"/>
  <c r="H550" i="13"/>
  <c r="G550" i="13"/>
  <c r="F550" i="13"/>
  <c r="E550" i="13"/>
  <c r="L549" i="13"/>
  <c r="K549" i="13"/>
  <c r="I549" i="13"/>
  <c r="H549" i="13"/>
  <c r="G549" i="13"/>
  <c r="F549" i="13"/>
  <c r="E549" i="13"/>
  <c r="L548" i="13"/>
  <c r="K548" i="13"/>
  <c r="I548" i="13"/>
  <c r="H548" i="13"/>
  <c r="E29" i="10" s="1"/>
  <c r="G548" i="13"/>
  <c r="F548" i="13"/>
  <c r="E548" i="13"/>
  <c r="L547" i="13"/>
  <c r="K547" i="13"/>
  <c r="I547" i="13"/>
  <c r="H547" i="13"/>
  <c r="G547" i="13"/>
  <c r="F547" i="13"/>
  <c r="E547" i="13"/>
  <c r="I546" i="13"/>
  <c r="H546" i="13"/>
  <c r="G546" i="13"/>
  <c r="F546" i="13"/>
  <c r="E546" i="13"/>
  <c r="I545" i="13"/>
  <c r="H545" i="13"/>
  <c r="G545" i="13"/>
  <c r="F545" i="13"/>
  <c r="E545" i="13"/>
  <c r="I544" i="13"/>
  <c r="H544" i="13"/>
  <c r="G544" i="13"/>
  <c r="F544" i="13"/>
  <c r="E544" i="13"/>
  <c r="I543" i="13"/>
  <c r="H543" i="13"/>
  <c r="G543" i="13"/>
  <c r="F543" i="13"/>
  <c r="E543" i="13"/>
  <c r="I542" i="13"/>
  <c r="H542" i="13"/>
  <c r="G542" i="13"/>
  <c r="F542" i="13"/>
  <c r="E542" i="13"/>
  <c r="I541" i="13"/>
  <c r="H541" i="13"/>
  <c r="G541" i="13"/>
  <c r="F541" i="13"/>
  <c r="E541" i="13"/>
  <c r="I540" i="13"/>
  <c r="H540" i="13"/>
  <c r="G540" i="13"/>
  <c r="F540" i="13"/>
  <c r="E540" i="13"/>
  <c r="I539" i="13"/>
  <c r="H539" i="13"/>
  <c r="G539" i="13"/>
  <c r="F539" i="13"/>
  <c r="E539" i="13"/>
  <c r="I538" i="13"/>
  <c r="H538" i="13"/>
  <c r="G538" i="13"/>
  <c r="F538" i="13"/>
  <c r="E538" i="13"/>
  <c r="I537" i="13"/>
  <c r="H537" i="13"/>
  <c r="G537" i="13"/>
  <c r="F537" i="13"/>
  <c r="E537" i="13"/>
  <c r="I536" i="13"/>
  <c r="H536" i="13"/>
  <c r="G536" i="13"/>
  <c r="F536" i="13"/>
  <c r="E536" i="13"/>
  <c r="I535" i="13"/>
  <c r="H535" i="13"/>
  <c r="G535" i="13"/>
  <c r="F535" i="13"/>
  <c r="E535" i="13"/>
  <c r="I534" i="13"/>
  <c r="H534" i="13"/>
  <c r="G534" i="13"/>
  <c r="F534" i="13"/>
  <c r="E534" i="13"/>
  <c r="L533" i="13"/>
  <c r="K533" i="13"/>
  <c r="I533" i="13"/>
  <c r="H533" i="13"/>
  <c r="G533" i="13"/>
  <c r="F533" i="13"/>
  <c r="E533" i="13"/>
  <c r="L532" i="13"/>
  <c r="K532" i="13"/>
  <c r="I532" i="13"/>
  <c r="H532" i="13"/>
  <c r="G532" i="13"/>
  <c r="F532" i="13"/>
  <c r="E532" i="13"/>
  <c r="L531" i="13"/>
  <c r="K531" i="13"/>
  <c r="I531" i="13"/>
  <c r="H531" i="13"/>
  <c r="G531" i="13"/>
  <c r="F531" i="13"/>
  <c r="E531" i="13"/>
  <c r="L530" i="13"/>
  <c r="K530" i="13"/>
  <c r="I530" i="13"/>
  <c r="H530" i="13"/>
  <c r="G530" i="13"/>
  <c r="F530" i="13"/>
  <c r="E530" i="13"/>
  <c r="L529" i="13"/>
  <c r="K529" i="13"/>
  <c r="I529" i="13"/>
  <c r="H529" i="13"/>
  <c r="G529" i="13"/>
  <c r="F529" i="13"/>
  <c r="E529" i="13"/>
  <c r="L528" i="13"/>
  <c r="K528" i="13"/>
  <c r="I528" i="13"/>
  <c r="H528" i="13"/>
  <c r="G528" i="13"/>
  <c r="F528" i="13"/>
  <c r="E528" i="13"/>
  <c r="L527" i="13"/>
  <c r="K527" i="13"/>
  <c r="I527" i="13"/>
  <c r="H527" i="13"/>
  <c r="G527" i="13"/>
  <c r="F527" i="13"/>
  <c r="E527" i="13"/>
  <c r="L526" i="13"/>
  <c r="K526" i="13"/>
  <c r="I526" i="13"/>
  <c r="H526" i="13"/>
  <c r="G526" i="13"/>
  <c r="F526" i="13"/>
  <c r="E526" i="13"/>
  <c r="L525" i="13"/>
  <c r="K525" i="13"/>
  <c r="I525" i="13"/>
  <c r="H525" i="13"/>
  <c r="G525" i="13"/>
  <c r="F525" i="13"/>
  <c r="E525" i="13"/>
  <c r="L524" i="13"/>
  <c r="K524" i="13"/>
  <c r="I524" i="13"/>
  <c r="H524" i="13"/>
  <c r="G524" i="13"/>
  <c r="F524" i="13"/>
  <c r="E524" i="13"/>
  <c r="L523" i="13"/>
  <c r="K523" i="13"/>
  <c r="I523" i="13"/>
  <c r="H523" i="13"/>
  <c r="G523" i="13"/>
  <c r="F523" i="13"/>
  <c r="E523" i="13"/>
  <c r="L522" i="13"/>
  <c r="K522" i="13"/>
  <c r="I522" i="13"/>
  <c r="H522" i="13"/>
  <c r="G522" i="13"/>
  <c r="F522" i="13"/>
  <c r="E522" i="13"/>
  <c r="L521" i="13"/>
  <c r="K521" i="13"/>
  <c r="I521" i="13"/>
  <c r="H521" i="13"/>
  <c r="G521" i="13"/>
  <c r="F521" i="13"/>
  <c r="E521" i="13"/>
  <c r="L520" i="13"/>
  <c r="K520" i="13"/>
  <c r="I520" i="13"/>
  <c r="H520" i="13"/>
  <c r="G520" i="13"/>
  <c r="F520" i="13"/>
  <c r="E520" i="13"/>
  <c r="L519" i="13"/>
  <c r="K519" i="13"/>
  <c r="I519" i="13"/>
  <c r="H519" i="13"/>
  <c r="G519" i="13"/>
  <c r="F519" i="13"/>
  <c r="E519" i="13"/>
  <c r="L518" i="13"/>
  <c r="K518" i="13"/>
  <c r="I518" i="13"/>
  <c r="H518" i="13"/>
  <c r="G518" i="13"/>
  <c r="F518" i="13"/>
  <c r="E518" i="13"/>
  <c r="L517" i="13"/>
  <c r="K517" i="13"/>
  <c r="I517" i="13"/>
  <c r="H517" i="13"/>
  <c r="G517" i="13"/>
  <c r="F517" i="13"/>
  <c r="E517" i="13"/>
  <c r="L516" i="13"/>
  <c r="K516" i="13"/>
  <c r="I516" i="13"/>
  <c r="H516" i="13"/>
  <c r="G516" i="13"/>
  <c r="F516" i="13"/>
  <c r="E516" i="13"/>
  <c r="L515" i="13"/>
  <c r="K515" i="13"/>
  <c r="I515" i="13"/>
  <c r="H515" i="13"/>
  <c r="G515" i="13"/>
  <c r="F515" i="13"/>
  <c r="E515" i="13"/>
  <c r="L514" i="13"/>
  <c r="K514" i="13"/>
  <c r="I514" i="13"/>
  <c r="H514" i="13"/>
  <c r="G514" i="13"/>
  <c r="F514" i="13"/>
  <c r="E514" i="13"/>
  <c r="L513" i="13"/>
  <c r="K513" i="13"/>
  <c r="I513" i="13"/>
  <c r="H513" i="13"/>
  <c r="G513" i="13"/>
  <c r="F513" i="13"/>
  <c r="E513" i="13"/>
  <c r="L512" i="13"/>
  <c r="K512" i="13"/>
  <c r="I512" i="13"/>
  <c r="H512" i="13"/>
  <c r="G512" i="13"/>
  <c r="F512" i="13"/>
  <c r="E512" i="13"/>
  <c r="L511" i="13"/>
  <c r="K511" i="13"/>
  <c r="I511" i="13"/>
  <c r="H511" i="13"/>
  <c r="G511" i="13"/>
  <c r="F511" i="13"/>
  <c r="E511" i="13"/>
  <c r="L510" i="13"/>
  <c r="K510" i="13"/>
  <c r="I510" i="13"/>
  <c r="H510" i="13"/>
  <c r="G510" i="13"/>
  <c r="F510" i="13"/>
  <c r="E510" i="13"/>
  <c r="L509" i="13"/>
  <c r="K509" i="13"/>
  <c r="I509" i="13"/>
  <c r="H509" i="13"/>
  <c r="G509" i="13"/>
  <c r="F509" i="13"/>
  <c r="E509" i="13"/>
  <c r="L508" i="13"/>
  <c r="K508" i="13"/>
  <c r="I508" i="13"/>
  <c r="H508" i="13"/>
  <c r="G508" i="13"/>
  <c r="F508" i="13"/>
  <c r="E508" i="13"/>
  <c r="L507" i="13"/>
  <c r="K507" i="13"/>
  <c r="I507" i="13"/>
  <c r="H507" i="13"/>
  <c r="G507" i="13"/>
  <c r="F507" i="13"/>
  <c r="E507" i="13"/>
  <c r="I506" i="13"/>
  <c r="H506" i="13"/>
  <c r="D122" i="17" s="1"/>
  <c r="G506" i="13"/>
  <c r="F506" i="13"/>
  <c r="E506" i="13"/>
  <c r="L505" i="13"/>
  <c r="K505" i="13"/>
  <c r="I505" i="13"/>
  <c r="H505" i="13"/>
  <c r="G505" i="13"/>
  <c r="F505" i="13"/>
  <c r="E505" i="13"/>
  <c r="L504" i="13"/>
  <c r="K504" i="13"/>
  <c r="I504" i="13"/>
  <c r="H504" i="13"/>
  <c r="G504" i="13"/>
  <c r="F504" i="13"/>
  <c r="E504" i="13"/>
  <c r="L503" i="13"/>
  <c r="K503" i="13"/>
  <c r="I503" i="13"/>
  <c r="H503" i="13"/>
  <c r="G503" i="13"/>
  <c r="F503" i="13"/>
  <c r="E503" i="13"/>
  <c r="L502" i="13"/>
  <c r="K502" i="13"/>
  <c r="I502" i="13"/>
  <c r="H502" i="13"/>
  <c r="G502" i="13"/>
  <c r="F502" i="13"/>
  <c r="E502" i="13"/>
  <c r="I501" i="13"/>
  <c r="H501" i="13"/>
  <c r="G501" i="13"/>
  <c r="F501" i="13"/>
  <c r="E501" i="13"/>
  <c r="L500" i="13"/>
  <c r="K500" i="13"/>
  <c r="I500" i="13"/>
  <c r="H500" i="13"/>
  <c r="G500" i="13"/>
  <c r="F500" i="13"/>
  <c r="E500" i="13"/>
  <c r="L499" i="13"/>
  <c r="K499" i="13"/>
  <c r="I499" i="13"/>
  <c r="H499" i="13"/>
  <c r="G499" i="13"/>
  <c r="F499" i="13"/>
  <c r="E499" i="13"/>
  <c r="L498" i="13"/>
  <c r="K498" i="13"/>
  <c r="I498" i="13"/>
  <c r="H498" i="13"/>
  <c r="G498" i="13"/>
  <c r="F498" i="13"/>
  <c r="E498" i="13"/>
  <c r="L497" i="13"/>
  <c r="K497" i="13"/>
  <c r="I497" i="13"/>
  <c r="H497" i="13"/>
  <c r="G497" i="13"/>
  <c r="F497" i="13"/>
  <c r="E497" i="13"/>
  <c r="L496" i="13"/>
  <c r="K496" i="13"/>
  <c r="I496" i="13"/>
  <c r="H496" i="13"/>
  <c r="G496" i="13"/>
  <c r="F496" i="13"/>
  <c r="E496" i="13"/>
  <c r="L495" i="13"/>
  <c r="K495" i="13"/>
  <c r="I495" i="13"/>
  <c r="H495" i="13"/>
  <c r="G495" i="13"/>
  <c r="F495" i="13"/>
  <c r="E495" i="13"/>
  <c r="L494" i="13"/>
  <c r="K494" i="13"/>
  <c r="I494" i="13"/>
  <c r="H494" i="13"/>
  <c r="G494" i="13"/>
  <c r="F494" i="13"/>
  <c r="E494" i="13"/>
  <c r="L493" i="13"/>
  <c r="K493" i="13"/>
  <c r="I493" i="13"/>
  <c r="H493" i="13"/>
  <c r="G493" i="13"/>
  <c r="F493" i="13"/>
  <c r="E493" i="13"/>
  <c r="L492" i="13"/>
  <c r="K492" i="13"/>
  <c r="I492" i="13"/>
  <c r="H492" i="13"/>
  <c r="G492" i="13"/>
  <c r="F492" i="13"/>
  <c r="E492" i="13"/>
  <c r="L491" i="13"/>
  <c r="K491" i="13"/>
  <c r="I491" i="13"/>
  <c r="H491" i="13"/>
  <c r="G491" i="13"/>
  <c r="F491" i="13"/>
  <c r="E491" i="13"/>
  <c r="L490" i="13"/>
  <c r="K490" i="13"/>
  <c r="I490" i="13"/>
  <c r="H490" i="13"/>
  <c r="G490" i="13"/>
  <c r="F490" i="13"/>
  <c r="E490" i="13"/>
  <c r="L489" i="13"/>
  <c r="K489" i="13"/>
  <c r="I489" i="13"/>
  <c r="H489" i="13"/>
  <c r="G489" i="13"/>
  <c r="F489" i="13"/>
  <c r="E489" i="13"/>
  <c r="L488" i="13"/>
  <c r="K488" i="13"/>
  <c r="I488" i="13"/>
  <c r="H488" i="13"/>
  <c r="G488" i="13"/>
  <c r="F488" i="13"/>
  <c r="E488" i="13"/>
  <c r="L487" i="13"/>
  <c r="K487" i="13"/>
  <c r="I487" i="13"/>
  <c r="H487" i="13"/>
  <c r="G487" i="13"/>
  <c r="F487" i="13"/>
  <c r="E487" i="13"/>
  <c r="L486" i="13"/>
  <c r="K486" i="13"/>
  <c r="I486" i="13"/>
  <c r="H486" i="13"/>
  <c r="G486" i="13"/>
  <c r="F486" i="13"/>
  <c r="E486" i="13"/>
  <c r="L485" i="13"/>
  <c r="K485" i="13"/>
  <c r="I485" i="13"/>
  <c r="H485" i="13"/>
  <c r="G485" i="13"/>
  <c r="F485" i="13"/>
  <c r="E485" i="13"/>
  <c r="L484" i="13"/>
  <c r="K484" i="13"/>
  <c r="I484" i="13"/>
  <c r="H484" i="13"/>
  <c r="G484" i="13"/>
  <c r="F484" i="13"/>
  <c r="E484" i="13"/>
  <c r="L483" i="13"/>
  <c r="K483" i="13"/>
  <c r="I483" i="13"/>
  <c r="H483" i="13"/>
  <c r="G483" i="13"/>
  <c r="F483" i="13"/>
  <c r="E483" i="13"/>
  <c r="L482" i="13"/>
  <c r="K482" i="13"/>
  <c r="I482" i="13"/>
  <c r="H482" i="13"/>
  <c r="G482" i="13"/>
  <c r="F482" i="13"/>
  <c r="E482" i="13"/>
  <c r="L481" i="13"/>
  <c r="K481" i="13"/>
  <c r="I481" i="13"/>
  <c r="H481" i="13"/>
  <c r="G481" i="13"/>
  <c r="F481" i="13"/>
  <c r="E481" i="13"/>
  <c r="L480" i="13"/>
  <c r="K480" i="13"/>
  <c r="I480" i="13"/>
  <c r="H480" i="13"/>
  <c r="G480" i="13"/>
  <c r="F480" i="13"/>
  <c r="E480" i="13"/>
  <c r="L479" i="13"/>
  <c r="K479" i="13"/>
  <c r="I479" i="13"/>
  <c r="H479" i="13"/>
  <c r="G479" i="13"/>
  <c r="F479" i="13"/>
  <c r="E479" i="13"/>
  <c r="L478" i="13"/>
  <c r="K478" i="13"/>
  <c r="I478" i="13"/>
  <c r="H478" i="13"/>
  <c r="G478" i="13"/>
  <c r="F478" i="13"/>
  <c r="E478" i="13"/>
  <c r="L477" i="13"/>
  <c r="K477" i="13"/>
  <c r="I477" i="13"/>
  <c r="H477" i="13"/>
  <c r="G477" i="13"/>
  <c r="F477" i="13"/>
  <c r="E477" i="13"/>
  <c r="L476" i="13"/>
  <c r="K476" i="13"/>
  <c r="I476" i="13"/>
  <c r="H476" i="13"/>
  <c r="G476" i="13"/>
  <c r="F476" i="13"/>
  <c r="E476" i="13"/>
  <c r="L475" i="13"/>
  <c r="K475" i="13"/>
  <c r="I475" i="13"/>
  <c r="H475" i="13"/>
  <c r="G475" i="13"/>
  <c r="F475" i="13"/>
  <c r="E475" i="13"/>
  <c r="L474" i="13"/>
  <c r="K474" i="13"/>
  <c r="I474" i="13"/>
  <c r="H474" i="13"/>
  <c r="G474" i="13"/>
  <c r="F474" i="13"/>
  <c r="E474" i="13"/>
  <c r="I473" i="13"/>
  <c r="H473" i="13"/>
  <c r="D30" i="17" s="1"/>
  <c r="G473" i="13"/>
  <c r="F473" i="13"/>
  <c r="E473" i="13"/>
  <c r="I472" i="13"/>
  <c r="H472" i="13"/>
  <c r="D64" i="17" s="1"/>
  <c r="J64" i="17" s="1"/>
  <c r="G472" i="13"/>
  <c r="F472" i="13"/>
  <c r="E472" i="13"/>
  <c r="I471" i="13"/>
  <c r="H471" i="13"/>
  <c r="G471" i="13"/>
  <c r="F471" i="13"/>
  <c r="E471" i="13"/>
  <c r="I470" i="13"/>
  <c r="H470" i="13"/>
  <c r="G470" i="13"/>
  <c r="F470" i="13"/>
  <c r="E470" i="13"/>
  <c r="I469" i="13"/>
  <c r="H469" i="13"/>
  <c r="D65" i="17" s="1"/>
  <c r="G469" i="13"/>
  <c r="F469" i="13"/>
  <c r="E469" i="13"/>
  <c r="I468" i="13"/>
  <c r="H468" i="13"/>
  <c r="G468" i="13"/>
  <c r="F468" i="13"/>
  <c r="E468" i="13"/>
  <c r="I467" i="13"/>
  <c r="H467" i="13"/>
  <c r="G467" i="13"/>
  <c r="F467" i="13"/>
  <c r="E467" i="13"/>
  <c r="I466" i="13"/>
  <c r="H466" i="13"/>
  <c r="G466" i="13"/>
  <c r="F466" i="13"/>
  <c r="E466" i="13"/>
  <c r="I465" i="13"/>
  <c r="H465" i="13"/>
  <c r="G465" i="13"/>
  <c r="F465" i="13"/>
  <c r="E465" i="13"/>
  <c r="I464" i="13"/>
  <c r="H464" i="13"/>
  <c r="G464" i="13"/>
  <c r="F464" i="13"/>
  <c r="E464" i="13"/>
  <c r="I463" i="13"/>
  <c r="H463" i="13"/>
  <c r="G463" i="13"/>
  <c r="F463" i="13"/>
  <c r="E463" i="13"/>
  <c r="I462" i="13"/>
  <c r="H462" i="13"/>
  <c r="G462" i="13"/>
  <c r="F462" i="13"/>
  <c r="E462" i="13"/>
  <c r="I461" i="13"/>
  <c r="H461" i="13"/>
  <c r="G461" i="13"/>
  <c r="F461" i="13"/>
  <c r="E461" i="13"/>
  <c r="I460" i="13"/>
  <c r="H460" i="13"/>
  <c r="G460" i="13"/>
  <c r="F460" i="13"/>
  <c r="E460" i="13"/>
  <c r="I459" i="13"/>
  <c r="H459" i="13"/>
  <c r="G459" i="13"/>
  <c r="F459" i="13"/>
  <c r="E459" i="13"/>
  <c r="I458" i="13"/>
  <c r="H458" i="13"/>
  <c r="G458" i="13"/>
  <c r="F458" i="13"/>
  <c r="E458" i="13"/>
  <c r="I457" i="13"/>
  <c r="H457" i="13"/>
  <c r="G457" i="13"/>
  <c r="F457" i="13"/>
  <c r="E457" i="13"/>
  <c r="I456" i="13"/>
  <c r="H456" i="13"/>
  <c r="G456" i="13"/>
  <c r="F456" i="13"/>
  <c r="E456" i="13"/>
  <c r="I455" i="13"/>
  <c r="H455" i="13"/>
  <c r="G455" i="13"/>
  <c r="F455" i="13"/>
  <c r="E455" i="13"/>
  <c r="I454" i="13"/>
  <c r="H454" i="13"/>
  <c r="D29" i="17" s="1"/>
  <c r="J29" i="17" s="1"/>
  <c r="G454" i="13"/>
  <c r="F454" i="13"/>
  <c r="E454" i="13"/>
  <c r="I453" i="13"/>
  <c r="H453" i="13"/>
  <c r="G453" i="13"/>
  <c r="F453" i="13"/>
  <c r="E453" i="13"/>
  <c r="I452" i="13"/>
  <c r="H452" i="13"/>
  <c r="G452" i="13"/>
  <c r="F452" i="13"/>
  <c r="E452" i="13"/>
  <c r="I451" i="13"/>
  <c r="H451" i="13"/>
  <c r="G451" i="13"/>
  <c r="F451" i="13"/>
  <c r="E451" i="13"/>
  <c r="I450" i="13"/>
  <c r="H450" i="13"/>
  <c r="G450" i="13"/>
  <c r="F450" i="13"/>
  <c r="E450" i="13"/>
  <c r="I449" i="13"/>
  <c r="H449" i="13"/>
  <c r="G449" i="13"/>
  <c r="F449" i="13"/>
  <c r="E449" i="13"/>
  <c r="I448" i="13"/>
  <c r="H448" i="13"/>
  <c r="D28" i="17" s="1"/>
  <c r="G448" i="13"/>
  <c r="F448" i="13"/>
  <c r="E448" i="13"/>
  <c r="I447" i="13"/>
  <c r="H447" i="13"/>
  <c r="G447" i="13"/>
  <c r="F447" i="13"/>
  <c r="E447" i="13"/>
  <c r="I446" i="13"/>
  <c r="H446" i="13"/>
  <c r="G446" i="13"/>
  <c r="F446" i="13"/>
  <c r="E446" i="13"/>
  <c r="L445" i="13"/>
  <c r="K445" i="13"/>
  <c r="I445" i="13"/>
  <c r="H445" i="13"/>
  <c r="G445" i="13"/>
  <c r="F445" i="13"/>
  <c r="E445" i="13"/>
  <c r="L444" i="13"/>
  <c r="K444" i="13"/>
  <c r="I444" i="13"/>
  <c r="H444" i="13"/>
  <c r="G444" i="13"/>
  <c r="F444" i="13"/>
  <c r="E444" i="13"/>
  <c r="L443" i="13"/>
  <c r="K443" i="13"/>
  <c r="I443" i="13"/>
  <c r="H443" i="13"/>
  <c r="G443" i="13"/>
  <c r="F443" i="13"/>
  <c r="E443" i="13"/>
  <c r="I442" i="13"/>
  <c r="H442" i="13"/>
  <c r="G442" i="13"/>
  <c r="F442" i="13"/>
  <c r="E442" i="13"/>
  <c r="I441" i="13"/>
  <c r="H441" i="13"/>
  <c r="G441" i="13"/>
  <c r="F441" i="13"/>
  <c r="E441" i="13"/>
  <c r="I440" i="13"/>
  <c r="H440" i="13"/>
  <c r="G440" i="13"/>
  <c r="F440" i="13"/>
  <c r="E440" i="13"/>
  <c r="L439" i="13"/>
  <c r="K439" i="13"/>
  <c r="I439" i="13"/>
  <c r="H439" i="13"/>
  <c r="G439" i="13"/>
  <c r="F439" i="13"/>
  <c r="E439" i="13"/>
  <c r="I438" i="13"/>
  <c r="H438" i="13"/>
  <c r="G438" i="13"/>
  <c r="F438" i="13"/>
  <c r="E438" i="13"/>
  <c r="I437" i="13"/>
  <c r="H437" i="13"/>
  <c r="G437" i="13"/>
  <c r="F437" i="13"/>
  <c r="E437" i="13"/>
  <c r="I436" i="13"/>
  <c r="H436" i="13"/>
  <c r="G436" i="13"/>
  <c r="F436" i="13"/>
  <c r="E436" i="13"/>
  <c r="I435" i="13"/>
  <c r="H435" i="13"/>
  <c r="G435" i="13"/>
  <c r="F435" i="13"/>
  <c r="E435" i="13"/>
  <c r="I434" i="13"/>
  <c r="H434" i="13"/>
  <c r="G434" i="13"/>
  <c r="F434" i="13"/>
  <c r="E434" i="13"/>
  <c r="I433" i="13"/>
  <c r="H433" i="13"/>
  <c r="G433" i="13"/>
  <c r="F433" i="13"/>
  <c r="E433" i="13"/>
  <c r="I432" i="13"/>
  <c r="H432" i="13"/>
  <c r="G432" i="13"/>
  <c r="F432" i="13"/>
  <c r="E432" i="13"/>
  <c r="I431" i="13"/>
  <c r="H431" i="13"/>
  <c r="G431" i="13"/>
  <c r="F431" i="13"/>
  <c r="E431" i="13"/>
  <c r="L430" i="13"/>
  <c r="K430" i="13"/>
  <c r="I430" i="13"/>
  <c r="H430" i="13"/>
  <c r="G430" i="13"/>
  <c r="F430" i="13"/>
  <c r="E430" i="13"/>
  <c r="L429" i="13"/>
  <c r="K429" i="13"/>
  <c r="I429" i="13"/>
  <c r="H429" i="13"/>
  <c r="G429" i="13"/>
  <c r="F429" i="13"/>
  <c r="E429" i="13"/>
  <c r="L428" i="13"/>
  <c r="K428" i="13"/>
  <c r="I428" i="13"/>
  <c r="H428" i="13"/>
  <c r="G428" i="13"/>
  <c r="F428" i="13"/>
  <c r="E428" i="13"/>
  <c r="L427" i="13"/>
  <c r="K427" i="13"/>
  <c r="I427" i="13"/>
  <c r="H427" i="13"/>
  <c r="G427" i="13"/>
  <c r="F427" i="13"/>
  <c r="E427" i="13"/>
  <c r="L426" i="13"/>
  <c r="K426" i="13"/>
  <c r="I426" i="13"/>
  <c r="H426" i="13"/>
  <c r="G426" i="13"/>
  <c r="F426" i="13"/>
  <c r="E426" i="13"/>
  <c r="L425" i="13"/>
  <c r="K425" i="13"/>
  <c r="I425" i="13"/>
  <c r="H425" i="13"/>
  <c r="G425" i="13"/>
  <c r="F425" i="13"/>
  <c r="E425" i="13"/>
  <c r="L424" i="13"/>
  <c r="K424" i="13"/>
  <c r="I424" i="13"/>
  <c r="H424" i="13"/>
  <c r="G424" i="13"/>
  <c r="F424" i="13"/>
  <c r="E424" i="13"/>
  <c r="L423" i="13"/>
  <c r="K423" i="13"/>
  <c r="I423" i="13"/>
  <c r="H423" i="13"/>
  <c r="G423" i="13"/>
  <c r="F423" i="13"/>
  <c r="E423" i="13"/>
  <c r="L422" i="13"/>
  <c r="K422" i="13"/>
  <c r="I422" i="13"/>
  <c r="H422" i="13"/>
  <c r="G422" i="13"/>
  <c r="F422" i="13"/>
  <c r="E422" i="13"/>
  <c r="L421" i="13"/>
  <c r="K421" i="13"/>
  <c r="I421" i="13"/>
  <c r="H421" i="13"/>
  <c r="G421" i="13"/>
  <c r="F421" i="13"/>
  <c r="E421" i="13"/>
  <c r="L420" i="13"/>
  <c r="K420" i="13"/>
  <c r="I420" i="13"/>
  <c r="H420" i="13"/>
  <c r="G420" i="13"/>
  <c r="F420" i="13"/>
  <c r="E420" i="13"/>
  <c r="L419" i="13"/>
  <c r="K419" i="13"/>
  <c r="I419" i="13"/>
  <c r="H419" i="13"/>
  <c r="G419" i="13"/>
  <c r="F419" i="13"/>
  <c r="E419" i="13"/>
  <c r="L418" i="13"/>
  <c r="K418" i="13"/>
  <c r="I418" i="13"/>
  <c r="H418" i="13"/>
  <c r="G418" i="13"/>
  <c r="F418" i="13"/>
  <c r="E418" i="13"/>
  <c r="L417" i="13"/>
  <c r="K417" i="13"/>
  <c r="I417" i="13"/>
  <c r="H417" i="13"/>
  <c r="G417" i="13"/>
  <c r="F417" i="13"/>
  <c r="E417" i="13"/>
  <c r="L416" i="13"/>
  <c r="K416" i="13"/>
  <c r="I416" i="13"/>
  <c r="H416" i="13"/>
  <c r="G416" i="13"/>
  <c r="F416" i="13"/>
  <c r="E416" i="13"/>
  <c r="L415" i="13"/>
  <c r="K415" i="13"/>
  <c r="I415" i="13"/>
  <c r="H415" i="13"/>
  <c r="G415" i="13"/>
  <c r="F415" i="13"/>
  <c r="E415" i="13"/>
  <c r="L414" i="13"/>
  <c r="K414" i="13"/>
  <c r="I414" i="13"/>
  <c r="H414" i="13"/>
  <c r="G414" i="13"/>
  <c r="F414" i="13"/>
  <c r="E414" i="13"/>
  <c r="I413" i="13"/>
  <c r="H413" i="13"/>
  <c r="D33" i="17" s="1"/>
  <c r="G413" i="13"/>
  <c r="F413" i="13"/>
  <c r="E413" i="13"/>
  <c r="I412" i="13"/>
  <c r="H412" i="13"/>
  <c r="G412" i="13"/>
  <c r="F412" i="13"/>
  <c r="E412" i="13"/>
  <c r="I411" i="13"/>
  <c r="H411" i="13"/>
  <c r="G411" i="13"/>
  <c r="F411" i="13"/>
  <c r="E411" i="13"/>
  <c r="L410" i="13"/>
  <c r="K410" i="13"/>
  <c r="I410" i="13"/>
  <c r="H410" i="13"/>
  <c r="G410" i="13"/>
  <c r="F410" i="13"/>
  <c r="E410" i="13"/>
  <c r="I409" i="13"/>
  <c r="H409" i="13"/>
  <c r="G409" i="13"/>
  <c r="F409" i="13"/>
  <c r="E409" i="13"/>
  <c r="I408" i="13"/>
  <c r="H408" i="13"/>
  <c r="G408" i="13"/>
  <c r="F408" i="13"/>
  <c r="E408" i="13"/>
  <c r="I407" i="13"/>
  <c r="H407" i="13"/>
  <c r="G407" i="13"/>
  <c r="F407" i="13"/>
  <c r="E407" i="13"/>
  <c r="I406" i="13"/>
  <c r="H406" i="13"/>
  <c r="G406" i="13"/>
  <c r="F406" i="13"/>
  <c r="E406" i="13"/>
  <c r="I405" i="13"/>
  <c r="H405" i="13"/>
  <c r="G405" i="13"/>
  <c r="F405" i="13"/>
  <c r="E405" i="13"/>
  <c r="I404" i="13"/>
  <c r="H404" i="13"/>
  <c r="G404" i="13"/>
  <c r="F404" i="13"/>
  <c r="E404" i="13"/>
  <c r="I403" i="13"/>
  <c r="H403" i="13"/>
  <c r="G403" i="13"/>
  <c r="F403" i="13"/>
  <c r="E403" i="13"/>
  <c r="I402" i="13"/>
  <c r="H402" i="13"/>
  <c r="G402" i="13"/>
  <c r="F402" i="13"/>
  <c r="E402" i="13"/>
  <c r="I401" i="13"/>
  <c r="H401" i="13"/>
  <c r="G401" i="13"/>
  <c r="F401" i="13"/>
  <c r="E401" i="13"/>
  <c r="I400" i="13"/>
  <c r="H400" i="13"/>
  <c r="G400" i="13"/>
  <c r="F400" i="13"/>
  <c r="E400" i="13"/>
  <c r="I399" i="13"/>
  <c r="H399" i="13"/>
  <c r="G399" i="13"/>
  <c r="F399" i="13"/>
  <c r="E399" i="13"/>
  <c r="I398" i="13"/>
  <c r="H398" i="13"/>
  <c r="G398" i="13"/>
  <c r="F398" i="13"/>
  <c r="E398" i="13"/>
  <c r="I397" i="13"/>
  <c r="H397" i="13"/>
  <c r="G397" i="13"/>
  <c r="F397" i="13"/>
  <c r="E397" i="13"/>
  <c r="I396" i="13"/>
  <c r="H396" i="13"/>
  <c r="G396" i="13"/>
  <c r="F396" i="13"/>
  <c r="E396" i="13"/>
  <c r="I395" i="13"/>
  <c r="H395" i="13"/>
  <c r="G395" i="13"/>
  <c r="F395" i="13"/>
  <c r="E395" i="13"/>
  <c r="I394" i="13"/>
  <c r="H394" i="13"/>
  <c r="G394" i="13"/>
  <c r="F394" i="13"/>
  <c r="E394" i="13"/>
  <c r="I393" i="13"/>
  <c r="H393" i="13"/>
  <c r="G393" i="13"/>
  <c r="F393" i="13"/>
  <c r="E393" i="13"/>
  <c r="I392" i="13"/>
  <c r="H392" i="13"/>
  <c r="G392" i="13"/>
  <c r="F392" i="13"/>
  <c r="E392" i="13"/>
  <c r="I391" i="13"/>
  <c r="H391" i="13"/>
  <c r="G391" i="13"/>
  <c r="F391" i="13"/>
  <c r="E391" i="13"/>
  <c r="I390" i="13"/>
  <c r="H390" i="13"/>
  <c r="G390" i="13"/>
  <c r="F390" i="13"/>
  <c r="E390" i="13"/>
  <c r="I389" i="13"/>
  <c r="H389" i="13"/>
  <c r="G389" i="13"/>
  <c r="F389" i="13"/>
  <c r="E389" i="13"/>
  <c r="I388" i="13"/>
  <c r="H388" i="13"/>
  <c r="G388" i="13"/>
  <c r="F388" i="13"/>
  <c r="E388" i="13"/>
  <c r="I387" i="13"/>
  <c r="H387" i="13"/>
  <c r="G387" i="13"/>
  <c r="F387" i="13"/>
  <c r="E387" i="13"/>
  <c r="I386" i="13"/>
  <c r="H386" i="13"/>
  <c r="D63" i="17" s="1"/>
  <c r="J63" i="17" s="1"/>
  <c r="G386" i="13"/>
  <c r="F386" i="13"/>
  <c r="E386" i="13"/>
  <c r="I385" i="13"/>
  <c r="H385" i="13"/>
  <c r="D27" i="17" s="1"/>
  <c r="J27" i="17" s="1"/>
  <c r="G385" i="13"/>
  <c r="F385" i="13"/>
  <c r="E385" i="13"/>
  <c r="L384" i="13"/>
  <c r="K384" i="13"/>
  <c r="I384" i="13"/>
  <c r="H384" i="13"/>
  <c r="G384" i="13"/>
  <c r="F384" i="13"/>
  <c r="E384" i="13"/>
  <c r="I383" i="13"/>
  <c r="H383" i="13"/>
  <c r="D62" i="17" s="1"/>
  <c r="J62" i="17" s="1"/>
  <c r="G383" i="13"/>
  <c r="F383" i="13"/>
  <c r="E383" i="13"/>
  <c r="I382" i="13"/>
  <c r="H382" i="13"/>
  <c r="D112" i="17" s="1"/>
  <c r="J112" i="17" s="1"/>
  <c r="G382" i="13"/>
  <c r="F382" i="13"/>
  <c r="E382" i="13"/>
  <c r="I381" i="13"/>
  <c r="H381" i="13"/>
  <c r="G381" i="13"/>
  <c r="F381" i="13"/>
  <c r="E381" i="13"/>
  <c r="I380" i="13"/>
  <c r="H380" i="13"/>
  <c r="G380" i="13"/>
  <c r="F380" i="13"/>
  <c r="E380" i="13"/>
  <c r="I379" i="13"/>
  <c r="H379" i="13"/>
  <c r="G379" i="13"/>
  <c r="F379" i="13"/>
  <c r="E379" i="13"/>
  <c r="I378" i="13"/>
  <c r="H378" i="13"/>
  <c r="G378" i="13"/>
  <c r="F378" i="13"/>
  <c r="E378" i="13"/>
  <c r="L377" i="13"/>
  <c r="K377" i="13"/>
  <c r="I377" i="13"/>
  <c r="H377" i="13"/>
  <c r="G377" i="13"/>
  <c r="F377" i="13"/>
  <c r="E377" i="13"/>
  <c r="L376" i="13"/>
  <c r="K376" i="13"/>
  <c r="I376" i="13"/>
  <c r="H376" i="13"/>
  <c r="G376" i="13"/>
  <c r="F376" i="13"/>
  <c r="E376" i="13"/>
  <c r="L375" i="13"/>
  <c r="K375" i="13"/>
  <c r="I375" i="13"/>
  <c r="H375" i="13"/>
  <c r="D99" i="17" s="1"/>
  <c r="G375" i="13"/>
  <c r="F375" i="13"/>
  <c r="E375" i="13"/>
  <c r="L374" i="13"/>
  <c r="K374" i="13"/>
  <c r="I374" i="13"/>
  <c r="H374" i="13"/>
  <c r="D97" i="17" s="1"/>
  <c r="J97" i="17" s="1"/>
  <c r="G374" i="13"/>
  <c r="F374" i="13"/>
  <c r="E374" i="13"/>
  <c r="L373" i="13"/>
  <c r="K373" i="13"/>
  <c r="I373" i="13"/>
  <c r="H373" i="13"/>
  <c r="G373" i="13"/>
  <c r="F373" i="13"/>
  <c r="E373" i="13"/>
  <c r="L372" i="13"/>
  <c r="K372" i="13"/>
  <c r="I372" i="13"/>
  <c r="H372" i="13"/>
  <c r="D98" i="17" s="1"/>
  <c r="J98" i="17" s="1"/>
  <c r="G372" i="13"/>
  <c r="F372" i="13"/>
  <c r="E372" i="13"/>
  <c r="L371" i="13"/>
  <c r="K371" i="13"/>
  <c r="I371" i="13"/>
  <c r="H371" i="13"/>
  <c r="D111" i="17" s="1"/>
  <c r="G371" i="13"/>
  <c r="F371" i="13"/>
  <c r="E371" i="13"/>
  <c r="L370" i="13"/>
  <c r="K370" i="13"/>
  <c r="I370" i="13"/>
  <c r="H370" i="13"/>
  <c r="G370" i="13"/>
  <c r="F370" i="13"/>
  <c r="E370" i="13"/>
  <c r="L369" i="13"/>
  <c r="K369" i="13"/>
  <c r="I369" i="13"/>
  <c r="H369" i="13"/>
  <c r="G369" i="13"/>
  <c r="F369" i="13"/>
  <c r="E369" i="13"/>
  <c r="L368" i="13"/>
  <c r="K368" i="13"/>
  <c r="I368" i="13"/>
  <c r="H368" i="13"/>
  <c r="G368" i="13"/>
  <c r="F368" i="13"/>
  <c r="E368" i="13"/>
  <c r="L367" i="13"/>
  <c r="K367" i="13"/>
  <c r="I367" i="13"/>
  <c r="H367" i="13"/>
  <c r="G367" i="13"/>
  <c r="F367" i="13"/>
  <c r="E367" i="13"/>
  <c r="L366" i="13"/>
  <c r="K366" i="13"/>
  <c r="I366" i="13"/>
  <c r="H366" i="13"/>
  <c r="G366" i="13"/>
  <c r="F366" i="13"/>
  <c r="E366" i="13"/>
  <c r="L365" i="13"/>
  <c r="K365" i="13"/>
  <c r="I365" i="13"/>
  <c r="H365" i="13"/>
  <c r="G365" i="13"/>
  <c r="F365" i="13"/>
  <c r="E365" i="13"/>
  <c r="L364" i="13"/>
  <c r="K364" i="13"/>
  <c r="I364" i="13"/>
  <c r="H364" i="13"/>
  <c r="G364" i="13"/>
  <c r="F364" i="13"/>
  <c r="E364" i="13"/>
  <c r="L363" i="13"/>
  <c r="K363" i="13"/>
  <c r="I363" i="13"/>
  <c r="H363" i="13"/>
  <c r="G363" i="13"/>
  <c r="F363" i="13"/>
  <c r="E363" i="13"/>
  <c r="L362" i="13"/>
  <c r="K362" i="13"/>
  <c r="I362" i="13"/>
  <c r="H362" i="13"/>
  <c r="G362" i="13"/>
  <c r="F362" i="13"/>
  <c r="E362" i="13"/>
  <c r="L361" i="13"/>
  <c r="K361" i="13"/>
  <c r="I361" i="13"/>
  <c r="H361" i="13"/>
  <c r="G361" i="13"/>
  <c r="F361" i="13"/>
  <c r="E361" i="13"/>
  <c r="L360" i="13"/>
  <c r="K360" i="13"/>
  <c r="I360" i="13"/>
  <c r="H360" i="13"/>
  <c r="G360" i="13"/>
  <c r="F360" i="13"/>
  <c r="E360" i="13"/>
  <c r="L359" i="13"/>
  <c r="K359" i="13"/>
  <c r="I359" i="13"/>
  <c r="H359" i="13"/>
  <c r="G359" i="13"/>
  <c r="F359" i="13"/>
  <c r="E359" i="13"/>
  <c r="L358" i="13"/>
  <c r="K358" i="13"/>
  <c r="I358" i="13"/>
  <c r="H358" i="13"/>
  <c r="G358" i="13"/>
  <c r="F358" i="13"/>
  <c r="E358" i="13"/>
  <c r="L357" i="13"/>
  <c r="K357" i="13"/>
  <c r="I357" i="13"/>
  <c r="H357" i="13"/>
  <c r="G357" i="13"/>
  <c r="F357" i="13"/>
  <c r="E357" i="13"/>
  <c r="L356" i="13"/>
  <c r="K356" i="13"/>
  <c r="I356" i="13"/>
  <c r="H356" i="13"/>
  <c r="G356" i="13"/>
  <c r="F356" i="13"/>
  <c r="E356" i="13"/>
  <c r="L355" i="13"/>
  <c r="K355" i="13"/>
  <c r="I355" i="13"/>
  <c r="H355" i="13"/>
  <c r="G355" i="13"/>
  <c r="F355" i="13"/>
  <c r="E355" i="13"/>
  <c r="L354" i="13"/>
  <c r="K354" i="13"/>
  <c r="I354" i="13"/>
  <c r="H354" i="13"/>
  <c r="G354" i="13"/>
  <c r="F354" i="13"/>
  <c r="E354" i="13"/>
  <c r="L353" i="13"/>
  <c r="K353" i="13"/>
  <c r="I353" i="13"/>
  <c r="H353" i="13"/>
  <c r="G353" i="13"/>
  <c r="F353" i="13"/>
  <c r="E353" i="13"/>
  <c r="I352" i="13"/>
  <c r="H352" i="13"/>
  <c r="D117" i="17" s="1"/>
  <c r="G352" i="13"/>
  <c r="F352" i="13"/>
  <c r="E352" i="13"/>
  <c r="L351" i="13"/>
  <c r="K351" i="13"/>
  <c r="I351" i="13"/>
  <c r="H351" i="13"/>
  <c r="G351" i="13"/>
  <c r="F351" i="13"/>
  <c r="E351" i="13"/>
  <c r="L350" i="13"/>
  <c r="K350" i="13"/>
  <c r="I350" i="13"/>
  <c r="H350" i="13"/>
  <c r="G350" i="13"/>
  <c r="F350" i="13"/>
  <c r="E350" i="13"/>
  <c r="L349" i="13"/>
  <c r="K349" i="13"/>
  <c r="I349" i="13"/>
  <c r="H349" i="13"/>
  <c r="G349" i="13"/>
  <c r="F349" i="13"/>
  <c r="E349" i="13"/>
  <c r="L348" i="13"/>
  <c r="K348" i="13"/>
  <c r="I348" i="13"/>
  <c r="H348" i="13"/>
  <c r="G348" i="13"/>
  <c r="F348" i="13"/>
  <c r="E348" i="13"/>
  <c r="L347" i="13"/>
  <c r="K347" i="13"/>
  <c r="I347" i="13"/>
  <c r="H347" i="13"/>
  <c r="G347" i="13"/>
  <c r="F347" i="13"/>
  <c r="E347" i="13"/>
  <c r="L346" i="13"/>
  <c r="K346" i="13"/>
  <c r="I346" i="13"/>
  <c r="H346" i="13"/>
  <c r="G346" i="13"/>
  <c r="F346" i="13"/>
  <c r="E346" i="13"/>
  <c r="L345" i="13"/>
  <c r="K345" i="13"/>
  <c r="I345" i="13"/>
  <c r="H345" i="13"/>
  <c r="G345" i="13"/>
  <c r="F345" i="13"/>
  <c r="E345" i="13"/>
  <c r="L344" i="13"/>
  <c r="K344" i="13"/>
  <c r="I344" i="13"/>
  <c r="H344" i="13"/>
  <c r="G344" i="13"/>
  <c r="F344" i="13"/>
  <c r="E344" i="13"/>
  <c r="L343" i="13"/>
  <c r="K343" i="13"/>
  <c r="I343" i="13"/>
  <c r="H343" i="13"/>
  <c r="G343" i="13"/>
  <c r="F343" i="13"/>
  <c r="E343" i="13"/>
  <c r="L342" i="13"/>
  <c r="K342" i="13"/>
  <c r="I342" i="13"/>
  <c r="H342" i="13"/>
  <c r="G342" i="13"/>
  <c r="F342" i="13"/>
  <c r="E342" i="13"/>
  <c r="I341" i="13"/>
  <c r="H341" i="13"/>
  <c r="G341" i="13"/>
  <c r="F341" i="13"/>
  <c r="E341" i="13"/>
  <c r="L340" i="13"/>
  <c r="K340" i="13"/>
  <c r="I340" i="13"/>
  <c r="H340" i="13"/>
  <c r="G340" i="13"/>
  <c r="F340" i="13"/>
  <c r="E340" i="13"/>
  <c r="L339" i="13"/>
  <c r="K339" i="13"/>
  <c r="I339" i="13"/>
  <c r="H339" i="13"/>
  <c r="G339" i="13"/>
  <c r="F339" i="13"/>
  <c r="E339" i="13"/>
  <c r="L338" i="13"/>
  <c r="K338" i="13"/>
  <c r="I338" i="13"/>
  <c r="H338" i="13"/>
  <c r="G338" i="13"/>
  <c r="F338" i="13"/>
  <c r="E338" i="13"/>
  <c r="L337" i="13"/>
  <c r="K337" i="13"/>
  <c r="I337" i="13"/>
  <c r="H337" i="13"/>
  <c r="G337" i="13"/>
  <c r="F337" i="13"/>
  <c r="E337" i="13"/>
  <c r="L336" i="13"/>
  <c r="K336" i="13"/>
  <c r="I336" i="13"/>
  <c r="H336" i="13"/>
  <c r="G336" i="13"/>
  <c r="F336" i="13"/>
  <c r="E336" i="13"/>
  <c r="L335" i="13"/>
  <c r="K335" i="13"/>
  <c r="I335" i="13"/>
  <c r="H335" i="13"/>
  <c r="G335" i="13"/>
  <c r="F335" i="13"/>
  <c r="E335" i="13"/>
  <c r="L334" i="13"/>
  <c r="K334" i="13"/>
  <c r="I334" i="13"/>
  <c r="H334" i="13"/>
  <c r="G334" i="13"/>
  <c r="F334" i="13"/>
  <c r="E334" i="13"/>
  <c r="L333" i="13"/>
  <c r="K333" i="13"/>
  <c r="I333" i="13"/>
  <c r="H333" i="13"/>
  <c r="G333" i="13"/>
  <c r="F333" i="13"/>
  <c r="E333" i="13"/>
  <c r="L332" i="13"/>
  <c r="K332" i="13"/>
  <c r="I332" i="13"/>
  <c r="H332" i="13"/>
  <c r="G332" i="13"/>
  <c r="F332" i="13"/>
  <c r="E332" i="13"/>
  <c r="L331" i="13"/>
  <c r="K331" i="13"/>
  <c r="I331" i="13"/>
  <c r="H331" i="13"/>
  <c r="G331" i="13"/>
  <c r="F331" i="13"/>
  <c r="E331" i="13"/>
  <c r="L330" i="13"/>
  <c r="K330" i="13"/>
  <c r="I330" i="13"/>
  <c r="H330" i="13"/>
  <c r="G330" i="13"/>
  <c r="F330" i="13"/>
  <c r="E330" i="13"/>
  <c r="L329" i="13"/>
  <c r="K329" i="13"/>
  <c r="I329" i="13"/>
  <c r="H329" i="13"/>
  <c r="G329" i="13"/>
  <c r="F329" i="13"/>
  <c r="E329" i="13"/>
  <c r="L328" i="13"/>
  <c r="K328" i="13"/>
  <c r="I328" i="13"/>
  <c r="H328" i="13"/>
  <c r="G328" i="13"/>
  <c r="F328" i="13"/>
  <c r="E328" i="13"/>
  <c r="L327" i="13"/>
  <c r="K327" i="13"/>
  <c r="I327" i="13"/>
  <c r="H327" i="13"/>
  <c r="G327" i="13"/>
  <c r="F327" i="13"/>
  <c r="E327" i="13"/>
  <c r="L326" i="13"/>
  <c r="K326" i="13"/>
  <c r="I326" i="13"/>
  <c r="H326" i="13"/>
  <c r="G326" i="13"/>
  <c r="F326" i="13"/>
  <c r="E326" i="13"/>
  <c r="L325" i="13"/>
  <c r="K325" i="13"/>
  <c r="I325" i="13"/>
  <c r="H325" i="13"/>
  <c r="G325" i="13"/>
  <c r="F325" i="13"/>
  <c r="E325" i="13"/>
  <c r="L324" i="13"/>
  <c r="K324" i="13"/>
  <c r="I324" i="13"/>
  <c r="H324" i="13"/>
  <c r="G324" i="13"/>
  <c r="F324" i="13"/>
  <c r="E324" i="13"/>
  <c r="L323" i="13"/>
  <c r="K323" i="13"/>
  <c r="I323" i="13"/>
  <c r="H323" i="13"/>
  <c r="G323" i="13"/>
  <c r="F323" i="13"/>
  <c r="E323" i="13"/>
  <c r="L322" i="13"/>
  <c r="K322" i="13"/>
  <c r="I322" i="13"/>
  <c r="H322" i="13"/>
  <c r="G322" i="13"/>
  <c r="F322" i="13"/>
  <c r="E322" i="13"/>
  <c r="L321" i="13"/>
  <c r="K321" i="13"/>
  <c r="I321" i="13"/>
  <c r="H321" i="13"/>
  <c r="G321" i="13"/>
  <c r="F321" i="13"/>
  <c r="E321" i="13"/>
  <c r="L320" i="13"/>
  <c r="K320" i="13"/>
  <c r="I320" i="13"/>
  <c r="H320" i="13"/>
  <c r="G320" i="13"/>
  <c r="F320" i="13"/>
  <c r="E320" i="13"/>
  <c r="L319" i="13"/>
  <c r="K319" i="13"/>
  <c r="I319" i="13"/>
  <c r="H319" i="13"/>
  <c r="G319" i="13"/>
  <c r="F319" i="13"/>
  <c r="E319" i="13"/>
  <c r="L318" i="13"/>
  <c r="K318" i="13"/>
  <c r="I318" i="13"/>
  <c r="H318" i="13"/>
  <c r="G318" i="13"/>
  <c r="F318" i="13"/>
  <c r="E318" i="13"/>
  <c r="L317" i="13"/>
  <c r="K317" i="13"/>
  <c r="I317" i="13"/>
  <c r="H317" i="13"/>
  <c r="G317" i="13"/>
  <c r="F317" i="13"/>
  <c r="E317" i="13"/>
  <c r="L316" i="13"/>
  <c r="K316" i="13"/>
  <c r="I316" i="13"/>
  <c r="H316" i="13"/>
  <c r="G316" i="13"/>
  <c r="F316" i="13"/>
  <c r="E316" i="13"/>
  <c r="L315" i="13"/>
  <c r="K315" i="13"/>
  <c r="I315" i="13"/>
  <c r="H315" i="13"/>
  <c r="G315" i="13"/>
  <c r="F315" i="13"/>
  <c r="E315" i="13"/>
  <c r="L314" i="13"/>
  <c r="K314" i="13"/>
  <c r="I314" i="13"/>
  <c r="H314" i="13"/>
  <c r="G314" i="13"/>
  <c r="F314" i="13"/>
  <c r="E314" i="13"/>
  <c r="L313" i="13"/>
  <c r="K313" i="13"/>
  <c r="I313" i="13"/>
  <c r="H313" i="13"/>
  <c r="G313" i="13"/>
  <c r="F313" i="13"/>
  <c r="E313" i="13"/>
  <c r="L312" i="13"/>
  <c r="K312" i="13"/>
  <c r="I312" i="13"/>
  <c r="H312" i="13"/>
  <c r="G312" i="13"/>
  <c r="F312" i="13"/>
  <c r="E312" i="13"/>
  <c r="L311" i="13"/>
  <c r="K311" i="13"/>
  <c r="I311" i="13"/>
  <c r="H311" i="13"/>
  <c r="G311" i="13"/>
  <c r="F311" i="13"/>
  <c r="E311" i="13"/>
  <c r="L310" i="13"/>
  <c r="K310" i="13"/>
  <c r="I310" i="13"/>
  <c r="H310" i="13"/>
  <c r="G310" i="13"/>
  <c r="F310" i="13"/>
  <c r="E310" i="13"/>
  <c r="L309" i="13"/>
  <c r="K309" i="13"/>
  <c r="I309" i="13"/>
  <c r="H309" i="13"/>
  <c r="G309" i="13"/>
  <c r="F309" i="13"/>
  <c r="E309" i="13"/>
  <c r="L308" i="13"/>
  <c r="K308" i="13"/>
  <c r="I308" i="13"/>
  <c r="H308" i="13"/>
  <c r="G308" i="13"/>
  <c r="F308" i="13"/>
  <c r="E308" i="13"/>
  <c r="L307" i="13"/>
  <c r="K307" i="13"/>
  <c r="I307" i="13"/>
  <c r="H307" i="13"/>
  <c r="G307" i="13"/>
  <c r="F307" i="13"/>
  <c r="E307" i="13"/>
  <c r="L306" i="13"/>
  <c r="K306" i="13"/>
  <c r="I306" i="13"/>
  <c r="H306" i="13"/>
  <c r="G306" i="13"/>
  <c r="F306" i="13"/>
  <c r="E306" i="13"/>
  <c r="L305" i="13"/>
  <c r="K305" i="13"/>
  <c r="I305" i="13"/>
  <c r="H305" i="13"/>
  <c r="G305" i="13"/>
  <c r="F305" i="13"/>
  <c r="E305" i="13"/>
  <c r="L304" i="13"/>
  <c r="K304" i="13"/>
  <c r="I304" i="13"/>
  <c r="H304" i="13"/>
  <c r="G304" i="13"/>
  <c r="F304" i="13"/>
  <c r="E304" i="13"/>
  <c r="L303" i="13"/>
  <c r="K303" i="13"/>
  <c r="I303" i="13"/>
  <c r="H303" i="13"/>
  <c r="G303" i="13"/>
  <c r="F303" i="13"/>
  <c r="E303" i="13"/>
  <c r="L302" i="13"/>
  <c r="K302" i="13"/>
  <c r="I302" i="13"/>
  <c r="H302" i="13"/>
  <c r="G302" i="13"/>
  <c r="F302" i="13"/>
  <c r="E302" i="13"/>
  <c r="L301" i="13"/>
  <c r="K301" i="13"/>
  <c r="I301" i="13"/>
  <c r="H301" i="13"/>
  <c r="G301" i="13"/>
  <c r="F301" i="13"/>
  <c r="E301" i="13"/>
  <c r="L300" i="13"/>
  <c r="K300" i="13"/>
  <c r="I300" i="13"/>
  <c r="H300" i="13"/>
  <c r="G300" i="13"/>
  <c r="F300" i="13"/>
  <c r="E300" i="13"/>
  <c r="L299" i="13"/>
  <c r="K299" i="13"/>
  <c r="I299" i="13"/>
  <c r="H299" i="13"/>
  <c r="G299" i="13"/>
  <c r="F299" i="13"/>
  <c r="E299" i="13"/>
  <c r="L298" i="13"/>
  <c r="K298" i="13"/>
  <c r="I298" i="13"/>
  <c r="H298" i="13"/>
  <c r="G298" i="13"/>
  <c r="F298" i="13"/>
  <c r="E298" i="13"/>
  <c r="L297" i="13"/>
  <c r="K297" i="13"/>
  <c r="I297" i="13"/>
  <c r="H297" i="13"/>
  <c r="G297" i="13"/>
  <c r="F297" i="13"/>
  <c r="E297" i="13"/>
  <c r="L296" i="13"/>
  <c r="K296" i="13"/>
  <c r="I296" i="13"/>
  <c r="H296" i="13"/>
  <c r="G296" i="13"/>
  <c r="F296" i="13"/>
  <c r="E296" i="13"/>
  <c r="L295" i="13"/>
  <c r="K295" i="13"/>
  <c r="I295" i="13"/>
  <c r="H295" i="13"/>
  <c r="G295" i="13"/>
  <c r="F295" i="13"/>
  <c r="E295" i="13"/>
  <c r="L294" i="13"/>
  <c r="K294" i="13"/>
  <c r="I294" i="13"/>
  <c r="H294" i="13"/>
  <c r="G294" i="13"/>
  <c r="F294" i="13"/>
  <c r="E294" i="13"/>
  <c r="L293" i="13"/>
  <c r="K293" i="13"/>
  <c r="I293" i="13"/>
  <c r="H293" i="13"/>
  <c r="G293" i="13"/>
  <c r="F293" i="13"/>
  <c r="E293" i="13"/>
  <c r="I292" i="13"/>
  <c r="H292" i="13"/>
  <c r="G292" i="13"/>
  <c r="F292" i="13"/>
  <c r="E292" i="13"/>
  <c r="I291" i="13"/>
  <c r="H291" i="13"/>
  <c r="G291" i="13"/>
  <c r="F291" i="13"/>
  <c r="E291" i="13"/>
  <c r="I290" i="13"/>
  <c r="H290" i="13"/>
  <c r="G290" i="13"/>
  <c r="F290" i="13"/>
  <c r="E290" i="13"/>
  <c r="L289" i="13"/>
  <c r="K289" i="13"/>
  <c r="I289" i="13"/>
  <c r="H289" i="13"/>
  <c r="G289" i="13"/>
  <c r="F289" i="13"/>
  <c r="E289" i="13"/>
  <c r="L288" i="13"/>
  <c r="K288" i="13"/>
  <c r="I288" i="13"/>
  <c r="H288" i="13"/>
  <c r="G288" i="13"/>
  <c r="F288" i="13"/>
  <c r="E288" i="13"/>
  <c r="L287" i="13"/>
  <c r="K287" i="13"/>
  <c r="I287" i="13"/>
  <c r="H287" i="13"/>
  <c r="G287" i="13"/>
  <c r="F287" i="13"/>
  <c r="E287" i="13"/>
  <c r="L286" i="13"/>
  <c r="K286" i="13"/>
  <c r="I286" i="13"/>
  <c r="H286" i="13"/>
  <c r="G286" i="13"/>
  <c r="F286" i="13"/>
  <c r="E286" i="13"/>
  <c r="L285" i="13"/>
  <c r="K285" i="13"/>
  <c r="I285" i="13"/>
  <c r="H285" i="13"/>
  <c r="G285" i="13"/>
  <c r="F285" i="13"/>
  <c r="E285" i="13"/>
  <c r="L284" i="13"/>
  <c r="K284" i="13"/>
  <c r="I284" i="13"/>
  <c r="H284" i="13"/>
  <c r="G284" i="13"/>
  <c r="F284" i="13"/>
  <c r="E284" i="13"/>
  <c r="L283" i="13"/>
  <c r="K283" i="13"/>
  <c r="I283" i="13"/>
  <c r="H283" i="13"/>
  <c r="G283" i="13"/>
  <c r="F283" i="13"/>
  <c r="E283" i="13"/>
  <c r="L282" i="13"/>
  <c r="K282" i="13"/>
  <c r="I282" i="13"/>
  <c r="H282" i="13"/>
  <c r="G282" i="13"/>
  <c r="F282" i="13"/>
  <c r="E282" i="13"/>
  <c r="L281" i="13"/>
  <c r="K281" i="13"/>
  <c r="I281" i="13"/>
  <c r="H281" i="13"/>
  <c r="G281" i="13"/>
  <c r="F281" i="13"/>
  <c r="E281" i="13"/>
  <c r="L280" i="13"/>
  <c r="K280" i="13"/>
  <c r="I280" i="13"/>
  <c r="H280" i="13"/>
  <c r="G280" i="13"/>
  <c r="F280" i="13"/>
  <c r="E280" i="13"/>
  <c r="L279" i="13"/>
  <c r="K279" i="13"/>
  <c r="I279" i="13"/>
  <c r="H279" i="13"/>
  <c r="G279" i="13"/>
  <c r="F279" i="13"/>
  <c r="E279" i="13"/>
  <c r="L278" i="13"/>
  <c r="K278" i="13"/>
  <c r="I278" i="13"/>
  <c r="H278" i="13"/>
  <c r="G278" i="13"/>
  <c r="F278" i="13"/>
  <c r="E278" i="13"/>
  <c r="L277" i="13"/>
  <c r="K277" i="13"/>
  <c r="I277" i="13"/>
  <c r="H277" i="13"/>
  <c r="G277" i="13"/>
  <c r="F277" i="13"/>
  <c r="E277" i="13"/>
  <c r="L276" i="13"/>
  <c r="K276" i="13"/>
  <c r="I276" i="13"/>
  <c r="H276" i="13"/>
  <c r="G276" i="13"/>
  <c r="F276" i="13"/>
  <c r="E276" i="13"/>
  <c r="L275" i="13"/>
  <c r="K275" i="13"/>
  <c r="I275" i="13"/>
  <c r="H275" i="13"/>
  <c r="G275" i="13"/>
  <c r="F275" i="13"/>
  <c r="E275" i="13"/>
  <c r="L274" i="13"/>
  <c r="K274" i="13"/>
  <c r="I274" i="13"/>
  <c r="H274" i="13"/>
  <c r="G274" i="13"/>
  <c r="F274" i="13"/>
  <c r="E274" i="13"/>
  <c r="L273" i="13"/>
  <c r="K273" i="13"/>
  <c r="I273" i="13"/>
  <c r="H273" i="13"/>
  <c r="G273" i="13"/>
  <c r="F273" i="13"/>
  <c r="E273" i="13"/>
  <c r="L272" i="13"/>
  <c r="K272" i="13"/>
  <c r="I272" i="13"/>
  <c r="H272" i="13"/>
  <c r="G272" i="13"/>
  <c r="F272" i="13"/>
  <c r="E272" i="13"/>
  <c r="L271" i="13"/>
  <c r="K271" i="13"/>
  <c r="I271" i="13"/>
  <c r="H271" i="13"/>
  <c r="G271" i="13"/>
  <c r="F271" i="13"/>
  <c r="E271" i="13"/>
  <c r="L270" i="13"/>
  <c r="K270" i="13"/>
  <c r="I270" i="13"/>
  <c r="H270" i="13"/>
  <c r="G270" i="13"/>
  <c r="F270" i="13"/>
  <c r="E270" i="13"/>
  <c r="L269" i="13"/>
  <c r="K269" i="13"/>
  <c r="I269" i="13"/>
  <c r="H269" i="13"/>
  <c r="G269" i="13"/>
  <c r="F269" i="13"/>
  <c r="E269" i="13"/>
  <c r="L268" i="13"/>
  <c r="K268" i="13"/>
  <c r="I268" i="13"/>
  <c r="H268" i="13"/>
  <c r="G268" i="13"/>
  <c r="F268" i="13"/>
  <c r="E268" i="13"/>
  <c r="L267" i="13"/>
  <c r="K267" i="13"/>
  <c r="I267" i="13"/>
  <c r="H267" i="13"/>
  <c r="G267" i="13"/>
  <c r="F267" i="13"/>
  <c r="E267" i="13"/>
  <c r="L266" i="13"/>
  <c r="K266" i="13"/>
  <c r="I266" i="13"/>
  <c r="H266" i="13"/>
  <c r="G266" i="13"/>
  <c r="F266" i="13"/>
  <c r="E266" i="13"/>
  <c r="L265" i="13"/>
  <c r="K265" i="13"/>
  <c r="I265" i="13"/>
  <c r="H265" i="13"/>
  <c r="G265" i="13"/>
  <c r="F265" i="13"/>
  <c r="E265" i="13"/>
  <c r="L264" i="13"/>
  <c r="K264" i="13"/>
  <c r="I264" i="13"/>
  <c r="H264" i="13"/>
  <c r="G264" i="13"/>
  <c r="F264" i="13"/>
  <c r="E264" i="13"/>
  <c r="L263" i="13"/>
  <c r="K263" i="13"/>
  <c r="I263" i="13"/>
  <c r="H263" i="13"/>
  <c r="G263" i="13"/>
  <c r="F263" i="13"/>
  <c r="E263" i="13"/>
  <c r="L262" i="13"/>
  <c r="K262" i="13"/>
  <c r="I262" i="13"/>
  <c r="H262" i="13"/>
  <c r="G262" i="13"/>
  <c r="F262" i="13"/>
  <c r="E262" i="13"/>
  <c r="L261" i="13"/>
  <c r="K261" i="13"/>
  <c r="I261" i="13"/>
  <c r="H261" i="13"/>
  <c r="G261" i="13"/>
  <c r="F261" i="13"/>
  <c r="E261" i="13"/>
  <c r="L260" i="13"/>
  <c r="K260" i="13"/>
  <c r="I260" i="13"/>
  <c r="H260" i="13"/>
  <c r="G260" i="13"/>
  <c r="F260" i="13"/>
  <c r="E260" i="13"/>
  <c r="L259" i="13"/>
  <c r="K259" i="13"/>
  <c r="I259" i="13"/>
  <c r="H259" i="13"/>
  <c r="G259" i="13"/>
  <c r="F259" i="13"/>
  <c r="E259" i="13"/>
  <c r="L258" i="13"/>
  <c r="K258" i="13"/>
  <c r="I258" i="13"/>
  <c r="H258" i="13"/>
  <c r="G258" i="13"/>
  <c r="F258" i="13"/>
  <c r="E258" i="13"/>
  <c r="L257" i="13"/>
  <c r="K257" i="13"/>
  <c r="I257" i="13"/>
  <c r="H257" i="13"/>
  <c r="G257" i="13"/>
  <c r="F257" i="13"/>
  <c r="E257" i="13"/>
  <c r="L256" i="13"/>
  <c r="K256" i="13"/>
  <c r="I256" i="13"/>
  <c r="H256" i="13"/>
  <c r="G256" i="13"/>
  <c r="F256" i="13"/>
  <c r="E256" i="13"/>
  <c r="L255" i="13"/>
  <c r="K255" i="13"/>
  <c r="I255" i="13"/>
  <c r="H255" i="13"/>
  <c r="G255" i="13"/>
  <c r="F255" i="13"/>
  <c r="E255" i="13"/>
  <c r="L254" i="13"/>
  <c r="K254" i="13"/>
  <c r="I254" i="13"/>
  <c r="H254" i="13"/>
  <c r="G254" i="13"/>
  <c r="F254" i="13"/>
  <c r="E254" i="13"/>
  <c r="L253" i="13"/>
  <c r="K253" i="13"/>
  <c r="I253" i="13"/>
  <c r="H253" i="13"/>
  <c r="G253" i="13"/>
  <c r="F253" i="13"/>
  <c r="E253" i="13"/>
  <c r="L252" i="13"/>
  <c r="K252" i="13"/>
  <c r="I252" i="13"/>
  <c r="H252" i="13"/>
  <c r="G252" i="13"/>
  <c r="F252" i="13"/>
  <c r="E252" i="13"/>
  <c r="L251" i="13"/>
  <c r="K251" i="13"/>
  <c r="I251" i="13"/>
  <c r="H251" i="13"/>
  <c r="G251" i="13"/>
  <c r="F251" i="13"/>
  <c r="E251" i="13"/>
  <c r="L250" i="13"/>
  <c r="K250" i="13"/>
  <c r="I250" i="13"/>
  <c r="H250" i="13"/>
  <c r="G250" i="13"/>
  <c r="F250" i="13"/>
  <c r="E250" i="13"/>
  <c r="L249" i="13"/>
  <c r="K249" i="13"/>
  <c r="I249" i="13"/>
  <c r="H249" i="13"/>
  <c r="G249" i="13"/>
  <c r="F249" i="13"/>
  <c r="E249" i="13"/>
  <c r="L248" i="13"/>
  <c r="K248" i="13"/>
  <c r="I248" i="13"/>
  <c r="H248" i="13"/>
  <c r="G248" i="13"/>
  <c r="F248" i="13"/>
  <c r="E248" i="13"/>
  <c r="L247" i="13"/>
  <c r="K247" i="13"/>
  <c r="I247" i="13"/>
  <c r="H247" i="13"/>
  <c r="G247" i="13"/>
  <c r="F247" i="13"/>
  <c r="E247" i="13"/>
  <c r="L246" i="13"/>
  <c r="K246" i="13"/>
  <c r="I246" i="13"/>
  <c r="H246" i="13"/>
  <c r="G246" i="13"/>
  <c r="F246" i="13"/>
  <c r="E246" i="13"/>
  <c r="L245" i="13"/>
  <c r="K245" i="13"/>
  <c r="I245" i="13"/>
  <c r="H245" i="13"/>
  <c r="G245" i="13"/>
  <c r="F245" i="13"/>
  <c r="E245" i="13"/>
  <c r="L244" i="13"/>
  <c r="K244" i="13"/>
  <c r="I244" i="13"/>
  <c r="H244" i="13"/>
  <c r="G244" i="13"/>
  <c r="F244" i="13"/>
  <c r="E244" i="13"/>
  <c r="L243" i="13"/>
  <c r="K243" i="13"/>
  <c r="I243" i="13"/>
  <c r="H243" i="13"/>
  <c r="G243" i="13"/>
  <c r="F243" i="13"/>
  <c r="E243" i="13"/>
  <c r="L242" i="13"/>
  <c r="K242" i="13"/>
  <c r="I242" i="13"/>
  <c r="H242" i="13"/>
  <c r="G242" i="13"/>
  <c r="F242" i="13"/>
  <c r="E242" i="13"/>
  <c r="L241" i="13"/>
  <c r="K241" i="13"/>
  <c r="I241" i="13"/>
  <c r="H241" i="13"/>
  <c r="G241" i="13"/>
  <c r="F241" i="13"/>
  <c r="E241" i="13"/>
  <c r="L240" i="13"/>
  <c r="K240" i="13"/>
  <c r="I240" i="13"/>
  <c r="H240" i="13"/>
  <c r="D52" i="17" s="1"/>
  <c r="G240" i="13"/>
  <c r="F240" i="13"/>
  <c r="E240" i="13"/>
  <c r="L239" i="13"/>
  <c r="K239" i="13"/>
  <c r="I239" i="13"/>
  <c r="H239" i="13"/>
  <c r="G239" i="13"/>
  <c r="F239" i="13"/>
  <c r="E239" i="13"/>
  <c r="L238" i="13"/>
  <c r="K238" i="13"/>
  <c r="I238" i="13"/>
  <c r="H238" i="13"/>
  <c r="G238" i="13"/>
  <c r="F238" i="13"/>
  <c r="E238" i="13"/>
  <c r="L237" i="13"/>
  <c r="K237" i="13"/>
  <c r="I237" i="13"/>
  <c r="H237" i="13"/>
  <c r="G237" i="13"/>
  <c r="F237" i="13"/>
  <c r="E237" i="13"/>
  <c r="L236" i="13"/>
  <c r="K236" i="13"/>
  <c r="I236" i="13"/>
  <c r="H236" i="13"/>
  <c r="G236" i="13"/>
  <c r="F236" i="13"/>
  <c r="E236" i="13"/>
  <c r="L235" i="13"/>
  <c r="K235" i="13"/>
  <c r="I235" i="13"/>
  <c r="H235" i="13"/>
  <c r="G235" i="13"/>
  <c r="F235" i="13"/>
  <c r="E235" i="13"/>
  <c r="L234" i="13"/>
  <c r="K234" i="13"/>
  <c r="I234" i="13"/>
  <c r="H234" i="13"/>
  <c r="G234" i="13"/>
  <c r="F234" i="13"/>
  <c r="E234" i="13"/>
  <c r="L233" i="13"/>
  <c r="K233" i="13"/>
  <c r="I233" i="13"/>
  <c r="H233" i="13"/>
  <c r="G233" i="13"/>
  <c r="F233" i="13"/>
  <c r="E233" i="13"/>
  <c r="L232" i="13"/>
  <c r="K232" i="13"/>
  <c r="I232" i="13"/>
  <c r="H232" i="13"/>
  <c r="G232" i="13"/>
  <c r="F232" i="13"/>
  <c r="E232" i="13"/>
  <c r="L231" i="13"/>
  <c r="K231" i="13"/>
  <c r="I231" i="13"/>
  <c r="H231" i="13"/>
  <c r="G231" i="13"/>
  <c r="F231" i="13"/>
  <c r="E231" i="13"/>
  <c r="L230" i="13"/>
  <c r="K230" i="13"/>
  <c r="I230" i="13"/>
  <c r="H230" i="13"/>
  <c r="G230" i="13"/>
  <c r="F230" i="13"/>
  <c r="E230" i="13"/>
  <c r="L229" i="13"/>
  <c r="K229" i="13"/>
  <c r="I229" i="13"/>
  <c r="H229" i="13"/>
  <c r="G229" i="13"/>
  <c r="F229" i="13"/>
  <c r="E229" i="13"/>
  <c r="L228" i="13"/>
  <c r="K228" i="13"/>
  <c r="I228" i="13"/>
  <c r="H228" i="13"/>
  <c r="G228" i="13"/>
  <c r="F228" i="13"/>
  <c r="E228" i="13"/>
  <c r="L227" i="13"/>
  <c r="K227" i="13"/>
  <c r="I227" i="13"/>
  <c r="H227" i="13"/>
  <c r="G227" i="13"/>
  <c r="F227" i="13"/>
  <c r="E227" i="13"/>
  <c r="L226" i="13"/>
  <c r="K226" i="13"/>
  <c r="I226" i="13"/>
  <c r="H226" i="13"/>
  <c r="G226" i="13"/>
  <c r="F226" i="13"/>
  <c r="E226" i="13"/>
  <c r="L225" i="13"/>
  <c r="K225" i="13"/>
  <c r="I225" i="13"/>
  <c r="H225" i="13"/>
  <c r="G225" i="13"/>
  <c r="F225" i="13"/>
  <c r="E225" i="13"/>
  <c r="L224" i="13"/>
  <c r="K224" i="13"/>
  <c r="I224" i="13"/>
  <c r="H224" i="13"/>
  <c r="G224" i="13"/>
  <c r="F224" i="13"/>
  <c r="E224" i="13"/>
  <c r="L223" i="13"/>
  <c r="K223" i="13"/>
  <c r="I223" i="13"/>
  <c r="H223" i="13"/>
  <c r="G223" i="13"/>
  <c r="F223" i="13"/>
  <c r="E223" i="13"/>
  <c r="L222" i="13"/>
  <c r="K222" i="13"/>
  <c r="I222" i="13"/>
  <c r="H222" i="13"/>
  <c r="G222" i="13"/>
  <c r="F222" i="13"/>
  <c r="E222" i="13"/>
  <c r="L221" i="13"/>
  <c r="K221" i="13"/>
  <c r="I221" i="13"/>
  <c r="H221" i="13"/>
  <c r="G221" i="13"/>
  <c r="F221" i="13"/>
  <c r="E221" i="13"/>
  <c r="L220" i="13"/>
  <c r="K220" i="13"/>
  <c r="I220" i="13"/>
  <c r="H220" i="13"/>
  <c r="G220" i="13"/>
  <c r="F220" i="13"/>
  <c r="E220" i="13"/>
  <c r="L219" i="13"/>
  <c r="K219" i="13"/>
  <c r="I219" i="13"/>
  <c r="H219" i="13"/>
  <c r="G219" i="13"/>
  <c r="F219" i="13"/>
  <c r="E219" i="13"/>
  <c r="L218" i="13"/>
  <c r="K218" i="13"/>
  <c r="I218" i="13"/>
  <c r="H218" i="13"/>
  <c r="G218" i="13"/>
  <c r="F218" i="13"/>
  <c r="E218" i="13"/>
  <c r="L217" i="13"/>
  <c r="K217" i="13"/>
  <c r="I217" i="13"/>
  <c r="H217" i="13"/>
  <c r="G217" i="13"/>
  <c r="F217" i="13"/>
  <c r="E217" i="13"/>
  <c r="L216" i="13"/>
  <c r="K216" i="13"/>
  <c r="I216" i="13"/>
  <c r="H216" i="13"/>
  <c r="G216" i="13"/>
  <c r="F216" i="13"/>
  <c r="E216" i="13"/>
  <c r="L215" i="13"/>
  <c r="K215" i="13"/>
  <c r="I215" i="13"/>
  <c r="H215" i="13"/>
  <c r="G215" i="13"/>
  <c r="F215" i="13"/>
  <c r="E215" i="13"/>
  <c r="L214" i="13"/>
  <c r="K214" i="13"/>
  <c r="I214" i="13"/>
  <c r="H214" i="13"/>
  <c r="G214" i="13"/>
  <c r="F214" i="13"/>
  <c r="E214" i="13"/>
  <c r="L213" i="13"/>
  <c r="K213" i="13"/>
  <c r="I213" i="13"/>
  <c r="H213" i="13"/>
  <c r="G213" i="13"/>
  <c r="F213" i="13"/>
  <c r="E213" i="13"/>
  <c r="L212" i="13"/>
  <c r="K212" i="13"/>
  <c r="I212" i="13"/>
  <c r="H212" i="13"/>
  <c r="G212" i="13"/>
  <c r="F212" i="13"/>
  <c r="E212" i="13"/>
  <c r="L211" i="13"/>
  <c r="K211" i="13"/>
  <c r="I211" i="13"/>
  <c r="H211" i="13"/>
  <c r="G211" i="13"/>
  <c r="F211" i="13"/>
  <c r="E211" i="13"/>
  <c r="L210" i="13"/>
  <c r="K210" i="13"/>
  <c r="I210" i="13"/>
  <c r="H210" i="13"/>
  <c r="G210" i="13"/>
  <c r="F210" i="13"/>
  <c r="E210" i="13"/>
  <c r="L209" i="13"/>
  <c r="K209" i="13"/>
  <c r="I209" i="13"/>
  <c r="H209" i="13"/>
  <c r="G209" i="13"/>
  <c r="F209" i="13"/>
  <c r="E209" i="13"/>
  <c r="L208" i="13"/>
  <c r="K208" i="13"/>
  <c r="I208" i="13"/>
  <c r="H208" i="13"/>
  <c r="G208" i="13"/>
  <c r="F208" i="13"/>
  <c r="E208" i="13"/>
  <c r="L207" i="13"/>
  <c r="K207" i="13"/>
  <c r="I207" i="13"/>
  <c r="H207" i="13"/>
  <c r="G207" i="13"/>
  <c r="F207" i="13"/>
  <c r="E207" i="13"/>
  <c r="L206" i="13"/>
  <c r="K206" i="13"/>
  <c r="I206" i="13"/>
  <c r="H206" i="13"/>
  <c r="G206" i="13"/>
  <c r="F206" i="13"/>
  <c r="E206" i="13"/>
  <c r="L205" i="13"/>
  <c r="K205" i="13"/>
  <c r="I205" i="13"/>
  <c r="H205" i="13"/>
  <c r="G205" i="13"/>
  <c r="F205" i="13"/>
  <c r="E205" i="13"/>
  <c r="L204" i="13"/>
  <c r="K204" i="13"/>
  <c r="I204" i="13"/>
  <c r="H204" i="13"/>
  <c r="G204" i="13"/>
  <c r="F204" i="13"/>
  <c r="E204" i="13"/>
  <c r="L203" i="13"/>
  <c r="K203" i="13"/>
  <c r="I203" i="13"/>
  <c r="H203" i="13"/>
  <c r="G203" i="13"/>
  <c r="F203" i="13"/>
  <c r="E203" i="13"/>
  <c r="L202" i="13"/>
  <c r="K202" i="13"/>
  <c r="I202" i="13"/>
  <c r="H202" i="13"/>
  <c r="G202" i="13"/>
  <c r="F202" i="13"/>
  <c r="E202" i="13"/>
  <c r="L201" i="13"/>
  <c r="K201" i="13"/>
  <c r="I201" i="13"/>
  <c r="H201" i="13"/>
  <c r="G201" i="13"/>
  <c r="F201" i="13"/>
  <c r="E201" i="13"/>
  <c r="L200" i="13"/>
  <c r="K200" i="13"/>
  <c r="I200" i="13"/>
  <c r="H200" i="13"/>
  <c r="G200" i="13"/>
  <c r="F200" i="13"/>
  <c r="E200" i="13"/>
  <c r="L199" i="13"/>
  <c r="K199" i="13"/>
  <c r="I199" i="13"/>
  <c r="H199" i="13"/>
  <c r="G199" i="13"/>
  <c r="F199" i="13"/>
  <c r="E199" i="13"/>
  <c r="L198" i="13"/>
  <c r="K198" i="13"/>
  <c r="I198" i="13"/>
  <c r="H198" i="13"/>
  <c r="G198" i="13"/>
  <c r="F198" i="13"/>
  <c r="E198" i="13"/>
  <c r="L197" i="13"/>
  <c r="K197" i="13"/>
  <c r="I197" i="13"/>
  <c r="H197" i="13"/>
  <c r="G197" i="13"/>
  <c r="F197" i="13"/>
  <c r="E197" i="13"/>
  <c r="L196" i="13"/>
  <c r="K196" i="13"/>
  <c r="I196" i="13"/>
  <c r="H196" i="13"/>
  <c r="G196" i="13"/>
  <c r="F196" i="13"/>
  <c r="E196" i="13"/>
  <c r="L195" i="13"/>
  <c r="K195" i="13"/>
  <c r="I195" i="13"/>
  <c r="H195" i="13"/>
  <c r="G195" i="13"/>
  <c r="F195" i="13"/>
  <c r="E195" i="13"/>
  <c r="L194" i="13"/>
  <c r="K194" i="13"/>
  <c r="I194" i="13"/>
  <c r="H194" i="13"/>
  <c r="G194" i="13"/>
  <c r="F194" i="13"/>
  <c r="E194" i="13"/>
  <c r="L193" i="13"/>
  <c r="K193" i="13"/>
  <c r="I193" i="13"/>
  <c r="H193" i="13"/>
  <c r="G193" i="13"/>
  <c r="F193" i="13"/>
  <c r="E193" i="13"/>
  <c r="L192" i="13"/>
  <c r="K192" i="13"/>
  <c r="I192" i="13"/>
  <c r="H192" i="13"/>
  <c r="G192" i="13"/>
  <c r="F192" i="13"/>
  <c r="E192" i="13"/>
  <c r="L191" i="13"/>
  <c r="K191" i="13"/>
  <c r="I191" i="13"/>
  <c r="H191" i="13"/>
  <c r="G191" i="13"/>
  <c r="F191" i="13"/>
  <c r="E191" i="13"/>
  <c r="L190" i="13"/>
  <c r="K190" i="13"/>
  <c r="I190" i="13"/>
  <c r="H190" i="13"/>
  <c r="G190" i="13"/>
  <c r="F190" i="13"/>
  <c r="E190" i="13"/>
  <c r="L189" i="13"/>
  <c r="K189" i="13"/>
  <c r="I189" i="13"/>
  <c r="H189" i="13"/>
  <c r="G189" i="13"/>
  <c r="F189" i="13"/>
  <c r="E189" i="13"/>
  <c r="L188" i="13"/>
  <c r="K188" i="13"/>
  <c r="I188" i="13"/>
  <c r="H188" i="13"/>
  <c r="G188" i="13"/>
  <c r="F188" i="13"/>
  <c r="E188" i="13"/>
  <c r="L187" i="13"/>
  <c r="K187" i="13"/>
  <c r="I187" i="13"/>
  <c r="H187" i="13"/>
  <c r="G187" i="13"/>
  <c r="F187" i="13"/>
  <c r="E187" i="13"/>
  <c r="L186" i="13"/>
  <c r="K186" i="13"/>
  <c r="I186" i="13"/>
  <c r="H186" i="13"/>
  <c r="G186" i="13"/>
  <c r="F186" i="13"/>
  <c r="E186" i="13"/>
  <c r="L185" i="13"/>
  <c r="K185" i="13"/>
  <c r="I185" i="13"/>
  <c r="H185" i="13"/>
  <c r="D8" i="17" s="1"/>
  <c r="J8" i="17" s="1"/>
  <c r="G185" i="13"/>
  <c r="F185" i="13"/>
  <c r="E185" i="13"/>
  <c r="L184" i="13"/>
  <c r="K184" i="13"/>
  <c r="I184" i="13"/>
  <c r="H184" i="13"/>
  <c r="D11" i="17" s="1"/>
  <c r="J11" i="17" s="1"/>
  <c r="G184" i="13"/>
  <c r="F184" i="13"/>
  <c r="E184" i="13"/>
  <c r="L183" i="13"/>
  <c r="K183" i="13"/>
  <c r="I183" i="13"/>
  <c r="H183" i="13"/>
  <c r="D7" i="17" s="1"/>
  <c r="J7" i="17" s="1"/>
  <c r="G183" i="13"/>
  <c r="F183" i="13"/>
  <c r="E183" i="13"/>
  <c r="L182" i="13"/>
  <c r="K182" i="13"/>
  <c r="I182" i="13"/>
  <c r="H182" i="13"/>
  <c r="E66" i="10" s="1"/>
  <c r="G182" i="13"/>
  <c r="F182" i="13"/>
  <c r="E182" i="13"/>
  <c r="L181" i="13"/>
  <c r="K181" i="13"/>
  <c r="I181" i="13"/>
  <c r="H181" i="13"/>
  <c r="G181" i="13"/>
  <c r="F181" i="13"/>
  <c r="E181" i="13"/>
  <c r="L180" i="13"/>
  <c r="K180" i="13"/>
  <c r="I180" i="13"/>
  <c r="H180" i="13"/>
  <c r="G180" i="13"/>
  <c r="F180" i="13"/>
  <c r="E180" i="13"/>
  <c r="L179" i="13"/>
  <c r="K179" i="13"/>
  <c r="I179" i="13"/>
  <c r="H179" i="13"/>
  <c r="G179" i="13"/>
  <c r="F179" i="13"/>
  <c r="E179" i="13"/>
  <c r="L178" i="13"/>
  <c r="K178" i="13"/>
  <c r="I178" i="13"/>
  <c r="H178" i="13"/>
  <c r="G178" i="13"/>
  <c r="F178" i="13"/>
  <c r="E178" i="13"/>
  <c r="L177" i="13"/>
  <c r="K177" i="13"/>
  <c r="I177" i="13"/>
  <c r="H177" i="13"/>
  <c r="G177" i="13"/>
  <c r="F177" i="13"/>
  <c r="E177" i="13"/>
  <c r="L176" i="13"/>
  <c r="K176" i="13"/>
  <c r="I176" i="13"/>
  <c r="H176" i="13"/>
  <c r="G176" i="13"/>
  <c r="F176" i="13"/>
  <c r="E176" i="13"/>
  <c r="L175" i="13"/>
  <c r="K175" i="13"/>
  <c r="I175" i="13"/>
  <c r="H175" i="13"/>
  <c r="G175" i="13"/>
  <c r="F175" i="13"/>
  <c r="E175" i="13"/>
  <c r="L174" i="13"/>
  <c r="K174" i="13"/>
  <c r="I174" i="13"/>
  <c r="H174" i="13"/>
  <c r="G174" i="13"/>
  <c r="F174" i="13"/>
  <c r="E174" i="13"/>
  <c r="L173" i="13"/>
  <c r="K173" i="13"/>
  <c r="I173" i="13"/>
  <c r="H173" i="13"/>
  <c r="G173" i="13"/>
  <c r="F173" i="13"/>
  <c r="E173" i="13"/>
  <c r="L172" i="13"/>
  <c r="K172" i="13"/>
  <c r="I172" i="13"/>
  <c r="H172" i="13"/>
  <c r="G172" i="13"/>
  <c r="F172" i="13"/>
  <c r="E172" i="13"/>
  <c r="L171" i="13"/>
  <c r="K171" i="13"/>
  <c r="I171" i="13"/>
  <c r="H171" i="13"/>
  <c r="G171" i="13"/>
  <c r="F171" i="13"/>
  <c r="E171" i="13"/>
  <c r="L170" i="13"/>
  <c r="K170" i="13"/>
  <c r="I170" i="13"/>
  <c r="H170" i="13"/>
  <c r="G170" i="13"/>
  <c r="F170" i="13"/>
  <c r="E170" i="13"/>
  <c r="L169" i="13"/>
  <c r="K169" i="13"/>
  <c r="I169" i="13"/>
  <c r="H169" i="13"/>
  <c r="G169" i="13"/>
  <c r="F169" i="13"/>
  <c r="E169" i="13"/>
  <c r="L168" i="13"/>
  <c r="K168" i="13"/>
  <c r="I168" i="13"/>
  <c r="H168" i="13"/>
  <c r="G168" i="13"/>
  <c r="F168" i="13"/>
  <c r="E168" i="13"/>
  <c r="L167" i="13"/>
  <c r="K167" i="13"/>
  <c r="I167" i="13"/>
  <c r="H167" i="13"/>
  <c r="G167" i="13"/>
  <c r="F167" i="13"/>
  <c r="E167" i="13"/>
  <c r="L166" i="13"/>
  <c r="K166" i="13"/>
  <c r="I166" i="13"/>
  <c r="H166" i="13"/>
  <c r="G166" i="13"/>
  <c r="F166" i="13"/>
  <c r="E166" i="13"/>
  <c r="L165" i="13"/>
  <c r="K165" i="13"/>
  <c r="I165" i="13"/>
  <c r="H165" i="13"/>
  <c r="G165" i="13"/>
  <c r="F165" i="13"/>
  <c r="E165" i="13"/>
  <c r="L164" i="13"/>
  <c r="K164" i="13"/>
  <c r="I164" i="13"/>
  <c r="H164" i="13"/>
  <c r="G164" i="13"/>
  <c r="F164" i="13"/>
  <c r="E164" i="13"/>
  <c r="L163" i="13"/>
  <c r="K163" i="13"/>
  <c r="I163" i="13"/>
  <c r="H163" i="13"/>
  <c r="G163" i="13"/>
  <c r="F163" i="13"/>
  <c r="E163" i="13"/>
  <c r="L162" i="13"/>
  <c r="K162" i="13"/>
  <c r="I162" i="13"/>
  <c r="H162" i="13"/>
  <c r="G162" i="13"/>
  <c r="F162" i="13"/>
  <c r="E162" i="13"/>
  <c r="L161" i="13"/>
  <c r="K161" i="13"/>
  <c r="I161" i="13"/>
  <c r="H161" i="13"/>
  <c r="G161" i="13"/>
  <c r="F161" i="13"/>
  <c r="E161" i="13"/>
  <c r="L160" i="13"/>
  <c r="K160" i="13"/>
  <c r="I160" i="13"/>
  <c r="H160" i="13"/>
  <c r="G160" i="13"/>
  <c r="F160" i="13"/>
  <c r="E160" i="13"/>
  <c r="L159" i="13"/>
  <c r="K159" i="13"/>
  <c r="I159" i="13"/>
  <c r="H159" i="13"/>
  <c r="D121" i="17" s="1"/>
  <c r="J121" i="17" s="1"/>
  <c r="G159" i="13"/>
  <c r="F159" i="13"/>
  <c r="E159" i="13"/>
  <c r="L158" i="13"/>
  <c r="K158" i="13"/>
  <c r="I158" i="13"/>
  <c r="H158" i="13"/>
  <c r="G158" i="13"/>
  <c r="F158" i="13"/>
  <c r="E158" i="13"/>
  <c r="L157" i="13"/>
  <c r="K157" i="13"/>
  <c r="I157" i="13"/>
  <c r="H157" i="13"/>
  <c r="G157" i="13"/>
  <c r="F157" i="13"/>
  <c r="E157" i="13"/>
  <c r="L156" i="13"/>
  <c r="K156" i="13"/>
  <c r="I156" i="13"/>
  <c r="H156" i="13"/>
  <c r="G156" i="13"/>
  <c r="F156" i="13"/>
  <c r="E156" i="13"/>
  <c r="L155" i="13"/>
  <c r="K155" i="13"/>
  <c r="I155" i="13"/>
  <c r="H155" i="13"/>
  <c r="G155" i="13"/>
  <c r="F155" i="13"/>
  <c r="E155" i="13"/>
  <c r="L154" i="13"/>
  <c r="K154" i="13"/>
  <c r="I154" i="13"/>
  <c r="H154" i="13"/>
  <c r="G154" i="13"/>
  <c r="F154" i="13"/>
  <c r="E154" i="13"/>
  <c r="L153" i="13"/>
  <c r="K153" i="13"/>
  <c r="I153" i="13"/>
  <c r="H153" i="13"/>
  <c r="G153" i="13"/>
  <c r="F153" i="13"/>
  <c r="E153" i="13"/>
  <c r="L152" i="13"/>
  <c r="K152" i="13"/>
  <c r="I152" i="13"/>
  <c r="H152" i="13"/>
  <c r="G152" i="13"/>
  <c r="F152" i="13"/>
  <c r="E152" i="13"/>
  <c r="L151" i="13"/>
  <c r="K151" i="13"/>
  <c r="I151" i="13"/>
  <c r="H151" i="13"/>
  <c r="G151" i="13"/>
  <c r="F151" i="13"/>
  <c r="E151" i="13"/>
  <c r="L150" i="13"/>
  <c r="K150" i="13"/>
  <c r="I150" i="13"/>
  <c r="H150" i="13"/>
  <c r="G150" i="13"/>
  <c r="F150" i="13"/>
  <c r="E150" i="13"/>
  <c r="L149" i="13"/>
  <c r="K149" i="13"/>
  <c r="I149" i="13"/>
  <c r="H149" i="13"/>
  <c r="G149" i="13"/>
  <c r="F149" i="13"/>
  <c r="E149" i="13"/>
  <c r="L148" i="13"/>
  <c r="K148" i="13"/>
  <c r="I148" i="13"/>
  <c r="H148" i="13"/>
  <c r="G148" i="13"/>
  <c r="F148" i="13"/>
  <c r="E148" i="13"/>
  <c r="L147" i="13"/>
  <c r="K147" i="13"/>
  <c r="I147" i="13"/>
  <c r="H147" i="13"/>
  <c r="G147" i="13"/>
  <c r="F147" i="13"/>
  <c r="E147" i="13"/>
  <c r="L146" i="13"/>
  <c r="K146" i="13"/>
  <c r="I146" i="13"/>
  <c r="H146" i="13"/>
  <c r="G146" i="13"/>
  <c r="F146" i="13"/>
  <c r="E146" i="13"/>
  <c r="L145" i="13"/>
  <c r="K145" i="13"/>
  <c r="I145" i="13"/>
  <c r="H145" i="13"/>
  <c r="G145" i="13"/>
  <c r="F145" i="13"/>
  <c r="E145" i="13"/>
  <c r="L144" i="13"/>
  <c r="K144" i="13"/>
  <c r="I144" i="13"/>
  <c r="H144" i="13"/>
  <c r="G144" i="13"/>
  <c r="F144" i="13"/>
  <c r="E144" i="13"/>
  <c r="L143" i="13"/>
  <c r="K143" i="13"/>
  <c r="I143" i="13"/>
  <c r="H143" i="13"/>
  <c r="G143" i="13"/>
  <c r="F143" i="13"/>
  <c r="E143" i="13"/>
  <c r="L142" i="13"/>
  <c r="K142" i="13"/>
  <c r="I142" i="13"/>
  <c r="H142" i="13"/>
  <c r="G142" i="13"/>
  <c r="F142" i="13"/>
  <c r="E142" i="13"/>
  <c r="L141" i="13"/>
  <c r="K141" i="13"/>
  <c r="I141" i="13"/>
  <c r="H141" i="13"/>
  <c r="G141" i="13"/>
  <c r="F141" i="13"/>
  <c r="E141" i="13"/>
  <c r="L140" i="13"/>
  <c r="K140" i="13"/>
  <c r="I140" i="13"/>
  <c r="H140" i="13"/>
  <c r="G140" i="13"/>
  <c r="F140" i="13"/>
  <c r="E140" i="13"/>
  <c r="L139" i="13"/>
  <c r="K139" i="13"/>
  <c r="I139" i="13"/>
  <c r="H139" i="13"/>
  <c r="G139" i="13"/>
  <c r="F139" i="13"/>
  <c r="E139" i="13"/>
  <c r="L138" i="13"/>
  <c r="K138" i="13"/>
  <c r="I138" i="13"/>
  <c r="H138" i="13"/>
  <c r="G138" i="13"/>
  <c r="F138" i="13"/>
  <c r="E138" i="13"/>
  <c r="L137" i="13"/>
  <c r="K137" i="13"/>
  <c r="I137" i="13"/>
  <c r="H137" i="13"/>
  <c r="G137" i="13"/>
  <c r="F137" i="13"/>
  <c r="E137" i="13"/>
  <c r="L136" i="13"/>
  <c r="K136" i="13"/>
  <c r="I136" i="13"/>
  <c r="H136" i="13"/>
  <c r="G136" i="13"/>
  <c r="F136" i="13"/>
  <c r="E136" i="13"/>
  <c r="L135" i="13"/>
  <c r="K135" i="13"/>
  <c r="I135" i="13"/>
  <c r="H135" i="13"/>
  <c r="G135" i="13"/>
  <c r="F135" i="13"/>
  <c r="E135" i="13"/>
  <c r="L134" i="13"/>
  <c r="K134" i="13"/>
  <c r="I134" i="13"/>
  <c r="H134" i="13"/>
  <c r="G134" i="13"/>
  <c r="F134" i="13"/>
  <c r="E134" i="13"/>
  <c r="L133" i="13"/>
  <c r="K133" i="13"/>
  <c r="I133" i="13"/>
  <c r="H133" i="13"/>
  <c r="G133" i="13"/>
  <c r="F133" i="13"/>
  <c r="E133" i="13"/>
  <c r="L132" i="13"/>
  <c r="K132" i="13"/>
  <c r="I132" i="13"/>
  <c r="H132" i="13"/>
  <c r="G132" i="13"/>
  <c r="F132" i="13"/>
  <c r="E132" i="13"/>
  <c r="L131" i="13"/>
  <c r="K131" i="13"/>
  <c r="I131" i="13"/>
  <c r="H131" i="13"/>
  <c r="G131" i="13"/>
  <c r="F131" i="13"/>
  <c r="E131" i="13"/>
  <c r="L130" i="13"/>
  <c r="K130" i="13"/>
  <c r="I130" i="13"/>
  <c r="H130" i="13"/>
  <c r="G130" i="13"/>
  <c r="F130" i="13"/>
  <c r="E130" i="13"/>
  <c r="L129" i="13"/>
  <c r="K129" i="13"/>
  <c r="I129" i="13"/>
  <c r="H129" i="13"/>
  <c r="G129" i="13"/>
  <c r="F129" i="13"/>
  <c r="E129" i="13"/>
  <c r="L128" i="13"/>
  <c r="K128" i="13"/>
  <c r="I128" i="13"/>
  <c r="H128" i="13"/>
  <c r="G128" i="13"/>
  <c r="F128" i="13"/>
  <c r="E128" i="13"/>
  <c r="L127" i="13"/>
  <c r="K127" i="13"/>
  <c r="I127" i="13"/>
  <c r="H127" i="13"/>
  <c r="G127" i="13"/>
  <c r="F127" i="13"/>
  <c r="E127" i="13"/>
  <c r="L126" i="13"/>
  <c r="K126" i="13"/>
  <c r="I126" i="13"/>
  <c r="H126" i="13"/>
  <c r="G126" i="13"/>
  <c r="F126" i="13"/>
  <c r="E126" i="13"/>
  <c r="L125" i="13"/>
  <c r="K125" i="13"/>
  <c r="I125" i="13"/>
  <c r="H125" i="13"/>
  <c r="G125" i="13"/>
  <c r="F125" i="13"/>
  <c r="E125" i="13"/>
  <c r="L124" i="13"/>
  <c r="K124" i="13"/>
  <c r="I124" i="13"/>
  <c r="H124" i="13"/>
  <c r="G124" i="13"/>
  <c r="F124" i="13"/>
  <c r="E124" i="13"/>
  <c r="L123" i="13"/>
  <c r="K123" i="13"/>
  <c r="I123" i="13"/>
  <c r="H123" i="13"/>
  <c r="G123" i="13"/>
  <c r="F123" i="13"/>
  <c r="E123" i="13"/>
  <c r="L122" i="13"/>
  <c r="K122" i="13"/>
  <c r="I122" i="13"/>
  <c r="H122" i="13"/>
  <c r="G122" i="13"/>
  <c r="F122" i="13"/>
  <c r="E122" i="13"/>
  <c r="L121" i="13"/>
  <c r="K121" i="13"/>
  <c r="I121" i="13"/>
  <c r="H121" i="13"/>
  <c r="G121" i="13"/>
  <c r="F121" i="13"/>
  <c r="E121" i="13"/>
  <c r="L120" i="13"/>
  <c r="K120" i="13"/>
  <c r="I120" i="13"/>
  <c r="H120" i="13"/>
  <c r="G120" i="13"/>
  <c r="F120" i="13"/>
  <c r="E120" i="13"/>
  <c r="L119" i="13"/>
  <c r="K119" i="13"/>
  <c r="I119" i="13"/>
  <c r="H119" i="13"/>
  <c r="G119" i="13"/>
  <c r="F119" i="13"/>
  <c r="E119" i="13"/>
  <c r="L118" i="13"/>
  <c r="K118" i="13"/>
  <c r="I118" i="13"/>
  <c r="H118" i="13"/>
  <c r="G118" i="13"/>
  <c r="F118" i="13"/>
  <c r="E118" i="13"/>
  <c r="L117" i="13"/>
  <c r="K117" i="13"/>
  <c r="I117" i="13"/>
  <c r="H117" i="13"/>
  <c r="G117" i="13"/>
  <c r="F117" i="13"/>
  <c r="E117" i="13"/>
  <c r="L116" i="13"/>
  <c r="K116" i="13"/>
  <c r="I116" i="13"/>
  <c r="H116" i="13"/>
  <c r="E35" i="10" s="1"/>
  <c r="G116" i="13"/>
  <c r="F116" i="13"/>
  <c r="E116" i="13"/>
  <c r="L115" i="13"/>
  <c r="K115" i="13"/>
  <c r="I115" i="13"/>
  <c r="H115" i="13"/>
  <c r="G115" i="13"/>
  <c r="F115" i="13"/>
  <c r="E115" i="13"/>
  <c r="L114" i="13"/>
  <c r="K114" i="13"/>
  <c r="I114" i="13"/>
  <c r="H114" i="13"/>
  <c r="G114" i="13"/>
  <c r="F114" i="13"/>
  <c r="E114" i="13"/>
  <c r="L113" i="13"/>
  <c r="K113" i="13"/>
  <c r="I113" i="13"/>
  <c r="H113" i="13"/>
  <c r="G113" i="13"/>
  <c r="F113" i="13"/>
  <c r="E113" i="13"/>
  <c r="L112" i="13"/>
  <c r="K112" i="13"/>
  <c r="I112" i="13"/>
  <c r="H112" i="13"/>
  <c r="G112" i="13"/>
  <c r="F112" i="13"/>
  <c r="E112" i="13"/>
  <c r="L111" i="13"/>
  <c r="K111" i="13"/>
  <c r="I111" i="13"/>
  <c r="H111" i="13"/>
  <c r="G111" i="13"/>
  <c r="F111" i="13"/>
  <c r="E111" i="13"/>
  <c r="L110" i="13"/>
  <c r="K110" i="13"/>
  <c r="I110" i="13"/>
  <c r="H110" i="13"/>
  <c r="G110" i="13"/>
  <c r="F110" i="13"/>
  <c r="E110" i="13"/>
  <c r="L109" i="13"/>
  <c r="K109" i="13"/>
  <c r="I109" i="13"/>
  <c r="H109" i="13"/>
  <c r="G109" i="13"/>
  <c r="F109" i="13"/>
  <c r="E109" i="13"/>
  <c r="L108" i="13"/>
  <c r="K108" i="13"/>
  <c r="I108" i="13"/>
  <c r="H108" i="13"/>
  <c r="G108" i="13"/>
  <c r="F108" i="13"/>
  <c r="E108" i="13"/>
  <c r="L107" i="13"/>
  <c r="K107" i="13"/>
  <c r="I107" i="13"/>
  <c r="H107" i="13"/>
  <c r="G107" i="13"/>
  <c r="F107" i="13"/>
  <c r="E107" i="13"/>
  <c r="L106" i="13"/>
  <c r="K106" i="13"/>
  <c r="I106" i="13"/>
  <c r="H106" i="13"/>
  <c r="G106" i="13"/>
  <c r="F106" i="13"/>
  <c r="E106" i="13"/>
  <c r="L105" i="13"/>
  <c r="K105" i="13"/>
  <c r="I105" i="13"/>
  <c r="H105" i="13"/>
  <c r="G105" i="13"/>
  <c r="F105" i="13"/>
  <c r="E105" i="13"/>
  <c r="L104" i="13"/>
  <c r="K104" i="13"/>
  <c r="I104" i="13"/>
  <c r="H104" i="13"/>
  <c r="G104" i="13"/>
  <c r="F104" i="13"/>
  <c r="E104" i="13"/>
  <c r="L103" i="13"/>
  <c r="K103" i="13"/>
  <c r="I103" i="13"/>
  <c r="H103" i="13"/>
  <c r="G103" i="13"/>
  <c r="F103" i="13"/>
  <c r="E103" i="13"/>
  <c r="L102" i="13"/>
  <c r="K102" i="13"/>
  <c r="I102" i="13"/>
  <c r="H102" i="13"/>
  <c r="G102" i="13"/>
  <c r="F102" i="13"/>
  <c r="E102" i="13"/>
  <c r="L101" i="13"/>
  <c r="K101" i="13"/>
  <c r="I101" i="13"/>
  <c r="H101" i="13"/>
  <c r="G101" i="13"/>
  <c r="F101" i="13"/>
  <c r="E101" i="13"/>
  <c r="L100" i="13"/>
  <c r="K100" i="13"/>
  <c r="I100" i="13"/>
  <c r="H100" i="13"/>
  <c r="G100" i="13"/>
  <c r="F100" i="13"/>
  <c r="E100" i="13"/>
  <c r="L99" i="13"/>
  <c r="K99" i="13"/>
  <c r="I99" i="13"/>
  <c r="H99" i="13"/>
  <c r="G99" i="13"/>
  <c r="F99" i="13"/>
  <c r="E99" i="13"/>
  <c r="L98" i="13"/>
  <c r="K98" i="13"/>
  <c r="I98" i="13"/>
  <c r="H98" i="13"/>
  <c r="G98" i="13"/>
  <c r="F98" i="13"/>
  <c r="E98" i="13"/>
  <c r="L97" i="13"/>
  <c r="K97" i="13"/>
  <c r="I97" i="13"/>
  <c r="H97" i="13"/>
  <c r="G97" i="13"/>
  <c r="F97" i="13"/>
  <c r="E97" i="13"/>
  <c r="L96" i="13"/>
  <c r="K96" i="13"/>
  <c r="I96" i="13"/>
  <c r="H96" i="13"/>
  <c r="G96" i="13"/>
  <c r="F96" i="13"/>
  <c r="E96" i="13"/>
  <c r="L95" i="13"/>
  <c r="K95" i="13"/>
  <c r="I95" i="13"/>
  <c r="H95" i="13"/>
  <c r="G95" i="13"/>
  <c r="F95" i="13"/>
  <c r="E95" i="13"/>
  <c r="L94" i="13"/>
  <c r="K94" i="13"/>
  <c r="I94" i="13"/>
  <c r="H94" i="13"/>
  <c r="G94" i="13"/>
  <c r="F94" i="13"/>
  <c r="E94" i="13"/>
  <c r="L93" i="13"/>
  <c r="K93" i="13"/>
  <c r="I93" i="13"/>
  <c r="H93" i="13"/>
  <c r="G93" i="13"/>
  <c r="F93" i="13"/>
  <c r="E93" i="13"/>
  <c r="L92" i="13"/>
  <c r="K92" i="13"/>
  <c r="I92" i="13"/>
  <c r="H92" i="13"/>
  <c r="G92" i="13"/>
  <c r="F92" i="13"/>
  <c r="E92" i="13"/>
  <c r="L91" i="13"/>
  <c r="K91" i="13"/>
  <c r="I91" i="13"/>
  <c r="H91" i="13"/>
  <c r="G91" i="13"/>
  <c r="F91" i="13"/>
  <c r="E91" i="13"/>
  <c r="L90" i="13"/>
  <c r="K90" i="13"/>
  <c r="I90" i="13"/>
  <c r="H90" i="13"/>
  <c r="G90" i="13"/>
  <c r="F90" i="13"/>
  <c r="E90" i="13"/>
  <c r="L89" i="13"/>
  <c r="K89" i="13"/>
  <c r="I89" i="13"/>
  <c r="H89" i="13"/>
  <c r="G89" i="13"/>
  <c r="F89" i="13"/>
  <c r="E89" i="13"/>
  <c r="L88" i="13"/>
  <c r="K88" i="13"/>
  <c r="I88" i="13"/>
  <c r="H88" i="13"/>
  <c r="G88" i="13"/>
  <c r="F88" i="13"/>
  <c r="E88" i="13"/>
  <c r="L87" i="13"/>
  <c r="K87" i="13"/>
  <c r="I87" i="13"/>
  <c r="H87" i="13"/>
  <c r="G87" i="13"/>
  <c r="F87" i="13"/>
  <c r="E87" i="13"/>
  <c r="L86" i="13"/>
  <c r="K86" i="13"/>
  <c r="I86" i="13"/>
  <c r="H86" i="13"/>
  <c r="G86" i="13"/>
  <c r="F86" i="13"/>
  <c r="E86" i="13"/>
  <c r="L85" i="13"/>
  <c r="K85" i="13"/>
  <c r="I85" i="13"/>
  <c r="H85" i="13"/>
  <c r="G85" i="13"/>
  <c r="F85" i="13"/>
  <c r="E85" i="13"/>
  <c r="L84" i="13"/>
  <c r="K84" i="13"/>
  <c r="I84" i="13"/>
  <c r="H84" i="13"/>
  <c r="G84" i="13"/>
  <c r="F84" i="13"/>
  <c r="E84" i="13"/>
  <c r="L83" i="13"/>
  <c r="K83" i="13"/>
  <c r="I83" i="13"/>
  <c r="H83" i="13"/>
  <c r="G83" i="13"/>
  <c r="F83" i="13"/>
  <c r="E83" i="13"/>
  <c r="L82" i="13"/>
  <c r="K82" i="13"/>
  <c r="I82" i="13"/>
  <c r="H82" i="13"/>
  <c r="G82" i="13"/>
  <c r="F82" i="13"/>
  <c r="E82" i="13"/>
  <c r="L81" i="13"/>
  <c r="K81" i="13"/>
  <c r="I81" i="13"/>
  <c r="H81" i="13"/>
  <c r="G81" i="13"/>
  <c r="F81" i="13"/>
  <c r="E81" i="13"/>
  <c r="L80" i="13"/>
  <c r="K80" i="13"/>
  <c r="I80" i="13"/>
  <c r="H80" i="13"/>
  <c r="G80" i="13"/>
  <c r="F80" i="13"/>
  <c r="E80" i="13"/>
  <c r="L79" i="13"/>
  <c r="K79" i="13"/>
  <c r="I79" i="13"/>
  <c r="H79" i="13"/>
  <c r="G79" i="13"/>
  <c r="F79" i="13"/>
  <c r="E79" i="13"/>
  <c r="L78" i="13"/>
  <c r="K78" i="13"/>
  <c r="I78" i="13"/>
  <c r="H78" i="13"/>
  <c r="G78" i="13"/>
  <c r="F78" i="13"/>
  <c r="E78" i="13"/>
  <c r="L77" i="13"/>
  <c r="K77" i="13"/>
  <c r="I77" i="13"/>
  <c r="H77" i="13"/>
  <c r="G77" i="13"/>
  <c r="F77" i="13"/>
  <c r="E77" i="13"/>
  <c r="L76" i="13"/>
  <c r="K76" i="13"/>
  <c r="I76" i="13"/>
  <c r="H76" i="13"/>
  <c r="G76" i="13"/>
  <c r="F76" i="13"/>
  <c r="E76" i="13"/>
  <c r="L75" i="13"/>
  <c r="K75" i="13"/>
  <c r="I75" i="13"/>
  <c r="H75" i="13"/>
  <c r="G75" i="13"/>
  <c r="F75" i="13"/>
  <c r="E75" i="13"/>
  <c r="L74" i="13"/>
  <c r="K74" i="13"/>
  <c r="I74" i="13"/>
  <c r="H74" i="13"/>
  <c r="G74" i="13"/>
  <c r="F74" i="13"/>
  <c r="E74" i="13"/>
  <c r="L73" i="13"/>
  <c r="K73" i="13"/>
  <c r="I73" i="13"/>
  <c r="H73" i="13"/>
  <c r="G73" i="13"/>
  <c r="F73" i="13"/>
  <c r="E73" i="13"/>
  <c r="L72" i="13"/>
  <c r="K72" i="13"/>
  <c r="I72" i="13"/>
  <c r="H72" i="13"/>
  <c r="G72" i="13"/>
  <c r="F72" i="13"/>
  <c r="E72" i="13"/>
  <c r="L71" i="13"/>
  <c r="K71" i="13"/>
  <c r="I71" i="13"/>
  <c r="H71" i="13"/>
  <c r="G71" i="13"/>
  <c r="F71" i="13"/>
  <c r="E71" i="13"/>
  <c r="L70" i="13"/>
  <c r="K70" i="13"/>
  <c r="I70" i="13"/>
  <c r="H70" i="13"/>
  <c r="G70" i="13"/>
  <c r="F70" i="13"/>
  <c r="E70" i="13"/>
  <c r="L69" i="13"/>
  <c r="K69" i="13"/>
  <c r="I69" i="13"/>
  <c r="H69" i="13"/>
  <c r="G69" i="13"/>
  <c r="F69" i="13"/>
  <c r="E69" i="13"/>
  <c r="L68" i="13"/>
  <c r="K68" i="13"/>
  <c r="I68" i="13"/>
  <c r="H68" i="13"/>
  <c r="G68" i="13"/>
  <c r="F68" i="13"/>
  <c r="E68" i="13"/>
  <c r="L67" i="13"/>
  <c r="K67" i="13"/>
  <c r="I67" i="13"/>
  <c r="H67" i="13"/>
  <c r="G67" i="13"/>
  <c r="F67" i="13"/>
  <c r="E67" i="13"/>
  <c r="L66" i="13"/>
  <c r="K66" i="13"/>
  <c r="I66" i="13"/>
  <c r="H66" i="13"/>
  <c r="G66" i="13"/>
  <c r="F66" i="13"/>
  <c r="E66" i="13"/>
  <c r="L65" i="13"/>
  <c r="K65" i="13"/>
  <c r="I65" i="13"/>
  <c r="H65" i="13"/>
  <c r="G65" i="13"/>
  <c r="F65" i="13"/>
  <c r="E65" i="13"/>
  <c r="L64" i="13"/>
  <c r="K64" i="13"/>
  <c r="I64" i="13"/>
  <c r="H64" i="13"/>
  <c r="G64" i="13"/>
  <c r="F64" i="13"/>
  <c r="E64" i="13"/>
  <c r="L63" i="13"/>
  <c r="K63" i="13"/>
  <c r="I63" i="13"/>
  <c r="H63" i="13"/>
  <c r="G63" i="13"/>
  <c r="F63" i="13"/>
  <c r="E63" i="13"/>
  <c r="L62" i="13"/>
  <c r="K62" i="13"/>
  <c r="I62" i="13"/>
  <c r="H62" i="13"/>
  <c r="G62" i="13"/>
  <c r="F62" i="13"/>
  <c r="E62" i="13"/>
  <c r="L61" i="13"/>
  <c r="K61" i="13"/>
  <c r="I61" i="13"/>
  <c r="H61" i="13"/>
  <c r="G61" i="13"/>
  <c r="F61" i="13"/>
  <c r="E61" i="13"/>
  <c r="L60" i="13"/>
  <c r="K60" i="13"/>
  <c r="I60" i="13"/>
  <c r="H60" i="13"/>
  <c r="G60" i="13"/>
  <c r="F60" i="13"/>
  <c r="E60" i="13"/>
  <c r="L59" i="13"/>
  <c r="K59" i="13"/>
  <c r="I59" i="13"/>
  <c r="H59" i="13"/>
  <c r="G59" i="13"/>
  <c r="F59" i="13"/>
  <c r="E59" i="13"/>
  <c r="L58" i="13"/>
  <c r="K58" i="13"/>
  <c r="I58" i="13"/>
  <c r="H58" i="13"/>
  <c r="G58" i="13"/>
  <c r="F58" i="13"/>
  <c r="E58" i="13"/>
  <c r="L57" i="13"/>
  <c r="K57" i="13"/>
  <c r="I57" i="13"/>
  <c r="H57" i="13"/>
  <c r="G57" i="13"/>
  <c r="F57" i="13"/>
  <c r="E57" i="13"/>
  <c r="L56" i="13"/>
  <c r="K56" i="13"/>
  <c r="I56" i="13"/>
  <c r="H56" i="13"/>
  <c r="G56" i="13"/>
  <c r="F56" i="13"/>
  <c r="E56" i="13"/>
  <c r="L55" i="13"/>
  <c r="K55" i="13"/>
  <c r="I55" i="13"/>
  <c r="H55" i="13"/>
  <c r="G55" i="13"/>
  <c r="F55" i="13"/>
  <c r="E55" i="13"/>
  <c r="L54" i="13"/>
  <c r="K54" i="13"/>
  <c r="I54" i="13"/>
  <c r="H54" i="13"/>
  <c r="G54" i="13"/>
  <c r="F54" i="13"/>
  <c r="E54" i="13"/>
  <c r="L53" i="13"/>
  <c r="K53" i="13"/>
  <c r="I53" i="13"/>
  <c r="H53" i="13"/>
  <c r="G53" i="13"/>
  <c r="F53" i="13"/>
  <c r="E53" i="13"/>
  <c r="L52" i="13"/>
  <c r="K52" i="13"/>
  <c r="I52" i="13"/>
  <c r="H52" i="13"/>
  <c r="G52" i="13"/>
  <c r="F52" i="13"/>
  <c r="E52" i="13"/>
  <c r="L51" i="13"/>
  <c r="K51" i="13"/>
  <c r="I51" i="13"/>
  <c r="H51" i="13"/>
  <c r="G51" i="13"/>
  <c r="F51" i="13"/>
  <c r="E51" i="13"/>
  <c r="L50" i="13"/>
  <c r="K50" i="13"/>
  <c r="I50" i="13"/>
  <c r="H50" i="13"/>
  <c r="G50" i="13"/>
  <c r="F50" i="13"/>
  <c r="E50" i="13"/>
  <c r="L49" i="13"/>
  <c r="K49" i="13"/>
  <c r="I49" i="13"/>
  <c r="H49" i="13"/>
  <c r="G49" i="13"/>
  <c r="F49" i="13"/>
  <c r="E49" i="13"/>
  <c r="L48" i="13"/>
  <c r="K48" i="13"/>
  <c r="I48" i="13"/>
  <c r="H48" i="13"/>
  <c r="G48" i="13"/>
  <c r="F48" i="13"/>
  <c r="E48" i="13"/>
  <c r="L47" i="13"/>
  <c r="K47" i="13"/>
  <c r="I47" i="13"/>
  <c r="H47" i="13"/>
  <c r="G47" i="13"/>
  <c r="F47" i="13"/>
  <c r="E47" i="13"/>
  <c r="L46" i="13"/>
  <c r="K46" i="13"/>
  <c r="I46" i="13"/>
  <c r="H46" i="13"/>
  <c r="G46" i="13"/>
  <c r="F46" i="13"/>
  <c r="E46" i="13"/>
  <c r="L45" i="13"/>
  <c r="K45" i="13"/>
  <c r="I45" i="13"/>
  <c r="H45" i="13"/>
  <c r="G45" i="13"/>
  <c r="F45" i="13"/>
  <c r="E45" i="13"/>
  <c r="L44" i="13"/>
  <c r="K44" i="13"/>
  <c r="I44" i="13"/>
  <c r="H44" i="13"/>
  <c r="G44" i="13"/>
  <c r="F44" i="13"/>
  <c r="E44" i="13"/>
  <c r="L43" i="13"/>
  <c r="K43" i="13"/>
  <c r="I43" i="13"/>
  <c r="H43" i="13"/>
  <c r="D116" i="17" s="1"/>
  <c r="J116" i="17" s="1"/>
  <c r="G43" i="13"/>
  <c r="F43" i="13"/>
  <c r="E43" i="13"/>
  <c r="L42" i="13"/>
  <c r="K42" i="13"/>
  <c r="I42" i="13"/>
  <c r="H42" i="13"/>
  <c r="G42" i="13"/>
  <c r="F42" i="13"/>
  <c r="E42" i="13"/>
  <c r="L41" i="13"/>
  <c r="K41" i="13"/>
  <c r="I41" i="13"/>
  <c r="H41" i="13"/>
  <c r="G41" i="13"/>
  <c r="F41" i="13"/>
  <c r="E41" i="13"/>
  <c r="L40" i="13"/>
  <c r="K40" i="13"/>
  <c r="I40" i="13"/>
  <c r="H40" i="13"/>
  <c r="G40" i="13"/>
  <c r="F40" i="13"/>
  <c r="E40" i="13"/>
  <c r="L39" i="13"/>
  <c r="K39" i="13"/>
  <c r="I39" i="13"/>
  <c r="H39" i="13"/>
  <c r="G39" i="13"/>
  <c r="F39" i="13"/>
  <c r="E39" i="13"/>
  <c r="L38" i="13"/>
  <c r="K38" i="13"/>
  <c r="I38" i="13"/>
  <c r="H38" i="13"/>
  <c r="G38" i="13"/>
  <c r="F38" i="13"/>
  <c r="E38" i="13"/>
  <c r="L37" i="13"/>
  <c r="K37" i="13"/>
  <c r="I37" i="13"/>
  <c r="H37" i="13"/>
  <c r="G37" i="13"/>
  <c r="F37" i="13"/>
  <c r="E37" i="13"/>
  <c r="L36" i="13"/>
  <c r="K36" i="13"/>
  <c r="I36" i="13"/>
  <c r="H36" i="13"/>
  <c r="G36" i="13"/>
  <c r="F36" i="13"/>
  <c r="E36" i="13"/>
  <c r="L35" i="13"/>
  <c r="K35" i="13"/>
  <c r="I35" i="13"/>
  <c r="H35" i="13"/>
  <c r="D45" i="17" s="1"/>
  <c r="J45" i="17" s="1"/>
  <c r="G35" i="13"/>
  <c r="F35" i="13"/>
  <c r="E35" i="13"/>
  <c r="L34" i="13"/>
  <c r="K34" i="13"/>
  <c r="I34" i="13"/>
  <c r="H34" i="13"/>
  <c r="E72" i="10" s="1"/>
  <c r="F72" i="10" s="1"/>
  <c r="G34" i="13"/>
  <c r="F34" i="13"/>
  <c r="E34" i="13"/>
  <c r="L33" i="13"/>
  <c r="K33" i="13"/>
  <c r="I33" i="13"/>
  <c r="H33" i="13"/>
  <c r="E61" i="10" s="1"/>
  <c r="G33" i="13"/>
  <c r="F33" i="13"/>
  <c r="E33" i="13"/>
  <c r="L32" i="13"/>
  <c r="K32" i="13"/>
  <c r="I32" i="13"/>
  <c r="H32" i="13"/>
  <c r="G32" i="13"/>
  <c r="F32" i="13"/>
  <c r="E32" i="13"/>
  <c r="L31" i="13"/>
  <c r="K31" i="13"/>
  <c r="I31" i="13"/>
  <c r="H31" i="13"/>
  <c r="G31" i="13"/>
  <c r="F31" i="13"/>
  <c r="E31" i="13"/>
  <c r="L30" i="13"/>
  <c r="K30" i="13"/>
  <c r="I30" i="13"/>
  <c r="H30" i="13"/>
  <c r="AP698" i="7" s="1"/>
  <c r="G30" i="13"/>
  <c r="F30" i="13"/>
  <c r="E30" i="13"/>
  <c r="L29" i="13"/>
  <c r="K29" i="13"/>
  <c r="I29" i="13"/>
  <c r="H29" i="13"/>
  <c r="G29" i="13"/>
  <c r="F29" i="13"/>
  <c r="E29" i="13"/>
  <c r="L28" i="13"/>
  <c r="K28" i="13"/>
  <c r="I28" i="13"/>
  <c r="H28" i="13"/>
  <c r="D57" i="17" s="1"/>
  <c r="J57" i="17" s="1"/>
  <c r="G28" i="13"/>
  <c r="F28" i="13"/>
  <c r="E28" i="13"/>
  <c r="L27" i="13"/>
  <c r="K27" i="13"/>
  <c r="I27" i="13"/>
  <c r="H27" i="13"/>
  <c r="G27" i="13"/>
  <c r="F27" i="13"/>
  <c r="E27" i="13"/>
  <c r="L26" i="13"/>
  <c r="K26" i="13"/>
  <c r="I26" i="13"/>
  <c r="H26" i="13"/>
  <c r="E28" i="10" s="1"/>
  <c r="G28" i="10" s="1"/>
  <c r="H28" i="10" s="1"/>
  <c r="G26" i="13"/>
  <c r="F26" i="13"/>
  <c r="E26" i="13"/>
  <c r="L25" i="13"/>
  <c r="K25" i="13"/>
  <c r="I25" i="13"/>
  <c r="H25" i="13"/>
  <c r="G25" i="13"/>
  <c r="F25" i="13"/>
  <c r="E25" i="13"/>
  <c r="L24" i="13"/>
  <c r="K24" i="13"/>
  <c r="I24" i="13"/>
  <c r="H24" i="13"/>
  <c r="D22" i="17" s="1"/>
  <c r="J22" i="17" s="1"/>
  <c r="G24" i="13"/>
  <c r="F24" i="13"/>
  <c r="E24" i="13"/>
  <c r="L23" i="13"/>
  <c r="K23" i="13"/>
  <c r="I23" i="13"/>
  <c r="H23" i="13"/>
  <c r="D9" i="17" s="1"/>
  <c r="J9" i="17" s="1"/>
  <c r="G23" i="13"/>
  <c r="F23" i="13"/>
  <c r="E23" i="13"/>
  <c r="L22" i="13"/>
  <c r="K22" i="13"/>
  <c r="I22" i="13"/>
  <c r="H22" i="13"/>
  <c r="D13" i="17" s="1"/>
  <c r="J13" i="17" s="1"/>
  <c r="G22" i="13"/>
  <c r="F22" i="13"/>
  <c r="E22" i="13"/>
  <c r="L21" i="13"/>
  <c r="K21" i="13"/>
  <c r="I21" i="13"/>
  <c r="H21" i="13"/>
  <c r="D21" i="17" s="1"/>
  <c r="J21" i="17" s="1"/>
  <c r="G21" i="13"/>
  <c r="F21" i="13"/>
  <c r="E21" i="13"/>
  <c r="L20" i="13"/>
  <c r="K20" i="13"/>
  <c r="I20" i="13"/>
  <c r="H20" i="13"/>
  <c r="D20" i="17" s="1"/>
  <c r="G20" i="13"/>
  <c r="F20" i="13"/>
  <c r="E20" i="13"/>
  <c r="L19" i="13"/>
  <c r="K19" i="13"/>
  <c r="I19" i="13"/>
  <c r="H19" i="13"/>
  <c r="D14" i="17" s="1"/>
  <c r="J14" i="17" s="1"/>
  <c r="G19" i="13"/>
  <c r="F19" i="13"/>
  <c r="E19" i="13"/>
  <c r="L18" i="13"/>
  <c r="K18" i="13"/>
  <c r="I18" i="13"/>
  <c r="H18" i="13"/>
  <c r="D48" i="17" s="1"/>
  <c r="J48" i="17" s="1"/>
  <c r="G18" i="13"/>
  <c r="F18" i="13"/>
  <c r="E18" i="13"/>
  <c r="L17" i="13"/>
  <c r="K17" i="13"/>
  <c r="I17" i="13"/>
  <c r="H17" i="13"/>
  <c r="G17" i="13"/>
  <c r="F17" i="13"/>
  <c r="E17" i="13"/>
  <c r="L16" i="13"/>
  <c r="K16" i="13"/>
  <c r="I16" i="13"/>
  <c r="H16" i="13"/>
  <c r="D10" i="17" s="1"/>
  <c r="G16" i="13"/>
  <c r="F16" i="13"/>
  <c r="E16" i="13"/>
  <c r="L15" i="13"/>
  <c r="K15" i="13"/>
  <c r="I15" i="13"/>
  <c r="H15" i="13"/>
  <c r="D19" i="17" s="1"/>
  <c r="J19" i="17" s="1"/>
  <c r="G15" i="13"/>
  <c r="F15" i="13"/>
  <c r="E15" i="13"/>
  <c r="L14" i="13"/>
  <c r="K14" i="13"/>
  <c r="I14" i="13"/>
  <c r="H14" i="13"/>
  <c r="D23" i="17" s="1"/>
  <c r="J23" i="17" s="1"/>
  <c r="G14" i="13"/>
  <c r="F14" i="13"/>
  <c r="E14" i="13"/>
  <c r="L13" i="13"/>
  <c r="K13" i="13"/>
  <c r="I13" i="13"/>
  <c r="H13" i="13"/>
  <c r="D47" i="17" s="1"/>
  <c r="J47" i="17" s="1"/>
  <c r="G13" i="13"/>
  <c r="F13" i="13"/>
  <c r="E13" i="13"/>
  <c r="L12" i="13"/>
  <c r="K12" i="13"/>
  <c r="I12" i="13"/>
  <c r="H12" i="13"/>
  <c r="D55" i="17" s="1"/>
  <c r="G12" i="13"/>
  <c r="F12" i="13"/>
  <c r="E12" i="13"/>
  <c r="L11" i="13"/>
  <c r="K11" i="13"/>
  <c r="I11" i="13"/>
  <c r="H11" i="13"/>
  <c r="D59" i="17" s="1"/>
  <c r="J59" i="17" s="1"/>
  <c r="G11" i="13"/>
  <c r="F11" i="13"/>
  <c r="E11" i="13"/>
  <c r="L10" i="13"/>
  <c r="K10" i="13"/>
  <c r="I10" i="13"/>
  <c r="H10" i="13"/>
  <c r="D16" i="17" s="1"/>
  <c r="J16" i="17" s="1"/>
  <c r="G10" i="13"/>
  <c r="F10" i="13"/>
  <c r="E10" i="13"/>
  <c r="L9" i="13"/>
  <c r="K9" i="13"/>
  <c r="I9" i="13"/>
  <c r="H9" i="13"/>
  <c r="D17" i="17" s="1"/>
  <c r="J17" i="17" s="1"/>
  <c r="G9" i="13"/>
  <c r="F9" i="13"/>
  <c r="E9" i="13"/>
  <c r="L8" i="13"/>
  <c r="K8" i="13"/>
  <c r="I8" i="13"/>
  <c r="H8" i="13"/>
  <c r="D58" i="17" s="1"/>
  <c r="J58" i="17" s="1"/>
  <c r="G8" i="13"/>
  <c r="F8" i="13"/>
  <c r="E8" i="13"/>
  <c r="L7" i="13"/>
  <c r="K7" i="13"/>
  <c r="I7" i="13"/>
  <c r="H7" i="13"/>
  <c r="D15" i="17" s="1"/>
  <c r="J15" i="17" s="1"/>
  <c r="G7" i="13"/>
  <c r="F7" i="13"/>
  <c r="E7" i="13"/>
  <c r="L6" i="13"/>
  <c r="K6" i="13"/>
  <c r="I6" i="13"/>
  <c r="H6" i="13"/>
  <c r="G6" i="13"/>
  <c r="F6" i="13"/>
  <c r="E6" i="13"/>
  <c r="L5" i="13"/>
  <c r="K5" i="13"/>
  <c r="I5" i="13"/>
  <c r="H5" i="13"/>
  <c r="AP551" i="7" s="1"/>
  <c r="F5" i="13"/>
  <c r="L4" i="13"/>
  <c r="K4" i="13"/>
  <c r="L3" i="13"/>
  <c r="K3" i="13"/>
  <c r="J18" i="12"/>
  <c r="I18" i="12"/>
  <c r="K18" i="12" s="1"/>
  <c r="J17" i="12"/>
  <c r="I17" i="12"/>
  <c r="K17" i="12" s="1"/>
  <c r="J16" i="12"/>
  <c r="I16" i="12"/>
  <c r="K16" i="12" s="1"/>
  <c r="J15" i="12"/>
  <c r="I15" i="12"/>
  <c r="K15" i="12" s="1"/>
  <c r="J14" i="12"/>
  <c r="I14" i="12"/>
  <c r="K14" i="12" s="1"/>
  <c r="J13" i="12"/>
  <c r="I13" i="12"/>
  <c r="K13" i="12" s="1"/>
  <c r="J12" i="12"/>
  <c r="I12" i="12"/>
  <c r="K12" i="12" s="1"/>
  <c r="J11" i="12"/>
  <c r="I11" i="12"/>
  <c r="K11" i="12" s="1"/>
  <c r="J10" i="12"/>
  <c r="I10" i="12"/>
  <c r="K10" i="12" s="1"/>
  <c r="J9" i="12"/>
  <c r="I9" i="12"/>
  <c r="K9" i="12" s="1"/>
  <c r="J8" i="12"/>
  <c r="I8" i="12"/>
  <c r="K8" i="12" s="1"/>
  <c r="J7" i="12"/>
  <c r="I7" i="12"/>
  <c r="K7" i="12" s="1"/>
  <c r="J6" i="12"/>
  <c r="I6" i="12"/>
  <c r="K6" i="12" s="1"/>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E73" i="10"/>
  <c r="G73" i="10" s="1"/>
  <c r="H73" i="10" s="1"/>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c r="D725" i="7"/>
  <c r="BH724" i="7"/>
  <c r="BG724" i="7"/>
  <c r="AU724" i="7"/>
  <c r="AP724" i="7"/>
  <c r="AK724" i="7"/>
  <c r="AF724" i="7"/>
  <c r="AG724" i="7" s="1"/>
  <c r="Z724" i="7"/>
  <c r="AA724" i="7" s="1"/>
  <c r="T724" i="7"/>
  <c r="R724" i="7"/>
  <c r="D724" i="7"/>
  <c r="BH723" i="7"/>
  <c r="BG723" i="7"/>
  <c r="AU723" i="7"/>
  <c r="AP723" i="7"/>
  <c r="AK723" i="7"/>
  <c r="AF723" i="7"/>
  <c r="AG723" i="7" s="1"/>
  <c r="Z723" i="7"/>
  <c r="AA723" i="7" s="1"/>
  <c r="T723" i="7"/>
  <c r="U723" i="7" s="1"/>
  <c r="R723" i="7"/>
  <c r="Q723" i="7" s="1"/>
  <c r="D723" i="7"/>
  <c r="BH722" i="7"/>
  <c r="BG722" i="7"/>
  <c r="AU722" i="7"/>
  <c r="AP722" i="7"/>
  <c r="AK722" i="7"/>
  <c r="AF722" i="7"/>
  <c r="AG722" i="7" s="1"/>
  <c r="Z722" i="7"/>
  <c r="AA722" i="7" s="1"/>
  <c r="T722" i="7"/>
  <c r="U722" i="7" s="1"/>
  <c r="R722" i="7"/>
  <c r="Q722" i="7" s="1"/>
  <c r="D722" i="7"/>
  <c r="BH721" i="7"/>
  <c r="BG721" i="7"/>
  <c r="AU721" i="7"/>
  <c r="AP721" i="7"/>
  <c r="AK721" i="7"/>
  <c r="AF721" i="7"/>
  <c r="AG721" i="7" s="1"/>
  <c r="Z721" i="7"/>
  <c r="AA721" i="7" s="1"/>
  <c r="T721" i="7"/>
  <c r="U721" i="7" s="1"/>
  <c r="R721" i="7"/>
  <c r="Q721" i="7" s="1"/>
  <c r="D721" i="7"/>
  <c r="BH720" i="7"/>
  <c r="BG720" i="7"/>
  <c r="AU720" i="7"/>
  <c r="AP720" i="7"/>
  <c r="AK720" i="7"/>
  <c r="AF720" i="7"/>
  <c r="AG720" i="7" s="1"/>
  <c r="Z720" i="7"/>
  <c r="AA720" i="7" s="1"/>
  <c r="T720" i="7"/>
  <c r="U720" i="7" s="1"/>
  <c r="R720" i="7"/>
  <c r="D720" i="7"/>
  <c r="BH719" i="7"/>
  <c r="BG719" i="7"/>
  <c r="AU719" i="7"/>
  <c r="AP719" i="7"/>
  <c r="AK719" i="7"/>
  <c r="AF719" i="7"/>
  <c r="AG719" i="7" s="1"/>
  <c r="Z719" i="7"/>
  <c r="AA719" i="7" s="1"/>
  <c r="T719" i="7"/>
  <c r="U719" i="7" s="1"/>
  <c r="R719" i="7"/>
  <c r="Q719" i="7" s="1"/>
  <c r="D719" i="7"/>
  <c r="BH718" i="7"/>
  <c r="BG718" i="7"/>
  <c r="AU718" i="7"/>
  <c r="AP718" i="7"/>
  <c r="AK718" i="7"/>
  <c r="AF718" i="7"/>
  <c r="AG718" i="7" s="1"/>
  <c r="Z718" i="7"/>
  <c r="AA718" i="7" s="1"/>
  <c r="T718" i="7"/>
  <c r="U718" i="7" s="1"/>
  <c r="R718" i="7"/>
  <c r="Q718" i="7" s="1"/>
  <c r="D718" i="7"/>
  <c r="BH717" i="7"/>
  <c r="BG717" i="7"/>
  <c r="AU717" i="7"/>
  <c r="AP717" i="7"/>
  <c r="AF717" i="7"/>
  <c r="AG717" i="7" s="1"/>
  <c r="Z717" i="7"/>
  <c r="AA717" i="7" s="1"/>
  <c r="T717" i="7"/>
  <c r="BE717" i="7" s="1"/>
  <c r="R717" i="7"/>
  <c r="D717" i="7"/>
  <c r="BH716" i="7"/>
  <c r="BG716" i="7"/>
  <c r="AU716" i="7"/>
  <c r="AP716" i="7"/>
  <c r="AK716" i="7"/>
  <c r="AF716" i="7"/>
  <c r="AG716" i="7" s="1"/>
  <c r="Z716" i="7"/>
  <c r="AA716" i="7" s="1"/>
  <c r="T716" i="7"/>
  <c r="U716" i="7" s="1"/>
  <c r="R716" i="7"/>
  <c r="D716" i="7"/>
  <c r="BH715" i="7"/>
  <c r="BG715" i="7"/>
  <c r="AU715" i="7"/>
  <c r="AP715" i="7"/>
  <c r="AK715" i="7"/>
  <c r="AF715" i="7"/>
  <c r="AG715" i="7" s="1"/>
  <c r="Z715" i="7"/>
  <c r="AA715" i="7" s="1"/>
  <c r="T715" i="7"/>
  <c r="R715" i="7"/>
  <c r="D715" i="7"/>
  <c r="BG714" i="7"/>
  <c r="AU714" i="7"/>
  <c r="AP714" i="7"/>
  <c r="AK714" i="7"/>
  <c r="AF714" i="7"/>
  <c r="AG714" i="7" s="1"/>
  <c r="AD714" i="7"/>
  <c r="AC714" i="7"/>
  <c r="Z714" i="7"/>
  <c r="AA714" i="7" s="1"/>
  <c r="T714" i="7"/>
  <c r="R714" i="7"/>
  <c r="Q714" i="7" s="1"/>
  <c r="D714" i="7"/>
  <c r="BG713" i="7"/>
  <c r="AU713" i="7"/>
  <c r="AP713" i="7"/>
  <c r="AK713" i="7"/>
  <c r="AF713" i="7"/>
  <c r="AG713" i="7" s="1"/>
  <c r="AD713" i="7"/>
  <c r="AC713" i="7"/>
  <c r="BH713" i="7" s="1"/>
  <c r="Z713" i="7"/>
  <c r="AA713" i="7" s="1"/>
  <c r="T713" i="7"/>
  <c r="BE713" i="7" s="1"/>
  <c r="R713" i="7"/>
  <c r="Q713" i="7" s="1"/>
  <c r="D713" i="7"/>
  <c r="BH712" i="7"/>
  <c r="BG712" i="7"/>
  <c r="AU712" i="7"/>
  <c r="AP712" i="7"/>
  <c r="AK712" i="7"/>
  <c r="AF712" i="7"/>
  <c r="AG712" i="7" s="1"/>
  <c r="Z712" i="7"/>
  <c r="AA712" i="7" s="1"/>
  <c r="T712" i="7"/>
  <c r="BE712" i="7" s="1"/>
  <c r="R712" i="7"/>
  <c r="Q712" i="7" s="1"/>
  <c r="D712" i="7"/>
  <c r="BH711" i="7"/>
  <c r="BG711" i="7"/>
  <c r="AU711" i="7"/>
  <c r="AP711" i="7"/>
  <c r="AK711" i="7"/>
  <c r="AF711" i="7"/>
  <c r="AG711" i="7" s="1"/>
  <c r="Z711" i="7"/>
  <c r="AA711" i="7" s="1"/>
  <c r="T711" i="7"/>
  <c r="BE711" i="7" s="1"/>
  <c r="R711" i="7"/>
  <c r="Q711" i="7" s="1"/>
  <c r="D711" i="7"/>
  <c r="BH710" i="7"/>
  <c r="BG710" i="7"/>
  <c r="AU710" i="7"/>
  <c r="AP710" i="7"/>
  <c r="AK710" i="7"/>
  <c r="AF710" i="7"/>
  <c r="AG710" i="7" s="1"/>
  <c r="Z710" i="7"/>
  <c r="AA710" i="7" s="1"/>
  <c r="T710" i="7"/>
  <c r="U710" i="7" s="1"/>
  <c r="R710" i="7"/>
  <c r="D710" i="7"/>
  <c r="BH709" i="7"/>
  <c r="BG709" i="7"/>
  <c r="AU709" i="7"/>
  <c r="AP709" i="7"/>
  <c r="AK709" i="7"/>
  <c r="AF709" i="7"/>
  <c r="AG709" i="7" s="1"/>
  <c r="Z709" i="7"/>
  <c r="AA709" i="7" s="1"/>
  <c r="T709" i="7"/>
  <c r="R709" i="7"/>
  <c r="Q709" i="7" s="1"/>
  <c r="D709" i="7"/>
  <c r="BH708" i="7"/>
  <c r="BG708" i="7"/>
  <c r="AU708" i="7"/>
  <c r="AP708" i="7"/>
  <c r="AK708" i="7"/>
  <c r="AF708" i="7"/>
  <c r="AG708" i="7" s="1"/>
  <c r="Z708" i="7"/>
  <c r="AA708" i="7" s="1"/>
  <c r="T708" i="7"/>
  <c r="R708" i="7"/>
  <c r="Q708" i="7" s="1"/>
  <c r="D708" i="7"/>
  <c r="BH707" i="7"/>
  <c r="BG707" i="7"/>
  <c r="AU707" i="7"/>
  <c r="AP707" i="7"/>
  <c r="AK707" i="7"/>
  <c r="AF707" i="7"/>
  <c r="AG707" i="7" s="1"/>
  <c r="Z707" i="7"/>
  <c r="AA707" i="7" s="1"/>
  <c r="T707" i="7"/>
  <c r="R707" i="7"/>
  <c r="Q707" i="7" s="1"/>
  <c r="D707" i="7"/>
  <c r="BH706" i="7"/>
  <c r="BG706" i="7"/>
  <c r="AU706" i="7"/>
  <c r="AP706" i="7"/>
  <c r="AK706" i="7"/>
  <c r="AF706" i="7"/>
  <c r="AG706" i="7" s="1"/>
  <c r="Z706" i="7"/>
  <c r="AA706" i="7" s="1"/>
  <c r="T706" i="7"/>
  <c r="U706" i="7" s="1"/>
  <c r="R706" i="7"/>
  <c r="Q706" i="7" s="1"/>
  <c r="D706" i="7"/>
  <c r="BH705" i="7"/>
  <c r="BG705" i="7"/>
  <c r="AU705" i="7"/>
  <c r="AP705" i="7"/>
  <c r="AK705" i="7"/>
  <c r="AF705" i="7"/>
  <c r="AG705" i="7" s="1"/>
  <c r="Z705" i="7"/>
  <c r="AA705" i="7" s="1"/>
  <c r="T705" i="7"/>
  <c r="BE705" i="7" s="1"/>
  <c r="R705" i="7"/>
  <c r="Q705" i="7" s="1"/>
  <c r="D705" i="7"/>
  <c r="BH704" i="7"/>
  <c r="BG704" i="7"/>
  <c r="AU704" i="7"/>
  <c r="AP704" i="7"/>
  <c r="AK704" i="7"/>
  <c r="AF704" i="7"/>
  <c r="AG704" i="7" s="1"/>
  <c r="Z704" i="7"/>
  <c r="AA704" i="7" s="1"/>
  <c r="T704" i="7"/>
  <c r="U704" i="7" s="1"/>
  <c r="R704" i="7"/>
  <c r="Q704" i="7" s="1"/>
  <c r="D704" i="7"/>
  <c r="BH703" i="7"/>
  <c r="BG703" i="7"/>
  <c r="AU703" i="7"/>
  <c r="AP703" i="7"/>
  <c r="AK703" i="7"/>
  <c r="AF703" i="7"/>
  <c r="AG703" i="7" s="1"/>
  <c r="Z703" i="7"/>
  <c r="AA703" i="7" s="1"/>
  <c r="T703" i="7"/>
  <c r="BE703" i="7" s="1"/>
  <c r="R703" i="7"/>
  <c r="Q703" i="7" s="1"/>
  <c r="D703" i="7"/>
  <c r="BH702" i="7"/>
  <c r="BG702" i="7"/>
  <c r="AU702" i="7"/>
  <c r="AP702" i="7"/>
  <c r="AK702" i="7"/>
  <c r="AF702" i="7"/>
  <c r="AG702" i="7" s="1"/>
  <c r="Z702" i="7"/>
  <c r="AA702" i="7" s="1"/>
  <c r="T702" i="7"/>
  <c r="U702" i="7" s="1"/>
  <c r="R702" i="7"/>
  <c r="Q702" i="7" s="1"/>
  <c r="D702" i="7"/>
  <c r="BH701" i="7"/>
  <c r="BG701" i="7"/>
  <c r="AU701" i="7"/>
  <c r="AP701" i="7"/>
  <c r="AK701" i="7"/>
  <c r="AF701" i="7"/>
  <c r="AG701" i="7" s="1"/>
  <c r="Z701" i="7"/>
  <c r="AA701" i="7" s="1"/>
  <c r="T701" i="7"/>
  <c r="U701" i="7" s="1"/>
  <c r="R701" i="7"/>
  <c r="Q701" i="7" s="1"/>
  <c r="D701" i="7"/>
  <c r="BH700" i="7"/>
  <c r="BG700" i="7"/>
  <c r="AU700" i="7"/>
  <c r="AP700" i="7"/>
  <c r="AK700" i="7"/>
  <c r="AF700" i="7"/>
  <c r="AG700" i="7" s="1"/>
  <c r="Z700" i="7"/>
  <c r="AA700" i="7" s="1"/>
  <c r="T700" i="7"/>
  <c r="R700" i="7"/>
  <c r="Q700" i="7" s="1"/>
  <c r="D700" i="7"/>
  <c r="BH699" i="7"/>
  <c r="BG699" i="7"/>
  <c r="AU699" i="7"/>
  <c r="AP699" i="7"/>
  <c r="AK699" i="7"/>
  <c r="AF699" i="7"/>
  <c r="AG699" i="7" s="1"/>
  <c r="Z699" i="7"/>
  <c r="AA699" i="7" s="1"/>
  <c r="T699" i="7"/>
  <c r="U699" i="7" s="1"/>
  <c r="R699" i="7"/>
  <c r="Q699" i="7" s="1"/>
  <c r="D699" i="7"/>
  <c r="BH698" i="7"/>
  <c r="BG698" i="7"/>
  <c r="AU698" i="7"/>
  <c r="AF698" i="7"/>
  <c r="AG698" i="7" s="1"/>
  <c r="Z698" i="7"/>
  <c r="AA698" i="7" s="1"/>
  <c r="T698" i="7"/>
  <c r="U698" i="7" s="1"/>
  <c r="R698" i="7"/>
  <c r="Q698" i="7" s="1"/>
  <c r="D698" i="7"/>
  <c r="BH697" i="7"/>
  <c r="BG697" i="7"/>
  <c r="AU697" i="7"/>
  <c r="AP697" i="7"/>
  <c r="AF697" i="7"/>
  <c r="AG697" i="7" s="1"/>
  <c r="Z697" i="7"/>
  <c r="AA697" i="7" s="1"/>
  <c r="T697" i="7"/>
  <c r="U697" i="7" s="1"/>
  <c r="R697" i="7"/>
  <c r="Q697" i="7" s="1"/>
  <c r="D697" i="7"/>
  <c r="BH696" i="7"/>
  <c r="BG696" i="7"/>
  <c r="AU696" i="7"/>
  <c r="AP696" i="7"/>
  <c r="AK696" i="7"/>
  <c r="AF696" i="7"/>
  <c r="AG696" i="7" s="1"/>
  <c r="Z696" i="7"/>
  <c r="AA696" i="7" s="1"/>
  <c r="T696" i="7"/>
  <c r="R696" i="7"/>
  <c r="Q696" i="7" s="1"/>
  <c r="D696" i="7"/>
  <c r="BH695" i="7"/>
  <c r="BG695" i="7"/>
  <c r="AU695" i="7"/>
  <c r="AP695" i="7"/>
  <c r="AK695" i="7"/>
  <c r="AF695" i="7"/>
  <c r="AG695" i="7" s="1"/>
  <c r="Z695" i="7"/>
  <c r="AA695" i="7" s="1"/>
  <c r="T695" i="7"/>
  <c r="U695" i="7" s="1"/>
  <c r="R695" i="7"/>
  <c r="Q695" i="7" s="1"/>
  <c r="D695" i="7"/>
  <c r="BH694" i="7"/>
  <c r="BG694" i="7"/>
  <c r="AU694" i="7"/>
  <c r="AP694" i="7"/>
  <c r="AK694" i="7"/>
  <c r="AF694" i="7"/>
  <c r="AG694" i="7" s="1"/>
  <c r="Z694" i="7"/>
  <c r="AA694" i="7" s="1"/>
  <c r="T694" i="7"/>
  <c r="BE694" i="7" s="1"/>
  <c r="D694" i="7"/>
  <c r="BH693" i="7"/>
  <c r="BG693" i="7"/>
  <c r="AU693" i="7"/>
  <c r="AP693" i="7"/>
  <c r="AK693" i="7"/>
  <c r="AF693" i="7"/>
  <c r="AG693" i="7" s="1"/>
  <c r="Z693" i="7"/>
  <c r="AA693" i="7" s="1"/>
  <c r="T693" i="7"/>
  <c r="R693" i="7"/>
  <c r="Q693" i="7" s="1"/>
  <c r="D693" i="7"/>
  <c r="BH692" i="7"/>
  <c r="BG692" i="7"/>
  <c r="AU692" i="7"/>
  <c r="AP692" i="7"/>
  <c r="AK692" i="7"/>
  <c r="AF692" i="7"/>
  <c r="AG692" i="7" s="1"/>
  <c r="Z692" i="7"/>
  <c r="AA692" i="7" s="1"/>
  <c r="T692" i="7"/>
  <c r="R692" i="7"/>
  <c r="D692" i="7"/>
  <c r="BH691" i="7"/>
  <c r="BG691" i="7"/>
  <c r="AU691" i="7"/>
  <c r="AP691" i="7"/>
  <c r="AK691" i="7"/>
  <c r="AF691" i="7"/>
  <c r="AG691" i="7" s="1"/>
  <c r="Z691" i="7"/>
  <c r="AA691" i="7" s="1"/>
  <c r="T691" i="7"/>
  <c r="BE691" i="7" s="1"/>
  <c r="R691" i="7"/>
  <c r="Q691" i="7" s="1"/>
  <c r="D691" i="7"/>
  <c r="BH690" i="7"/>
  <c r="BG690" i="7"/>
  <c r="AU690" i="7"/>
  <c r="AP690" i="7"/>
  <c r="AK690" i="7"/>
  <c r="AF690" i="7"/>
  <c r="AG690" i="7" s="1"/>
  <c r="Z690" i="7"/>
  <c r="AA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F686" i="7"/>
  <c r="AG686" i="7" s="1"/>
  <c r="AD686" i="7"/>
  <c r="AC686" i="7"/>
  <c r="Z686" i="7"/>
  <c r="AA686" i="7" s="1"/>
  <c r="T686" i="7"/>
  <c r="BE686" i="7" s="1"/>
  <c r="R686" i="7"/>
  <c r="Q686" i="7" s="1"/>
  <c r="D686" i="7"/>
  <c r="BH685" i="7"/>
  <c r="BG685" i="7"/>
  <c r="AU685" i="7"/>
  <c r="AP685" i="7"/>
  <c r="AK685" i="7"/>
  <c r="AF685" i="7"/>
  <c r="AG685" i="7" s="1"/>
  <c r="Z685" i="7"/>
  <c r="AA685" i="7" s="1"/>
  <c r="T685" i="7"/>
  <c r="R685" i="7"/>
  <c r="D685" i="7"/>
  <c r="BH684" i="7"/>
  <c r="BG684" i="7"/>
  <c r="AU684" i="7"/>
  <c r="AP684" i="7"/>
  <c r="AK684" i="7"/>
  <c r="AF684" i="7"/>
  <c r="AG684" i="7" s="1"/>
  <c r="Z684" i="7"/>
  <c r="AA684" i="7" s="1"/>
  <c r="T684" i="7"/>
  <c r="BE684" i="7" s="1"/>
  <c r="R684" i="7"/>
  <c r="Q684" i="7" s="1"/>
  <c r="D684" i="7"/>
  <c r="BH683" i="7"/>
  <c r="BG683" i="7"/>
  <c r="AU683" i="7"/>
  <c r="AP683" i="7"/>
  <c r="AK683" i="7"/>
  <c r="AF683" i="7"/>
  <c r="AG683" i="7" s="1"/>
  <c r="Z683" i="7"/>
  <c r="AA683" i="7" s="1"/>
  <c r="T683" i="7"/>
  <c r="BE683" i="7" s="1"/>
  <c r="R683" i="7"/>
  <c r="Q683" i="7" s="1"/>
  <c r="D683" i="7"/>
  <c r="BG682" i="7"/>
  <c r="AU682" i="7"/>
  <c r="AP682" i="7"/>
  <c r="AK682" i="7"/>
  <c r="AF682" i="7"/>
  <c r="AG682" i="7" s="1"/>
  <c r="AD682" i="7"/>
  <c r="AC682" i="7"/>
  <c r="Z682" i="7"/>
  <c r="AA682" i="7" s="1"/>
  <c r="T682" i="7"/>
  <c r="BE682" i="7" s="1"/>
  <c r="R682" i="7"/>
  <c r="D682" i="7"/>
  <c r="BH681" i="7"/>
  <c r="BG681" i="7"/>
  <c r="AU681" i="7"/>
  <c r="AP681" i="7"/>
  <c r="AK681" i="7"/>
  <c r="AF681" i="7"/>
  <c r="AG681" i="7" s="1"/>
  <c r="Z681" i="7"/>
  <c r="AA681" i="7" s="1"/>
  <c r="T681" i="7"/>
  <c r="U681" i="7" s="1"/>
  <c r="R681" i="7"/>
  <c r="Q681" i="7" s="1"/>
  <c r="D681" i="7"/>
  <c r="BH680" i="7"/>
  <c r="BG680" i="7"/>
  <c r="AU680" i="7"/>
  <c r="AP680" i="7"/>
  <c r="AK680" i="7"/>
  <c r="AF680" i="7"/>
  <c r="Z680" i="7"/>
  <c r="AA680" i="7" s="1"/>
  <c r="T680" i="7"/>
  <c r="U680" i="7" s="1"/>
  <c r="R680" i="7"/>
  <c r="Q680" i="7" s="1"/>
  <c r="D680" i="7"/>
  <c r="BH679" i="7"/>
  <c r="BG679" i="7"/>
  <c r="AU679" i="7"/>
  <c r="AP679" i="7"/>
  <c r="AK679" i="7"/>
  <c r="AF679" i="7"/>
  <c r="AG679" i="7" s="1"/>
  <c r="Z679" i="7"/>
  <c r="AA679" i="7" s="1"/>
  <c r="T679" i="7"/>
  <c r="U679" i="7" s="1"/>
  <c r="R679" i="7"/>
  <c r="D679" i="7"/>
  <c r="BH678" i="7"/>
  <c r="BG678" i="7"/>
  <c r="AU678" i="7"/>
  <c r="AP678" i="7"/>
  <c r="AK678" i="7"/>
  <c r="AF678" i="7"/>
  <c r="AG678" i="7" s="1"/>
  <c r="Z678" i="7"/>
  <c r="AA678" i="7" s="1"/>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F676" i="7"/>
  <c r="AG676" i="7" s="1"/>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AF672" i="7"/>
  <c r="AG672" i="7" s="1"/>
  <c r="Z672" i="7"/>
  <c r="AA672" i="7" s="1"/>
  <c r="T672" i="7"/>
  <c r="U672" i="7" s="1"/>
  <c r="R672" i="7"/>
  <c r="Q672" i="7" s="1"/>
  <c r="D672" i="7"/>
  <c r="BH671" i="7"/>
  <c r="BG671" i="7"/>
  <c r="AU671" i="7"/>
  <c r="AP671" i="7"/>
  <c r="AK671" i="7"/>
  <c r="AF671" i="7"/>
  <c r="AG671" i="7" s="1"/>
  <c r="Z671" i="7"/>
  <c r="AA671" i="7" s="1"/>
  <c r="T671" i="7"/>
  <c r="U671" i="7" s="1"/>
  <c r="R671" i="7"/>
  <c r="Q671" i="7" s="1"/>
  <c r="D671" i="7"/>
  <c r="BH670" i="7"/>
  <c r="BG670" i="7"/>
  <c r="AU670" i="7"/>
  <c r="AP670" i="7"/>
  <c r="AK670" i="7"/>
  <c r="AF670" i="7"/>
  <c r="AG670" i="7" s="1"/>
  <c r="Z670" i="7"/>
  <c r="AA670" i="7" s="1"/>
  <c r="T670" i="7"/>
  <c r="BE670" i="7" s="1"/>
  <c r="R670" i="7"/>
  <c r="Q670" i="7" s="1"/>
  <c r="D670" i="7"/>
  <c r="BH669" i="7"/>
  <c r="BG669" i="7"/>
  <c r="AU669" i="7"/>
  <c r="AP669" i="7"/>
  <c r="AK669" i="7"/>
  <c r="AF669" i="7"/>
  <c r="AG669" i="7" s="1"/>
  <c r="Z669" i="7"/>
  <c r="AA669" i="7" s="1"/>
  <c r="T669" i="7"/>
  <c r="BE669" i="7" s="1"/>
  <c r="R669" i="7"/>
  <c r="Q669" i="7" s="1"/>
  <c r="D669" i="7"/>
  <c r="BH668" i="7"/>
  <c r="BG668" i="7"/>
  <c r="AU668" i="7"/>
  <c r="AP668" i="7"/>
  <c r="AK668" i="7"/>
  <c r="AF668" i="7"/>
  <c r="AG668" i="7" s="1"/>
  <c r="Z668" i="7"/>
  <c r="AA668" i="7" s="1"/>
  <c r="T668" i="7"/>
  <c r="R668" i="7"/>
  <c r="Q668" i="7" s="1"/>
  <c r="D668" i="7"/>
  <c r="BH667" i="7"/>
  <c r="BG667" i="7"/>
  <c r="AU667" i="7"/>
  <c r="AP667" i="7"/>
  <c r="AK667" i="7"/>
  <c r="AF667" i="7"/>
  <c r="AG667" i="7" s="1"/>
  <c r="Z667" i="7"/>
  <c r="AA667" i="7" s="1"/>
  <c r="T667" i="7"/>
  <c r="BE667" i="7" s="1"/>
  <c r="R667" i="7"/>
  <c r="Q667" i="7" s="1"/>
  <c r="D667" i="7"/>
  <c r="BH666" i="7"/>
  <c r="BG666" i="7"/>
  <c r="AU666" i="7"/>
  <c r="AP666" i="7"/>
  <c r="AK666" i="7"/>
  <c r="AF666" i="7"/>
  <c r="AG666" i="7" s="1"/>
  <c r="Z666" i="7"/>
  <c r="AA666" i="7" s="1"/>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F663" i="7"/>
  <c r="AG663" i="7" s="1"/>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AF657" i="7"/>
  <c r="AG657" i="7" s="1"/>
  <c r="Z657" i="7"/>
  <c r="AA657" i="7" s="1"/>
  <c r="T657" i="7"/>
  <c r="BE657" i="7" s="1"/>
  <c r="R657" i="7"/>
  <c r="Q657" i="7" s="1"/>
  <c r="D657" i="7"/>
  <c r="BH656" i="7"/>
  <c r="BG656" i="7"/>
  <c r="AU656" i="7"/>
  <c r="AP656" i="7"/>
  <c r="AK656" i="7"/>
  <c r="AF656" i="7"/>
  <c r="AG656" i="7" s="1"/>
  <c r="Z656" i="7"/>
  <c r="AA656" i="7" s="1"/>
  <c r="T656" i="7"/>
  <c r="BE656" i="7" s="1"/>
  <c r="R656" i="7"/>
  <c r="Q656" i="7" s="1"/>
  <c r="D656" i="7"/>
  <c r="BH655" i="7"/>
  <c r="BG655" i="7"/>
  <c r="AU655" i="7"/>
  <c r="AP655" i="7"/>
  <c r="AK655" i="7"/>
  <c r="AF655" i="7"/>
  <c r="AG655" i="7" s="1"/>
  <c r="Z655" i="7"/>
  <c r="AA655" i="7" s="1"/>
  <c r="T655" i="7"/>
  <c r="U655" i="7" s="1"/>
  <c r="R655" i="7"/>
  <c r="Q655" i="7" s="1"/>
  <c r="D655" i="7"/>
  <c r="BH654" i="7"/>
  <c r="BG654" i="7"/>
  <c r="AU654" i="7"/>
  <c r="AP654" i="7"/>
  <c r="AK654" i="7"/>
  <c r="AF654" i="7"/>
  <c r="AG654" i="7" s="1"/>
  <c r="Z654" i="7"/>
  <c r="AA654" i="7" s="1"/>
  <c r="T654" i="7"/>
  <c r="U654" i="7" s="1"/>
  <c r="R654" i="7"/>
  <c r="Q654" i="7" s="1"/>
  <c r="D654" i="7"/>
  <c r="BH653" i="7"/>
  <c r="BG653" i="7"/>
  <c r="AU653" i="7"/>
  <c r="AP653" i="7"/>
  <c r="AK653" i="7"/>
  <c r="AF653" i="7"/>
  <c r="AG653" i="7" s="1"/>
  <c r="Z653" i="7"/>
  <c r="AA653" i="7" s="1"/>
  <c r="T653" i="7"/>
  <c r="U653" i="7" s="1"/>
  <c r="R653" i="7"/>
  <c r="Q653" i="7" s="1"/>
  <c r="D653" i="7"/>
  <c r="BH652" i="7"/>
  <c r="BG652" i="7"/>
  <c r="AU652" i="7"/>
  <c r="AP652" i="7"/>
  <c r="AK652" i="7"/>
  <c r="AF652" i="7"/>
  <c r="AG652" i="7" s="1"/>
  <c r="Z652" i="7"/>
  <c r="AA652" i="7" s="1"/>
  <c r="T652" i="7"/>
  <c r="BE652" i="7" s="1"/>
  <c r="R652" i="7"/>
  <c r="Q652" i="7" s="1"/>
  <c r="D652" i="7"/>
  <c r="BH651" i="7"/>
  <c r="BG651" i="7"/>
  <c r="AU651" i="7"/>
  <c r="AP651" i="7"/>
  <c r="AK651" i="7"/>
  <c r="AF651" i="7"/>
  <c r="AG651" i="7" s="1"/>
  <c r="Z651" i="7"/>
  <c r="AA651" i="7" s="1"/>
  <c r="T651" i="7"/>
  <c r="U651" i="7" s="1"/>
  <c r="R651" i="7"/>
  <c r="Q651" i="7" s="1"/>
  <c r="D651" i="7"/>
  <c r="BH650" i="7"/>
  <c r="BG650" i="7"/>
  <c r="AU650" i="7"/>
  <c r="AP650" i="7"/>
  <c r="AK650" i="7"/>
  <c r="AF650" i="7"/>
  <c r="AG650" i="7" s="1"/>
  <c r="Z650" i="7"/>
  <c r="AA650" i="7" s="1"/>
  <c r="T650" i="7"/>
  <c r="U650" i="7" s="1"/>
  <c r="R650" i="7"/>
  <c r="Q650" i="7" s="1"/>
  <c r="D650" i="7"/>
  <c r="BH649" i="7"/>
  <c r="BG649" i="7"/>
  <c r="AU649" i="7"/>
  <c r="AP649" i="7"/>
  <c r="AK649" i="7"/>
  <c r="AF649" i="7"/>
  <c r="AG649" i="7" s="1"/>
  <c r="Z649" i="7"/>
  <c r="AA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F646" i="7"/>
  <c r="AG646" i="7" s="1"/>
  <c r="Z646" i="7"/>
  <c r="AA646" i="7" s="1"/>
  <c r="T646" i="7"/>
  <c r="R646" i="7"/>
  <c r="Q646" i="7" s="1"/>
  <c r="D646" i="7"/>
  <c r="BG645" i="7"/>
  <c r="AU645" i="7"/>
  <c r="AP645" i="7"/>
  <c r="AK645" i="7"/>
  <c r="AF645" i="7"/>
  <c r="AG645" i="7" s="1"/>
  <c r="AD645" i="7"/>
  <c r="AC645" i="7"/>
  <c r="Z645" i="7"/>
  <c r="AA645" i="7" s="1"/>
  <c r="T645" i="7"/>
  <c r="R645" i="7"/>
  <c r="Q645" i="7" s="1"/>
  <c r="D645" i="7"/>
  <c r="BH644" i="7"/>
  <c r="BG644" i="7"/>
  <c r="AU644" i="7"/>
  <c r="AP644" i="7"/>
  <c r="AK644" i="7"/>
  <c r="AF644" i="7"/>
  <c r="AG644" i="7" s="1"/>
  <c r="Z644" i="7"/>
  <c r="AA644" i="7" s="1"/>
  <c r="T644" i="7"/>
  <c r="BE644" i="7" s="1"/>
  <c r="R644" i="7"/>
  <c r="Q644" i="7" s="1"/>
  <c r="D644" i="7"/>
  <c r="BH643" i="7"/>
  <c r="BG643" i="7"/>
  <c r="AU643" i="7"/>
  <c r="AP643" i="7"/>
  <c r="AK643" i="7"/>
  <c r="AF643" i="7"/>
  <c r="AG643" i="7" s="1"/>
  <c r="Z643" i="7"/>
  <c r="AA643" i="7" s="1"/>
  <c r="T643" i="7"/>
  <c r="BE643" i="7" s="1"/>
  <c r="R643" i="7"/>
  <c r="Q643" i="7" s="1"/>
  <c r="D643" i="7"/>
  <c r="BH642" i="7"/>
  <c r="BG642" i="7"/>
  <c r="AU642" i="7"/>
  <c r="AP642" i="7"/>
  <c r="AK642" i="7"/>
  <c r="AF642" i="7"/>
  <c r="AG642" i="7" s="1"/>
  <c r="Z642" i="7"/>
  <c r="AA642" i="7" s="1"/>
  <c r="T642" i="7"/>
  <c r="BE642" i="7" s="1"/>
  <c r="R642" i="7"/>
  <c r="D642" i="7"/>
  <c r="BG641" i="7"/>
  <c r="AU641" i="7"/>
  <c r="AP641" i="7"/>
  <c r="AK641" i="7"/>
  <c r="AF641" i="7"/>
  <c r="AD641" i="7"/>
  <c r="AC641" i="7"/>
  <c r="Z641" i="7"/>
  <c r="AA641" i="7" s="1"/>
  <c r="T641" i="7"/>
  <c r="U641" i="7" s="1"/>
  <c r="R641" i="7"/>
  <c r="Q641" i="7" s="1"/>
  <c r="D641" i="7"/>
  <c r="BH640" i="7"/>
  <c r="BG640" i="7"/>
  <c r="AU640" i="7"/>
  <c r="AP640" i="7"/>
  <c r="AK640" i="7"/>
  <c r="AF640" i="7"/>
  <c r="Z640" i="7"/>
  <c r="AA640" i="7" s="1"/>
  <c r="T640" i="7"/>
  <c r="BE640" i="7" s="1"/>
  <c r="R640" i="7"/>
  <c r="Q640" i="7" s="1"/>
  <c r="D640" i="7"/>
  <c r="BH639" i="7"/>
  <c r="BG639" i="7"/>
  <c r="AU639" i="7"/>
  <c r="AP639" i="7"/>
  <c r="AK639" i="7"/>
  <c r="AF639" i="7"/>
  <c r="AG639" i="7" s="1"/>
  <c r="Z639" i="7"/>
  <c r="AA639" i="7" s="1"/>
  <c r="T639" i="7"/>
  <c r="U639" i="7" s="1"/>
  <c r="R639" i="7"/>
  <c r="Q639" i="7" s="1"/>
  <c r="D639" i="7"/>
  <c r="BH638" i="7"/>
  <c r="BG638" i="7"/>
  <c r="AU638" i="7"/>
  <c r="AP638" i="7"/>
  <c r="AK638" i="7"/>
  <c r="AF638" i="7"/>
  <c r="AG638" i="7" s="1"/>
  <c r="Z638" i="7"/>
  <c r="AA638" i="7" s="1"/>
  <c r="T638" i="7"/>
  <c r="U638" i="7" s="1"/>
  <c r="R638" i="7"/>
  <c r="Q638" i="7" s="1"/>
  <c r="D638" i="7"/>
  <c r="BH637" i="7"/>
  <c r="BG637" i="7"/>
  <c r="AU637" i="7"/>
  <c r="AP637" i="7"/>
  <c r="AK637" i="7"/>
  <c r="AF637" i="7"/>
  <c r="AG637" i="7" s="1"/>
  <c r="Z637" i="7"/>
  <c r="AA637" i="7" s="1"/>
  <c r="T637" i="7"/>
  <c r="U637" i="7" s="1"/>
  <c r="R637" i="7"/>
  <c r="D637" i="7"/>
  <c r="BH636" i="7"/>
  <c r="BG636" i="7"/>
  <c r="AU636" i="7"/>
  <c r="AP636" i="7"/>
  <c r="AK636" i="7"/>
  <c r="AF636" i="7"/>
  <c r="AG636" i="7" s="1"/>
  <c r="Z636" i="7"/>
  <c r="AA636" i="7" s="1"/>
  <c r="T636" i="7"/>
  <c r="R636" i="7"/>
  <c r="D636" i="7"/>
  <c r="BH635" i="7"/>
  <c r="BG635" i="7"/>
  <c r="AU635" i="7"/>
  <c r="AP635" i="7"/>
  <c r="AK635" i="7"/>
  <c r="AF635" i="7"/>
  <c r="AG635" i="7" s="1"/>
  <c r="Z635" i="7"/>
  <c r="AA635" i="7" s="1"/>
  <c r="T635" i="7"/>
  <c r="R635" i="7"/>
  <c r="Q635" i="7" s="1"/>
  <c r="D635" i="7"/>
  <c r="BH634" i="7"/>
  <c r="BG634" i="7"/>
  <c r="AU634" i="7"/>
  <c r="AP634" i="7"/>
  <c r="AK634" i="7"/>
  <c r="AF634" i="7"/>
  <c r="AG634" i="7" s="1"/>
  <c r="Z634" i="7"/>
  <c r="AA634" i="7" s="1"/>
  <c r="T634" i="7"/>
  <c r="BE634" i="7" s="1"/>
  <c r="R634" i="7"/>
  <c r="D634" i="7"/>
  <c r="BH633" i="7"/>
  <c r="BG633" i="7"/>
  <c r="AU633" i="7"/>
  <c r="AP633" i="7"/>
  <c r="AK633" i="7"/>
  <c r="AF633" i="7"/>
  <c r="AG633" i="7" s="1"/>
  <c r="Z633" i="7"/>
  <c r="AA633" i="7" s="1"/>
  <c r="T633" i="7"/>
  <c r="BE633" i="7" s="1"/>
  <c r="R633" i="7"/>
  <c r="Q633" i="7" s="1"/>
  <c r="D633" i="7"/>
  <c r="BH632" i="7"/>
  <c r="BG632" i="7"/>
  <c r="AU632" i="7"/>
  <c r="AP632" i="7"/>
  <c r="AK632" i="7"/>
  <c r="AF632" i="7"/>
  <c r="AG632" i="7" s="1"/>
  <c r="Z632" i="7"/>
  <c r="AA632" i="7" s="1"/>
  <c r="T632" i="7"/>
  <c r="U632" i="7" s="1"/>
  <c r="R632" i="7"/>
  <c r="Q632" i="7" s="1"/>
  <c r="D632" i="7"/>
  <c r="BH631" i="7"/>
  <c r="BG631" i="7"/>
  <c r="AU631" i="7"/>
  <c r="AP631" i="7"/>
  <c r="AK631" i="7"/>
  <c r="AF631" i="7"/>
  <c r="AG631" i="7" s="1"/>
  <c r="Z631" i="7"/>
  <c r="AA631" i="7" s="1"/>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T626" i="7"/>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Z622" i="7"/>
  <c r="AA622" i="7" s="1"/>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AF619" i="7"/>
  <c r="AG619" i="7" s="1"/>
  <c r="Z619" i="7"/>
  <c r="AA619" i="7" s="1"/>
  <c r="T619" i="7"/>
  <c r="R619" i="7"/>
  <c r="Q619" i="7" s="1"/>
  <c r="D619" i="7"/>
  <c r="BH618" i="7"/>
  <c r="BG618" i="7"/>
  <c r="AU618" i="7"/>
  <c r="AK618" i="7"/>
  <c r="AF618" i="7"/>
  <c r="AG618" i="7" s="1"/>
  <c r="Z618" i="7"/>
  <c r="AA618" i="7" s="1"/>
  <c r="T618" i="7"/>
  <c r="BE618" i="7" s="1"/>
  <c r="R618" i="7"/>
  <c r="D618" i="7"/>
  <c r="BH617" i="7"/>
  <c r="BG617" i="7"/>
  <c r="AP617" i="7"/>
  <c r="AK617" i="7"/>
  <c r="AF617" i="7"/>
  <c r="AG617" i="7" s="1"/>
  <c r="Z617" i="7"/>
  <c r="AA617" i="7" s="1"/>
  <c r="T617" i="7"/>
  <c r="BE617" i="7" s="1"/>
  <c r="R617" i="7"/>
  <c r="Q617" i="7" s="1"/>
  <c r="D617" i="7"/>
  <c r="BH616" i="7"/>
  <c r="BG616" i="7"/>
  <c r="AU616" i="7"/>
  <c r="AP616" i="7"/>
  <c r="AK616" i="7"/>
  <c r="AF616" i="7"/>
  <c r="AG616" i="7" s="1"/>
  <c r="Z616" i="7"/>
  <c r="AA616" i="7" s="1"/>
  <c r="T616" i="7"/>
  <c r="R616" i="7"/>
  <c r="D616" i="7"/>
  <c r="BH615" i="7"/>
  <c r="BG615" i="7"/>
  <c r="AU615" i="7"/>
  <c r="AP615" i="7"/>
  <c r="AK615" i="7"/>
  <c r="AF615" i="7"/>
  <c r="AG615" i="7" s="1"/>
  <c r="Z615" i="7"/>
  <c r="AA615" i="7" s="1"/>
  <c r="T615" i="7"/>
  <c r="R615" i="7"/>
  <c r="D615" i="7"/>
  <c r="BH614" i="7"/>
  <c r="BG614" i="7"/>
  <c r="AU614" i="7"/>
  <c r="AP614" i="7"/>
  <c r="AK614" i="7"/>
  <c r="AF614" i="7"/>
  <c r="AG614" i="7" s="1"/>
  <c r="Z614" i="7"/>
  <c r="AA614" i="7" s="1"/>
  <c r="T614" i="7"/>
  <c r="R614" i="7"/>
  <c r="Q614" i="7" s="1"/>
  <c r="D614" i="7"/>
  <c r="BH613" i="7"/>
  <c r="BG613" i="7"/>
  <c r="AU613" i="7"/>
  <c r="AP613" i="7"/>
  <c r="AK613" i="7"/>
  <c r="AF613" i="7"/>
  <c r="AG613" i="7" s="1"/>
  <c r="Z613" i="7"/>
  <c r="AA613" i="7" s="1"/>
  <c r="T613" i="7"/>
  <c r="BE613" i="7" s="1"/>
  <c r="R613" i="7"/>
  <c r="D613" i="7"/>
  <c r="BH612" i="7"/>
  <c r="BG612" i="7"/>
  <c r="AU612" i="7"/>
  <c r="AP612" i="7"/>
  <c r="AK612" i="7"/>
  <c r="AF612" i="7"/>
  <c r="AG612" i="7" s="1"/>
  <c r="Z612" i="7"/>
  <c r="AA612" i="7" s="1"/>
  <c r="T612" i="7"/>
  <c r="U612" i="7" s="1"/>
  <c r="R612" i="7"/>
  <c r="Q612" i="7"/>
  <c r="D612" i="7"/>
  <c r="BH611" i="7"/>
  <c r="BG611" i="7"/>
  <c r="AU611" i="7"/>
  <c r="AP611" i="7"/>
  <c r="AK611" i="7"/>
  <c r="AF611" i="7"/>
  <c r="AG611" i="7" s="1"/>
  <c r="Z611" i="7"/>
  <c r="AA611" i="7" s="1"/>
  <c r="T611" i="7"/>
  <c r="U611" i="7" s="1"/>
  <c r="R611" i="7"/>
  <c r="Q611" i="7"/>
  <c r="D611" i="7"/>
  <c r="BH610" i="7"/>
  <c r="BG610" i="7"/>
  <c r="AU610" i="7"/>
  <c r="AP610" i="7"/>
  <c r="AK610" i="7"/>
  <c r="AF610" i="7"/>
  <c r="AG610" i="7" s="1"/>
  <c r="Z610" i="7"/>
  <c r="AA610" i="7" s="1"/>
  <c r="T610" i="7"/>
  <c r="BE610" i="7" s="1"/>
  <c r="R610" i="7"/>
  <c r="D610" i="7"/>
  <c r="BH609" i="7"/>
  <c r="BG609" i="7"/>
  <c r="AU609" i="7"/>
  <c r="AP609" i="7"/>
  <c r="AK609" i="7"/>
  <c r="AF609" i="7"/>
  <c r="AG609" i="7" s="1"/>
  <c r="Z609" i="7"/>
  <c r="AA609" i="7" s="1"/>
  <c r="T609" i="7"/>
  <c r="U609" i="7" s="1"/>
  <c r="R609" i="7"/>
  <c r="Q609" i="7" s="1"/>
  <c r="D609" i="7"/>
  <c r="BH608" i="7"/>
  <c r="BG608" i="7"/>
  <c r="AU608" i="7"/>
  <c r="AP608" i="7"/>
  <c r="AK608" i="7"/>
  <c r="AF608" i="7"/>
  <c r="AG608" i="7" s="1"/>
  <c r="Z608" i="7"/>
  <c r="AA608" i="7" s="1"/>
  <c r="T608" i="7"/>
  <c r="BE608" i="7" s="1"/>
  <c r="R608" i="7"/>
  <c r="Q608" i="7" s="1"/>
  <c r="D608" i="7"/>
  <c r="BH607" i="7"/>
  <c r="BG607" i="7"/>
  <c r="AU607" i="7"/>
  <c r="AP607" i="7"/>
  <c r="AK607" i="7"/>
  <c r="AF607" i="7"/>
  <c r="Z607" i="7"/>
  <c r="AA607" i="7" s="1"/>
  <c r="T607" i="7"/>
  <c r="U607" i="7" s="1"/>
  <c r="R607" i="7"/>
  <c r="Q607" i="7" s="1"/>
  <c r="D607" i="7"/>
  <c r="BG606" i="7"/>
  <c r="AU606" i="7"/>
  <c r="AP606" i="7"/>
  <c r="AK606" i="7"/>
  <c r="AF606" i="7"/>
  <c r="AG606" i="7" s="1"/>
  <c r="AD606" i="7"/>
  <c r="AC606" i="7"/>
  <c r="Z606" i="7"/>
  <c r="AA606" i="7" s="1"/>
  <c r="T606" i="7"/>
  <c r="U606" i="7" s="1"/>
  <c r="R606" i="7"/>
  <c r="D606" i="7"/>
  <c r="BH605" i="7"/>
  <c r="BG605" i="7"/>
  <c r="AU605" i="7"/>
  <c r="AP605" i="7"/>
  <c r="AK605" i="7"/>
  <c r="AF605" i="7"/>
  <c r="AG605" i="7" s="1"/>
  <c r="Z605" i="7"/>
  <c r="AA605" i="7" s="1"/>
  <c r="T605" i="7"/>
  <c r="R605" i="7"/>
  <c r="Q605" i="7" s="1"/>
  <c r="D605" i="7"/>
  <c r="BH604" i="7"/>
  <c r="BG604" i="7"/>
  <c r="AU604" i="7"/>
  <c r="AP604" i="7"/>
  <c r="AK604" i="7"/>
  <c r="AF604" i="7"/>
  <c r="AG604" i="7" s="1"/>
  <c r="Z604" i="7"/>
  <c r="AA604" i="7" s="1"/>
  <c r="T604" i="7"/>
  <c r="R604" i="7"/>
  <c r="Q604" i="7" s="1"/>
  <c r="D604" i="7"/>
  <c r="BH603" i="7"/>
  <c r="BG603" i="7"/>
  <c r="AU603" i="7"/>
  <c r="AP603" i="7"/>
  <c r="AK603" i="7"/>
  <c r="AF603" i="7"/>
  <c r="AG603" i="7" s="1"/>
  <c r="Z603" i="7"/>
  <c r="AA603" i="7" s="1"/>
  <c r="T603" i="7"/>
  <c r="U603" i="7" s="1"/>
  <c r="R603" i="7"/>
  <c r="Q603" i="7" s="1"/>
  <c r="D603" i="7"/>
  <c r="BG602" i="7"/>
  <c r="AU602" i="7"/>
  <c r="AP602" i="7"/>
  <c r="AK602" i="7"/>
  <c r="AF602" i="7"/>
  <c r="AG602" i="7" s="1"/>
  <c r="AD602" i="7"/>
  <c r="AC602" i="7"/>
  <c r="Z602" i="7"/>
  <c r="AA602" i="7" s="1"/>
  <c r="T602" i="7"/>
  <c r="U602" i="7" s="1"/>
  <c r="R602" i="7"/>
  <c r="D602" i="7"/>
  <c r="BH601" i="7"/>
  <c r="BG601" i="7"/>
  <c r="AU601" i="7"/>
  <c r="AP601" i="7"/>
  <c r="AK601" i="7"/>
  <c r="AF601" i="7"/>
  <c r="AG601" i="7" s="1"/>
  <c r="Z601" i="7"/>
  <c r="AA601" i="7" s="1"/>
  <c r="T601" i="7"/>
  <c r="BE601" i="7" s="1"/>
  <c r="R601" i="7"/>
  <c r="Q601" i="7" s="1"/>
  <c r="D601" i="7"/>
  <c r="BH600" i="7"/>
  <c r="BG600" i="7"/>
  <c r="AU600" i="7"/>
  <c r="AP600" i="7"/>
  <c r="AK600" i="7"/>
  <c r="AF600" i="7"/>
  <c r="AG600" i="7" s="1"/>
  <c r="Z600" i="7"/>
  <c r="AA600" i="7" s="1"/>
  <c r="T600" i="7"/>
  <c r="R600" i="7"/>
  <c r="D600" i="7"/>
  <c r="BH599" i="7"/>
  <c r="BG599" i="7"/>
  <c r="AU599" i="7"/>
  <c r="AP599" i="7"/>
  <c r="AK599" i="7"/>
  <c r="AF599" i="7"/>
  <c r="AG599" i="7" s="1"/>
  <c r="Z599" i="7"/>
  <c r="AA599" i="7" s="1"/>
  <c r="T599" i="7"/>
  <c r="U599" i="7" s="1"/>
  <c r="R599" i="7"/>
  <c r="Q599" i="7" s="1"/>
  <c r="D599" i="7"/>
  <c r="BH598" i="7"/>
  <c r="BG598" i="7"/>
  <c r="AU598" i="7"/>
  <c r="AP598" i="7"/>
  <c r="AK598" i="7"/>
  <c r="AF598" i="7"/>
  <c r="AG598" i="7" s="1"/>
  <c r="Z598" i="7"/>
  <c r="AA598" i="7" s="1"/>
  <c r="T598" i="7"/>
  <c r="R598" i="7"/>
  <c r="Q598" i="7" s="1"/>
  <c r="D598" i="7"/>
  <c r="BH597" i="7"/>
  <c r="BG597" i="7"/>
  <c r="AU597" i="7"/>
  <c r="AP597" i="7"/>
  <c r="AK597" i="7"/>
  <c r="AF597" i="7"/>
  <c r="AG597" i="7" s="1"/>
  <c r="Z597" i="7"/>
  <c r="T597" i="7"/>
  <c r="R597" i="7"/>
  <c r="Q597" i="7" s="1"/>
  <c r="D597" i="7"/>
  <c r="BH596" i="7"/>
  <c r="BG596" i="7"/>
  <c r="AU596" i="7"/>
  <c r="AP596" i="7"/>
  <c r="AK596" i="7"/>
  <c r="AF596" i="7"/>
  <c r="AG596" i="7" s="1"/>
  <c r="Z596" i="7"/>
  <c r="AA596" i="7" s="1"/>
  <c r="T596" i="7"/>
  <c r="R596" i="7"/>
  <c r="Q596" i="7" s="1"/>
  <c r="D596" i="7"/>
  <c r="BH595" i="7"/>
  <c r="BG595" i="7"/>
  <c r="AU595" i="7"/>
  <c r="AP595" i="7"/>
  <c r="AK595" i="7"/>
  <c r="AF595" i="7"/>
  <c r="AG595" i="7" s="1"/>
  <c r="Z595" i="7"/>
  <c r="T595" i="7"/>
  <c r="R595" i="7"/>
  <c r="Q595" i="7" s="1"/>
  <c r="D595" i="7"/>
  <c r="BH594" i="7"/>
  <c r="BG594" i="7"/>
  <c r="AU594" i="7"/>
  <c r="AP594" i="7"/>
  <c r="AK594" i="7"/>
  <c r="AF594" i="7"/>
  <c r="AG594" i="7" s="1"/>
  <c r="Z594" i="7"/>
  <c r="AA594" i="7" s="1"/>
  <c r="T594" i="7"/>
  <c r="U594" i="7" s="1"/>
  <c r="R594" i="7"/>
  <c r="Q594" i="7"/>
  <c r="D594" i="7"/>
  <c r="BH593" i="7"/>
  <c r="BG593" i="7"/>
  <c r="AU593" i="7"/>
  <c r="AK593" i="7"/>
  <c r="AG593" i="7"/>
  <c r="Z593" i="7"/>
  <c r="AA593" i="7" s="1"/>
  <c r="T593" i="7"/>
  <c r="U593" i="7" s="1"/>
  <c r="D593" i="7"/>
  <c r="BH592" i="7"/>
  <c r="BG592" i="7"/>
  <c r="AU592" i="7"/>
  <c r="AP592" i="7"/>
  <c r="AK592" i="7"/>
  <c r="AF592" i="7"/>
  <c r="AG592" i="7" s="1"/>
  <c r="Z592" i="7"/>
  <c r="AA592" i="7" s="1"/>
  <c r="T592" i="7"/>
  <c r="R592" i="7"/>
  <c r="Q592" i="7" s="1"/>
  <c r="D592" i="7"/>
  <c r="BH591" i="7"/>
  <c r="BG591" i="7"/>
  <c r="AU591" i="7"/>
  <c r="AP591" i="7"/>
  <c r="AK591" i="7"/>
  <c r="AF591" i="7"/>
  <c r="AG591" i="7" s="1"/>
  <c r="Z591" i="7"/>
  <c r="AA591" i="7" s="1"/>
  <c r="T591" i="7"/>
  <c r="BE591" i="7" s="1"/>
  <c r="R591" i="7"/>
  <c r="D591" i="7"/>
  <c r="BH590" i="7"/>
  <c r="BG590" i="7"/>
  <c r="AU590" i="7"/>
  <c r="AP590" i="7"/>
  <c r="AK590" i="7"/>
  <c r="AF590" i="7"/>
  <c r="AG590" i="7" s="1"/>
  <c r="Z590" i="7"/>
  <c r="AA590" i="7" s="1"/>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F586" i="7"/>
  <c r="AG586" i="7" s="1"/>
  <c r="AD586" i="7"/>
  <c r="AC586" i="7"/>
  <c r="Z586" i="7"/>
  <c r="AA586" i="7" s="1"/>
  <c r="T586" i="7"/>
  <c r="BE586" i="7" s="1"/>
  <c r="R586" i="7"/>
  <c r="D586" i="7"/>
  <c r="BG585" i="7"/>
  <c r="AU585" i="7"/>
  <c r="AP585" i="7"/>
  <c r="AK585" i="7"/>
  <c r="AF585" i="7"/>
  <c r="AG585" i="7" s="1"/>
  <c r="AD585" i="7"/>
  <c r="AC585" i="7"/>
  <c r="Z585" i="7"/>
  <c r="AA585" i="7" s="1"/>
  <c r="T585" i="7"/>
  <c r="R585" i="7"/>
  <c r="D585" i="7"/>
  <c r="BH584" i="7"/>
  <c r="BG584" i="7"/>
  <c r="AU584" i="7"/>
  <c r="AP584" i="7"/>
  <c r="AK584" i="7"/>
  <c r="AF584" i="7"/>
  <c r="AG584" i="7" s="1"/>
  <c r="Z584" i="7"/>
  <c r="AA584" i="7" s="1"/>
  <c r="T584" i="7"/>
  <c r="BE584" i="7" s="1"/>
  <c r="R584" i="7"/>
  <c r="Q584" i="7" s="1"/>
  <c r="D584" i="7"/>
  <c r="BH583" i="7"/>
  <c r="BG583" i="7"/>
  <c r="AU583" i="7"/>
  <c r="AP583" i="7"/>
  <c r="AK583" i="7"/>
  <c r="AF583" i="7"/>
  <c r="AG583" i="7" s="1"/>
  <c r="Z583" i="7"/>
  <c r="T583" i="7"/>
  <c r="BE583" i="7" s="1"/>
  <c r="R583" i="7"/>
  <c r="Q583" i="7" s="1"/>
  <c r="D583" i="7"/>
  <c r="BH582" i="7"/>
  <c r="BG582" i="7"/>
  <c r="AU582" i="7"/>
  <c r="AP582" i="7"/>
  <c r="AK582" i="7"/>
  <c r="AF582" i="7"/>
  <c r="AG582" i="7" s="1"/>
  <c r="Z582" i="7"/>
  <c r="AA582" i="7" s="1"/>
  <c r="T582" i="7"/>
  <c r="R582" i="7"/>
  <c r="Q582" i="7" s="1"/>
  <c r="D582" i="7"/>
  <c r="BH581" i="7"/>
  <c r="BG581" i="7"/>
  <c r="AU581" i="7"/>
  <c r="AP581" i="7"/>
  <c r="AK581" i="7"/>
  <c r="AF581" i="7"/>
  <c r="AG581" i="7" s="1"/>
  <c r="Z581" i="7"/>
  <c r="AA581" i="7" s="1"/>
  <c r="T581" i="7"/>
  <c r="U581" i="7" s="1"/>
  <c r="R581" i="7"/>
  <c r="D581" i="7"/>
  <c r="BH580" i="7"/>
  <c r="BG580" i="7"/>
  <c r="AU580" i="7"/>
  <c r="AP580" i="7"/>
  <c r="AK580" i="7"/>
  <c r="AF580" i="7"/>
  <c r="AG580" i="7" s="1"/>
  <c r="Z580" i="7"/>
  <c r="AA580" i="7" s="1"/>
  <c r="T580" i="7"/>
  <c r="R580" i="7"/>
  <c r="D580" i="7"/>
  <c r="BH579" i="7"/>
  <c r="BG579" i="7"/>
  <c r="AU579" i="7"/>
  <c r="AP579" i="7"/>
  <c r="AK579" i="7"/>
  <c r="AF579" i="7"/>
  <c r="AG579" i="7" s="1"/>
  <c r="Z579" i="7"/>
  <c r="AA579" i="7" s="1"/>
  <c r="T579" i="7"/>
  <c r="R579" i="7"/>
  <c r="D579" i="7"/>
  <c r="BH578" i="7"/>
  <c r="BG578" i="7"/>
  <c r="AU578" i="7"/>
  <c r="AP578" i="7"/>
  <c r="AF578" i="7"/>
  <c r="AG578" i="7" s="1"/>
  <c r="Z578" i="7"/>
  <c r="AA578" i="7" s="1"/>
  <c r="T578" i="7"/>
  <c r="BE578" i="7" s="1"/>
  <c r="R578" i="7"/>
  <c r="D578" i="7"/>
  <c r="BH577" i="7"/>
  <c r="BG577" i="7"/>
  <c r="AU577" i="7"/>
  <c r="AP577" i="7"/>
  <c r="AF577" i="7"/>
  <c r="AG577" i="7" s="1"/>
  <c r="Z577" i="7"/>
  <c r="AA577" i="7" s="1"/>
  <c r="T577" i="7"/>
  <c r="BE577" i="7" s="1"/>
  <c r="R577" i="7"/>
  <c r="Q577" i="7" s="1"/>
  <c r="D577" i="7"/>
  <c r="BH576" i="7"/>
  <c r="BG576" i="7"/>
  <c r="AU576" i="7"/>
  <c r="AP576" i="7"/>
  <c r="AK576" i="7"/>
  <c r="AF576" i="7"/>
  <c r="AG576" i="7" s="1"/>
  <c r="Z576" i="7"/>
  <c r="AA576" i="7" s="1"/>
  <c r="T576" i="7"/>
  <c r="BE576" i="7" s="1"/>
  <c r="D576" i="7"/>
  <c r="BH575" i="7"/>
  <c r="BG575" i="7"/>
  <c r="AU575" i="7"/>
  <c r="AP575" i="7"/>
  <c r="AK575" i="7"/>
  <c r="Z575" i="7"/>
  <c r="AA575" i="7" s="1"/>
  <c r="T575" i="7"/>
  <c r="BE575" i="7" s="1"/>
  <c r="R575" i="7"/>
  <c r="D575" i="7"/>
  <c r="BH574" i="7"/>
  <c r="BG574" i="7"/>
  <c r="AU574" i="7"/>
  <c r="AP574" i="7"/>
  <c r="AK574" i="7"/>
  <c r="AF574" i="7"/>
  <c r="AG574" i="7" s="1"/>
  <c r="Z574" i="7"/>
  <c r="AA574" i="7" s="1"/>
  <c r="T574" i="7"/>
  <c r="BE574" i="7" s="1"/>
  <c r="R574" i="7"/>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AU570" i="7"/>
  <c r="AF570" i="7"/>
  <c r="AG570" i="7" s="1"/>
  <c r="Z570" i="7"/>
  <c r="AA570" i="7" s="1"/>
  <c r="T570" i="7"/>
  <c r="R570" i="7"/>
  <c r="D570" i="7"/>
  <c r="BH569" i="7"/>
  <c r="BG569" i="7"/>
  <c r="AU569" i="7"/>
  <c r="AF569" i="7"/>
  <c r="AG569" i="7" s="1"/>
  <c r="Z569" i="7"/>
  <c r="AA569" i="7" s="1"/>
  <c r="T569" i="7"/>
  <c r="U569" i="7" s="1"/>
  <c r="R569" i="7"/>
  <c r="Q569" i="7" s="1"/>
  <c r="D569" i="7"/>
  <c r="BH568" i="7"/>
  <c r="BG568" i="7"/>
  <c r="AU568" i="7"/>
  <c r="AF568" i="7"/>
  <c r="AG568" i="7" s="1"/>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Z565" i="7"/>
  <c r="AA565" i="7" s="1"/>
  <c r="T565" i="7"/>
  <c r="BE565" i="7" s="1"/>
  <c r="R565" i="7"/>
  <c r="D565" i="7"/>
  <c r="BH564" i="7"/>
  <c r="BG564" i="7"/>
  <c r="AU564" i="7"/>
  <c r="AK564" i="7"/>
  <c r="AF564" i="7"/>
  <c r="AG564" i="7" s="1"/>
  <c r="Z564" i="7"/>
  <c r="AA564" i="7" s="1"/>
  <c r="T564" i="7"/>
  <c r="R564" i="7"/>
  <c r="Q564" i="7" s="1"/>
  <c r="D564" i="7"/>
  <c r="BH563" i="7"/>
  <c r="BG563" i="7"/>
  <c r="AU563" i="7"/>
  <c r="AK563" i="7"/>
  <c r="AF563" i="7"/>
  <c r="AG563" i="7" s="1"/>
  <c r="Z563" i="7"/>
  <c r="AA563" i="7" s="1"/>
  <c r="T563" i="7"/>
  <c r="R563" i="7"/>
  <c r="Q563" i="7" s="1"/>
  <c r="D563" i="7"/>
  <c r="BH562" i="7"/>
  <c r="BG562" i="7"/>
  <c r="AU562" i="7"/>
  <c r="AP562" i="7"/>
  <c r="AK562" i="7"/>
  <c r="AF562" i="7"/>
  <c r="AG562" i="7" s="1"/>
  <c r="Z562" i="7"/>
  <c r="AA562" i="7" s="1"/>
  <c r="T562" i="7"/>
  <c r="R562" i="7"/>
  <c r="Q562" i="7" s="1"/>
  <c r="D562" i="7"/>
  <c r="BH561" i="7"/>
  <c r="BG561" i="7"/>
  <c r="AU561" i="7"/>
  <c r="AP561" i="7"/>
  <c r="AK561" i="7"/>
  <c r="AF561" i="7"/>
  <c r="AG561" i="7" s="1"/>
  <c r="Z561" i="7"/>
  <c r="AA561" i="7" s="1"/>
  <c r="T561" i="7"/>
  <c r="BE561" i="7" s="1"/>
  <c r="D561" i="7"/>
  <c r="BH560" i="7"/>
  <c r="BG560" i="7"/>
  <c r="AU560" i="7"/>
  <c r="AP560" i="7"/>
  <c r="AK560" i="7"/>
  <c r="AF560" i="7"/>
  <c r="AG560" i="7" s="1"/>
  <c r="Z560" i="7"/>
  <c r="AA560" i="7" s="1"/>
  <c r="T560" i="7"/>
  <c r="R560" i="7"/>
  <c r="Q560" i="7" s="1"/>
  <c r="D560" i="7"/>
  <c r="BH559" i="7"/>
  <c r="BG559" i="7"/>
  <c r="AU559" i="7"/>
  <c r="AP559" i="7"/>
  <c r="AK559" i="7"/>
  <c r="AF559" i="7"/>
  <c r="AG559" i="7" s="1"/>
  <c r="Z559" i="7"/>
  <c r="AA559" i="7" s="1"/>
  <c r="T559" i="7"/>
  <c r="U559" i="7" s="1"/>
  <c r="R559" i="7"/>
  <c r="D559" i="7"/>
  <c r="BH558" i="7"/>
  <c r="BG558" i="7"/>
  <c r="AU558" i="7"/>
  <c r="AP558" i="7"/>
  <c r="AK558" i="7"/>
  <c r="AF558" i="7"/>
  <c r="AG558" i="7" s="1"/>
  <c r="Z558" i="7"/>
  <c r="AA558" i="7" s="1"/>
  <c r="T558" i="7"/>
  <c r="BE558" i="7" s="1"/>
  <c r="R558" i="7"/>
  <c r="D558" i="7"/>
  <c r="BH557" i="7"/>
  <c r="BG557" i="7"/>
  <c r="AU557" i="7"/>
  <c r="AP557" i="7"/>
  <c r="AK557" i="7"/>
  <c r="AF557" i="7"/>
  <c r="AG557" i="7" s="1"/>
  <c r="Z557" i="7"/>
  <c r="AA557" i="7" s="1"/>
  <c r="T557" i="7"/>
  <c r="R557" i="7"/>
  <c r="Q557" i="7" s="1"/>
  <c r="D557" i="7"/>
  <c r="BG556" i="7"/>
  <c r="AU556" i="7"/>
  <c r="AP556" i="7"/>
  <c r="AK556" i="7"/>
  <c r="AF556" i="7"/>
  <c r="AG556" i="7" s="1"/>
  <c r="AD556" i="7"/>
  <c r="AC556" i="7"/>
  <c r="Z556" i="7"/>
  <c r="AA556" i="7" s="1"/>
  <c r="T556" i="7"/>
  <c r="BE556" i="7" s="1"/>
  <c r="R556" i="7"/>
  <c r="D556" i="7"/>
  <c r="BG555" i="7"/>
  <c r="AU555" i="7"/>
  <c r="AP555" i="7"/>
  <c r="AK555" i="7"/>
  <c r="AF555" i="7"/>
  <c r="AD555" i="7"/>
  <c r="AC555" i="7"/>
  <c r="Z555" i="7"/>
  <c r="AA555" i="7" s="1"/>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Z551" i="7"/>
  <c r="AA551" i="7" s="1"/>
  <c r="T551" i="7"/>
  <c r="U551" i="7" s="1"/>
  <c r="R551" i="7"/>
  <c r="D551" i="7"/>
  <c r="BH550" i="7"/>
  <c r="BG550" i="7"/>
  <c r="AU550" i="7"/>
  <c r="AP550" i="7"/>
  <c r="AK550" i="7"/>
  <c r="AF550" i="7"/>
  <c r="AG550" i="7" s="1"/>
  <c r="Z550" i="7"/>
  <c r="AA550" i="7" s="1"/>
  <c r="T550" i="7"/>
  <c r="U550" i="7" s="1"/>
  <c r="R550" i="7"/>
  <c r="Q550" i="7" s="1"/>
  <c r="D550" i="7"/>
  <c r="BH549" i="7"/>
  <c r="BG549" i="7"/>
  <c r="AU549" i="7"/>
  <c r="AP549" i="7"/>
  <c r="AK549" i="7"/>
  <c r="AF549" i="7"/>
  <c r="AG549" i="7" s="1"/>
  <c r="Z549" i="7"/>
  <c r="AA549" i="7" s="1"/>
  <c r="T549" i="7"/>
  <c r="U549" i="7" s="1"/>
  <c r="D549" i="7"/>
  <c r="BH548" i="7"/>
  <c r="BG548" i="7"/>
  <c r="AU548" i="7"/>
  <c r="AP548" i="7"/>
  <c r="AK548" i="7"/>
  <c r="AF548" i="7"/>
  <c r="AG548" i="7" s="1"/>
  <c r="Z548" i="7"/>
  <c r="AA548" i="7" s="1"/>
  <c r="T548" i="7"/>
  <c r="R548" i="7"/>
  <c r="Q548" i="7" s="1"/>
  <c r="D548" i="7"/>
  <c r="BH547" i="7"/>
  <c r="BG547" i="7"/>
  <c r="AU547" i="7"/>
  <c r="AP547" i="7"/>
  <c r="AK547" i="7"/>
  <c r="AF547" i="7"/>
  <c r="AG547" i="7" s="1"/>
  <c r="Z547" i="7"/>
  <c r="AA547" i="7" s="1"/>
  <c r="T547" i="7"/>
  <c r="R547" i="7"/>
  <c r="Q547" i="7" s="1"/>
  <c r="D547" i="7"/>
  <c r="BH546" i="7"/>
  <c r="BG546" i="7"/>
  <c r="AU546" i="7"/>
  <c r="AP546" i="7"/>
  <c r="AK546" i="7"/>
  <c r="AF546" i="7"/>
  <c r="AG546" i="7" s="1"/>
  <c r="Z546" i="7"/>
  <c r="AA546" i="7" s="1"/>
  <c r="T546" i="7"/>
  <c r="R546" i="7"/>
  <c r="Q546" i="7" s="1"/>
  <c r="D546" i="7"/>
  <c r="BH545" i="7"/>
  <c r="BG545" i="7"/>
  <c r="AU545" i="7"/>
  <c r="AP545" i="7"/>
  <c r="AK545" i="7"/>
  <c r="AF545" i="7"/>
  <c r="AG545" i="7" s="1"/>
  <c r="Z545" i="7"/>
  <c r="AA545" i="7" s="1"/>
  <c r="T545" i="7"/>
  <c r="BE545" i="7" s="1"/>
  <c r="R545" i="7"/>
  <c r="Q545" i="7" s="1"/>
  <c r="D545" i="7"/>
  <c r="BH544" i="7"/>
  <c r="BG544" i="7"/>
  <c r="AU544" i="7"/>
  <c r="AP544" i="7"/>
  <c r="AK544" i="7"/>
  <c r="AF544" i="7"/>
  <c r="AG544" i="7" s="1"/>
  <c r="Z544" i="7"/>
  <c r="AA544" i="7" s="1"/>
  <c r="T544" i="7"/>
  <c r="BE544" i="7" s="1"/>
  <c r="R544" i="7"/>
  <c r="Q544" i="7" s="1"/>
  <c r="D544" i="7"/>
  <c r="BH543" i="7"/>
  <c r="BG543" i="7"/>
  <c r="AU543" i="7"/>
  <c r="AP543" i="7"/>
  <c r="AK543" i="7"/>
  <c r="AF543" i="7"/>
  <c r="AG543" i="7" s="1"/>
  <c r="Z543" i="7"/>
  <c r="AA543" i="7" s="1"/>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Z539" i="7"/>
  <c r="AA539" i="7" s="1"/>
  <c r="T539" i="7"/>
  <c r="U539" i="7" s="1"/>
  <c r="R539" i="7"/>
  <c r="Q539" i="7" s="1"/>
  <c r="D539" i="7"/>
  <c r="BH538" i="7"/>
  <c r="BG538" i="7"/>
  <c r="AU538" i="7"/>
  <c r="AP538" i="7"/>
  <c r="AK538" i="7"/>
  <c r="AF538" i="7"/>
  <c r="AG538" i="7" s="1"/>
  <c r="Z538" i="7"/>
  <c r="AA538" i="7" s="1"/>
  <c r="T538" i="7"/>
  <c r="BE538" i="7" s="1"/>
  <c r="R538" i="7"/>
  <c r="Q538" i="7" s="1"/>
  <c r="D538" i="7"/>
  <c r="BH537" i="7"/>
  <c r="BG537" i="7"/>
  <c r="AU537" i="7"/>
  <c r="AP537" i="7"/>
  <c r="AK537" i="7"/>
  <c r="AF537" i="7"/>
  <c r="AG537" i="7" s="1"/>
  <c r="Z537" i="7"/>
  <c r="AA537" i="7" s="1"/>
  <c r="T537" i="7"/>
  <c r="U537" i="7" s="1"/>
  <c r="R537" i="7"/>
  <c r="Q537" i="7" s="1"/>
  <c r="D537" i="7"/>
  <c r="BH536" i="7"/>
  <c r="BG536" i="7"/>
  <c r="AU536" i="7"/>
  <c r="AP536" i="7"/>
  <c r="AK536" i="7"/>
  <c r="AF536" i="7"/>
  <c r="AG536" i="7" s="1"/>
  <c r="Z536" i="7"/>
  <c r="AA536" i="7" s="1"/>
  <c r="T536" i="7"/>
  <c r="R536" i="7"/>
  <c r="Q536" i="7" s="1"/>
  <c r="D536" i="7"/>
  <c r="BH535" i="7"/>
  <c r="BG535" i="7"/>
  <c r="AU535" i="7"/>
  <c r="AP535" i="7"/>
  <c r="AK535" i="7"/>
  <c r="AF535" i="7"/>
  <c r="AG535" i="7" s="1"/>
  <c r="Z535" i="7"/>
  <c r="AA535" i="7" s="1"/>
  <c r="T535" i="7"/>
  <c r="BE535" i="7" s="1"/>
  <c r="R535" i="7"/>
  <c r="Q535" i="7" s="1"/>
  <c r="D535" i="7"/>
  <c r="BH534" i="7"/>
  <c r="BG534" i="7"/>
  <c r="AU534" i="7"/>
  <c r="AP534" i="7"/>
  <c r="AK534" i="7"/>
  <c r="AF534" i="7"/>
  <c r="AG534" i="7" s="1"/>
  <c r="Z534" i="7"/>
  <c r="AA534" i="7" s="1"/>
  <c r="T534" i="7"/>
  <c r="U534" i="7" s="1"/>
  <c r="R534" i="7"/>
  <c r="Q534" i="7" s="1"/>
  <c r="D534" i="7"/>
  <c r="BG533" i="7"/>
  <c r="AU533" i="7"/>
  <c r="AP533" i="7"/>
  <c r="AK533" i="7"/>
  <c r="AF533" i="7"/>
  <c r="AG533" i="7" s="1"/>
  <c r="AD533" i="7"/>
  <c r="AC533" i="7"/>
  <c r="BH533" i="7" s="1"/>
  <c r="Z533" i="7"/>
  <c r="AA533" i="7" s="1"/>
  <c r="T533" i="7"/>
  <c r="U533" i="7" s="1"/>
  <c r="R533" i="7"/>
  <c r="D533" i="7"/>
  <c r="BG532" i="7"/>
  <c r="AU532" i="7"/>
  <c r="AP532" i="7"/>
  <c r="AK532" i="7"/>
  <c r="AF532" i="7"/>
  <c r="AG532" i="7" s="1"/>
  <c r="AD532" i="7"/>
  <c r="AC532" i="7"/>
  <c r="Z532" i="7"/>
  <c r="AA532" i="7" s="1"/>
  <c r="T532" i="7"/>
  <c r="R532" i="7"/>
  <c r="Q532" i="7" s="1"/>
  <c r="D532" i="7"/>
  <c r="BH531" i="7"/>
  <c r="BG531" i="7"/>
  <c r="AU531" i="7"/>
  <c r="AP531" i="7"/>
  <c r="AK531" i="7"/>
  <c r="AF531" i="7"/>
  <c r="AG531" i="7" s="1"/>
  <c r="Z531" i="7"/>
  <c r="AA531" i="7" s="1"/>
  <c r="T531" i="7"/>
  <c r="BE531" i="7" s="1"/>
  <c r="R531" i="7"/>
  <c r="D531" i="7"/>
  <c r="BH530" i="7"/>
  <c r="BG530" i="7"/>
  <c r="AU530" i="7"/>
  <c r="AP530" i="7"/>
  <c r="AK530" i="7"/>
  <c r="AF530" i="7"/>
  <c r="AG530" i="7" s="1"/>
  <c r="Z530" i="7"/>
  <c r="AA530" i="7" s="1"/>
  <c r="T530" i="7"/>
  <c r="BE530" i="7" s="1"/>
  <c r="R530" i="7"/>
  <c r="Q530" i="7" s="1"/>
  <c r="D530" i="7"/>
  <c r="BH529" i="7"/>
  <c r="BG529" i="7"/>
  <c r="AU529" i="7"/>
  <c r="AP529" i="7"/>
  <c r="AK529" i="7"/>
  <c r="AF529" i="7"/>
  <c r="AG529" i="7" s="1"/>
  <c r="Z529" i="7"/>
  <c r="AA529" i="7" s="1"/>
  <c r="T529" i="7"/>
  <c r="U529" i="7" s="1"/>
  <c r="R529" i="7"/>
  <c r="D529" i="7"/>
  <c r="BH528" i="7"/>
  <c r="BG528" i="7"/>
  <c r="AU528" i="7"/>
  <c r="AP528" i="7"/>
  <c r="AK528" i="7"/>
  <c r="AF528" i="7"/>
  <c r="AG528" i="7" s="1"/>
  <c r="Z528" i="7"/>
  <c r="AA528" i="7" s="1"/>
  <c r="T528" i="7"/>
  <c r="R528" i="7"/>
  <c r="Q528" i="7" s="1"/>
  <c r="D528" i="7"/>
  <c r="BH527" i="7"/>
  <c r="BG527" i="7"/>
  <c r="AU527" i="7"/>
  <c r="AP527" i="7"/>
  <c r="AK527" i="7"/>
  <c r="AF527" i="7"/>
  <c r="AG527" i="7" s="1"/>
  <c r="Z527" i="7"/>
  <c r="AA527" i="7" s="1"/>
  <c r="T527" i="7"/>
  <c r="BE527" i="7" s="1"/>
  <c r="R527" i="7"/>
  <c r="Q527" i="7" s="1"/>
  <c r="D527" i="7"/>
  <c r="BH526" i="7"/>
  <c r="BG526" i="7"/>
  <c r="AU526" i="7"/>
  <c r="AP526" i="7"/>
  <c r="AK526" i="7"/>
  <c r="AF526" i="7"/>
  <c r="AG526" i="7" s="1"/>
  <c r="Z526" i="7"/>
  <c r="AA526" i="7" s="1"/>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AF522" i="7"/>
  <c r="AG522" i="7" s="1"/>
  <c r="Z522" i="7"/>
  <c r="AA522" i="7" s="1"/>
  <c r="T522" i="7"/>
  <c r="U522" i="7" s="1"/>
  <c r="R522" i="7"/>
  <c r="Q522" i="7" s="1"/>
  <c r="D522" i="7"/>
  <c r="BH521" i="7"/>
  <c r="BG521" i="7"/>
  <c r="AU521" i="7"/>
  <c r="AP521" i="7"/>
  <c r="AK521" i="7"/>
  <c r="AF521" i="7"/>
  <c r="AG521" i="7" s="1"/>
  <c r="Z521" i="7"/>
  <c r="AA521" i="7" s="1"/>
  <c r="T521" i="7"/>
  <c r="R521" i="7"/>
  <c r="D521" i="7"/>
  <c r="BH520" i="7"/>
  <c r="BG520" i="7"/>
  <c r="AU520" i="7"/>
  <c r="AP520" i="7"/>
  <c r="AK520" i="7"/>
  <c r="AF520" i="7"/>
  <c r="AG520" i="7" s="1"/>
  <c r="Z520" i="7"/>
  <c r="AA520" i="7" s="1"/>
  <c r="T520" i="7"/>
  <c r="R520" i="7"/>
  <c r="D520" i="7"/>
  <c r="BH519" i="7"/>
  <c r="BG519" i="7"/>
  <c r="AU519" i="7"/>
  <c r="AP519" i="7"/>
  <c r="AK519" i="7"/>
  <c r="AF519" i="7"/>
  <c r="AG519" i="7" s="1"/>
  <c r="Z519" i="7"/>
  <c r="AA519" i="7" s="1"/>
  <c r="T519" i="7"/>
  <c r="BE519" i="7" s="1"/>
  <c r="R519" i="7"/>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T514" i="7"/>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F511" i="7"/>
  <c r="AG511" i="7" s="1"/>
  <c r="Z511" i="7"/>
  <c r="AA511" i="7" s="1"/>
  <c r="T511" i="7"/>
  <c r="U511" i="7" s="1"/>
  <c r="R511" i="7"/>
  <c r="Q511" i="7" s="1"/>
  <c r="D511" i="7"/>
  <c r="BH510" i="7"/>
  <c r="BG510" i="7"/>
  <c r="AU510" i="7"/>
  <c r="AP510" i="7"/>
  <c r="AK510" i="7"/>
  <c r="AF510" i="7"/>
  <c r="AG510" i="7" s="1"/>
  <c r="Z510" i="7"/>
  <c r="AA510" i="7" s="1"/>
  <c r="T510" i="7"/>
  <c r="BE510" i="7" s="1"/>
  <c r="R510" i="7"/>
  <c r="Q510" i="7" s="1"/>
  <c r="D510" i="7"/>
  <c r="BH509" i="7"/>
  <c r="BG509" i="7"/>
  <c r="AU509" i="7"/>
  <c r="AP509" i="7"/>
  <c r="AK509" i="7"/>
  <c r="AF509" i="7"/>
  <c r="AG509" i="7" s="1"/>
  <c r="Z509" i="7"/>
  <c r="AA509" i="7" s="1"/>
  <c r="T509" i="7"/>
  <c r="R509" i="7"/>
  <c r="Q509" i="7" s="1"/>
  <c r="D509" i="7"/>
  <c r="BH508" i="7"/>
  <c r="BG508" i="7"/>
  <c r="AU508" i="7"/>
  <c r="AP508" i="7"/>
  <c r="AK508" i="7"/>
  <c r="AF508" i="7"/>
  <c r="AG508" i="7" s="1"/>
  <c r="Z508" i="7"/>
  <c r="AA508" i="7" s="1"/>
  <c r="T508" i="7"/>
  <c r="BE508" i="7" s="1"/>
  <c r="D508" i="7"/>
  <c r="BH507" i="7"/>
  <c r="BG507" i="7"/>
  <c r="AU507" i="7"/>
  <c r="AP507" i="7"/>
  <c r="AK507" i="7"/>
  <c r="AF507" i="7"/>
  <c r="AG507" i="7" s="1"/>
  <c r="Z507" i="7"/>
  <c r="AA507" i="7" s="1"/>
  <c r="T507" i="7"/>
  <c r="R507" i="7"/>
  <c r="Q507" i="7" s="1"/>
  <c r="D507" i="7"/>
  <c r="BH506" i="7"/>
  <c r="BG506" i="7"/>
  <c r="AU506" i="7"/>
  <c r="AP506" i="7"/>
  <c r="AK506" i="7"/>
  <c r="AF506" i="7"/>
  <c r="AG506" i="7" s="1"/>
  <c r="Z506" i="7"/>
  <c r="AA506" i="7" s="1"/>
  <c r="T506" i="7"/>
  <c r="U506" i="7" s="1"/>
  <c r="R506" i="7"/>
  <c r="D506" i="7"/>
  <c r="BH505" i="7"/>
  <c r="BG505" i="7"/>
  <c r="AU505" i="7"/>
  <c r="AP505" i="7"/>
  <c r="AK505" i="7"/>
  <c r="AF505" i="7"/>
  <c r="AG505" i="7" s="1"/>
  <c r="Z505" i="7"/>
  <c r="AA505" i="7" s="1"/>
  <c r="T505" i="7"/>
  <c r="BE505" i="7" s="1"/>
  <c r="R505" i="7"/>
  <c r="Q505" i="7" s="1"/>
  <c r="D505" i="7"/>
  <c r="BG504" i="7"/>
  <c r="AU504" i="7"/>
  <c r="AP504" i="7"/>
  <c r="AK504" i="7"/>
  <c r="AF504" i="7"/>
  <c r="AG504" i="7" s="1"/>
  <c r="AD504" i="7"/>
  <c r="AC504" i="7"/>
  <c r="BH504" i="7" s="1"/>
  <c r="Z504" i="7"/>
  <c r="AA504" i="7" s="1"/>
  <c r="T504" i="7"/>
  <c r="BE504" i="7" s="1"/>
  <c r="R504" i="7"/>
  <c r="Q504" i="7" s="1"/>
  <c r="D504" i="7"/>
  <c r="BG503" i="7"/>
  <c r="AU503" i="7"/>
  <c r="AP503" i="7"/>
  <c r="AK503" i="7"/>
  <c r="AF503" i="7"/>
  <c r="AG503" i="7" s="1"/>
  <c r="AD503" i="7"/>
  <c r="AC503" i="7"/>
  <c r="Z503" i="7"/>
  <c r="AA503" i="7" s="1"/>
  <c r="T503" i="7"/>
  <c r="BE503" i="7" s="1"/>
  <c r="R503" i="7"/>
  <c r="Q503" i="7" s="1"/>
  <c r="D503" i="7"/>
  <c r="BH502" i="7"/>
  <c r="BG502" i="7"/>
  <c r="AU502" i="7"/>
  <c r="AP502" i="7"/>
  <c r="AK502" i="7"/>
  <c r="AF502" i="7"/>
  <c r="AG502" i="7" s="1"/>
  <c r="Z502" i="7"/>
  <c r="AA502" i="7" s="1"/>
  <c r="T502" i="7"/>
  <c r="BE502" i="7" s="1"/>
  <c r="R502" i="7"/>
  <c r="D502" i="7"/>
  <c r="BH501" i="7"/>
  <c r="BG501" i="7"/>
  <c r="AU501" i="7"/>
  <c r="AP501" i="7"/>
  <c r="AK501" i="7"/>
  <c r="AF501" i="7"/>
  <c r="AG501" i="7" s="1"/>
  <c r="Z501" i="7"/>
  <c r="AA501" i="7" s="1"/>
  <c r="T501" i="7"/>
  <c r="R501" i="7"/>
  <c r="D501" i="7"/>
  <c r="BH500" i="7"/>
  <c r="BG500" i="7"/>
  <c r="AU500" i="7"/>
  <c r="AP500" i="7"/>
  <c r="AK500" i="7"/>
  <c r="AF500" i="7"/>
  <c r="AG500" i="7" s="1"/>
  <c r="Z500" i="7"/>
  <c r="AA500" i="7" s="1"/>
  <c r="T500" i="7"/>
  <c r="BE500" i="7" s="1"/>
  <c r="R500" i="7"/>
  <c r="Q500" i="7" s="1"/>
  <c r="D500" i="7"/>
  <c r="BH499" i="7"/>
  <c r="BG499" i="7"/>
  <c r="AU499" i="7"/>
  <c r="AP499" i="7"/>
  <c r="AK499" i="7"/>
  <c r="AF499" i="7"/>
  <c r="AG499" i="7" s="1"/>
  <c r="Z499" i="7"/>
  <c r="AA499" i="7" s="1"/>
  <c r="T499" i="7"/>
  <c r="U499" i="7" s="1"/>
  <c r="R499" i="7"/>
  <c r="Q499" i="7" s="1"/>
  <c r="D499" i="7"/>
  <c r="BH498" i="7"/>
  <c r="BG498" i="7"/>
  <c r="AU498" i="7"/>
  <c r="AP498" i="7"/>
  <c r="AK498" i="7"/>
  <c r="AF498" i="7"/>
  <c r="AG498" i="7" s="1"/>
  <c r="Z498" i="7"/>
  <c r="AA498" i="7" s="1"/>
  <c r="T498" i="7"/>
  <c r="BE498" i="7" s="1"/>
  <c r="R498" i="7"/>
  <c r="Q498" i="7" s="1"/>
  <c r="D498" i="7"/>
  <c r="BH497" i="7"/>
  <c r="BG497" i="7"/>
  <c r="AU497" i="7"/>
  <c r="AP497" i="7"/>
  <c r="AK497" i="7"/>
  <c r="AF497" i="7"/>
  <c r="AG497" i="7" s="1"/>
  <c r="Z497" i="7"/>
  <c r="AA497" i="7" s="1"/>
  <c r="T497" i="7"/>
  <c r="R497" i="7"/>
  <c r="Q497" i="7" s="1"/>
  <c r="D497" i="7"/>
  <c r="BH496" i="7"/>
  <c r="BG496" i="7"/>
  <c r="AU496" i="7"/>
  <c r="AP496" i="7"/>
  <c r="AK496" i="7"/>
  <c r="AF496" i="7"/>
  <c r="AG496" i="7" s="1"/>
  <c r="Z496" i="7"/>
  <c r="AA496" i="7" s="1"/>
  <c r="T496" i="7"/>
  <c r="U496" i="7" s="1"/>
  <c r="R496" i="7"/>
  <c r="Q496" i="7" s="1"/>
  <c r="D496" i="7"/>
  <c r="BH495" i="7"/>
  <c r="BG495" i="7"/>
  <c r="AU495" i="7"/>
  <c r="AP495" i="7"/>
  <c r="AK495" i="7"/>
  <c r="AF495" i="7"/>
  <c r="AG495" i="7" s="1"/>
  <c r="Z495" i="7"/>
  <c r="AA495" i="7" s="1"/>
  <c r="T495" i="7"/>
  <c r="BE495" i="7" s="1"/>
  <c r="R495" i="7"/>
  <c r="D495" i="7"/>
  <c r="BH494" i="7"/>
  <c r="BG494" i="7"/>
  <c r="AU494" i="7"/>
  <c r="AP494" i="7"/>
  <c r="AK494" i="7"/>
  <c r="AF494" i="7"/>
  <c r="AG494" i="7" s="1"/>
  <c r="Z494" i="7"/>
  <c r="AA494" i="7" s="1"/>
  <c r="T494" i="7"/>
  <c r="R494" i="7"/>
  <c r="Q494" i="7" s="1"/>
  <c r="D494" i="7"/>
  <c r="BH493" i="7"/>
  <c r="BG493" i="7"/>
  <c r="AU493" i="7"/>
  <c r="AP493" i="7"/>
  <c r="AK493" i="7"/>
  <c r="AF493" i="7"/>
  <c r="AG493" i="7" s="1"/>
  <c r="Z493" i="7"/>
  <c r="AA493" i="7" s="1"/>
  <c r="T493" i="7"/>
  <c r="U493" i="7" s="1"/>
  <c r="R493" i="7"/>
  <c r="Q493" i="7" s="1"/>
  <c r="D493" i="7"/>
  <c r="BH492" i="7"/>
  <c r="BG492" i="7"/>
  <c r="AU492" i="7"/>
  <c r="AP492" i="7"/>
  <c r="AK492" i="7"/>
  <c r="AF492" i="7"/>
  <c r="AG492" i="7" s="1"/>
  <c r="Z492" i="7"/>
  <c r="AA492" i="7" s="1"/>
  <c r="T492" i="7"/>
  <c r="U492" i="7" s="1"/>
  <c r="R492" i="7"/>
  <c r="Q492" i="7" s="1"/>
  <c r="D492" i="7"/>
  <c r="BH491" i="7"/>
  <c r="BG491" i="7"/>
  <c r="AU491" i="7"/>
  <c r="AP491" i="7"/>
  <c r="AK491" i="7"/>
  <c r="AF491" i="7"/>
  <c r="AG491" i="7" s="1"/>
  <c r="Z491" i="7"/>
  <c r="AA491" i="7" s="1"/>
  <c r="T491" i="7"/>
  <c r="R491" i="7"/>
  <c r="D491" i="7"/>
  <c r="BH490" i="7"/>
  <c r="BG490" i="7"/>
  <c r="AU490" i="7"/>
  <c r="AP490" i="7"/>
  <c r="AK490" i="7"/>
  <c r="AF490" i="7"/>
  <c r="AG490" i="7" s="1"/>
  <c r="Z490" i="7"/>
  <c r="AA490" i="7" s="1"/>
  <c r="T490" i="7"/>
  <c r="R490" i="7"/>
  <c r="Q490" i="7" s="1"/>
  <c r="D490" i="7"/>
  <c r="BH489" i="7"/>
  <c r="BG489" i="7"/>
  <c r="AU489" i="7"/>
  <c r="AP489" i="7"/>
  <c r="AK489" i="7"/>
  <c r="AF489" i="7"/>
  <c r="AG489" i="7" s="1"/>
  <c r="Z489" i="7"/>
  <c r="AA489" i="7" s="1"/>
  <c r="T489" i="7"/>
  <c r="BE489" i="7" s="1"/>
  <c r="R489" i="7"/>
  <c r="Q489" i="7" s="1"/>
  <c r="D489" i="7"/>
  <c r="BH488" i="7"/>
  <c r="BG488" i="7"/>
  <c r="AU488" i="7"/>
  <c r="AP488" i="7"/>
  <c r="AK488" i="7"/>
  <c r="AF488" i="7"/>
  <c r="AG488" i="7" s="1"/>
  <c r="Z488" i="7"/>
  <c r="AA488" i="7" s="1"/>
  <c r="T488" i="7"/>
  <c r="R488" i="7"/>
  <c r="Q488" i="7" s="1"/>
  <c r="D488" i="7"/>
  <c r="BH487" i="7"/>
  <c r="BG487" i="7"/>
  <c r="AU487" i="7"/>
  <c r="AP487" i="7"/>
  <c r="AK487" i="7"/>
  <c r="AF487" i="7"/>
  <c r="AG487" i="7" s="1"/>
  <c r="Z487" i="7"/>
  <c r="AA487" i="7" s="1"/>
  <c r="T487" i="7"/>
  <c r="R487" i="7"/>
  <c r="D487" i="7"/>
  <c r="BH486" i="7"/>
  <c r="BG486" i="7"/>
  <c r="AU486" i="7"/>
  <c r="AP486" i="7"/>
  <c r="AK486" i="7"/>
  <c r="AF486" i="7"/>
  <c r="AG486" i="7" s="1"/>
  <c r="Z486" i="7"/>
  <c r="AA486" i="7" s="1"/>
  <c r="T486" i="7"/>
  <c r="BE486" i="7" s="1"/>
  <c r="R486" i="7"/>
  <c r="D486" i="7"/>
  <c r="BH485" i="7"/>
  <c r="BG485" i="7"/>
  <c r="AU485" i="7"/>
  <c r="AP485" i="7"/>
  <c r="AK485" i="7"/>
  <c r="AF485" i="7"/>
  <c r="AG485" i="7" s="1"/>
  <c r="Z485" i="7"/>
  <c r="AA485" i="7" s="1"/>
  <c r="T485" i="7"/>
  <c r="U485" i="7" s="1"/>
  <c r="R485" i="7"/>
  <c r="D485" i="7"/>
  <c r="BH484" i="7"/>
  <c r="BG484" i="7"/>
  <c r="AU484" i="7"/>
  <c r="AP484" i="7"/>
  <c r="AK484" i="7"/>
  <c r="AF484" i="7"/>
  <c r="AG484" i="7" s="1"/>
  <c r="Z484" i="7"/>
  <c r="AA484" i="7" s="1"/>
  <c r="T484" i="7"/>
  <c r="BE484" i="7" s="1"/>
  <c r="R484" i="7"/>
  <c r="Q484" i="7" s="1"/>
  <c r="D484" i="7"/>
  <c r="BH483" i="7"/>
  <c r="BG483" i="7"/>
  <c r="AU483" i="7"/>
  <c r="AP483" i="7"/>
  <c r="AK483" i="7"/>
  <c r="AF483" i="7"/>
  <c r="AG483" i="7" s="1"/>
  <c r="Z483" i="7"/>
  <c r="AA483" i="7" s="1"/>
  <c r="T483" i="7"/>
  <c r="R483" i="7"/>
  <c r="Q483" i="7" s="1"/>
  <c r="D483" i="7"/>
  <c r="BH482" i="7"/>
  <c r="BG482" i="7"/>
  <c r="AU482" i="7"/>
  <c r="AP482" i="7"/>
  <c r="AK482" i="7"/>
  <c r="AF482" i="7"/>
  <c r="AG482" i="7" s="1"/>
  <c r="Z482" i="7"/>
  <c r="AA482" i="7" s="1"/>
  <c r="T482" i="7"/>
  <c r="U482" i="7" s="1"/>
  <c r="R482" i="7"/>
  <c r="Q482" i="7" s="1"/>
  <c r="D482" i="7"/>
  <c r="BH481" i="7"/>
  <c r="BG481" i="7"/>
  <c r="AU481" i="7"/>
  <c r="AP481" i="7"/>
  <c r="AK481" i="7"/>
  <c r="AF481" i="7"/>
  <c r="AG481" i="7" s="1"/>
  <c r="Z481" i="7"/>
  <c r="AA481" i="7" s="1"/>
  <c r="T481" i="7"/>
  <c r="BE481" i="7" s="1"/>
  <c r="R481" i="7"/>
  <c r="Q481" i="7" s="1"/>
  <c r="D481" i="7"/>
  <c r="BH480" i="7"/>
  <c r="BG480" i="7"/>
  <c r="AU480" i="7"/>
  <c r="AP480" i="7"/>
  <c r="AK480" i="7"/>
  <c r="AF480" i="7"/>
  <c r="AG480" i="7" s="1"/>
  <c r="Z480" i="7"/>
  <c r="AA480" i="7" s="1"/>
  <c r="T480" i="7"/>
  <c r="U480" i="7" s="1"/>
  <c r="R480" i="7"/>
  <c r="Q480" i="7" s="1"/>
  <c r="D480" i="7"/>
  <c r="BH479" i="7"/>
  <c r="BG479" i="7"/>
  <c r="AU479" i="7"/>
  <c r="AP479" i="7"/>
  <c r="AK479" i="7"/>
  <c r="AF479" i="7"/>
  <c r="AG479" i="7" s="1"/>
  <c r="Z479" i="7"/>
  <c r="AA479" i="7" s="1"/>
  <c r="T479" i="7"/>
  <c r="BE479" i="7" s="1"/>
  <c r="R479" i="7"/>
  <c r="Q479" i="7"/>
  <c r="D479" i="7"/>
  <c r="BH478" i="7"/>
  <c r="BG478" i="7"/>
  <c r="AU478" i="7"/>
  <c r="AP478" i="7"/>
  <c r="AK478" i="7"/>
  <c r="AF478" i="7"/>
  <c r="AG478" i="7" s="1"/>
  <c r="Z478" i="7"/>
  <c r="AA478" i="7" s="1"/>
  <c r="T478" i="7"/>
  <c r="R478" i="7"/>
  <c r="Q478" i="7" s="1"/>
  <c r="D478" i="7"/>
  <c r="BH477" i="7"/>
  <c r="BG477" i="7"/>
  <c r="AU477" i="7"/>
  <c r="AP477" i="7"/>
  <c r="AK477" i="7"/>
  <c r="AF477" i="7"/>
  <c r="AG477" i="7" s="1"/>
  <c r="Z477" i="7"/>
  <c r="AA477" i="7" s="1"/>
  <c r="T477" i="7"/>
  <c r="BE477" i="7" s="1"/>
  <c r="R477" i="7"/>
  <c r="Q477" i="7" s="1"/>
  <c r="D477" i="7"/>
  <c r="BH476" i="7"/>
  <c r="BG476" i="7"/>
  <c r="AU476" i="7"/>
  <c r="AP476" i="7"/>
  <c r="AK476" i="7"/>
  <c r="AF476" i="7"/>
  <c r="AG476" i="7" s="1"/>
  <c r="Z476" i="7"/>
  <c r="AA476" i="7" s="1"/>
  <c r="T476" i="7"/>
  <c r="U476" i="7" s="1"/>
  <c r="R476" i="7"/>
  <c r="Q476" i="7" s="1"/>
  <c r="D476" i="7"/>
  <c r="BH475" i="7"/>
  <c r="BG475" i="7"/>
  <c r="AU475" i="7"/>
  <c r="AP475" i="7"/>
  <c r="AK475" i="7"/>
  <c r="AF475" i="7"/>
  <c r="AG475" i="7" s="1"/>
  <c r="Z475" i="7"/>
  <c r="AA475" i="7" s="1"/>
  <c r="T475" i="7"/>
  <c r="U475" i="7" s="1"/>
  <c r="R475" i="7"/>
  <c r="Q475" i="7" s="1"/>
  <c r="D475" i="7"/>
  <c r="BH474" i="7"/>
  <c r="BG474" i="7"/>
  <c r="AU474" i="7"/>
  <c r="AP474" i="7"/>
  <c r="AK474" i="7"/>
  <c r="AF474" i="7"/>
  <c r="AG474" i="7" s="1"/>
  <c r="Z474" i="7"/>
  <c r="AA474" i="7" s="1"/>
  <c r="T474" i="7"/>
  <c r="BE474" i="7" s="1"/>
  <c r="R474" i="7"/>
  <c r="Q474" i="7" s="1"/>
  <c r="D474" i="7"/>
  <c r="BG473" i="7"/>
  <c r="AU473" i="7"/>
  <c r="AP473" i="7"/>
  <c r="AK473" i="7"/>
  <c r="AF473" i="7"/>
  <c r="AG473" i="7" s="1"/>
  <c r="AD473" i="7"/>
  <c r="AC473" i="7"/>
  <c r="BH473" i="7" s="1"/>
  <c r="Z473" i="7"/>
  <c r="AA473" i="7" s="1"/>
  <c r="T473" i="7"/>
  <c r="BE473" i="7" s="1"/>
  <c r="R473" i="7"/>
  <c r="Q473" i="7" s="1"/>
  <c r="D473" i="7"/>
  <c r="BG472" i="7"/>
  <c r="AU472" i="7"/>
  <c r="AP472" i="7"/>
  <c r="AK472" i="7"/>
  <c r="AF472" i="7"/>
  <c r="AG472" i="7" s="1"/>
  <c r="AD472" i="7"/>
  <c r="AC472" i="7"/>
  <c r="BH472" i="7" s="1"/>
  <c r="Z472" i="7"/>
  <c r="AA472" i="7" s="1"/>
  <c r="T472" i="7"/>
  <c r="R472" i="7"/>
  <c r="Q472" i="7" s="1"/>
  <c r="D472" i="7"/>
  <c r="BH471" i="7"/>
  <c r="BG471" i="7"/>
  <c r="AU471" i="7"/>
  <c r="AP471" i="7"/>
  <c r="AK471" i="7"/>
  <c r="AF471" i="7"/>
  <c r="AG471" i="7" s="1"/>
  <c r="Z471" i="7"/>
  <c r="AA471" i="7" s="1"/>
  <c r="T471" i="7"/>
  <c r="BE471" i="7" s="1"/>
  <c r="R471" i="7"/>
  <c r="Q471" i="7" s="1"/>
  <c r="D471" i="7"/>
  <c r="BH470" i="7"/>
  <c r="BG470" i="7"/>
  <c r="AU470" i="7"/>
  <c r="AP470" i="7"/>
  <c r="AK470" i="7"/>
  <c r="AF470" i="7"/>
  <c r="AG470" i="7" s="1"/>
  <c r="Z470" i="7"/>
  <c r="AA470" i="7" s="1"/>
  <c r="T470" i="7"/>
  <c r="U470" i="7" s="1"/>
  <c r="R470" i="7"/>
  <c r="Q470" i="7" s="1"/>
  <c r="D470" i="7"/>
  <c r="BH469" i="7"/>
  <c r="BG469" i="7"/>
  <c r="AU469" i="7"/>
  <c r="AP469" i="7"/>
  <c r="AK469" i="7"/>
  <c r="AF469" i="7"/>
  <c r="AG469" i="7" s="1"/>
  <c r="Z469" i="7"/>
  <c r="AA469" i="7" s="1"/>
  <c r="T469" i="7"/>
  <c r="BE469" i="7" s="1"/>
  <c r="R469" i="7"/>
  <c r="Q469" i="7" s="1"/>
  <c r="D469" i="7"/>
  <c r="BH468" i="7"/>
  <c r="BG468" i="7"/>
  <c r="AU468" i="7"/>
  <c r="AP468" i="7"/>
  <c r="AK468" i="7"/>
  <c r="AF468" i="7"/>
  <c r="AG468" i="7" s="1"/>
  <c r="Z468" i="7"/>
  <c r="AA468" i="7" s="1"/>
  <c r="T468" i="7"/>
  <c r="R468" i="7"/>
  <c r="Q468" i="7" s="1"/>
  <c r="D468" i="7"/>
  <c r="BH467" i="7"/>
  <c r="BG467" i="7"/>
  <c r="AU467" i="7"/>
  <c r="AP467" i="7"/>
  <c r="AK467" i="7"/>
  <c r="AF467" i="7"/>
  <c r="AG467" i="7" s="1"/>
  <c r="Z467" i="7"/>
  <c r="AA467" i="7" s="1"/>
  <c r="T467" i="7"/>
  <c r="BE467" i="7" s="1"/>
  <c r="R467" i="7"/>
  <c r="Q467" i="7" s="1"/>
  <c r="D467" i="7"/>
  <c r="BH466" i="7"/>
  <c r="BG466" i="7"/>
  <c r="AU466" i="7"/>
  <c r="AP466" i="7"/>
  <c r="AK466" i="7"/>
  <c r="AF466" i="7"/>
  <c r="AG466" i="7" s="1"/>
  <c r="Z466" i="7"/>
  <c r="AA466" i="7" s="1"/>
  <c r="T466" i="7"/>
  <c r="R466" i="7"/>
  <c r="Q466" i="7" s="1"/>
  <c r="D466" i="7"/>
  <c r="BH465" i="7"/>
  <c r="BG465" i="7"/>
  <c r="AU465" i="7"/>
  <c r="AP465" i="7"/>
  <c r="AK465" i="7"/>
  <c r="AF465" i="7"/>
  <c r="AG465" i="7" s="1"/>
  <c r="Z465" i="7"/>
  <c r="AA465" i="7" s="1"/>
  <c r="T465" i="7"/>
  <c r="R465" i="7"/>
  <c r="D465" i="7"/>
  <c r="BH464" i="7"/>
  <c r="BG464" i="7"/>
  <c r="AU464" i="7"/>
  <c r="AP464" i="7"/>
  <c r="AK464" i="7"/>
  <c r="AF464" i="7"/>
  <c r="AG464" i="7" s="1"/>
  <c r="Z464" i="7"/>
  <c r="AA464" i="7" s="1"/>
  <c r="T464" i="7"/>
  <c r="R464" i="7"/>
  <c r="Q464" i="7" s="1"/>
  <c r="D464" i="7"/>
  <c r="BH463" i="7"/>
  <c r="BG463" i="7"/>
  <c r="AU463" i="7"/>
  <c r="AP463" i="7"/>
  <c r="AK463" i="7"/>
  <c r="AF463" i="7"/>
  <c r="AG463" i="7" s="1"/>
  <c r="Z463" i="7"/>
  <c r="AA463" i="7" s="1"/>
  <c r="T463" i="7"/>
  <c r="BE463" i="7" s="1"/>
  <c r="R463" i="7"/>
  <c r="Q463" i="7" s="1"/>
  <c r="D463" i="7"/>
  <c r="BH462" i="7"/>
  <c r="BG462" i="7"/>
  <c r="AU462" i="7"/>
  <c r="AP462" i="7"/>
  <c r="AK462" i="7"/>
  <c r="AF462" i="7"/>
  <c r="AG462" i="7" s="1"/>
  <c r="Z462" i="7"/>
  <c r="AA462" i="7" s="1"/>
  <c r="T462" i="7"/>
  <c r="R462" i="7"/>
  <c r="D462" i="7"/>
  <c r="BH461" i="7"/>
  <c r="BG461" i="7"/>
  <c r="AU461" i="7"/>
  <c r="AP461" i="7"/>
  <c r="AK461" i="7"/>
  <c r="AF461" i="7"/>
  <c r="AG461" i="7" s="1"/>
  <c r="Z461" i="7"/>
  <c r="AA461" i="7" s="1"/>
  <c r="T461" i="7"/>
  <c r="R461" i="7"/>
  <c r="D461" i="7"/>
  <c r="BH460" i="7"/>
  <c r="BG460" i="7"/>
  <c r="AU460" i="7"/>
  <c r="AP460" i="7"/>
  <c r="AK460" i="7"/>
  <c r="AF460" i="7"/>
  <c r="AG460" i="7" s="1"/>
  <c r="Z460" i="7"/>
  <c r="AA460" i="7" s="1"/>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Z458" i="7"/>
  <c r="AA458" i="7" s="1"/>
  <c r="T458" i="7"/>
  <c r="BE458" i="7" s="1"/>
  <c r="R458" i="7"/>
  <c r="D458" i="7"/>
  <c r="BH457" i="7"/>
  <c r="BG457" i="7"/>
  <c r="AU457" i="7"/>
  <c r="AP457" i="7"/>
  <c r="AK457" i="7"/>
  <c r="AF457" i="7"/>
  <c r="AG457" i="7" s="1"/>
  <c r="Z457" i="7"/>
  <c r="AA457" i="7" s="1"/>
  <c r="T457" i="7"/>
  <c r="BE457" i="7" s="1"/>
  <c r="R457" i="7"/>
  <c r="Q457" i="7" s="1"/>
  <c r="D457" i="7"/>
  <c r="BH456" i="7"/>
  <c r="BG456" i="7"/>
  <c r="AU456" i="7"/>
  <c r="AP456" i="7"/>
  <c r="AK456" i="7"/>
  <c r="AF456" i="7"/>
  <c r="AG456" i="7" s="1"/>
  <c r="Z456" i="7"/>
  <c r="AA456" i="7" s="1"/>
  <c r="T456" i="7"/>
  <c r="BE456" i="7" s="1"/>
  <c r="R456" i="7"/>
  <c r="Q456" i="7" s="1"/>
  <c r="D456" i="7"/>
  <c r="BH455" i="7"/>
  <c r="BG455" i="7"/>
  <c r="AU455" i="7"/>
  <c r="AP455" i="7"/>
  <c r="AK455" i="7"/>
  <c r="AF455" i="7"/>
  <c r="AG455" i="7" s="1"/>
  <c r="Z455" i="7"/>
  <c r="AA455" i="7" s="1"/>
  <c r="T455" i="7"/>
  <c r="BE455" i="7" s="1"/>
  <c r="R455" i="7"/>
  <c r="Q455" i="7" s="1"/>
  <c r="D455" i="7"/>
  <c r="BH454" i="7"/>
  <c r="BG454" i="7"/>
  <c r="AU454" i="7"/>
  <c r="AP454" i="7"/>
  <c r="AK454" i="7"/>
  <c r="AF454" i="7"/>
  <c r="AG454" i="7" s="1"/>
  <c r="Z454" i="7"/>
  <c r="AA454" i="7" s="1"/>
  <c r="T454" i="7"/>
  <c r="BE454" i="7" s="1"/>
  <c r="R454" i="7"/>
  <c r="Q454" i="7" s="1"/>
  <c r="D454" i="7"/>
  <c r="BH453" i="7"/>
  <c r="BG453" i="7"/>
  <c r="AU453" i="7"/>
  <c r="AP453" i="7"/>
  <c r="AK453" i="7"/>
  <c r="AF453" i="7"/>
  <c r="AG453" i="7" s="1"/>
  <c r="Z453" i="7"/>
  <c r="AA453" i="7" s="1"/>
  <c r="T453" i="7"/>
  <c r="BE453" i="7" s="1"/>
  <c r="R453" i="7"/>
  <c r="Q453" i="7" s="1"/>
  <c r="D453" i="7"/>
  <c r="BH452" i="7"/>
  <c r="BG452" i="7"/>
  <c r="AU452" i="7"/>
  <c r="AP452" i="7"/>
  <c r="AK452" i="7"/>
  <c r="AF452" i="7"/>
  <c r="AG452" i="7" s="1"/>
  <c r="Z452" i="7"/>
  <c r="AA452" i="7" s="1"/>
  <c r="T452" i="7"/>
  <c r="BE452" i="7" s="1"/>
  <c r="R452" i="7"/>
  <c r="Q452" i="7" s="1"/>
  <c r="D452" i="7"/>
  <c r="BH451" i="7"/>
  <c r="BG451" i="7"/>
  <c r="AU451" i="7"/>
  <c r="AP451" i="7"/>
  <c r="AK451" i="7"/>
  <c r="AF451" i="7"/>
  <c r="AG451" i="7" s="1"/>
  <c r="Z451" i="7"/>
  <c r="AA451" i="7" s="1"/>
  <c r="T451" i="7"/>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Z449" i="7"/>
  <c r="AA449" i="7" s="1"/>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Z443" i="7"/>
  <c r="AA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Z441" i="7"/>
  <c r="AA441" i="7" s="1"/>
  <c r="T441" i="7"/>
  <c r="BE441" i="7" s="1"/>
  <c r="R441" i="7"/>
  <c r="D441" i="7"/>
  <c r="BI440" i="7"/>
  <c r="BH440" i="7"/>
  <c r="BG440" i="7"/>
  <c r="BF440" i="7"/>
  <c r="BE440" i="7"/>
  <c r="AU440" i="7"/>
  <c r="AP440" i="7"/>
  <c r="AK440" i="7"/>
  <c r="AF440" i="7"/>
  <c r="AG440" i="7" s="1"/>
  <c r="Z440" i="7"/>
  <c r="AA440" i="7" s="1"/>
  <c r="T440" i="7"/>
  <c r="U440" i="7" s="1"/>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F433" i="7"/>
  <c r="AG433" i="7" s="1"/>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AF431" i="7"/>
  <c r="AG431" i="7" s="1"/>
  <c r="Z431" i="7"/>
  <c r="AA431" i="7" s="1"/>
  <c r="T431" i="7"/>
  <c r="R431" i="7"/>
  <c r="D431" i="7"/>
  <c r="BH430" i="7"/>
  <c r="BG430" i="7"/>
  <c r="AU430" i="7"/>
  <c r="AP430" i="7"/>
  <c r="AK430" i="7"/>
  <c r="AF430" i="7"/>
  <c r="AG430" i="7" s="1"/>
  <c r="Z430" i="7"/>
  <c r="AA430" i="7" s="1"/>
  <c r="T430" i="7"/>
  <c r="D430" i="7"/>
  <c r="BH429" i="7"/>
  <c r="BG429" i="7"/>
  <c r="AU429" i="7"/>
  <c r="AP429" i="7"/>
  <c r="AK429" i="7"/>
  <c r="AF429" i="7"/>
  <c r="AG429" i="7" s="1"/>
  <c r="Z429" i="7"/>
  <c r="AA429" i="7" s="1"/>
  <c r="T429" i="7"/>
  <c r="BE429" i="7" s="1"/>
  <c r="R429" i="7"/>
  <c r="D429" i="7"/>
  <c r="BH428" i="7"/>
  <c r="BG428" i="7"/>
  <c r="AU428" i="7"/>
  <c r="AP428" i="7"/>
  <c r="AK428" i="7"/>
  <c r="AF428" i="7"/>
  <c r="AG428" i="7" s="1"/>
  <c r="Z428" i="7"/>
  <c r="AA428" i="7" s="1"/>
  <c r="T428" i="7"/>
  <c r="R428" i="7"/>
  <c r="D428" i="7"/>
  <c r="BH427" i="7"/>
  <c r="BG427" i="7"/>
  <c r="AU427" i="7"/>
  <c r="AP427" i="7"/>
  <c r="AK427" i="7"/>
  <c r="AF427" i="7"/>
  <c r="AG427" i="7" s="1"/>
  <c r="Z427" i="7"/>
  <c r="AA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Z423" i="7"/>
  <c r="AA423" i="7" s="1"/>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F419" i="7"/>
  <c r="AG419" i="7" s="1"/>
  <c r="AD419" i="7"/>
  <c r="AC419" i="7"/>
  <c r="Z419" i="7"/>
  <c r="AA419" i="7" s="1"/>
  <c r="T419" i="7"/>
  <c r="U419" i="7" s="1"/>
  <c r="R419" i="7"/>
  <c r="Q419" i="7" s="1"/>
  <c r="D419" i="7"/>
  <c r="BG418" i="7"/>
  <c r="AU418" i="7"/>
  <c r="AP418" i="7"/>
  <c r="AK418" i="7"/>
  <c r="AF418" i="7"/>
  <c r="AG418" i="7" s="1"/>
  <c r="AD418" i="7"/>
  <c r="AC418" i="7"/>
  <c r="Z418" i="7"/>
  <c r="AA418" i="7" s="1"/>
  <c r="T418" i="7"/>
  <c r="U418" i="7" s="1"/>
  <c r="R418" i="7"/>
  <c r="Q418" i="7" s="1"/>
  <c r="D418" i="7"/>
  <c r="BH417" i="7"/>
  <c r="BG417" i="7"/>
  <c r="AU417" i="7"/>
  <c r="AP417" i="7"/>
  <c r="AK417" i="7"/>
  <c r="AF417" i="7"/>
  <c r="AG417" i="7" s="1"/>
  <c r="Z417" i="7"/>
  <c r="AA417" i="7" s="1"/>
  <c r="T417" i="7"/>
  <c r="U417" i="7" s="1"/>
  <c r="R417" i="7"/>
  <c r="Q417" i="7" s="1"/>
  <c r="D417" i="7"/>
  <c r="BH416" i="7"/>
  <c r="BG416" i="7"/>
  <c r="AU416" i="7"/>
  <c r="AP416" i="7"/>
  <c r="AK416" i="7"/>
  <c r="AF416" i="7"/>
  <c r="AG416" i="7" s="1"/>
  <c r="Z416" i="7"/>
  <c r="AA416" i="7" s="1"/>
  <c r="T416" i="7"/>
  <c r="U416" i="7" s="1"/>
  <c r="R416" i="7"/>
  <c r="Q416" i="7" s="1"/>
  <c r="D416" i="7"/>
  <c r="BH415" i="7"/>
  <c r="BG415" i="7"/>
  <c r="AU415" i="7"/>
  <c r="AP415" i="7"/>
  <c r="AK415" i="7"/>
  <c r="AF415" i="7"/>
  <c r="AG415" i="7" s="1"/>
  <c r="Z415" i="7"/>
  <c r="AA415" i="7" s="1"/>
  <c r="T415" i="7"/>
  <c r="BE415" i="7" s="1"/>
  <c r="R415" i="7"/>
  <c r="Q415" i="7" s="1"/>
  <c r="D415" i="7"/>
  <c r="BH414" i="7"/>
  <c r="BG414" i="7"/>
  <c r="AU414" i="7"/>
  <c r="AP414" i="7"/>
  <c r="AK414" i="7"/>
  <c r="AF414" i="7"/>
  <c r="AG414" i="7" s="1"/>
  <c r="Z414" i="7"/>
  <c r="AA414" i="7" s="1"/>
  <c r="T414" i="7"/>
  <c r="BE414" i="7" s="1"/>
  <c r="R414" i="7"/>
  <c r="Q414" i="7" s="1"/>
  <c r="D414" i="7"/>
  <c r="BH413" i="7"/>
  <c r="BG413" i="7"/>
  <c r="AU413" i="7"/>
  <c r="AP413" i="7"/>
  <c r="AK413" i="7"/>
  <c r="AF413" i="7"/>
  <c r="AG413" i="7" s="1"/>
  <c r="Z413" i="7"/>
  <c r="AA413" i="7" s="1"/>
  <c r="T413" i="7"/>
  <c r="U413" i="7" s="1"/>
  <c r="R413" i="7"/>
  <c r="Q413" i="7" s="1"/>
  <c r="D413" i="7"/>
  <c r="BH412" i="7"/>
  <c r="BG412" i="7"/>
  <c r="AU412" i="7"/>
  <c r="AP412" i="7"/>
  <c r="AK412" i="7"/>
  <c r="AF412" i="7"/>
  <c r="AG412" i="7" s="1"/>
  <c r="Z412" i="7"/>
  <c r="AA412" i="7" s="1"/>
  <c r="T412" i="7"/>
  <c r="U412" i="7" s="1"/>
  <c r="R412" i="7"/>
  <c r="Q412" i="7" s="1"/>
  <c r="D412" i="7"/>
  <c r="BH411" i="7"/>
  <c r="BG411" i="7"/>
  <c r="AU411" i="7"/>
  <c r="AP411" i="7"/>
  <c r="AK411" i="7"/>
  <c r="AF411" i="7"/>
  <c r="AG411" i="7" s="1"/>
  <c r="Z411" i="7"/>
  <c r="AA411" i="7" s="1"/>
  <c r="T411" i="7"/>
  <c r="R411" i="7"/>
  <c r="D411" i="7"/>
  <c r="BH410" i="7"/>
  <c r="BG410" i="7"/>
  <c r="AU410" i="7"/>
  <c r="AP410" i="7"/>
  <c r="AK410" i="7"/>
  <c r="AF410" i="7"/>
  <c r="AG410" i="7" s="1"/>
  <c r="Z410" i="7"/>
  <c r="AA410" i="7" s="1"/>
  <c r="T410" i="7"/>
  <c r="U410" i="7" s="1"/>
  <c r="R410" i="7"/>
  <c r="Q410" i="7" s="1"/>
  <c r="D410" i="7"/>
  <c r="BH409" i="7"/>
  <c r="BG409" i="7"/>
  <c r="AU409" i="7"/>
  <c r="AP409" i="7"/>
  <c r="AK409" i="7"/>
  <c r="AF409" i="7"/>
  <c r="AG409" i="7" s="1"/>
  <c r="Z409" i="7"/>
  <c r="AA409" i="7" s="1"/>
  <c r="T409" i="7"/>
  <c r="U409" i="7" s="1"/>
  <c r="R409" i="7"/>
  <c r="Q409" i="7" s="1"/>
  <c r="D409" i="7"/>
  <c r="BH408" i="7"/>
  <c r="BG408" i="7"/>
  <c r="AU408" i="7"/>
  <c r="AP408" i="7"/>
  <c r="AK408" i="7"/>
  <c r="AF408" i="7"/>
  <c r="AG408" i="7" s="1"/>
  <c r="Z408" i="7"/>
  <c r="AA408" i="7" s="1"/>
  <c r="T408" i="7"/>
  <c r="U408" i="7" s="1"/>
  <c r="R408" i="7"/>
  <c r="Q408" i="7" s="1"/>
  <c r="D408" i="7"/>
  <c r="BH407" i="7"/>
  <c r="BG407" i="7"/>
  <c r="AU407" i="7"/>
  <c r="AP407" i="7"/>
  <c r="AK407" i="7"/>
  <c r="AF407" i="7"/>
  <c r="AG407" i="7" s="1"/>
  <c r="Z407" i="7"/>
  <c r="AA407" i="7" s="1"/>
  <c r="T407" i="7"/>
  <c r="U407" i="7" s="1"/>
  <c r="R407" i="7"/>
  <c r="Q407" i="7" s="1"/>
  <c r="D407" i="7"/>
  <c r="BH406" i="7"/>
  <c r="BG406" i="7"/>
  <c r="AU406" i="7"/>
  <c r="AP406" i="7"/>
  <c r="AK406" i="7"/>
  <c r="AF406" i="7"/>
  <c r="AG406" i="7" s="1"/>
  <c r="Z406" i="7"/>
  <c r="AA406" i="7" s="1"/>
  <c r="T406" i="7"/>
  <c r="R406" i="7"/>
  <c r="Q406" i="7" s="1"/>
  <c r="D406" i="7"/>
  <c r="BG405" i="7"/>
  <c r="AU405" i="7"/>
  <c r="AP405" i="7"/>
  <c r="AK405" i="7"/>
  <c r="AF405" i="7"/>
  <c r="AG405" i="7" s="1"/>
  <c r="AD405" i="7"/>
  <c r="AC405" i="7"/>
  <c r="Z405" i="7"/>
  <c r="AA405" i="7" s="1"/>
  <c r="T405" i="7"/>
  <c r="U405" i="7" s="1"/>
  <c r="R405" i="7"/>
  <c r="Q405" i="7" s="1"/>
  <c r="D405" i="7"/>
  <c r="BG404" i="7"/>
  <c r="AU404" i="7"/>
  <c r="AP404" i="7"/>
  <c r="AK404" i="7"/>
  <c r="AF404" i="7"/>
  <c r="AG404" i="7" s="1"/>
  <c r="AD404" i="7"/>
  <c r="AC404" i="7"/>
  <c r="BH404" i="7" s="1"/>
  <c r="Z404" i="7"/>
  <c r="AA404" i="7" s="1"/>
  <c r="T404" i="7"/>
  <c r="U404" i="7" s="1"/>
  <c r="R404" i="7"/>
  <c r="D404" i="7"/>
  <c r="BH403" i="7"/>
  <c r="BG403" i="7"/>
  <c r="AU403" i="7"/>
  <c r="AP403" i="7"/>
  <c r="AK403" i="7"/>
  <c r="AF403" i="7"/>
  <c r="AG403" i="7" s="1"/>
  <c r="Z403" i="7"/>
  <c r="AA403" i="7" s="1"/>
  <c r="T403" i="7"/>
  <c r="U403" i="7" s="1"/>
  <c r="R403" i="7"/>
  <c r="Q403" i="7" s="1"/>
  <c r="D403" i="7"/>
  <c r="BH402" i="7"/>
  <c r="BG402" i="7"/>
  <c r="AU402" i="7"/>
  <c r="AP402" i="7"/>
  <c r="AK402" i="7"/>
  <c r="AF402" i="7"/>
  <c r="AG402" i="7" s="1"/>
  <c r="Z402" i="7"/>
  <c r="AA402" i="7" s="1"/>
  <c r="T402" i="7"/>
  <c r="BE402" i="7" s="1"/>
  <c r="R402" i="7"/>
  <c r="Q402" i="7" s="1"/>
  <c r="D402" i="7"/>
  <c r="BH401" i="7"/>
  <c r="BG401" i="7"/>
  <c r="AU401" i="7"/>
  <c r="AP401" i="7"/>
  <c r="AK401" i="7"/>
  <c r="AF401" i="7"/>
  <c r="AG401" i="7" s="1"/>
  <c r="Z401" i="7"/>
  <c r="AA401" i="7" s="1"/>
  <c r="T401" i="7"/>
  <c r="U401" i="7" s="1"/>
  <c r="R401" i="7"/>
  <c r="Q401" i="7" s="1"/>
  <c r="D401" i="7"/>
  <c r="BH400" i="7"/>
  <c r="BG400" i="7"/>
  <c r="AU400" i="7"/>
  <c r="AP400" i="7"/>
  <c r="AK400" i="7"/>
  <c r="AF400" i="7"/>
  <c r="AG400" i="7" s="1"/>
  <c r="Z400" i="7"/>
  <c r="AA400" i="7" s="1"/>
  <c r="T400" i="7"/>
  <c r="BE400" i="7" s="1"/>
  <c r="R400" i="7"/>
  <c r="D400" i="7"/>
  <c r="BH399" i="7"/>
  <c r="BG399" i="7"/>
  <c r="AU399" i="7"/>
  <c r="AP399" i="7"/>
  <c r="AK399" i="7"/>
  <c r="AF399" i="7"/>
  <c r="AG399" i="7" s="1"/>
  <c r="Z399" i="7"/>
  <c r="AA399" i="7" s="1"/>
  <c r="T399" i="7"/>
  <c r="BE399" i="7" s="1"/>
  <c r="R399" i="7"/>
  <c r="Q399" i="7" s="1"/>
  <c r="D399" i="7"/>
  <c r="BH398" i="7"/>
  <c r="BG398" i="7"/>
  <c r="AU398" i="7"/>
  <c r="AP398" i="7"/>
  <c r="AK398" i="7"/>
  <c r="AF398" i="7"/>
  <c r="AG398" i="7" s="1"/>
  <c r="Z398" i="7"/>
  <c r="AA398" i="7" s="1"/>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F389" i="7"/>
  <c r="AG389" i="7" s="1"/>
  <c r="Z389" i="7"/>
  <c r="AA389" i="7" s="1"/>
  <c r="T389" i="7"/>
  <c r="BE389" i="7" s="1"/>
  <c r="R389" i="7"/>
  <c r="D389" i="7"/>
  <c r="BH388" i="7"/>
  <c r="BG388" i="7"/>
  <c r="AU388" i="7"/>
  <c r="AP388" i="7"/>
  <c r="AK388" i="7"/>
  <c r="AF388" i="7"/>
  <c r="AG388" i="7" s="1"/>
  <c r="Z388" i="7"/>
  <c r="AA388" i="7" s="1"/>
  <c r="T388" i="7"/>
  <c r="BE388" i="7" s="1"/>
  <c r="R388" i="7"/>
  <c r="D388" i="7"/>
  <c r="BH387" i="7"/>
  <c r="BG387" i="7"/>
  <c r="AU387" i="7"/>
  <c r="AP387" i="7"/>
  <c r="AK387" i="7"/>
  <c r="AF387" i="7"/>
  <c r="AG387" i="7" s="1"/>
  <c r="Z387" i="7"/>
  <c r="AA387" i="7" s="1"/>
  <c r="T387" i="7"/>
  <c r="BE387" i="7" s="1"/>
  <c r="R387" i="7"/>
  <c r="Q387" i="7" s="1"/>
  <c r="D387" i="7"/>
  <c r="BH386" i="7"/>
  <c r="BG386" i="7"/>
  <c r="AU386" i="7"/>
  <c r="AP386" i="7"/>
  <c r="AK386" i="7"/>
  <c r="AF386" i="7"/>
  <c r="AG386" i="7" s="1"/>
  <c r="Z386" i="7"/>
  <c r="AA386" i="7" s="1"/>
  <c r="T386" i="7"/>
  <c r="BE386" i="7" s="1"/>
  <c r="R386" i="7"/>
  <c r="Q386" i="7" s="1"/>
  <c r="D386" i="7"/>
  <c r="BH385" i="7"/>
  <c r="BG385" i="7"/>
  <c r="AU385" i="7"/>
  <c r="AP385" i="7"/>
  <c r="AK385" i="7"/>
  <c r="AF385" i="7"/>
  <c r="AG385" i="7" s="1"/>
  <c r="Z385" i="7"/>
  <c r="AA385" i="7" s="1"/>
  <c r="T385" i="7"/>
  <c r="BE385" i="7" s="1"/>
  <c r="R385" i="7"/>
  <c r="Q385" i="7" s="1"/>
  <c r="D385" i="7"/>
  <c r="BH384" i="7"/>
  <c r="BG384" i="7"/>
  <c r="AU384" i="7"/>
  <c r="AP384" i="7"/>
  <c r="AK384" i="7"/>
  <c r="AF384" i="7"/>
  <c r="AG384" i="7" s="1"/>
  <c r="Z384" i="7"/>
  <c r="AA384" i="7" s="1"/>
  <c r="T384" i="7"/>
  <c r="BE384" i="7" s="1"/>
  <c r="D384" i="7"/>
  <c r="BG383" i="7"/>
  <c r="AU383" i="7"/>
  <c r="AP383" i="7"/>
  <c r="AK383" i="7"/>
  <c r="AF383" i="7"/>
  <c r="AG383" i="7" s="1"/>
  <c r="AD383" i="7"/>
  <c r="AC383" i="7"/>
  <c r="Z383" i="7"/>
  <c r="AA383" i="7" s="1"/>
  <c r="T383" i="7"/>
  <c r="BE383" i="7" s="1"/>
  <c r="R383" i="7"/>
  <c r="D383" i="7"/>
  <c r="BH382" i="7"/>
  <c r="BG382" i="7"/>
  <c r="AU382" i="7"/>
  <c r="AP382" i="7"/>
  <c r="AK382" i="7"/>
  <c r="AF382" i="7"/>
  <c r="AG382" i="7" s="1"/>
  <c r="Z382" i="7"/>
  <c r="AA382" i="7" s="1"/>
  <c r="T382" i="7"/>
  <c r="BE382" i="7" s="1"/>
  <c r="R382" i="7"/>
  <c r="Q382" i="7" s="1"/>
  <c r="D382" i="7"/>
  <c r="BH381" i="7"/>
  <c r="BG381" i="7"/>
  <c r="AU381" i="7"/>
  <c r="AP381" i="7"/>
  <c r="AK381" i="7"/>
  <c r="AF381" i="7"/>
  <c r="AG381" i="7" s="1"/>
  <c r="Z381" i="7"/>
  <c r="AA381" i="7" s="1"/>
  <c r="T381" i="7"/>
  <c r="U381" i="7" s="1"/>
  <c r="R381" i="7"/>
  <c r="Q381" i="7" s="1"/>
  <c r="D381" i="7"/>
  <c r="BH380" i="7"/>
  <c r="BG380" i="7"/>
  <c r="AU380" i="7"/>
  <c r="AP380" i="7"/>
  <c r="AK380" i="7"/>
  <c r="AF380" i="7"/>
  <c r="AG380" i="7" s="1"/>
  <c r="Z380" i="7"/>
  <c r="AA380" i="7" s="1"/>
  <c r="T380" i="7"/>
  <c r="BE380" i="7" s="1"/>
  <c r="R380" i="7"/>
  <c r="Q380" i="7" s="1"/>
  <c r="D380" i="7"/>
  <c r="BG379" i="7"/>
  <c r="AU379" i="7"/>
  <c r="AP379" i="7"/>
  <c r="AK379" i="7"/>
  <c r="AF379" i="7"/>
  <c r="AG379" i="7" s="1"/>
  <c r="AD379" i="7"/>
  <c r="AC379" i="7"/>
  <c r="Z379" i="7"/>
  <c r="AA379" i="7" s="1"/>
  <c r="T379" i="7"/>
  <c r="U379" i="7" s="1"/>
  <c r="R379" i="7"/>
  <c r="Q379" i="7" s="1"/>
  <c r="D379" i="7"/>
  <c r="BH378" i="7"/>
  <c r="BG378" i="7"/>
  <c r="AU378" i="7"/>
  <c r="AP378" i="7"/>
  <c r="AK378" i="7"/>
  <c r="AF378" i="7"/>
  <c r="AG378" i="7" s="1"/>
  <c r="Z378" i="7"/>
  <c r="AA378" i="7" s="1"/>
  <c r="T378" i="7"/>
  <c r="BE378" i="7" s="1"/>
  <c r="R378" i="7"/>
  <c r="D378" i="7"/>
  <c r="BH377" i="7"/>
  <c r="BG377" i="7"/>
  <c r="AU377" i="7"/>
  <c r="AP377" i="7"/>
  <c r="AK377" i="7"/>
  <c r="AF377" i="7"/>
  <c r="AG377" i="7" s="1"/>
  <c r="Z377" i="7"/>
  <c r="AA377" i="7" s="1"/>
  <c r="T377" i="7"/>
  <c r="U377" i="7" s="1"/>
  <c r="R377" i="7"/>
  <c r="D377" i="7"/>
  <c r="BH376" i="7"/>
  <c r="BG376" i="7"/>
  <c r="AU376" i="7"/>
  <c r="AP376" i="7"/>
  <c r="AK376" i="7"/>
  <c r="AF376" i="7"/>
  <c r="AG376" i="7" s="1"/>
  <c r="Z376" i="7"/>
  <c r="AA376" i="7" s="1"/>
  <c r="T376" i="7"/>
  <c r="U376" i="7" s="1"/>
  <c r="R376" i="7"/>
  <c r="Q376" i="7" s="1"/>
  <c r="D376" i="7"/>
  <c r="BH375" i="7"/>
  <c r="BG375" i="7"/>
  <c r="AU375" i="7"/>
  <c r="AP375" i="7"/>
  <c r="AK375" i="7"/>
  <c r="AF375" i="7"/>
  <c r="AG375" i="7" s="1"/>
  <c r="Z375" i="7"/>
  <c r="AA375" i="7" s="1"/>
  <c r="T375" i="7"/>
  <c r="R375" i="7"/>
  <c r="Q375" i="7" s="1"/>
  <c r="D375" i="7"/>
  <c r="BH374" i="7"/>
  <c r="BG374" i="7"/>
  <c r="AU374" i="7"/>
  <c r="AP374" i="7"/>
  <c r="AK374" i="7"/>
  <c r="AF374" i="7"/>
  <c r="AG374" i="7" s="1"/>
  <c r="Z374" i="7"/>
  <c r="AA374" i="7" s="1"/>
  <c r="T374" i="7"/>
  <c r="BE374" i="7" s="1"/>
  <c r="R374" i="7"/>
  <c r="Q374" i="7" s="1"/>
  <c r="D374" i="7"/>
  <c r="BH373" i="7"/>
  <c r="BG373" i="7"/>
  <c r="AU373" i="7"/>
  <c r="AP373" i="7"/>
  <c r="AK373" i="7"/>
  <c r="AF373" i="7"/>
  <c r="AG373" i="7" s="1"/>
  <c r="Z373" i="7"/>
  <c r="AA373" i="7" s="1"/>
  <c r="T373" i="7"/>
  <c r="U373" i="7" s="1"/>
  <c r="R373" i="7"/>
  <c r="Q373" i="7" s="1"/>
  <c r="D373" i="7"/>
  <c r="BH372" i="7"/>
  <c r="BG372" i="7"/>
  <c r="AU372" i="7"/>
  <c r="AP372" i="7"/>
  <c r="AK372" i="7"/>
  <c r="AF372" i="7"/>
  <c r="AG372" i="7" s="1"/>
  <c r="Z372" i="7"/>
  <c r="AA372" i="7" s="1"/>
  <c r="T372" i="7"/>
  <c r="BE372" i="7" s="1"/>
  <c r="R372" i="7"/>
  <c r="Q372" i="7" s="1"/>
  <c r="D372" i="7"/>
  <c r="BH371" i="7"/>
  <c r="BG371" i="7"/>
  <c r="AU371" i="7"/>
  <c r="AP371" i="7"/>
  <c r="AK371" i="7"/>
  <c r="AF371" i="7"/>
  <c r="AG371" i="7" s="1"/>
  <c r="Z371" i="7"/>
  <c r="AA371" i="7" s="1"/>
  <c r="T371" i="7"/>
  <c r="BE371" i="7" s="1"/>
  <c r="R371" i="7"/>
  <c r="D371" i="7"/>
  <c r="BH370" i="7"/>
  <c r="BG370" i="7"/>
  <c r="AU370" i="7"/>
  <c r="AP370" i="7"/>
  <c r="AK370" i="7"/>
  <c r="AF370" i="7"/>
  <c r="AG370" i="7" s="1"/>
  <c r="Z370" i="7"/>
  <c r="AA370" i="7" s="1"/>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F367" i="7"/>
  <c r="AG367" i="7" s="1"/>
  <c r="Z367" i="7"/>
  <c r="AA367" i="7" s="1"/>
  <c r="T367" i="7"/>
  <c r="R367" i="7"/>
  <c r="Q367" i="7" s="1"/>
  <c r="D367" i="7"/>
  <c r="BH366" i="7"/>
  <c r="BG366" i="7"/>
  <c r="AU366" i="7"/>
  <c r="AP366" i="7"/>
  <c r="AK366" i="7"/>
  <c r="AF366" i="7"/>
  <c r="AG366" i="7" s="1"/>
  <c r="Z366" i="7"/>
  <c r="AA366" i="7" s="1"/>
  <c r="T366" i="7"/>
  <c r="R366" i="7"/>
  <c r="D366" i="7"/>
  <c r="BH365" i="7"/>
  <c r="BG365" i="7"/>
  <c r="AU365" i="7"/>
  <c r="AP365" i="7"/>
  <c r="AK365" i="7"/>
  <c r="AF365" i="7"/>
  <c r="AG365" i="7" s="1"/>
  <c r="Z365" i="7"/>
  <c r="AA365" i="7" s="1"/>
  <c r="T365" i="7"/>
  <c r="BE365" i="7" s="1"/>
  <c r="R365" i="7"/>
  <c r="Q365" i="7" s="1"/>
  <c r="D365" i="7"/>
  <c r="BH364" i="7"/>
  <c r="BG364" i="7"/>
  <c r="AU364" i="7"/>
  <c r="AP364" i="7"/>
  <c r="AK364" i="7"/>
  <c r="AF364" i="7"/>
  <c r="AG364" i="7" s="1"/>
  <c r="Z364" i="7"/>
  <c r="AA364" i="7" s="1"/>
  <c r="T364" i="7"/>
  <c r="BE364" i="7" s="1"/>
  <c r="R364" i="7"/>
  <c r="Q364" i="7" s="1"/>
  <c r="D364" i="7"/>
  <c r="BH363" i="7"/>
  <c r="BG363" i="7"/>
  <c r="AU363" i="7"/>
  <c r="AP363" i="7"/>
  <c r="AK363" i="7"/>
  <c r="AF363" i="7"/>
  <c r="AG363" i="7" s="1"/>
  <c r="Z363" i="7"/>
  <c r="AA363" i="7" s="1"/>
  <c r="T363" i="7"/>
  <c r="R363" i="7"/>
  <c r="Q363" i="7" s="1"/>
  <c r="D363" i="7"/>
  <c r="BH362" i="7"/>
  <c r="BG362" i="7"/>
  <c r="AU362" i="7"/>
  <c r="AP362" i="7"/>
  <c r="AK362" i="7"/>
  <c r="AF362" i="7"/>
  <c r="AG362" i="7" s="1"/>
  <c r="Z362" i="7"/>
  <c r="AA362" i="7" s="1"/>
  <c r="T362" i="7"/>
  <c r="R362" i="7"/>
  <c r="Q362" i="7" s="1"/>
  <c r="D362" i="7"/>
  <c r="BH361" i="7"/>
  <c r="BG361" i="7"/>
  <c r="AU361" i="7"/>
  <c r="AP361" i="7"/>
  <c r="AK361" i="7"/>
  <c r="AF361" i="7"/>
  <c r="AG361" i="7" s="1"/>
  <c r="Z361" i="7"/>
  <c r="AA361" i="7" s="1"/>
  <c r="T361" i="7"/>
  <c r="BE361" i="7" s="1"/>
  <c r="R361" i="7"/>
  <c r="Q361" i="7" s="1"/>
  <c r="D361" i="7"/>
  <c r="BH360" i="7"/>
  <c r="BG360" i="7"/>
  <c r="AU360" i="7"/>
  <c r="AP360" i="7"/>
  <c r="AK360" i="7"/>
  <c r="AF360" i="7"/>
  <c r="AG360" i="7" s="1"/>
  <c r="Z360" i="7"/>
  <c r="AA360" i="7" s="1"/>
  <c r="T360" i="7"/>
  <c r="BE360" i="7" s="1"/>
  <c r="R360" i="7"/>
  <c r="Q360" i="7" s="1"/>
  <c r="D360" i="7"/>
  <c r="BH359" i="7"/>
  <c r="BG359" i="7"/>
  <c r="AU359" i="7"/>
  <c r="AP359" i="7"/>
  <c r="AK359" i="7"/>
  <c r="AF359" i="7"/>
  <c r="AG359" i="7" s="1"/>
  <c r="Z359" i="7"/>
  <c r="AA359" i="7" s="1"/>
  <c r="T359" i="7"/>
  <c r="BE359" i="7" s="1"/>
  <c r="R359" i="7"/>
  <c r="Q359" i="7" s="1"/>
  <c r="D359" i="7"/>
  <c r="BH358" i="7"/>
  <c r="BG358" i="7"/>
  <c r="AU358" i="7"/>
  <c r="AP358" i="7"/>
  <c r="AK358" i="7"/>
  <c r="AF358" i="7"/>
  <c r="AG358" i="7" s="1"/>
  <c r="Z358" i="7"/>
  <c r="AA358" i="7" s="1"/>
  <c r="T358" i="7"/>
  <c r="BE358" i="7" s="1"/>
  <c r="R358" i="7"/>
  <c r="Q358" i="7" s="1"/>
  <c r="D358" i="7"/>
  <c r="BH357" i="7"/>
  <c r="BG357" i="7"/>
  <c r="AU357" i="7"/>
  <c r="AP357" i="7"/>
  <c r="AK357" i="7"/>
  <c r="AF357" i="7"/>
  <c r="AG357" i="7" s="1"/>
  <c r="Z357" i="7"/>
  <c r="AA357" i="7" s="1"/>
  <c r="T357" i="7"/>
  <c r="U357" i="7" s="1"/>
  <c r="R357" i="7"/>
  <c r="Q357" i="7" s="1"/>
  <c r="D357" i="7"/>
  <c r="BH356" i="7"/>
  <c r="BG356" i="7"/>
  <c r="AU356" i="7"/>
  <c r="AP356" i="7"/>
  <c r="AK356" i="7"/>
  <c r="AF356" i="7"/>
  <c r="AG356" i="7" s="1"/>
  <c r="Z356" i="7"/>
  <c r="AA356" i="7" s="1"/>
  <c r="T356" i="7"/>
  <c r="BE356" i="7" s="1"/>
  <c r="R356" i="7"/>
  <c r="Q356" i="7" s="1"/>
  <c r="D356" i="7"/>
  <c r="BH355" i="7"/>
  <c r="BG355" i="7"/>
  <c r="AU355" i="7"/>
  <c r="AP355" i="7"/>
  <c r="AK355" i="7"/>
  <c r="AF355" i="7"/>
  <c r="AG355" i="7" s="1"/>
  <c r="Z355" i="7"/>
  <c r="AA355" i="7" s="1"/>
  <c r="T355" i="7"/>
  <c r="BE355" i="7" s="1"/>
  <c r="R355" i="7"/>
  <c r="Q355" i="7" s="1"/>
  <c r="D355" i="7"/>
  <c r="BH354" i="7"/>
  <c r="BG354" i="7"/>
  <c r="AU354" i="7"/>
  <c r="AP354" i="7"/>
  <c r="AK354" i="7"/>
  <c r="AF354" i="7"/>
  <c r="AG354" i="7" s="1"/>
  <c r="Z354" i="7"/>
  <c r="AA354" i="7" s="1"/>
  <c r="T354" i="7"/>
  <c r="BE354" i="7" s="1"/>
  <c r="R354" i="7"/>
  <c r="Q354" i="7" s="1"/>
  <c r="D354" i="7"/>
  <c r="BH353" i="7"/>
  <c r="BG353" i="7"/>
  <c r="AU353" i="7"/>
  <c r="AP353" i="7"/>
  <c r="AK353" i="7"/>
  <c r="AF353" i="7"/>
  <c r="AG353" i="7" s="1"/>
  <c r="Z353" i="7"/>
  <c r="AA353" i="7" s="1"/>
  <c r="T353" i="7"/>
  <c r="U353" i="7" s="1"/>
  <c r="R353" i="7"/>
  <c r="Q353" i="7" s="1"/>
  <c r="D353" i="7"/>
  <c r="BH352" i="7"/>
  <c r="BG352" i="7"/>
  <c r="AU352" i="7"/>
  <c r="AP352" i="7"/>
  <c r="AK352" i="7"/>
  <c r="AF352" i="7"/>
  <c r="AG352" i="7" s="1"/>
  <c r="Z352" i="7"/>
  <c r="AA352" i="7" s="1"/>
  <c r="T352" i="7"/>
  <c r="U352" i="7" s="1"/>
  <c r="R352" i="7"/>
  <c r="Q352" i="7" s="1"/>
  <c r="D352" i="7"/>
  <c r="BH351" i="7"/>
  <c r="BG351" i="7"/>
  <c r="AU351" i="7"/>
  <c r="AP351" i="7"/>
  <c r="AK351" i="7"/>
  <c r="AF351" i="7"/>
  <c r="AG351" i="7" s="1"/>
  <c r="Z351" i="7"/>
  <c r="AA351" i="7" s="1"/>
  <c r="T351" i="7"/>
  <c r="U351" i="7" s="1"/>
  <c r="R351" i="7"/>
  <c r="Q351" i="7" s="1"/>
  <c r="D351" i="7"/>
  <c r="BH350" i="7"/>
  <c r="BG350" i="7"/>
  <c r="AU350" i="7"/>
  <c r="AP350" i="7"/>
  <c r="AK350" i="7"/>
  <c r="AF350" i="7"/>
  <c r="AG350" i="7" s="1"/>
  <c r="Z350" i="7"/>
  <c r="AA350" i="7" s="1"/>
  <c r="T350" i="7"/>
  <c r="BE350" i="7" s="1"/>
  <c r="R350" i="7"/>
  <c r="D350" i="7"/>
  <c r="BH349" i="7"/>
  <c r="BG349" i="7"/>
  <c r="AU349" i="7"/>
  <c r="AP349" i="7"/>
  <c r="AK349" i="7"/>
  <c r="AF349" i="7"/>
  <c r="AG349" i="7" s="1"/>
  <c r="Z349" i="7"/>
  <c r="AA349" i="7" s="1"/>
  <c r="T349" i="7"/>
  <c r="BE349" i="7" s="1"/>
  <c r="R349" i="7"/>
  <c r="Q349" i="7" s="1"/>
  <c r="D349" i="7"/>
  <c r="BH348" i="7"/>
  <c r="BG348" i="7"/>
  <c r="AU348" i="7"/>
  <c r="AP348" i="7"/>
  <c r="AK348" i="7"/>
  <c r="AF348" i="7"/>
  <c r="AG348" i="7" s="1"/>
  <c r="Z348" i="7"/>
  <c r="AA348" i="7" s="1"/>
  <c r="T348" i="7"/>
  <c r="U348" i="7" s="1"/>
  <c r="R348" i="7"/>
  <c r="Q348" i="7" s="1"/>
  <c r="D348" i="7"/>
  <c r="BH347" i="7"/>
  <c r="BG347" i="7"/>
  <c r="AU347" i="7"/>
  <c r="AP347" i="7"/>
  <c r="AK347" i="7"/>
  <c r="AF347" i="7"/>
  <c r="AG347" i="7" s="1"/>
  <c r="Z347" i="7"/>
  <c r="AA347" i="7" s="1"/>
  <c r="T347" i="7"/>
  <c r="R347" i="7"/>
  <c r="Q347" i="7" s="1"/>
  <c r="D347" i="7"/>
  <c r="BH346" i="7"/>
  <c r="BG346" i="7"/>
  <c r="AU346" i="7"/>
  <c r="AP346" i="7"/>
  <c r="AK346" i="7"/>
  <c r="AF346" i="7"/>
  <c r="AG346" i="7" s="1"/>
  <c r="Z346" i="7"/>
  <c r="AA346" i="7" s="1"/>
  <c r="T346" i="7"/>
  <c r="U346" i="7" s="1"/>
  <c r="R346" i="7"/>
  <c r="Q346" i="7" s="1"/>
  <c r="D346" i="7"/>
  <c r="BG345" i="7"/>
  <c r="AU345" i="7"/>
  <c r="AP345" i="7"/>
  <c r="AK345" i="7"/>
  <c r="AF345" i="7"/>
  <c r="AG345" i="7" s="1"/>
  <c r="AD345" i="7"/>
  <c r="AC345" i="7"/>
  <c r="Z345" i="7"/>
  <c r="AA345" i="7" s="1"/>
  <c r="T345" i="7"/>
  <c r="BE345" i="7" s="1"/>
  <c r="R345" i="7"/>
  <c r="Q345" i="7" s="1"/>
  <c r="D345" i="7"/>
  <c r="BG344" i="7"/>
  <c r="AU344" i="7"/>
  <c r="AP344" i="7"/>
  <c r="AK344" i="7"/>
  <c r="AF344" i="7"/>
  <c r="AG344" i="7" s="1"/>
  <c r="AD344" i="7"/>
  <c r="AC344" i="7"/>
  <c r="Z344" i="7"/>
  <c r="AA344" i="7" s="1"/>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F335" i="7"/>
  <c r="AG335" i="7" s="1"/>
  <c r="Z335" i="7"/>
  <c r="AA335" i="7" s="1"/>
  <c r="T335" i="7"/>
  <c r="U335" i="7" s="1"/>
  <c r="D335" i="7"/>
  <c r="BH334" i="7"/>
  <c r="BG334" i="7"/>
  <c r="AU334" i="7"/>
  <c r="AP334" i="7"/>
  <c r="AK334" i="7"/>
  <c r="AF334" i="7"/>
  <c r="AG334" i="7" s="1"/>
  <c r="Z334" i="7"/>
  <c r="AA334" i="7" s="1"/>
  <c r="T334" i="7"/>
  <c r="U334" i="7" s="1"/>
  <c r="R334" i="7"/>
  <c r="Q334" i="7" s="1"/>
  <c r="D334" i="7"/>
  <c r="BH333" i="7"/>
  <c r="BG333" i="7"/>
  <c r="AU333" i="7"/>
  <c r="AP333" i="7"/>
  <c r="AK333" i="7"/>
  <c r="AF333" i="7"/>
  <c r="AG333" i="7" s="1"/>
  <c r="Z333" i="7"/>
  <c r="AA333" i="7" s="1"/>
  <c r="T333" i="7"/>
  <c r="U333" i="7" s="1"/>
  <c r="R333" i="7"/>
  <c r="Q333" i="7" s="1"/>
  <c r="D333" i="7"/>
  <c r="BH332" i="7"/>
  <c r="BG332" i="7"/>
  <c r="AU332" i="7"/>
  <c r="AP332" i="7"/>
  <c r="AK332" i="7"/>
  <c r="AF332" i="7"/>
  <c r="AG332" i="7" s="1"/>
  <c r="Z332" i="7"/>
  <c r="AA332" i="7" s="1"/>
  <c r="T332" i="7"/>
  <c r="R332" i="7"/>
  <c r="Q332" i="7" s="1"/>
  <c r="D332" i="7"/>
  <c r="BH331" i="7"/>
  <c r="BG331" i="7"/>
  <c r="AU331" i="7"/>
  <c r="AP331" i="7"/>
  <c r="AK331" i="7"/>
  <c r="AF331" i="7"/>
  <c r="AG331" i="7" s="1"/>
  <c r="Z331" i="7"/>
  <c r="AA331" i="7" s="1"/>
  <c r="T331" i="7"/>
  <c r="BE331" i="7" s="1"/>
  <c r="R331" i="7"/>
  <c r="Q331" i="7" s="1"/>
  <c r="D331" i="7"/>
  <c r="BH330" i="7"/>
  <c r="BG330" i="7"/>
  <c r="AU330" i="7"/>
  <c r="AP330" i="7"/>
  <c r="AK330" i="7"/>
  <c r="AF330" i="7"/>
  <c r="AG330" i="7" s="1"/>
  <c r="Z330" i="7"/>
  <c r="T330" i="7"/>
  <c r="U330" i="7" s="1"/>
  <c r="R330" i="7"/>
  <c r="Q330" i="7" s="1"/>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F325" i="7"/>
  <c r="AG325" i="7" s="1"/>
  <c r="Z325" i="7"/>
  <c r="AA325" i="7" s="1"/>
  <c r="T325" i="7"/>
  <c r="BE325" i="7" s="1"/>
  <c r="R325" i="7"/>
  <c r="Q325" i="7" s="1"/>
  <c r="D325" i="7"/>
  <c r="BH324" i="7"/>
  <c r="BG324" i="7"/>
  <c r="AU324" i="7"/>
  <c r="AP324" i="7"/>
  <c r="AK324" i="7"/>
  <c r="AF324" i="7"/>
  <c r="AG324" i="7" s="1"/>
  <c r="Z324" i="7"/>
  <c r="AA324" i="7" s="1"/>
  <c r="T324" i="7"/>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Q321" i="7" s="1"/>
  <c r="D321" i="7"/>
  <c r="BH320" i="7"/>
  <c r="BG320" i="7"/>
  <c r="AU320" i="7"/>
  <c r="AP320" i="7"/>
  <c r="AK320" i="7"/>
  <c r="AF320" i="7"/>
  <c r="AG320" i="7" s="1"/>
  <c r="Z320" i="7"/>
  <c r="AA320" i="7" s="1"/>
  <c r="T320" i="7"/>
  <c r="U320" i="7" s="1"/>
  <c r="R320" i="7"/>
  <c r="Q320" i="7" s="1"/>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Q318" i="7" s="1"/>
  <c r="D318" i="7"/>
  <c r="BH317" i="7"/>
  <c r="BG317" i="7"/>
  <c r="AU317" i="7"/>
  <c r="AP317" i="7"/>
  <c r="AK317" i="7"/>
  <c r="AF317" i="7"/>
  <c r="AG317" i="7" s="1"/>
  <c r="Z317" i="7"/>
  <c r="AA317" i="7" s="1"/>
  <c r="T317" i="7"/>
  <c r="BE317" i="7" s="1"/>
  <c r="R317" i="7"/>
  <c r="Q317" i="7" s="1"/>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Q314" i="7" s="1"/>
  <c r="D314" i="7"/>
  <c r="BH313" i="7"/>
  <c r="BG313" i="7"/>
  <c r="AU313" i="7"/>
  <c r="AP313" i="7"/>
  <c r="AK313" i="7"/>
  <c r="AF313" i="7"/>
  <c r="AG313" i="7" s="1"/>
  <c r="Z313" i="7"/>
  <c r="AA313" i="7" s="1"/>
  <c r="T313" i="7"/>
  <c r="BE313" i="7" s="1"/>
  <c r="R313" i="7"/>
  <c r="Q313" i="7" s="1"/>
  <c r="D313" i="7"/>
  <c r="BH312" i="7"/>
  <c r="BG312" i="7"/>
  <c r="AU312" i="7"/>
  <c r="AP312" i="7"/>
  <c r="AK312" i="7"/>
  <c r="AF312" i="7"/>
  <c r="AG312" i="7" s="1"/>
  <c r="Z312" i="7"/>
  <c r="AA312" i="7" s="1"/>
  <c r="T312" i="7"/>
  <c r="U312" i="7" s="1"/>
  <c r="R312" i="7"/>
  <c r="Q312" i="7" s="1"/>
  <c r="D312" i="7"/>
  <c r="BH311" i="7"/>
  <c r="BG311" i="7"/>
  <c r="AU311" i="7"/>
  <c r="AP311" i="7"/>
  <c r="AK311" i="7"/>
  <c r="AF311" i="7"/>
  <c r="AG311" i="7" s="1"/>
  <c r="Z311" i="7"/>
  <c r="AA311" i="7" s="1"/>
  <c r="T311" i="7"/>
  <c r="R311" i="7"/>
  <c r="Q311" i="7" s="1"/>
  <c r="D311" i="7"/>
  <c r="BH310" i="7"/>
  <c r="BG310" i="7"/>
  <c r="AU310" i="7"/>
  <c r="AP310" i="7"/>
  <c r="AK310" i="7"/>
  <c r="AF310" i="7"/>
  <c r="AG310" i="7" s="1"/>
  <c r="Z310" i="7"/>
  <c r="AA310" i="7" s="1"/>
  <c r="T310" i="7"/>
  <c r="BE310" i="7" s="1"/>
  <c r="R310" i="7"/>
  <c r="Q310" i="7" s="1"/>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F304" i="7"/>
  <c r="AG304" i="7" s="1"/>
  <c r="Z304" i="7"/>
  <c r="AA304" i="7" s="1"/>
  <c r="T304" i="7"/>
  <c r="R304" i="7"/>
  <c r="D304" i="7"/>
  <c r="BG303" i="7"/>
  <c r="AU303" i="7"/>
  <c r="AP303" i="7"/>
  <c r="AK303" i="7"/>
  <c r="AF303" i="7"/>
  <c r="AG303" i="7" s="1"/>
  <c r="AD303" i="7"/>
  <c r="AC303" i="7"/>
  <c r="Z303" i="7"/>
  <c r="AA303" i="7" s="1"/>
  <c r="T303" i="7"/>
  <c r="R303" i="7"/>
  <c r="Q303" i="7" s="1"/>
  <c r="D303" i="7"/>
  <c r="BG302" i="7"/>
  <c r="AU302" i="7"/>
  <c r="AP302" i="7"/>
  <c r="AK302" i="7"/>
  <c r="AF302" i="7"/>
  <c r="AG302" i="7" s="1"/>
  <c r="AD302" i="7"/>
  <c r="AC302" i="7"/>
  <c r="BH302" i="7" s="1"/>
  <c r="Z302" i="7"/>
  <c r="AA302" i="7" s="1"/>
  <c r="T302" i="7"/>
  <c r="R302" i="7"/>
  <c r="Q302" i="7" s="1"/>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F292" i="7"/>
  <c r="AG292" i="7" s="1"/>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Z281" i="7"/>
  <c r="AA281" i="7" s="1"/>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Z279" i="7"/>
  <c r="AA279" i="7" s="1"/>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AF264" i="7"/>
  <c r="AG264" i="7" s="1"/>
  <c r="Z264" i="7"/>
  <c r="AA264" i="7" s="1"/>
  <c r="T264" i="7"/>
  <c r="BE264" i="7" s="1"/>
  <c r="R264" i="7"/>
  <c r="Q264" i="7" s="1"/>
  <c r="D264" i="7"/>
  <c r="BH263" i="7"/>
  <c r="BG263" i="7"/>
  <c r="AU263" i="7"/>
  <c r="AP263" i="7"/>
  <c r="AK263" i="7"/>
  <c r="AF263" i="7"/>
  <c r="AG263" i="7" s="1"/>
  <c r="Z263" i="7"/>
  <c r="AA263" i="7" s="1"/>
  <c r="T263" i="7"/>
  <c r="U263" i="7" s="1"/>
  <c r="R263" i="7"/>
  <c r="Q263" i="7" s="1"/>
  <c r="D263" i="7"/>
  <c r="BH262" i="7"/>
  <c r="BG262" i="7"/>
  <c r="AU262" i="7"/>
  <c r="AP262" i="7"/>
  <c r="AK262" i="7"/>
  <c r="AF262" i="7"/>
  <c r="AG262" i="7" s="1"/>
  <c r="Z262" i="7"/>
  <c r="AA262" i="7" s="1"/>
  <c r="T262" i="7"/>
  <c r="R262" i="7"/>
  <c r="D262" i="7"/>
  <c r="BH261" i="7"/>
  <c r="BG261" i="7"/>
  <c r="AU261" i="7"/>
  <c r="AP261" i="7"/>
  <c r="AK261" i="7"/>
  <c r="AF261" i="7"/>
  <c r="AG261" i="7" s="1"/>
  <c r="Z261" i="7"/>
  <c r="T261" i="7"/>
  <c r="R261" i="7"/>
  <c r="Q261" i="7" s="1"/>
  <c r="D261" i="7"/>
  <c r="BH260" i="7"/>
  <c r="BG260" i="7"/>
  <c r="AU260" i="7"/>
  <c r="AP260" i="7"/>
  <c r="AK260" i="7"/>
  <c r="AF260" i="7"/>
  <c r="AG260" i="7" s="1"/>
  <c r="Z260" i="7"/>
  <c r="AA260" i="7" s="1"/>
  <c r="T260" i="7"/>
  <c r="BE260" i="7" s="1"/>
  <c r="R260" i="7"/>
  <c r="Q260" i="7" s="1"/>
  <c r="D260" i="7"/>
  <c r="BH259" i="7"/>
  <c r="BG259" i="7"/>
  <c r="AU259" i="7"/>
  <c r="AP259" i="7"/>
  <c r="AK259" i="7"/>
  <c r="AF259" i="7"/>
  <c r="AG259" i="7" s="1"/>
  <c r="Z259" i="7"/>
  <c r="AA259" i="7" s="1"/>
  <c r="T259" i="7"/>
  <c r="U259" i="7" s="1"/>
  <c r="R259" i="7"/>
  <c r="D259" i="7"/>
  <c r="BH258" i="7"/>
  <c r="BG258" i="7"/>
  <c r="AU258" i="7"/>
  <c r="AP258" i="7"/>
  <c r="AK258" i="7"/>
  <c r="AF258" i="7"/>
  <c r="AG258" i="7" s="1"/>
  <c r="Z258" i="7"/>
  <c r="AA258" i="7" s="1"/>
  <c r="T258" i="7"/>
  <c r="R258" i="7"/>
  <c r="D258" i="7"/>
  <c r="BH257" i="7"/>
  <c r="BG257" i="7"/>
  <c r="AU257" i="7"/>
  <c r="AP257" i="7"/>
  <c r="AK257" i="7"/>
  <c r="AF257" i="7"/>
  <c r="AG257" i="7" s="1"/>
  <c r="Z257" i="7"/>
  <c r="AA257" i="7" s="1"/>
  <c r="T257" i="7"/>
  <c r="BE257" i="7" s="1"/>
  <c r="R257" i="7"/>
  <c r="D257" i="7"/>
  <c r="BH256" i="7"/>
  <c r="BG256" i="7"/>
  <c r="AU256" i="7"/>
  <c r="AP256" i="7"/>
  <c r="AK256" i="7"/>
  <c r="AF256" i="7"/>
  <c r="AG256" i="7" s="1"/>
  <c r="Z256" i="7"/>
  <c r="AA256" i="7" s="1"/>
  <c r="T256" i="7"/>
  <c r="R256" i="7"/>
  <c r="Q256" i="7" s="1"/>
  <c r="D256" i="7"/>
  <c r="BH255" i="7"/>
  <c r="BG255" i="7"/>
  <c r="AU255" i="7"/>
  <c r="AP255" i="7"/>
  <c r="AK255" i="7"/>
  <c r="AF255" i="7"/>
  <c r="AG255" i="7" s="1"/>
  <c r="Z255" i="7"/>
  <c r="AA255" i="7" s="1"/>
  <c r="T255" i="7"/>
  <c r="R255" i="7"/>
  <c r="Q255" i="7" s="1"/>
  <c r="D255" i="7"/>
  <c r="BH254" i="7"/>
  <c r="BG254" i="7"/>
  <c r="AU254" i="7"/>
  <c r="AP254" i="7"/>
  <c r="AK254" i="7"/>
  <c r="AF254" i="7"/>
  <c r="AG254" i="7" s="1"/>
  <c r="Z254" i="7"/>
  <c r="AA254" i="7" s="1"/>
  <c r="T254" i="7"/>
  <c r="BE254" i="7" s="1"/>
  <c r="R254" i="7"/>
  <c r="Q254" i="7" s="1"/>
  <c r="D254" i="7"/>
  <c r="BH253" i="7"/>
  <c r="BG253" i="7"/>
  <c r="AU253" i="7"/>
  <c r="AP253" i="7"/>
  <c r="AK253" i="7"/>
  <c r="AF253" i="7"/>
  <c r="AG253" i="7" s="1"/>
  <c r="Z253" i="7"/>
  <c r="AA253" i="7" s="1"/>
  <c r="T253" i="7"/>
  <c r="BE253" i="7" s="1"/>
  <c r="R253" i="7"/>
  <c r="Q253" i="7" s="1"/>
  <c r="D253" i="7"/>
  <c r="BH252" i="7"/>
  <c r="BG252" i="7"/>
  <c r="AU252" i="7"/>
  <c r="AP252" i="7"/>
  <c r="AK252" i="7"/>
  <c r="AF252" i="7"/>
  <c r="AG252" i="7" s="1"/>
  <c r="Z252" i="7"/>
  <c r="AA252" i="7" s="1"/>
  <c r="T252" i="7"/>
  <c r="U252" i="7" s="1"/>
  <c r="R252" i="7"/>
  <c r="Q252" i="7" s="1"/>
  <c r="D252" i="7"/>
  <c r="BH251" i="7"/>
  <c r="BG251" i="7"/>
  <c r="AU251" i="7"/>
  <c r="AP251" i="7"/>
  <c r="AK251" i="7"/>
  <c r="AF251" i="7"/>
  <c r="AG251" i="7" s="1"/>
  <c r="Z251" i="7"/>
  <c r="AA251" i="7" s="1"/>
  <c r="T251" i="7"/>
  <c r="BE251" i="7" s="1"/>
  <c r="R251" i="7"/>
  <c r="Q251" i="7" s="1"/>
  <c r="D251" i="7"/>
  <c r="BH250" i="7"/>
  <c r="BG250" i="7"/>
  <c r="AU250" i="7"/>
  <c r="AP250" i="7"/>
  <c r="AK250" i="7"/>
  <c r="AF250" i="7"/>
  <c r="AG250" i="7" s="1"/>
  <c r="Z250" i="7"/>
  <c r="AA250" i="7" s="1"/>
  <c r="T250" i="7"/>
  <c r="R250" i="7"/>
  <c r="Q250" i="7" s="1"/>
  <c r="D250" i="7"/>
  <c r="BH249" i="7"/>
  <c r="BG249" i="7"/>
  <c r="AU249" i="7"/>
  <c r="AP249" i="7"/>
  <c r="AK249" i="7"/>
  <c r="AF249" i="7"/>
  <c r="AG249" i="7" s="1"/>
  <c r="Z249" i="7"/>
  <c r="AA249" i="7" s="1"/>
  <c r="T249" i="7"/>
  <c r="U249" i="7" s="1"/>
  <c r="R249" i="7"/>
  <c r="Q249" i="7" s="1"/>
  <c r="D249" i="7"/>
  <c r="BH248" i="7"/>
  <c r="BG248" i="7"/>
  <c r="AU248" i="7"/>
  <c r="AP248" i="7"/>
  <c r="AK248" i="7"/>
  <c r="AF248" i="7"/>
  <c r="AG248" i="7" s="1"/>
  <c r="Z248" i="7"/>
  <c r="AA248" i="7" s="1"/>
  <c r="T248" i="7"/>
  <c r="U248" i="7" s="1"/>
  <c r="R248" i="7"/>
  <c r="Q248" i="7" s="1"/>
  <c r="D248" i="7"/>
  <c r="BH247" i="7"/>
  <c r="BG247" i="7"/>
  <c r="AU247" i="7"/>
  <c r="AF247" i="7"/>
  <c r="AG247" i="7" s="1"/>
  <c r="Z247" i="7"/>
  <c r="T247" i="7"/>
  <c r="R247" i="7"/>
  <c r="D247" i="7"/>
  <c r="BH246" i="7"/>
  <c r="BG246" i="7"/>
  <c r="AU246" i="7"/>
  <c r="AP246" i="7"/>
  <c r="AK246" i="7"/>
  <c r="AF246" i="7"/>
  <c r="Z246" i="7"/>
  <c r="AA246" i="7" s="1"/>
  <c r="T246" i="7"/>
  <c r="U246" i="7" s="1"/>
  <c r="R246" i="7"/>
  <c r="Q246" i="7" s="1"/>
  <c r="D246" i="7"/>
  <c r="BH245" i="7"/>
  <c r="BG245" i="7"/>
  <c r="AU245" i="7"/>
  <c r="AP245" i="7"/>
  <c r="AK245" i="7"/>
  <c r="AF245" i="7"/>
  <c r="Z245" i="7"/>
  <c r="AA245" i="7" s="1"/>
  <c r="T245" i="7"/>
  <c r="R245" i="7"/>
  <c r="Q245" i="7" s="1"/>
  <c r="D245" i="7"/>
  <c r="BH244" i="7"/>
  <c r="BG244" i="7"/>
  <c r="AU244" i="7"/>
  <c r="AF244" i="7"/>
  <c r="AG244" i="7" s="1"/>
  <c r="Z244" i="7"/>
  <c r="AA244" i="7" s="1"/>
  <c r="T244" i="7"/>
  <c r="U244" i="7" s="1"/>
  <c r="R244" i="7"/>
  <c r="D244" i="7"/>
  <c r="BH243" i="7"/>
  <c r="BG243" i="7"/>
  <c r="AU243" i="7"/>
  <c r="AP243" i="7"/>
  <c r="AK243" i="7"/>
  <c r="AF243" i="7"/>
  <c r="AG243" i="7" s="1"/>
  <c r="Z243" i="7"/>
  <c r="AA243" i="7" s="1"/>
  <c r="T243" i="7"/>
  <c r="R243" i="7"/>
  <c r="Q243" i="7" s="1"/>
  <c r="D243" i="7"/>
  <c r="BH242" i="7"/>
  <c r="BG242" i="7"/>
  <c r="AU242" i="7"/>
  <c r="AP242" i="7"/>
  <c r="AK242" i="7"/>
  <c r="AF242" i="7"/>
  <c r="AG242" i="7" s="1"/>
  <c r="Z242" i="7"/>
  <c r="AA242" i="7" s="1"/>
  <c r="T242" i="7"/>
  <c r="R242" i="7"/>
  <c r="D242" i="7"/>
  <c r="BH241" i="7"/>
  <c r="BG241" i="7"/>
  <c r="AU241" i="7"/>
  <c r="AP241" i="7"/>
  <c r="AK241" i="7"/>
  <c r="AF241" i="7"/>
  <c r="AG241" i="7" s="1"/>
  <c r="Z241" i="7"/>
  <c r="AA241" i="7" s="1"/>
  <c r="T241" i="7"/>
  <c r="R241" i="7"/>
  <c r="Q241" i="7" s="1"/>
  <c r="D241" i="7"/>
  <c r="BH240" i="7"/>
  <c r="BG240" i="7"/>
  <c r="AU240" i="7"/>
  <c r="AP240" i="7"/>
  <c r="AK240" i="7"/>
  <c r="AF240" i="7"/>
  <c r="AG240" i="7" s="1"/>
  <c r="Z240" i="7"/>
  <c r="AA240" i="7" s="1"/>
  <c r="T240" i="7"/>
  <c r="R240" i="7"/>
  <c r="D240" i="7"/>
  <c r="BH239" i="7"/>
  <c r="BG239" i="7"/>
  <c r="AU239" i="7"/>
  <c r="AP239" i="7"/>
  <c r="AK239" i="7"/>
  <c r="AF239" i="7"/>
  <c r="AG239" i="7" s="1"/>
  <c r="Z239" i="7"/>
  <c r="AA239" i="7" s="1"/>
  <c r="T239" i="7"/>
  <c r="BE239" i="7" s="1"/>
  <c r="R239" i="7"/>
  <c r="Q239" i="7" s="1"/>
  <c r="D239" i="7"/>
  <c r="BH238" i="7"/>
  <c r="BG238" i="7"/>
  <c r="AU238" i="7"/>
  <c r="AP238" i="7"/>
  <c r="AK238" i="7"/>
  <c r="AF238" i="7"/>
  <c r="AG238" i="7" s="1"/>
  <c r="Z238" i="7"/>
  <c r="T238" i="7"/>
  <c r="R238" i="7"/>
  <c r="Q238" i="7" s="1"/>
  <c r="D238" i="7"/>
  <c r="BH237" i="7"/>
  <c r="BG237" i="7"/>
  <c r="AU237" i="7"/>
  <c r="AP237" i="7"/>
  <c r="AK237" i="7"/>
  <c r="AF237" i="7"/>
  <c r="AG237" i="7" s="1"/>
  <c r="Z237" i="7"/>
  <c r="T237" i="7"/>
  <c r="BE237" i="7" s="1"/>
  <c r="R237" i="7"/>
  <c r="Q237" i="7" s="1"/>
  <c r="D237" i="7"/>
  <c r="BG236" i="7"/>
  <c r="AU236" i="7"/>
  <c r="AP236" i="7"/>
  <c r="AK236" i="7"/>
  <c r="AF236" i="7"/>
  <c r="AG236" i="7" s="1"/>
  <c r="AD236" i="7"/>
  <c r="AC236" i="7"/>
  <c r="BH236" i="7" s="1"/>
  <c r="Z236" i="7"/>
  <c r="AA236" i="7" s="1"/>
  <c r="T236" i="7"/>
  <c r="U236" i="7" s="1"/>
  <c r="R236" i="7"/>
  <c r="Q236" i="7" s="1"/>
  <c r="D236" i="7"/>
  <c r="BG235" i="7"/>
  <c r="AU235" i="7"/>
  <c r="AP235" i="7"/>
  <c r="AK235" i="7"/>
  <c r="AF235" i="7"/>
  <c r="AG235" i="7" s="1"/>
  <c r="AD235" i="7"/>
  <c r="AC235" i="7"/>
  <c r="Z235" i="7"/>
  <c r="AA235" i="7" s="1"/>
  <c r="T235" i="7"/>
  <c r="U235" i="7" s="1"/>
  <c r="R235" i="7"/>
  <c r="Q235" i="7" s="1"/>
  <c r="D235" i="7"/>
  <c r="BG234" i="7"/>
  <c r="AU234" i="7"/>
  <c r="AP234" i="7"/>
  <c r="AK234" i="7"/>
  <c r="AF234" i="7"/>
  <c r="AG234" i="7" s="1"/>
  <c r="AD234" i="7"/>
  <c r="AC234" i="7"/>
  <c r="Z234" i="7"/>
  <c r="AA234" i="7" s="1"/>
  <c r="T234" i="7"/>
  <c r="U234" i="7" s="1"/>
  <c r="R234" i="7"/>
  <c r="Q234" i="7" s="1"/>
  <c r="D234" i="7"/>
  <c r="BG233" i="7"/>
  <c r="AU233" i="7"/>
  <c r="AP233" i="7"/>
  <c r="AK233" i="7"/>
  <c r="AF233" i="7"/>
  <c r="AG233" i="7" s="1"/>
  <c r="AD233" i="7"/>
  <c r="AC233" i="7"/>
  <c r="Z233" i="7"/>
  <c r="AA233" i="7" s="1"/>
  <c r="T233" i="7"/>
  <c r="U233" i="7" s="1"/>
  <c r="R233" i="7"/>
  <c r="Q233" i="7" s="1"/>
  <c r="D233" i="7"/>
  <c r="BG232" i="7"/>
  <c r="AU232" i="7"/>
  <c r="AP232" i="7"/>
  <c r="AK232" i="7"/>
  <c r="AF232" i="7"/>
  <c r="AG232" i="7" s="1"/>
  <c r="AD232" i="7"/>
  <c r="AC232" i="7"/>
  <c r="Z232" i="7"/>
  <c r="AA232" i="7" s="1"/>
  <c r="T232" i="7"/>
  <c r="R232" i="7"/>
  <c r="Q232" i="7" s="1"/>
  <c r="D232" i="7"/>
  <c r="BG231" i="7"/>
  <c r="AU231" i="7"/>
  <c r="AP231" i="7"/>
  <c r="AK231" i="7"/>
  <c r="AF231" i="7"/>
  <c r="AG231" i="7" s="1"/>
  <c r="AD231" i="7"/>
  <c r="AC231" i="7"/>
  <c r="Z231" i="7"/>
  <c r="T231" i="7"/>
  <c r="BE231" i="7" s="1"/>
  <c r="R231" i="7"/>
  <c r="Q231" i="7" s="1"/>
  <c r="D231" i="7"/>
  <c r="BG230" i="7"/>
  <c r="AU230" i="7"/>
  <c r="AP230" i="7"/>
  <c r="AK230" i="7"/>
  <c r="AF230" i="7"/>
  <c r="AG230" i="7" s="1"/>
  <c r="AD230" i="7"/>
  <c r="AC230" i="7"/>
  <c r="BH230" i="7" s="1"/>
  <c r="Z230" i="7"/>
  <c r="AA230" i="7" s="1"/>
  <c r="T230" i="7"/>
  <c r="BE230" i="7" s="1"/>
  <c r="R230" i="7"/>
  <c r="D230" i="7"/>
  <c r="BG229" i="7"/>
  <c r="AU229" i="7"/>
  <c r="AP229" i="7"/>
  <c r="AK229" i="7"/>
  <c r="AF229" i="7"/>
  <c r="AG229" i="7" s="1"/>
  <c r="AD229" i="7"/>
  <c r="AC229" i="7"/>
  <c r="BH229" i="7" s="1"/>
  <c r="Z229" i="7"/>
  <c r="AA229" i="7" s="1"/>
  <c r="T229" i="7"/>
  <c r="R229" i="7"/>
  <c r="D229" i="7"/>
  <c r="BG228" i="7"/>
  <c r="AU228" i="7"/>
  <c r="AP228" i="7"/>
  <c r="AK228" i="7"/>
  <c r="AF228" i="7"/>
  <c r="AG228" i="7" s="1"/>
  <c r="AD228" i="7"/>
  <c r="AC228" i="7"/>
  <c r="BH228" i="7" s="1"/>
  <c r="Z228" i="7"/>
  <c r="AA228" i="7" s="1"/>
  <c r="T228" i="7"/>
  <c r="R228" i="7"/>
  <c r="Q228" i="7" s="1"/>
  <c r="D228" i="7"/>
  <c r="BG227" i="7"/>
  <c r="AU227" i="7"/>
  <c r="AP227" i="7"/>
  <c r="AK227" i="7"/>
  <c r="AF227" i="7"/>
  <c r="AG227" i="7" s="1"/>
  <c r="AD227" i="7"/>
  <c r="AC227" i="7"/>
  <c r="Z227" i="7"/>
  <c r="AA227" i="7" s="1"/>
  <c r="T227" i="7"/>
  <c r="BE227" i="7" s="1"/>
  <c r="R227" i="7"/>
  <c r="Q227" i="7" s="1"/>
  <c r="D227" i="7"/>
  <c r="BG226" i="7"/>
  <c r="AU226" i="7"/>
  <c r="AP226" i="7"/>
  <c r="AK226" i="7"/>
  <c r="AF226" i="7"/>
  <c r="AG226" i="7" s="1"/>
  <c r="AD226" i="7"/>
  <c r="AC226" i="7"/>
  <c r="Z226" i="7"/>
  <c r="AA226" i="7" s="1"/>
  <c r="T226" i="7"/>
  <c r="BE226" i="7" s="1"/>
  <c r="R226" i="7"/>
  <c r="Q226" i="7" s="1"/>
  <c r="D226" i="7"/>
  <c r="BG225" i="7"/>
  <c r="AU225" i="7"/>
  <c r="AP225" i="7"/>
  <c r="AK225" i="7"/>
  <c r="AF225" i="7"/>
  <c r="AG225" i="7" s="1"/>
  <c r="AD225" i="7"/>
  <c r="AC225" i="7"/>
  <c r="BH225" i="7" s="1"/>
  <c r="Z225" i="7"/>
  <c r="AA225" i="7" s="1"/>
  <c r="T225" i="7"/>
  <c r="U225" i="7" s="1"/>
  <c r="R225" i="7"/>
  <c r="Q225" i="7" s="1"/>
  <c r="D225" i="7"/>
  <c r="BG224" i="7"/>
  <c r="AU224" i="7"/>
  <c r="AP224" i="7"/>
  <c r="AK224" i="7"/>
  <c r="AF224" i="7"/>
  <c r="AG224" i="7" s="1"/>
  <c r="AD224" i="7"/>
  <c r="AC224" i="7"/>
  <c r="Z224" i="7"/>
  <c r="AA224" i="7" s="1"/>
  <c r="T224" i="7"/>
  <c r="R224" i="7"/>
  <c r="Q224" i="7" s="1"/>
  <c r="D224" i="7"/>
  <c r="BG223" i="7"/>
  <c r="AU223" i="7"/>
  <c r="AP223" i="7"/>
  <c r="AK223" i="7"/>
  <c r="AF223" i="7"/>
  <c r="AG223" i="7" s="1"/>
  <c r="AD223" i="7"/>
  <c r="AC223" i="7"/>
  <c r="Z223" i="7"/>
  <c r="AA223" i="7" s="1"/>
  <c r="T223" i="7"/>
  <c r="U223" i="7" s="1"/>
  <c r="R223" i="7"/>
  <c r="D223" i="7"/>
  <c r="BG222" i="7"/>
  <c r="AU222" i="7"/>
  <c r="AP222" i="7"/>
  <c r="AK222" i="7"/>
  <c r="AF222" i="7"/>
  <c r="AG222" i="7" s="1"/>
  <c r="AD222" i="7"/>
  <c r="AC222" i="7"/>
  <c r="Z222" i="7"/>
  <c r="AA222" i="7" s="1"/>
  <c r="T222" i="7"/>
  <c r="BE222" i="7" s="1"/>
  <c r="R222" i="7"/>
  <c r="Q222" i="7" s="1"/>
  <c r="D222" i="7"/>
  <c r="BG221" i="7"/>
  <c r="AU221" i="7"/>
  <c r="AP221" i="7"/>
  <c r="AK221" i="7"/>
  <c r="AF221" i="7"/>
  <c r="AG221" i="7" s="1"/>
  <c r="AD221" i="7"/>
  <c r="AC221" i="7"/>
  <c r="Z221" i="7"/>
  <c r="AA221" i="7" s="1"/>
  <c r="T221" i="7"/>
  <c r="R221" i="7"/>
  <c r="Q221" i="7" s="1"/>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AF219" i="7"/>
  <c r="AG219" i="7" s="1"/>
  <c r="Z219" i="7"/>
  <c r="AA219" i="7" s="1"/>
  <c r="T219" i="7"/>
  <c r="U219" i="7" s="1"/>
  <c r="R219" i="7"/>
  <c r="Q219" i="7" s="1"/>
  <c r="D219" i="7"/>
  <c r="BH218" i="7"/>
  <c r="BG218" i="7"/>
  <c r="AU218" i="7"/>
  <c r="AP218" i="7"/>
  <c r="AK218" i="7"/>
  <c r="AF218" i="7"/>
  <c r="AG218" i="7" s="1"/>
  <c r="Z218" i="7"/>
  <c r="AA218" i="7" s="1"/>
  <c r="T218" i="7"/>
  <c r="R218" i="7"/>
  <c r="Q218" i="7" s="1"/>
  <c r="D218" i="7"/>
  <c r="BH217" i="7"/>
  <c r="BG217" i="7"/>
  <c r="AU217" i="7"/>
  <c r="AP217" i="7"/>
  <c r="AK217" i="7"/>
  <c r="AF217" i="7"/>
  <c r="AG217" i="7" s="1"/>
  <c r="Z217" i="7"/>
  <c r="AA217" i="7" s="1"/>
  <c r="T217" i="7"/>
  <c r="U217" i="7" s="1"/>
  <c r="R217" i="7"/>
  <c r="Q217" i="7" s="1"/>
  <c r="D217" i="7"/>
  <c r="BH216" i="7"/>
  <c r="BG216" i="7"/>
  <c r="AU216" i="7"/>
  <c r="AP216" i="7"/>
  <c r="AK216" i="7"/>
  <c r="AF216" i="7"/>
  <c r="AG216" i="7" s="1"/>
  <c r="Z216" i="7"/>
  <c r="AA216" i="7" s="1"/>
  <c r="T216" i="7"/>
  <c r="BE216" i="7" s="1"/>
  <c r="R216" i="7"/>
  <c r="Q216" i="7" s="1"/>
  <c r="D216" i="7"/>
  <c r="BH215" i="7"/>
  <c r="BG215" i="7"/>
  <c r="AU215" i="7"/>
  <c r="AP215" i="7"/>
  <c r="AK215" i="7"/>
  <c r="AF215" i="7"/>
  <c r="AG215" i="7" s="1"/>
  <c r="Z215" i="7"/>
  <c r="AA215" i="7" s="1"/>
  <c r="T215" i="7"/>
  <c r="U215" i="7" s="1"/>
  <c r="R215" i="7"/>
  <c r="D215" i="7"/>
  <c r="BH214" i="7"/>
  <c r="BG214" i="7"/>
  <c r="AU214" i="7"/>
  <c r="AP214" i="7"/>
  <c r="AK214" i="7"/>
  <c r="AF214" i="7"/>
  <c r="AG214" i="7" s="1"/>
  <c r="Z214" i="7"/>
  <c r="AA214" i="7" s="1"/>
  <c r="T214" i="7"/>
  <c r="U214" i="7" s="1"/>
  <c r="R214" i="7"/>
  <c r="D214" i="7"/>
  <c r="BG213" i="7"/>
  <c r="AU213" i="7"/>
  <c r="AP213" i="7"/>
  <c r="AK213" i="7"/>
  <c r="AF213" i="7"/>
  <c r="AG213" i="7" s="1"/>
  <c r="AD213" i="7"/>
  <c r="AC213" i="7"/>
  <c r="Z213" i="7"/>
  <c r="AA213" i="7" s="1"/>
  <c r="T213" i="7"/>
  <c r="R213" i="7"/>
  <c r="Q213" i="7" s="1"/>
  <c r="D213" i="7"/>
  <c r="BG212" i="7"/>
  <c r="AU212" i="7"/>
  <c r="AP212" i="7"/>
  <c r="AK212" i="7"/>
  <c r="AF212" i="7"/>
  <c r="AG212" i="7" s="1"/>
  <c r="AD212" i="7"/>
  <c r="AC212" i="7"/>
  <c r="BH212" i="7" s="1"/>
  <c r="Z212" i="7"/>
  <c r="AA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Z210" i="7"/>
  <c r="AA210" i="7" s="1"/>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AP207" i="7"/>
  <c r="AK207" i="7"/>
  <c r="AF207" i="7"/>
  <c r="AG207" i="7" s="1"/>
  <c r="Z207" i="7"/>
  <c r="AA207" i="7" s="1"/>
  <c r="T207" i="7"/>
  <c r="U207" i="7" s="1"/>
  <c r="R207" i="7"/>
  <c r="Q207" i="7" s="1"/>
  <c r="D207" i="7"/>
  <c r="BH206" i="7"/>
  <c r="BG206" i="7"/>
  <c r="AU206" i="7"/>
  <c r="AP206" i="7"/>
  <c r="AK206" i="7"/>
  <c r="AF206" i="7"/>
  <c r="AG206" i="7" s="1"/>
  <c r="Z206" i="7"/>
  <c r="AA206" i="7" s="1"/>
  <c r="T206" i="7"/>
  <c r="BE206" i="7" s="1"/>
  <c r="R206" i="7"/>
  <c r="Q206" i="7" s="1"/>
  <c r="D206" i="7"/>
  <c r="BH205" i="7"/>
  <c r="BG205" i="7"/>
  <c r="AU205" i="7"/>
  <c r="AP205" i="7"/>
  <c r="AK205" i="7"/>
  <c r="AF205" i="7"/>
  <c r="AG205" i="7" s="1"/>
  <c r="Z205" i="7"/>
  <c r="AA205" i="7" s="1"/>
  <c r="T205" i="7"/>
  <c r="U205" i="7" s="1"/>
  <c r="R205" i="7"/>
  <c r="Q205" i="7" s="1"/>
  <c r="D205" i="7"/>
  <c r="BH204" i="7"/>
  <c r="BG204" i="7"/>
  <c r="AU204" i="7"/>
  <c r="AP204" i="7"/>
  <c r="AK204" i="7"/>
  <c r="AF204" i="7"/>
  <c r="AG204" i="7" s="1"/>
  <c r="Z204" i="7"/>
  <c r="AA204" i="7" s="1"/>
  <c r="T204" i="7"/>
  <c r="U204" i="7" s="1"/>
  <c r="D204" i="7"/>
  <c r="BH203" i="7"/>
  <c r="BG203" i="7"/>
  <c r="AU203" i="7"/>
  <c r="AP203" i="7"/>
  <c r="AK203" i="7"/>
  <c r="AF203" i="7"/>
  <c r="AG203" i="7" s="1"/>
  <c r="Z203" i="7"/>
  <c r="AA203" i="7" s="1"/>
  <c r="T203" i="7"/>
  <c r="U203" i="7" s="1"/>
  <c r="R203" i="7"/>
  <c r="D203" i="7"/>
  <c r="BH202" i="7"/>
  <c r="BG202" i="7"/>
  <c r="AU202" i="7"/>
  <c r="AP202" i="7"/>
  <c r="AK202" i="7"/>
  <c r="AF202" i="7"/>
  <c r="AG202" i="7" s="1"/>
  <c r="Z202" i="7"/>
  <c r="AA202" i="7" s="1"/>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AF191" i="7"/>
  <c r="AG191" i="7" s="1"/>
  <c r="Z191" i="7"/>
  <c r="AA191" i="7" s="1"/>
  <c r="T191" i="7"/>
  <c r="R191" i="7"/>
  <c r="Q191" i="7" s="1"/>
  <c r="D191" i="7"/>
  <c r="BH190" i="7"/>
  <c r="BG190" i="7"/>
  <c r="AU190" i="7"/>
  <c r="AP190" i="7"/>
  <c r="AK190" i="7"/>
  <c r="AF190" i="7"/>
  <c r="AG190" i="7" s="1"/>
  <c r="Z190" i="7"/>
  <c r="AA190" i="7" s="1"/>
  <c r="T190" i="7"/>
  <c r="U190" i="7" s="1"/>
  <c r="R190" i="7"/>
  <c r="Q190" i="7" s="1"/>
  <c r="D190" i="7"/>
  <c r="BH189" i="7"/>
  <c r="BG189" i="7"/>
  <c r="AU189" i="7"/>
  <c r="AP189" i="7"/>
  <c r="AK189" i="7"/>
  <c r="AF189" i="7"/>
  <c r="AG189" i="7" s="1"/>
  <c r="Z189" i="7"/>
  <c r="AA189" i="7" s="1"/>
  <c r="T189" i="7"/>
  <c r="U189" i="7" s="1"/>
  <c r="R189" i="7"/>
  <c r="Q189" i="7" s="1"/>
  <c r="D189" i="7"/>
  <c r="BH188" i="7"/>
  <c r="BG188" i="7"/>
  <c r="AU188" i="7"/>
  <c r="AP188" i="7"/>
  <c r="AK188" i="7"/>
  <c r="AF188" i="7"/>
  <c r="AG188" i="7" s="1"/>
  <c r="Z188" i="7"/>
  <c r="AA188" i="7" s="1"/>
  <c r="T188" i="7"/>
  <c r="BE188" i="7" s="1"/>
  <c r="R188" i="7"/>
  <c r="D188" i="7"/>
  <c r="BH187" i="7"/>
  <c r="BG187" i="7"/>
  <c r="AU187" i="7"/>
  <c r="AP187" i="7"/>
  <c r="AK187" i="7"/>
  <c r="AF187" i="7"/>
  <c r="AG187" i="7" s="1"/>
  <c r="Z187" i="7"/>
  <c r="AA187" i="7" s="1"/>
  <c r="T187" i="7"/>
  <c r="U187" i="7" s="1"/>
  <c r="R187" i="7"/>
  <c r="D187" i="7"/>
  <c r="BH186" i="7"/>
  <c r="BG186" i="7"/>
  <c r="AU186" i="7"/>
  <c r="AP186" i="7"/>
  <c r="AK186" i="7"/>
  <c r="AF186" i="7"/>
  <c r="AG186" i="7" s="1"/>
  <c r="Z186" i="7"/>
  <c r="AA186" i="7" s="1"/>
  <c r="T186" i="7"/>
  <c r="U186" i="7" s="1"/>
  <c r="D186" i="7"/>
  <c r="BH185" i="7"/>
  <c r="BG185" i="7"/>
  <c r="AU185" i="7"/>
  <c r="AF185" i="7"/>
  <c r="AG185" i="7" s="1"/>
  <c r="Z185" i="7"/>
  <c r="AA185" i="7" s="1"/>
  <c r="T185" i="7"/>
  <c r="BE185" i="7" s="1"/>
  <c r="R185" i="7"/>
  <c r="D185" i="7"/>
  <c r="BH184" i="7"/>
  <c r="BG184" i="7"/>
  <c r="AU184" i="7"/>
  <c r="AP184" i="7"/>
  <c r="AK184" i="7"/>
  <c r="AF184" i="7"/>
  <c r="AG184" i="7" s="1"/>
  <c r="Z184" i="7"/>
  <c r="AA184" i="7" s="1"/>
  <c r="T184" i="7"/>
  <c r="BE184" i="7" s="1"/>
  <c r="R184" i="7"/>
  <c r="Q184" i="7" s="1"/>
  <c r="D184" i="7"/>
  <c r="BH183" i="7"/>
  <c r="BG183" i="7"/>
  <c r="AU183" i="7"/>
  <c r="AP183" i="7"/>
  <c r="AK183" i="7"/>
  <c r="AF183" i="7"/>
  <c r="AG183" i="7" s="1"/>
  <c r="Z183" i="7"/>
  <c r="AA183" i="7" s="1"/>
  <c r="T183" i="7"/>
  <c r="R183" i="7"/>
  <c r="D183" i="7"/>
  <c r="BH182" i="7"/>
  <c r="BG182" i="7"/>
  <c r="AU182" i="7"/>
  <c r="AP182" i="7"/>
  <c r="AK182" i="7"/>
  <c r="AF182" i="7"/>
  <c r="AG182" i="7" s="1"/>
  <c r="Z182" i="7"/>
  <c r="AA182" i="7" s="1"/>
  <c r="T182" i="7"/>
  <c r="U182" i="7" s="1"/>
  <c r="R182" i="7"/>
  <c r="Q182" i="7" s="1"/>
  <c r="D182" i="7"/>
  <c r="BH181" i="7"/>
  <c r="BG181" i="7"/>
  <c r="AU181" i="7"/>
  <c r="AP181" i="7"/>
  <c r="AK181" i="7"/>
  <c r="AF181" i="7"/>
  <c r="AG181" i="7" s="1"/>
  <c r="Z181" i="7"/>
  <c r="AA181" i="7" s="1"/>
  <c r="T181" i="7"/>
  <c r="BE181" i="7" s="1"/>
  <c r="R181" i="7"/>
  <c r="D181" i="7"/>
  <c r="BH180" i="7"/>
  <c r="BG180" i="7"/>
  <c r="AU180" i="7"/>
  <c r="AP180" i="7"/>
  <c r="AK180" i="7"/>
  <c r="AF180" i="7"/>
  <c r="AG180" i="7" s="1"/>
  <c r="Z180" i="7"/>
  <c r="AA180" i="7" s="1"/>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Z166" i="7"/>
  <c r="AA166" i="7" s="1"/>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T163" i="7"/>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Z160" i="7"/>
  <c r="AA160" i="7" s="1"/>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F150" i="7"/>
  <c r="AG150" i="7" s="1"/>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F145" i="7"/>
  <c r="AG145" i="7" s="1"/>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AF129" i="7"/>
  <c r="AG129" i="7" s="1"/>
  <c r="Z129" i="7"/>
  <c r="AA129" i="7" s="1"/>
  <c r="T129" i="7"/>
  <c r="R129" i="7"/>
  <c r="Q129" i="7" s="1"/>
  <c r="D129" i="7"/>
  <c r="BH128" i="7"/>
  <c r="BG128" i="7"/>
  <c r="AU128" i="7"/>
  <c r="AP128" i="7"/>
  <c r="AK128" i="7"/>
  <c r="AF128" i="7"/>
  <c r="AG128" i="7" s="1"/>
  <c r="Z128" i="7"/>
  <c r="AA128" i="7" s="1"/>
  <c r="T128" i="7"/>
  <c r="U128" i="7" s="1"/>
  <c r="R128" i="7"/>
  <c r="Q128" i="7" s="1"/>
  <c r="D128" i="7"/>
  <c r="BH127" i="7"/>
  <c r="BG127" i="7"/>
  <c r="AU127" i="7"/>
  <c r="AP127" i="7"/>
  <c r="AK127" i="7"/>
  <c r="AF127" i="7"/>
  <c r="AG127" i="7" s="1"/>
  <c r="Z127" i="7"/>
  <c r="AA127" i="7" s="1"/>
  <c r="T127" i="7"/>
  <c r="BE127" i="7" s="1"/>
  <c r="R127" i="7"/>
  <c r="Q127" i="7" s="1"/>
  <c r="D127" i="7"/>
  <c r="BH126" i="7"/>
  <c r="BG126" i="7"/>
  <c r="AU126" i="7"/>
  <c r="AP126" i="7"/>
  <c r="AK126" i="7"/>
  <c r="AF126" i="7"/>
  <c r="AG126" i="7" s="1"/>
  <c r="Z126" i="7"/>
  <c r="AA126" i="7" s="1"/>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T124" i="7"/>
  <c r="R124" i="7"/>
  <c r="Q124" i="7" s="1"/>
  <c r="D124" i="7"/>
  <c r="BH123" i="7"/>
  <c r="BG123" i="7"/>
  <c r="AU123" i="7"/>
  <c r="AP123" i="7"/>
  <c r="AK123" i="7"/>
  <c r="AF123" i="7"/>
  <c r="AG123" i="7" s="1"/>
  <c r="Z123" i="7"/>
  <c r="T123" i="7"/>
  <c r="U123" i="7" s="1"/>
  <c r="R123" i="7"/>
  <c r="Q123" i="7" s="1"/>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T121" i="7"/>
  <c r="R121" i="7"/>
  <c r="D121" i="7"/>
  <c r="BH120" i="7"/>
  <c r="BG120" i="7"/>
  <c r="AU120" i="7"/>
  <c r="AP120" i="7"/>
  <c r="AK120" i="7"/>
  <c r="AF120" i="7"/>
  <c r="AG120" i="7" s="1"/>
  <c r="Z120" i="7"/>
  <c r="T120" i="7"/>
  <c r="BE120" i="7" s="1"/>
  <c r="R120" i="7"/>
  <c r="Q120" i="7" s="1"/>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Q117" i="7" s="1"/>
  <c r="D117" i="7"/>
  <c r="BH116" i="7"/>
  <c r="BG116" i="7"/>
  <c r="AU116" i="7"/>
  <c r="AP116" i="7"/>
  <c r="AK116" i="7"/>
  <c r="AF116" i="7"/>
  <c r="AG116" i="7" s="1"/>
  <c r="Z116" i="7"/>
  <c r="AA116" i="7" s="1"/>
  <c r="T116" i="7"/>
  <c r="BE116" i="7" s="1"/>
  <c r="R116" i="7"/>
  <c r="Q116" i="7" s="1"/>
  <c r="D116" i="7"/>
  <c r="BH115" i="7"/>
  <c r="BG115" i="7"/>
  <c r="AU115" i="7"/>
  <c r="AP115" i="7"/>
  <c r="AK115" i="7"/>
  <c r="AF115" i="7"/>
  <c r="AG115" i="7" s="1"/>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AF105" i="7"/>
  <c r="AG105" i="7" s="1"/>
  <c r="Z105" i="7"/>
  <c r="AA105" i="7" s="1"/>
  <c r="T105" i="7"/>
  <c r="U105" i="7" s="1"/>
  <c r="R105" i="7"/>
  <c r="Q105" i="7" s="1"/>
  <c r="D105" i="7"/>
  <c r="BH104" i="7"/>
  <c r="BG104" i="7"/>
  <c r="AU104" i="7"/>
  <c r="AP104" i="7"/>
  <c r="AK104" i="7"/>
  <c r="AF104" i="7"/>
  <c r="AG104" i="7" s="1"/>
  <c r="Z104" i="7"/>
  <c r="AA104" i="7" s="1"/>
  <c r="T104" i="7"/>
  <c r="BE104" i="7" s="1"/>
  <c r="R104" i="7"/>
  <c r="Q104" i="7" s="1"/>
  <c r="D104" i="7"/>
  <c r="BH103" i="7"/>
  <c r="BG103" i="7"/>
  <c r="AU103" i="7"/>
  <c r="AP103" i="7"/>
  <c r="AK103" i="7"/>
  <c r="AF103" i="7"/>
  <c r="AG103" i="7" s="1"/>
  <c r="Z103" i="7"/>
  <c r="AA103" i="7" s="1"/>
  <c r="T103" i="7"/>
  <c r="U103" i="7" s="1"/>
  <c r="R103" i="7"/>
  <c r="Q103" i="7" s="1"/>
  <c r="D103" i="7"/>
  <c r="BH102" i="7"/>
  <c r="BG102" i="7"/>
  <c r="AU102" i="7"/>
  <c r="AP102" i="7"/>
  <c r="AK102" i="7"/>
  <c r="AF102" i="7"/>
  <c r="AG102" i="7" s="1"/>
  <c r="Z102" i="7"/>
  <c r="AA102" i="7" s="1"/>
  <c r="T102" i="7"/>
  <c r="BE102" i="7" s="1"/>
  <c r="R102" i="7"/>
  <c r="D102" i="7"/>
  <c r="BH101" i="7"/>
  <c r="BG101" i="7"/>
  <c r="AU101" i="7"/>
  <c r="AP101" i="7"/>
  <c r="AK101" i="7"/>
  <c r="AF101" i="7"/>
  <c r="AG101" i="7" s="1"/>
  <c r="Z101" i="7"/>
  <c r="AA101" i="7" s="1"/>
  <c r="T101" i="7"/>
  <c r="BE101" i="7" s="1"/>
  <c r="R101" i="7"/>
  <c r="D101" i="7"/>
  <c r="BH100" i="7"/>
  <c r="BG100" i="7"/>
  <c r="AU100" i="7"/>
  <c r="AP100" i="7"/>
  <c r="AK100" i="7"/>
  <c r="AF100" i="7"/>
  <c r="AG100" i="7" s="1"/>
  <c r="Z100" i="7"/>
  <c r="AA100" i="7" s="1"/>
  <c r="T100" i="7"/>
  <c r="U100" i="7" s="1"/>
  <c r="R100" i="7"/>
  <c r="D100" i="7"/>
  <c r="BH99" i="7"/>
  <c r="BG99" i="7"/>
  <c r="AU99" i="7"/>
  <c r="AP99" i="7"/>
  <c r="AK99" i="7"/>
  <c r="AF99" i="7"/>
  <c r="AG99" i="7" s="1"/>
  <c r="Z99" i="7"/>
  <c r="AA99" i="7" s="1"/>
  <c r="T99" i="7"/>
  <c r="BE99" i="7" s="1"/>
  <c r="R99" i="7"/>
  <c r="D99" i="7"/>
  <c r="BH98" i="7"/>
  <c r="BG98" i="7"/>
  <c r="AU98" i="7"/>
  <c r="AP98" i="7"/>
  <c r="AK98" i="7"/>
  <c r="AF98" i="7"/>
  <c r="AG98" i="7" s="1"/>
  <c r="Z98" i="7"/>
  <c r="AA98" i="7" s="1"/>
  <c r="T98" i="7"/>
  <c r="U98" i="7" s="1"/>
  <c r="R98" i="7"/>
  <c r="D98" i="7"/>
  <c r="BH97" i="7"/>
  <c r="BG97" i="7"/>
  <c r="AU97" i="7"/>
  <c r="AP97" i="7"/>
  <c r="AK97" i="7"/>
  <c r="AF97" i="7"/>
  <c r="AG97" i="7" s="1"/>
  <c r="Z97" i="7"/>
  <c r="AA97" i="7" s="1"/>
  <c r="T97" i="7"/>
  <c r="R97" i="7"/>
  <c r="D97" i="7"/>
  <c r="BH96" i="7"/>
  <c r="BG96" i="7"/>
  <c r="AU96" i="7"/>
  <c r="AP96" i="7"/>
  <c r="AK96" i="7"/>
  <c r="AF96" i="7"/>
  <c r="AG96" i="7" s="1"/>
  <c r="Z96" i="7"/>
  <c r="AA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Z94" i="7"/>
  <c r="AA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AF92" i="7"/>
  <c r="AG92" i="7" s="1"/>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Z89" i="7"/>
  <c r="AA89" i="7" s="1"/>
  <c r="T89" i="7"/>
  <c r="BE89" i="7" s="1"/>
  <c r="R89" i="7"/>
  <c r="D89" i="7"/>
  <c r="BH88" i="7"/>
  <c r="BG88" i="7"/>
  <c r="AU88" i="7"/>
  <c r="AF88" i="7"/>
  <c r="AG88" i="7" s="1"/>
  <c r="Z88" i="7"/>
  <c r="AA88" i="7" s="1"/>
  <c r="T88" i="7"/>
  <c r="U88" i="7" s="1"/>
  <c r="R88" i="7"/>
  <c r="D88" i="7"/>
  <c r="BH87" i="7"/>
  <c r="BG87" i="7"/>
  <c r="AU87" i="7"/>
  <c r="AF87" i="7"/>
  <c r="AG87" i="7" s="1"/>
  <c r="Z87" i="7"/>
  <c r="AA87" i="7" s="1"/>
  <c r="T87" i="7"/>
  <c r="BE87" i="7" s="1"/>
  <c r="R87" i="7"/>
  <c r="D87" i="7"/>
  <c r="BH86" i="7"/>
  <c r="BG86" i="7"/>
  <c r="AU86" i="7"/>
  <c r="AP86" i="7"/>
  <c r="AK86" i="7"/>
  <c r="AF86" i="7"/>
  <c r="AG86" i="7" s="1"/>
  <c r="Z86" i="7"/>
  <c r="AA86" i="7" s="1"/>
  <c r="T86" i="7"/>
  <c r="BE86" i="7" s="1"/>
  <c r="R86" i="7"/>
  <c r="Q86" i="7" s="1"/>
  <c r="D86" i="7"/>
  <c r="BH85" i="7"/>
  <c r="BG85" i="7"/>
  <c r="AU85" i="7"/>
  <c r="AP85" i="7"/>
  <c r="AK85" i="7"/>
  <c r="AF85" i="7"/>
  <c r="AG85" i="7" s="1"/>
  <c r="Z85" i="7"/>
  <c r="AA85" i="7" s="1"/>
  <c r="T85" i="7"/>
  <c r="U85" i="7" s="1"/>
  <c r="R85" i="7"/>
  <c r="Q85" i="7" s="1"/>
  <c r="D85" i="7"/>
  <c r="BH84" i="7"/>
  <c r="BG84" i="7"/>
  <c r="AU84" i="7"/>
  <c r="AP84" i="7"/>
  <c r="AK84" i="7"/>
  <c r="AF84" i="7"/>
  <c r="AG84" i="7" s="1"/>
  <c r="Z84" i="7"/>
  <c r="AA84" i="7" s="1"/>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Z81" i="7"/>
  <c r="AA81" i="7" s="1"/>
  <c r="T81" i="7"/>
  <c r="U81" i="7" s="1"/>
  <c r="R81" i="7"/>
  <c r="Q81" i="7" s="1"/>
  <c r="D81" i="7"/>
  <c r="BH80" i="7"/>
  <c r="BG80" i="7"/>
  <c r="AU80" i="7"/>
  <c r="AP80" i="7"/>
  <c r="AK80" i="7"/>
  <c r="AF80" i="7"/>
  <c r="AG80" i="7" s="1"/>
  <c r="Z80" i="7"/>
  <c r="AA80" i="7" s="1"/>
  <c r="T80" i="7"/>
  <c r="U80" i="7" s="1"/>
  <c r="R80" i="7"/>
  <c r="D80" i="7"/>
  <c r="BH79" i="7"/>
  <c r="BG79" i="7"/>
  <c r="AU79" i="7"/>
  <c r="AP79" i="7"/>
  <c r="AK79" i="7"/>
  <c r="AF79" i="7"/>
  <c r="AG79" i="7" s="1"/>
  <c r="Z79" i="7"/>
  <c r="AA79" i="7" s="1"/>
  <c r="T79" i="7"/>
  <c r="U79" i="7" s="1"/>
  <c r="R79" i="7"/>
  <c r="Q79" i="7" s="1"/>
  <c r="D79" i="7"/>
  <c r="BH78" i="7"/>
  <c r="BG78" i="7"/>
  <c r="AU78" i="7"/>
  <c r="AP78" i="7"/>
  <c r="AK78" i="7"/>
  <c r="AF78" i="7"/>
  <c r="AG78" i="7" s="1"/>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Z76" i="7"/>
  <c r="AA76" i="7" s="1"/>
  <c r="T76" i="7"/>
  <c r="BE76" i="7" s="1"/>
  <c r="R76" i="7"/>
  <c r="Q76" i="7" s="1"/>
  <c r="D76" i="7"/>
  <c r="BH75" i="7"/>
  <c r="BG75" i="7"/>
  <c r="AU75" i="7"/>
  <c r="AP75" i="7"/>
  <c r="AK75" i="7"/>
  <c r="AF75" i="7"/>
  <c r="AG75" i="7" s="1"/>
  <c r="Z75" i="7"/>
  <c r="AA75" i="7" s="1"/>
  <c r="T75" i="7"/>
  <c r="BE75" i="7" s="1"/>
  <c r="R75" i="7"/>
  <c r="Q75" i="7" s="1"/>
  <c r="D75" i="7"/>
  <c r="BH74" i="7"/>
  <c r="BG74" i="7"/>
  <c r="AU74" i="7"/>
  <c r="AP74" i="7"/>
  <c r="AK74" i="7"/>
  <c r="AF74" i="7"/>
  <c r="AG74" i="7" s="1"/>
  <c r="Z74" i="7"/>
  <c r="AA74" i="7" s="1"/>
  <c r="T74" i="7"/>
  <c r="BE74" i="7" s="1"/>
  <c r="R74" i="7"/>
  <c r="D74" i="7"/>
  <c r="BH73" i="7"/>
  <c r="BG73" i="7"/>
  <c r="AU73" i="7"/>
  <c r="AP73" i="7"/>
  <c r="AK73" i="7"/>
  <c r="AF73" i="7"/>
  <c r="AG73" i="7" s="1"/>
  <c r="Z73" i="7"/>
  <c r="AA73" i="7" s="1"/>
  <c r="T73" i="7"/>
  <c r="BE73" i="7" s="1"/>
  <c r="R73" i="7"/>
  <c r="Q73" i="7" s="1"/>
  <c r="D73" i="7"/>
  <c r="BH72" i="7"/>
  <c r="BG72" i="7"/>
  <c r="AU72" i="7"/>
  <c r="AP72" i="7"/>
  <c r="AK72" i="7"/>
  <c r="AF72" i="7"/>
  <c r="AG72" i="7" s="1"/>
  <c r="Z72" i="7"/>
  <c r="AA72" i="7" s="1"/>
  <c r="T72" i="7"/>
  <c r="BE72" i="7" s="1"/>
  <c r="R72" i="7"/>
  <c r="Q72" i="7" s="1"/>
  <c r="D72" i="7"/>
  <c r="BH71" i="7"/>
  <c r="BG71" i="7"/>
  <c r="AU71" i="7"/>
  <c r="AP71" i="7"/>
  <c r="AK71" i="7"/>
  <c r="AF71" i="7"/>
  <c r="AG71" i="7" s="1"/>
  <c r="Z71" i="7"/>
  <c r="AA71" i="7" s="1"/>
  <c r="T71" i="7"/>
  <c r="BE71" i="7" s="1"/>
  <c r="R71" i="7"/>
  <c r="D71" i="7"/>
  <c r="BH70" i="7"/>
  <c r="BG70" i="7"/>
  <c r="AU70" i="7"/>
  <c r="AP70" i="7"/>
  <c r="AK70" i="7"/>
  <c r="AF70" i="7"/>
  <c r="AG70" i="7" s="1"/>
  <c r="Z70" i="7"/>
  <c r="AA70" i="7" s="1"/>
  <c r="T70" i="7"/>
  <c r="BE70" i="7" s="1"/>
  <c r="R70" i="7"/>
  <c r="Q70" i="7" s="1"/>
  <c r="D70" i="7"/>
  <c r="BH69" i="7"/>
  <c r="BG69" i="7"/>
  <c r="AU69" i="7"/>
  <c r="AP69" i="7"/>
  <c r="AK69" i="7"/>
  <c r="AF69" i="7"/>
  <c r="AG69" i="7" s="1"/>
  <c r="Z69" i="7"/>
  <c r="AA69" i="7" s="1"/>
  <c r="T69" i="7"/>
  <c r="U69" i="7" s="1"/>
  <c r="R69" i="7"/>
  <c r="Q69" i="7" s="1"/>
  <c r="D69" i="7"/>
  <c r="BH68" i="7"/>
  <c r="BG68" i="7"/>
  <c r="AU68" i="7"/>
  <c r="AF68" i="7"/>
  <c r="AG68" i="7" s="1"/>
  <c r="Z68" i="7"/>
  <c r="AA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AF64" i="7"/>
  <c r="AG64" i="7" s="1"/>
  <c r="Z64" i="7"/>
  <c r="AA64" i="7" s="1"/>
  <c r="T64" i="7"/>
  <c r="BE64" i="7" s="1"/>
  <c r="R64" i="7"/>
  <c r="Q64" i="7" s="1"/>
  <c r="D64" i="7"/>
  <c r="BH63" i="7"/>
  <c r="BG63" i="7"/>
  <c r="AU63" i="7"/>
  <c r="AP63" i="7"/>
  <c r="AK63" i="7"/>
  <c r="AF63" i="7"/>
  <c r="AG63" i="7" s="1"/>
  <c r="Z63" i="7"/>
  <c r="AA63" i="7" s="1"/>
  <c r="T63" i="7"/>
  <c r="U63" i="7" s="1"/>
  <c r="R63" i="7"/>
  <c r="Q63" i="7" s="1"/>
  <c r="D63" i="7"/>
  <c r="BH62" i="7"/>
  <c r="BG62" i="7"/>
  <c r="AU62" i="7"/>
  <c r="AP62" i="7"/>
  <c r="AK62" i="7"/>
  <c r="AF62" i="7"/>
  <c r="AG62" i="7" s="1"/>
  <c r="Z62" i="7"/>
  <c r="AA62" i="7" s="1"/>
  <c r="T62" i="7"/>
  <c r="R62" i="7"/>
  <c r="Q62" i="7" s="1"/>
  <c r="D62" i="7"/>
  <c r="BH61" i="7"/>
  <c r="BG61" i="7"/>
  <c r="AU61" i="7"/>
  <c r="AP61" i="7"/>
  <c r="AK61" i="7"/>
  <c r="AF61" i="7"/>
  <c r="AG61" i="7" s="1"/>
  <c r="Z61" i="7"/>
  <c r="AA61" i="7" s="1"/>
  <c r="T61" i="7"/>
  <c r="U61" i="7" s="1"/>
  <c r="D61" i="7"/>
  <c r="BH60" i="7"/>
  <c r="BG60" i="7"/>
  <c r="AU60" i="7"/>
  <c r="AP60" i="7"/>
  <c r="AK60" i="7"/>
  <c r="AF60" i="7"/>
  <c r="AG60" i="7" s="1"/>
  <c r="Z60" i="7"/>
  <c r="AA60" i="7" s="1"/>
  <c r="T60" i="7"/>
  <c r="U60" i="7" s="1"/>
  <c r="R60" i="7"/>
  <c r="Q60" i="7" s="1"/>
  <c r="D60" i="7"/>
  <c r="BH59" i="7"/>
  <c r="BG59" i="7"/>
  <c r="AU59" i="7"/>
  <c r="AP59" i="7"/>
  <c r="AK59" i="7"/>
  <c r="AF59" i="7"/>
  <c r="AG59" i="7" s="1"/>
  <c r="Z59" i="7"/>
  <c r="AA59" i="7" s="1"/>
  <c r="T59" i="7"/>
  <c r="BE59" i="7" s="1"/>
  <c r="R59" i="7"/>
  <c r="Q59" i="7" s="1"/>
  <c r="D59" i="7"/>
  <c r="BH58" i="7"/>
  <c r="BG58" i="7"/>
  <c r="AU58" i="7"/>
  <c r="AP58" i="7"/>
  <c r="AK58" i="7"/>
  <c r="AF58" i="7"/>
  <c r="AG58" i="7" s="1"/>
  <c r="Z58" i="7"/>
  <c r="AA58" i="7" s="1"/>
  <c r="T58" i="7"/>
  <c r="BE58" i="7" s="1"/>
  <c r="R58" i="7"/>
  <c r="Q58" i="7" s="1"/>
  <c r="D58" i="7"/>
  <c r="BH57" i="7"/>
  <c r="BG57" i="7"/>
  <c r="AU57" i="7"/>
  <c r="AP57" i="7"/>
  <c r="AK57" i="7"/>
  <c r="AF57" i="7"/>
  <c r="AG57" i="7" s="1"/>
  <c r="Z57" i="7"/>
  <c r="AA57" i="7" s="1"/>
  <c r="T57" i="7"/>
  <c r="BE57" i="7" s="1"/>
  <c r="D57" i="7"/>
  <c r="BH56" i="7"/>
  <c r="BG56" i="7"/>
  <c r="AU56" i="7"/>
  <c r="AP56" i="7"/>
  <c r="AK56" i="7"/>
  <c r="AF56" i="7"/>
  <c r="AG56" i="7" s="1"/>
  <c r="Z56" i="7"/>
  <c r="AA56" i="7" s="1"/>
  <c r="T56" i="7"/>
  <c r="BE56" i="7" s="1"/>
  <c r="D56" i="7"/>
  <c r="BH55" i="7"/>
  <c r="BG55" i="7"/>
  <c r="AU55" i="7"/>
  <c r="AP55" i="7"/>
  <c r="AK55" i="7"/>
  <c r="AF55" i="7"/>
  <c r="AG55" i="7" s="1"/>
  <c r="Z55" i="7"/>
  <c r="AA55" i="7" s="1"/>
  <c r="T55" i="7"/>
  <c r="BE55" i="7" s="1"/>
  <c r="R55" i="7"/>
  <c r="D55" i="7"/>
  <c r="BH54" i="7"/>
  <c r="BG54" i="7"/>
  <c r="AU54" i="7"/>
  <c r="AP54" i="7"/>
  <c r="AK54" i="7"/>
  <c r="AF54" i="7"/>
  <c r="AG54" i="7" s="1"/>
  <c r="Z54" i="7"/>
  <c r="AA54" i="7" s="1"/>
  <c r="T54" i="7"/>
  <c r="BE54" i="7" s="1"/>
  <c r="R54" i="7"/>
  <c r="Q54" i="7" s="1"/>
  <c r="D54" i="7"/>
  <c r="BH53" i="7"/>
  <c r="BG53" i="7"/>
  <c r="AU53" i="7"/>
  <c r="AP53" i="7"/>
  <c r="AK53" i="7"/>
  <c r="AF53" i="7"/>
  <c r="AG53" i="7" s="1"/>
  <c r="Z53" i="7"/>
  <c r="AA53" i="7" s="1"/>
  <c r="T53" i="7"/>
  <c r="BE53" i="7" s="1"/>
  <c r="R53" i="7"/>
  <c r="Q53" i="7" s="1"/>
  <c r="D53" i="7"/>
  <c r="BH52" i="7"/>
  <c r="BG52" i="7"/>
  <c r="AU52" i="7"/>
  <c r="AP52" i="7"/>
  <c r="AK52" i="7"/>
  <c r="AF52" i="7"/>
  <c r="AG52" i="7" s="1"/>
  <c r="Z52" i="7"/>
  <c r="AA52" i="7" s="1"/>
  <c r="T52" i="7"/>
  <c r="BE52" i="7" s="1"/>
  <c r="R52" i="7"/>
  <c r="Q52" i="7" s="1"/>
  <c r="D52" i="7"/>
  <c r="BH51" i="7"/>
  <c r="BG51" i="7"/>
  <c r="AU51" i="7"/>
  <c r="AP51" i="7"/>
  <c r="AK51" i="7"/>
  <c r="AF51" i="7"/>
  <c r="AG51" i="7" s="1"/>
  <c r="Z51" i="7"/>
  <c r="AA51" i="7" s="1"/>
  <c r="T51" i="7"/>
  <c r="U51" i="7" s="1"/>
  <c r="R51" i="7"/>
  <c r="D51" i="7"/>
  <c r="BH50" i="7"/>
  <c r="BG50" i="7"/>
  <c r="AU50" i="7"/>
  <c r="AP50" i="7"/>
  <c r="AK50" i="7"/>
  <c r="AF50" i="7"/>
  <c r="AG50" i="7" s="1"/>
  <c r="Z50" i="7"/>
  <c r="AA50" i="7" s="1"/>
  <c r="T50" i="7"/>
  <c r="R50" i="7"/>
  <c r="Q50" i="7" s="1"/>
  <c r="D50" i="7"/>
  <c r="BH49" i="7"/>
  <c r="BG49" i="7"/>
  <c r="AU49" i="7"/>
  <c r="AP49" i="7"/>
  <c r="AK49" i="7"/>
  <c r="AF49" i="7"/>
  <c r="AG49" i="7" s="1"/>
  <c r="Z49" i="7"/>
  <c r="AA49" i="7" s="1"/>
  <c r="T49" i="7"/>
  <c r="U49" i="7" s="1"/>
  <c r="R49" i="7"/>
  <c r="Q49" i="7" s="1"/>
  <c r="D49" i="7"/>
  <c r="BH48" i="7"/>
  <c r="BG48" i="7"/>
  <c r="AU48" i="7"/>
  <c r="AP48" i="7"/>
  <c r="AK48" i="7"/>
  <c r="AF48" i="7"/>
  <c r="AG48" i="7" s="1"/>
  <c r="Z48" i="7"/>
  <c r="AA48" i="7" s="1"/>
  <c r="T48" i="7"/>
  <c r="U48" i="7" s="1"/>
  <c r="R48" i="7"/>
  <c r="Q48" i="7" s="1"/>
  <c r="D48" i="7"/>
  <c r="BH47" i="7"/>
  <c r="BG47" i="7"/>
  <c r="AU47" i="7"/>
  <c r="AF47" i="7"/>
  <c r="AG47" i="7" s="1"/>
  <c r="Z47" i="7"/>
  <c r="AA47" i="7" s="1"/>
  <c r="T47" i="7"/>
  <c r="U47" i="7" s="1"/>
  <c r="R47" i="7"/>
  <c r="D47" i="7"/>
  <c r="BH46" i="7"/>
  <c r="BG46" i="7"/>
  <c r="AU46" i="7"/>
  <c r="AF46" i="7"/>
  <c r="AG46" i="7" s="1"/>
  <c r="Z46" i="7"/>
  <c r="AA46" i="7" s="1"/>
  <c r="T46" i="7"/>
  <c r="U46" i="7" s="1"/>
  <c r="R46" i="7"/>
  <c r="D46" i="7"/>
  <c r="BH45" i="7"/>
  <c r="BG45" i="7"/>
  <c r="AU45" i="7"/>
  <c r="AP45" i="7"/>
  <c r="AK45" i="7"/>
  <c r="AF45" i="7"/>
  <c r="AG45" i="7" s="1"/>
  <c r="Z45" i="7"/>
  <c r="AA45" i="7" s="1"/>
  <c r="T45" i="7"/>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F33" i="7"/>
  <c r="AG33" i="7" s="1"/>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AU13" i="7"/>
  <c r="AK13" i="7"/>
  <c r="AF13" i="7"/>
  <c r="AG13" i="7" s="1"/>
  <c r="Z13" i="7"/>
  <c r="AA13" i="7" s="1"/>
  <c r="T13" i="7"/>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s="1"/>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Z5" i="7"/>
  <c r="AA5" i="7" s="1"/>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5" i="4" a="1"/>
  <c r="A3" i="1" a="1"/>
  <c r="A4" i="2" a="1"/>
  <c r="A5" i="1" a="1"/>
  <c r="A4" i="4" a="1"/>
  <c r="A4" i="3" a="1"/>
  <c r="A48" i="1" a="1"/>
  <c r="BH555" i="7" l="1"/>
  <c r="U727" i="7"/>
  <c r="BE714" i="7"/>
  <c r="U714" i="7"/>
  <c r="U707" i="7"/>
  <c r="BE707" i="7"/>
  <c r="BE626" i="7"/>
  <c r="U626" i="7"/>
  <c r="BE616" i="7"/>
  <c r="U616" i="7"/>
  <c r="BE604" i="7"/>
  <c r="U604" i="7"/>
  <c r="BE598" i="7"/>
  <c r="U598" i="7"/>
  <c r="BE570" i="7"/>
  <c r="U570" i="7"/>
  <c r="BE514" i="7"/>
  <c r="U514" i="7"/>
  <c r="BE507" i="7"/>
  <c r="U507" i="7"/>
  <c r="BE501" i="7"/>
  <c r="U501" i="7"/>
  <c r="U497" i="7"/>
  <c r="BE497" i="7"/>
  <c r="BE491" i="7"/>
  <c r="U491" i="7"/>
  <c r="BE490" i="7"/>
  <c r="U490" i="7"/>
  <c r="BE451" i="7"/>
  <c r="U451" i="7"/>
  <c r="BE332" i="7"/>
  <c r="U332" i="7"/>
  <c r="U324" i="7"/>
  <c r="BE324" i="7"/>
  <c r="BE304" i="7"/>
  <c r="U304" i="7"/>
  <c r="BE262" i="7"/>
  <c r="U262" i="7"/>
  <c r="U241" i="7"/>
  <c r="BE241" i="7"/>
  <c r="U238" i="7"/>
  <c r="BE238" i="7"/>
  <c r="U229" i="7"/>
  <c r="BE229" i="7"/>
  <c r="U228" i="7"/>
  <c r="BE228" i="7"/>
  <c r="U224" i="7"/>
  <c r="BE224" i="7"/>
  <c r="U218" i="7"/>
  <c r="BE218" i="7"/>
  <c r="BE163" i="7"/>
  <c r="U163" i="7"/>
  <c r="BE124" i="7"/>
  <c r="U124" i="7"/>
  <c r="BE121" i="7"/>
  <c r="U121" i="7"/>
  <c r="BE97" i="7"/>
  <c r="U97" i="7"/>
  <c r="U62" i="7"/>
  <c r="BE62" i="7"/>
  <c r="BE50" i="7"/>
  <c r="U50" i="7"/>
  <c r="U45" i="7"/>
  <c r="BE45" i="7"/>
  <c r="U13" i="7"/>
  <c r="BE13" i="7"/>
  <c r="U210" i="7"/>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Q459" i="7"/>
  <c r="Q25" i="7"/>
  <c r="Q549" i="7"/>
  <c r="BF549" i="7" s="1"/>
  <c r="Q508" i="7"/>
  <c r="BF508" i="7" s="1"/>
  <c r="AK89" i="7"/>
  <c r="AP89" i="7"/>
  <c r="Q458" i="7"/>
  <c r="Q88" i="7"/>
  <c r="Q170" i="7"/>
  <c r="BF170" i="7" s="1"/>
  <c r="AK20" i="7"/>
  <c r="Q185" i="7"/>
  <c r="Q46" i="7"/>
  <c r="AP459" i="7"/>
  <c r="Q36" i="7"/>
  <c r="BF36" i="7" s="1"/>
  <c r="AK179" i="7"/>
  <c r="BI188" i="7"/>
  <c r="Q210" i="7"/>
  <c r="BF210" i="7" s="1"/>
  <c r="Q215" i="7"/>
  <c r="BF215" i="7" s="1"/>
  <c r="AK578" i="7"/>
  <c r="Q585" i="7"/>
  <c r="BF585" i="7" s="1"/>
  <c r="AP563" i="7"/>
  <c r="AK40" i="7"/>
  <c r="AP47" i="7"/>
  <c r="AK88" i="7"/>
  <c r="Q154" i="7"/>
  <c r="BF154" i="7" s="1"/>
  <c r="Q244" i="7"/>
  <c r="Q47" i="7"/>
  <c r="Q40" i="7"/>
  <c r="AP40" i="7"/>
  <c r="AP88" i="7"/>
  <c r="Q177" i="7"/>
  <c r="AK185" i="7"/>
  <c r="Q214" i="7"/>
  <c r="BF214" i="7" s="1"/>
  <c r="Q66" i="7"/>
  <c r="BF66" i="7" s="1"/>
  <c r="AP179" i="7"/>
  <c r="AP185" i="7"/>
  <c r="BF185" i="7" s="1"/>
  <c r="E54" i="10"/>
  <c r="G54" i="10" s="1"/>
  <c r="H54" i="10" s="1"/>
  <c r="Q169" i="7"/>
  <c r="BF169" i="7" s="1"/>
  <c r="AP25" i="7"/>
  <c r="BF25" i="7" s="1"/>
  <c r="Q68" i="7"/>
  <c r="Q209" i="7"/>
  <c r="BF209" i="7" s="1"/>
  <c r="Q21" i="7"/>
  <c r="BF21" i="7" s="1"/>
  <c r="AK46" i="7"/>
  <c r="E5" i="10"/>
  <c r="G5" i="10" s="1"/>
  <c r="H5" i="10" s="1"/>
  <c r="E24" i="10"/>
  <c r="G24" i="10" s="1"/>
  <c r="H24" i="10" s="1"/>
  <c r="AP15" i="7"/>
  <c r="Q212" i="7"/>
  <c r="BF212" i="7" s="1"/>
  <c r="Q579" i="7"/>
  <c r="BF579" i="7" s="1"/>
  <c r="AK47" i="7"/>
  <c r="Q74" i="7"/>
  <c r="BF74" i="7" s="1"/>
  <c r="Q89" i="7"/>
  <c r="AP46" i="7"/>
  <c r="BF46" i="7" s="1"/>
  <c r="AK87" i="7"/>
  <c r="AP87" i="7"/>
  <c r="AK177" i="7"/>
  <c r="Q20" i="7"/>
  <c r="BF20" i="7" s="1"/>
  <c r="AK68" i="7"/>
  <c r="AP177" i="7"/>
  <c r="Q208" i="7"/>
  <c r="BF208" i="7" s="1"/>
  <c r="AK244" i="7"/>
  <c r="E27" i="10"/>
  <c r="AP68" i="7"/>
  <c r="AP244" i="7"/>
  <c r="Q502" i="7"/>
  <c r="BF502" i="7" s="1"/>
  <c r="BI321" i="7"/>
  <c r="BI324" i="7"/>
  <c r="Q292" i="7"/>
  <c r="BF292" i="7" s="1"/>
  <c r="AK247" i="7"/>
  <c r="AP13" i="7"/>
  <c r="BF13" i="7" s="1"/>
  <c r="AP247" i="7"/>
  <c r="BI380" i="7"/>
  <c r="AK443" i="7"/>
  <c r="BI479" i="7"/>
  <c r="Q31" i="7"/>
  <c r="AP17" i="7"/>
  <c r="BF17" i="7" s="1"/>
  <c r="AP27" i="7"/>
  <c r="BF27" i="7" s="1"/>
  <c r="BI181" i="7"/>
  <c r="AK31" i="7"/>
  <c r="Q15" i="7"/>
  <c r="Q293" i="7"/>
  <c r="BF293" i="7" s="1"/>
  <c r="AP37" i="7"/>
  <c r="BF37" i="7" s="1"/>
  <c r="E12" i="10"/>
  <c r="G12" i="10" s="1"/>
  <c r="H12" i="10" s="1"/>
  <c r="E39" i="10"/>
  <c r="Q146" i="7"/>
  <c r="BF146" i="7" s="1"/>
  <c r="BF267" i="7"/>
  <c r="Q291" i="7"/>
  <c r="BF291" i="7" s="1"/>
  <c r="AK15" i="7"/>
  <c r="Q294" i="7"/>
  <c r="BF294" i="7" s="1"/>
  <c r="BI108" i="7"/>
  <c r="Q118" i="7"/>
  <c r="BF118" i="7" s="1"/>
  <c r="Q247" i="7"/>
  <c r="AP23" i="7"/>
  <c r="Q121" i="7"/>
  <c r="BF121" i="7" s="1"/>
  <c r="BI549" i="7"/>
  <c r="BI102" i="7"/>
  <c r="BF72" i="7"/>
  <c r="BI144" i="7"/>
  <c r="BF274" i="7"/>
  <c r="BI270" i="7"/>
  <c r="BI258" i="7"/>
  <c r="BI725" i="7"/>
  <c r="BI99" i="7"/>
  <c r="BI100" i="7"/>
  <c r="BI217" i="7"/>
  <c r="BI497" i="7"/>
  <c r="BI429" i="7"/>
  <c r="Q181" i="7"/>
  <c r="BF181" i="7" s="1"/>
  <c r="BI451" i="7"/>
  <c r="AK717" i="7"/>
  <c r="E4" i="10"/>
  <c r="G4" i="10" s="1"/>
  <c r="H4" i="10" s="1"/>
  <c r="BI80" i="7"/>
  <c r="BI695" i="7"/>
  <c r="BI672" i="7"/>
  <c r="BI36" i="7"/>
  <c r="BF11" i="7"/>
  <c r="BI368" i="7"/>
  <c r="BF217" i="7"/>
  <c r="BI3" i="7"/>
  <c r="Q80" i="7"/>
  <c r="BF80" i="7" s="1"/>
  <c r="BI374" i="7"/>
  <c r="BI522" i="7"/>
  <c r="BI569" i="7"/>
  <c r="BI574" i="7"/>
  <c r="E16" i="10"/>
  <c r="G16" i="10" s="1"/>
  <c r="H16" i="10" s="1"/>
  <c r="E40" i="10"/>
  <c r="G40" i="10" s="1"/>
  <c r="H40" i="10" s="1"/>
  <c r="E8" i="10"/>
  <c r="F8" i="10" s="1"/>
  <c r="E59" i="10"/>
  <c r="G59" i="10" s="1"/>
  <c r="H59" i="10" s="1"/>
  <c r="BF654" i="7"/>
  <c r="BI253" i="7"/>
  <c r="BI546" i="7"/>
  <c r="BI552" i="7"/>
  <c r="BI475" i="7"/>
  <c r="BI16" i="7"/>
  <c r="BF656" i="7"/>
  <c r="BI702" i="7"/>
  <c r="BI48" i="7"/>
  <c r="BI84" i="7"/>
  <c r="BI551" i="7"/>
  <c r="BF611" i="7"/>
  <c r="E65" i="10"/>
  <c r="BI252" i="7"/>
  <c r="BF53" i="7"/>
  <c r="BF129" i="7"/>
  <c r="BI272" i="7"/>
  <c r="BI333" i="7"/>
  <c r="BF469" i="7"/>
  <c r="BI535" i="7"/>
  <c r="BI571" i="7"/>
  <c r="BI633" i="7"/>
  <c r="BI648" i="7"/>
  <c r="BI719" i="7"/>
  <c r="BI128" i="7"/>
  <c r="BI228" i="7"/>
  <c r="E34" i="10"/>
  <c r="G34" i="10" s="1"/>
  <c r="H34" i="10" s="1"/>
  <c r="E57" i="10"/>
  <c r="BF134" i="7"/>
  <c r="BF213" i="7"/>
  <c r="BI214" i="7"/>
  <c r="BI329" i="7"/>
  <c r="BF8" i="7"/>
  <c r="BI119" i="7"/>
  <c r="BI213" i="7"/>
  <c r="BI282" i="7"/>
  <c r="BI411" i="7"/>
  <c r="BI600" i="7"/>
  <c r="BI722" i="7"/>
  <c r="BF44" i="7"/>
  <c r="BI8" i="7"/>
  <c r="BF4" i="7"/>
  <c r="BI167" i="7"/>
  <c r="BF415" i="7"/>
  <c r="BI543" i="7"/>
  <c r="BI97" i="7"/>
  <c r="BF466" i="7"/>
  <c r="BF320" i="7"/>
  <c r="BF684" i="7"/>
  <c r="BI150" i="7"/>
  <c r="BF297" i="7"/>
  <c r="BI305" i="7"/>
  <c r="BI352" i="7"/>
  <c r="BF569" i="7"/>
  <c r="BI572" i="7"/>
  <c r="BF518" i="7"/>
  <c r="BI716" i="7"/>
  <c r="Q3" i="7"/>
  <c r="BF3" i="7" s="1"/>
  <c r="BI68" i="7"/>
  <c r="BI157" i="7"/>
  <c r="BI233" i="7"/>
  <c r="BI414" i="7"/>
  <c r="BI465" i="7"/>
  <c r="BI644" i="7"/>
  <c r="F21" i="10"/>
  <c r="F42" i="10"/>
  <c r="BI49" i="7"/>
  <c r="BI325" i="7"/>
  <c r="BI354" i="7"/>
  <c r="BI85" i="7"/>
  <c r="BI142" i="7"/>
  <c r="BI216" i="7"/>
  <c r="BI370" i="7"/>
  <c r="BI379" i="7"/>
  <c r="BI395" i="7"/>
  <c r="BF419" i="7"/>
  <c r="BF472" i="7"/>
  <c r="BF497" i="7"/>
  <c r="BF571" i="7"/>
  <c r="F12" i="10"/>
  <c r="E41" i="10"/>
  <c r="F41" i="10" s="1"/>
  <c r="BI37" i="7"/>
  <c r="BI199" i="7"/>
  <c r="BI229" i="7"/>
  <c r="BI319" i="7"/>
  <c r="E49" i="10"/>
  <c r="G49" i="10" s="1"/>
  <c r="H49" i="10" s="1"/>
  <c r="BI25" i="7"/>
  <c r="BI75" i="7"/>
  <c r="BF92" i="7"/>
  <c r="BI101" i="7"/>
  <c r="BI35" i="7"/>
  <c r="BF345" i="7"/>
  <c r="BI537" i="7"/>
  <c r="BF630" i="7"/>
  <c r="BI715" i="7"/>
  <c r="F53" i="10"/>
  <c r="Q24" i="7"/>
  <c r="BF24" i="7" s="1"/>
  <c r="Q175" i="7"/>
  <c r="BF175" i="7" s="1"/>
  <c r="Q204" i="7"/>
  <c r="BF204" i="7" s="1"/>
  <c r="Q306" i="7"/>
  <c r="BF306" i="7" s="1"/>
  <c r="Q576" i="7"/>
  <c r="BF576" i="7" s="1"/>
  <c r="BI96" i="7"/>
  <c r="BI323" i="7"/>
  <c r="BF82" i="7"/>
  <c r="BI342" i="7"/>
  <c r="AK551" i="7"/>
  <c r="BI697" i="7"/>
  <c r="BI721" i="7"/>
  <c r="E11" i="10"/>
  <c r="G11" i="10" s="1"/>
  <c r="H11" i="10" s="1"/>
  <c r="BI33" i="7"/>
  <c r="BI44" i="7"/>
  <c r="BI43" i="7"/>
  <c r="BI207" i="7"/>
  <c r="BI435" i="7"/>
  <c r="BI141" i="7"/>
  <c r="BI436" i="7"/>
  <c r="BI506" i="7"/>
  <c r="BI508" i="7"/>
  <c r="AK577" i="7"/>
  <c r="BI64" i="7"/>
  <c r="BI135" i="7"/>
  <c r="BI149" i="7"/>
  <c r="BI221" i="7"/>
  <c r="BI222" i="7"/>
  <c r="BI308" i="7"/>
  <c r="BF560" i="7"/>
  <c r="Q616" i="7"/>
  <c r="BF616" i="7" s="1"/>
  <c r="AP618" i="7"/>
  <c r="BI628" i="7"/>
  <c r="BI654" i="7"/>
  <c r="BI17" i="7"/>
  <c r="BI32" i="7"/>
  <c r="BF45" i="7"/>
  <c r="BI77" i="7"/>
  <c r="BI98" i="7"/>
  <c r="BI312" i="7"/>
  <c r="BI394" i="7"/>
  <c r="BI417" i="7"/>
  <c r="BI494" i="7"/>
  <c r="BI534" i="7"/>
  <c r="BI545" i="7"/>
  <c r="BI154" i="7"/>
  <c r="BI191" i="7"/>
  <c r="BI412" i="7"/>
  <c r="BI483" i="7"/>
  <c r="BF338" i="7"/>
  <c r="BI373" i="7"/>
  <c r="F60" i="10"/>
  <c r="BI612" i="7"/>
  <c r="BI717" i="7"/>
  <c r="BI289" i="7"/>
  <c r="BI322" i="7"/>
  <c r="BI474" i="7"/>
  <c r="BI649" i="7"/>
  <c r="BF721" i="7"/>
  <c r="S21" i="10"/>
  <c r="BI255" i="7"/>
  <c r="BI402" i="7"/>
  <c r="BI488" i="7"/>
  <c r="BI12" i="7"/>
  <c r="BI152" i="7"/>
  <c r="BI153" i="7"/>
  <c r="BI162" i="7"/>
  <c r="BI169" i="7"/>
  <c r="BI223" i="7"/>
  <c r="Q305" i="7"/>
  <c r="BF305" i="7" s="1"/>
  <c r="BF327" i="7"/>
  <c r="BI349" i="7"/>
  <c r="BI468" i="7"/>
  <c r="Q574" i="7"/>
  <c r="BI615" i="7"/>
  <c r="BI704" i="7"/>
  <c r="BI38" i="7"/>
  <c r="BI473" i="7"/>
  <c r="BI553" i="7"/>
  <c r="BI703" i="7"/>
  <c r="BI5" i="7"/>
  <c r="BF59" i="7"/>
  <c r="BF91" i="7"/>
  <c r="BI158" i="7"/>
  <c r="Q188" i="7"/>
  <c r="BF188" i="7" s="1"/>
  <c r="BI197" i="7"/>
  <c r="BF347" i="7"/>
  <c r="BF367" i="7"/>
  <c r="BI399" i="7"/>
  <c r="BI404" i="7"/>
  <c r="BF471" i="7"/>
  <c r="Q551" i="7"/>
  <c r="BI566" i="7"/>
  <c r="BF698" i="7"/>
  <c r="BI201" i="7"/>
  <c r="E74" i="10"/>
  <c r="F74" i="10" s="1"/>
  <c r="BF78" i="7"/>
  <c r="BF127" i="7"/>
  <c r="BF207" i="7"/>
  <c r="BF279" i="7"/>
  <c r="BF339" i="7"/>
  <c r="BF396" i="7"/>
  <c r="BF686" i="7"/>
  <c r="F44" i="10"/>
  <c r="BF164" i="7"/>
  <c r="BF352" i="7"/>
  <c r="BF30" i="7"/>
  <c r="BF32" i="7"/>
  <c r="BF145" i="7"/>
  <c r="BF222" i="7"/>
  <c r="BF283" i="7"/>
  <c r="BF346" i="7"/>
  <c r="BF348" i="7"/>
  <c r="BF546" i="7"/>
  <c r="BF42" i="7"/>
  <c r="BF94" i="7"/>
  <c r="BF96" i="7"/>
  <c r="BF114" i="7"/>
  <c r="BF526" i="7"/>
  <c r="BF528" i="7"/>
  <c r="J55" i="17"/>
  <c r="BF48" i="7"/>
  <c r="BF358" i="7"/>
  <c r="BF436" i="7"/>
  <c r="BF635" i="7"/>
  <c r="BF690" i="7"/>
  <c r="BF697" i="7"/>
  <c r="F26" i="10"/>
  <c r="S26" i="10" s="1"/>
  <c r="BF58" i="7"/>
  <c r="BF117" i="7"/>
  <c r="BF355" i="7"/>
  <c r="BF77" i="7"/>
  <c r="BF172" i="7"/>
  <c r="BF228" i="7"/>
  <c r="BF252" i="7"/>
  <c r="BF399" i="7"/>
  <c r="BF403" i="7"/>
  <c r="BF550" i="7"/>
  <c r="BF723" i="7"/>
  <c r="BF61" i="7"/>
  <c r="BF67" i="7"/>
  <c r="BF268" i="7"/>
  <c r="BF454" i="7"/>
  <c r="BF29" i="7"/>
  <c r="BF110" i="7"/>
  <c r="BF102" i="7"/>
  <c r="BF271" i="7"/>
  <c r="BF464" i="7"/>
  <c r="BF671" i="7"/>
  <c r="BF689" i="7"/>
  <c r="BF714" i="7"/>
  <c r="BF227" i="7"/>
  <c r="BF416" i="7"/>
  <c r="F3" i="10"/>
  <c r="BF76" i="7"/>
  <c r="BF534" i="7"/>
  <c r="BF12" i="7"/>
  <c r="BF28" i="7"/>
  <c r="BF60" i="7"/>
  <c r="BF65" i="7"/>
  <c r="BF86" i="7"/>
  <c r="BF101" i="7"/>
  <c r="BF109" i="7"/>
  <c r="BF116" i="7"/>
  <c r="BF190" i="7"/>
  <c r="BF216" i="7"/>
  <c r="BF263" i="7"/>
  <c r="BF311" i="7"/>
  <c r="BF336" i="7"/>
  <c r="BF375" i="7"/>
  <c r="BF470" i="7"/>
  <c r="BF479" i="7"/>
  <c r="BF500" i="7"/>
  <c r="BF548" i="7"/>
  <c r="BF653" i="7"/>
  <c r="BF718" i="7"/>
  <c r="BF69" i="7"/>
  <c r="BF713" i="7"/>
  <c r="BF288" i="7"/>
  <c r="BF368" i="7"/>
  <c r="BF372" i="7"/>
  <c r="BF374" i="7"/>
  <c r="BF719" i="7"/>
  <c r="BF492" i="7"/>
  <c r="BF161" i="7"/>
  <c r="BF284" i="7"/>
  <c r="BF360" i="7"/>
  <c r="BF376" i="7"/>
  <c r="BF405" i="7"/>
  <c r="BF417" i="7"/>
  <c r="BF467" i="7"/>
  <c r="BF532" i="7"/>
  <c r="BF547" i="7"/>
  <c r="BF619" i="7"/>
  <c r="BF623" i="7"/>
  <c r="BF704" i="7"/>
  <c r="BF56" i="7"/>
  <c r="BF93" i="7"/>
  <c r="BF317" i="7"/>
  <c r="BF535" i="7"/>
  <c r="BF538" i="7"/>
  <c r="BF605" i="7"/>
  <c r="BF703" i="7"/>
  <c r="F28" i="10"/>
  <c r="S28" i="10" s="1"/>
  <c r="BF103" i="7"/>
  <c r="BF196" i="7"/>
  <c r="BF254" i="7"/>
  <c r="BF309" i="7"/>
  <c r="BF478" i="7"/>
  <c r="BF509" i="7"/>
  <c r="BF581" i="7"/>
  <c r="BF644" i="7"/>
  <c r="BF691" i="7"/>
  <c r="BF712" i="7"/>
  <c r="F23" i="10"/>
  <c r="S23" i="10" s="1"/>
  <c r="F69" i="10"/>
  <c r="BF5" i="7"/>
  <c r="BF26" i="7"/>
  <c r="BI31" i="7"/>
  <c r="BF57" i="7"/>
  <c r="BF63" i="7"/>
  <c r="BI67" i="7"/>
  <c r="BI13" i="7"/>
  <c r="BF18" i="7"/>
  <c r="BI54" i="7"/>
  <c r="BF84" i="7"/>
  <c r="BF162" i="7"/>
  <c r="BI170" i="7"/>
  <c r="BF255" i="7"/>
  <c r="Q272" i="7"/>
  <c r="BF272" i="7" s="1"/>
  <c r="BI274" i="7"/>
  <c r="BI279" i="7"/>
  <c r="BI386" i="7"/>
  <c r="BF406" i="7"/>
  <c r="Q411" i="7"/>
  <c r="BF411" i="7" s="1"/>
  <c r="BI420" i="7"/>
  <c r="BF439" i="7"/>
  <c r="BI457" i="7"/>
  <c r="BF474" i="7"/>
  <c r="BI489" i="7"/>
  <c r="BI492" i="7"/>
  <c r="BI588" i="7"/>
  <c r="Q600" i="7"/>
  <c r="BF600" i="7" s="1"/>
  <c r="BF607" i="7"/>
  <c r="BI617" i="7"/>
  <c r="Q648" i="7"/>
  <c r="BF648" i="7" s="1"/>
  <c r="Q649" i="7"/>
  <c r="BF649" i="7" s="1"/>
  <c r="Q258" i="7"/>
  <c r="BF258" i="7" s="1"/>
  <c r="BF260" i="7"/>
  <c r="BF280" i="7"/>
  <c r="Q324" i="7"/>
  <c r="BF324" i="7" s="1"/>
  <c r="BI326" i="7"/>
  <c r="BI365" i="7"/>
  <c r="Q395" i="7"/>
  <c r="BF395" i="7" s="1"/>
  <c r="Q404" i="7"/>
  <c r="BF404" i="7" s="1"/>
  <c r="Q465" i="7"/>
  <c r="BF465" i="7" s="1"/>
  <c r="BI133" i="7"/>
  <c r="Q133" i="7"/>
  <c r="BF133" i="7" s="1"/>
  <c r="BF22" i="7"/>
  <c r="BI26" i="7"/>
  <c r="BF52" i="7"/>
  <c r="BI60" i="7"/>
  <c r="BF70" i="7"/>
  <c r="BF79" i="7"/>
  <c r="BI83" i="7"/>
  <c r="BI95" i="7"/>
  <c r="Q95" i="7"/>
  <c r="BF95" i="7" s="1"/>
  <c r="BF99" i="7"/>
  <c r="BF126" i="7"/>
  <c r="BI137" i="7"/>
  <c r="BI143" i="7"/>
  <c r="BI147" i="7"/>
  <c r="BI168" i="7"/>
  <c r="BF182" i="7"/>
  <c r="R186" i="7"/>
  <c r="Q186" i="7" s="1"/>
  <c r="BF186" i="7" s="1"/>
  <c r="BF264" i="7"/>
  <c r="BI266" i="7"/>
  <c r="BI284" i="7"/>
  <c r="BI313" i="7"/>
  <c r="R335" i="7"/>
  <c r="Q335" i="7" s="1"/>
  <c r="BF335" i="7" s="1"/>
  <c r="BF344" i="7"/>
  <c r="BI396" i="7"/>
  <c r="BI459" i="7"/>
  <c r="BI570" i="7"/>
  <c r="BF643" i="7"/>
  <c r="BI647" i="7"/>
  <c r="BF659" i="7"/>
  <c r="G75" i="10"/>
  <c r="H75" i="10" s="1"/>
  <c r="F75" i="10"/>
  <c r="BF34" i="7"/>
  <c r="BI53" i="7"/>
  <c r="BF73" i="7"/>
  <c r="BF90" i="7"/>
  <c r="BF98" i="7"/>
  <c r="BI110" i="7"/>
  <c r="BF113" i="7"/>
  <c r="BI173" i="7"/>
  <c r="BI189" i="7"/>
  <c r="BI208" i="7"/>
  <c r="BI268" i="7"/>
  <c r="BF287" i="7"/>
  <c r="Q319" i="7"/>
  <c r="BF319" i="7" s="1"/>
  <c r="BI320" i="7"/>
  <c r="BF337" i="7"/>
  <c r="BI355" i="7"/>
  <c r="BI359" i="7"/>
  <c r="BI360" i="7"/>
  <c r="BI372" i="7"/>
  <c r="BI375" i="7"/>
  <c r="BF457" i="7"/>
  <c r="BI458" i="7"/>
  <c r="BI504" i="7"/>
  <c r="Q506" i="7"/>
  <c r="BF506" i="7" s="1"/>
  <c r="BF523" i="7"/>
  <c r="BI547" i="7"/>
  <c r="BI550" i="7"/>
  <c r="BI568" i="7"/>
  <c r="Q615" i="7"/>
  <c r="BF615" i="7" s="1"/>
  <c r="BF693" i="7"/>
  <c r="Q717" i="7"/>
  <c r="BI718" i="7"/>
  <c r="BF234" i="7"/>
  <c r="BF35" i="7"/>
  <c r="BF97" i="7"/>
  <c r="BF104" i="7"/>
  <c r="Q142" i="7"/>
  <c r="BF142" i="7" s="1"/>
  <c r="BI160" i="7"/>
  <c r="BI165" i="7"/>
  <c r="BI219" i="7"/>
  <c r="BI292" i="7"/>
  <c r="BI341" i="7"/>
  <c r="BI385" i="7"/>
  <c r="Q394" i="7"/>
  <c r="BF394" i="7" s="1"/>
  <c r="BF527" i="7"/>
  <c r="BI690" i="7"/>
  <c r="BI676" i="7"/>
  <c r="BF105" i="7"/>
  <c r="BI250" i="7"/>
  <c r="BI288" i="7"/>
  <c r="BF353" i="7"/>
  <c r="BF477" i="7"/>
  <c r="Q491" i="7"/>
  <c r="BF491" i="7" s="1"/>
  <c r="BI491" i="7"/>
  <c r="BF539" i="7"/>
  <c r="BI637" i="7"/>
  <c r="BI669" i="7"/>
  <c r="BI51" i="7"/>
  <c r="Q51" i="7"/>
  <c r="BF51" i="7" s="1"/>
  <c r="BI65" i="7"/>
  <c r="BF83" i="7"/>
  <c r="BI116" i="7"/>
  <c r="BF132" i="7"/>
  <c r="BF150" i="7"/>
  <c r="BF155" i="7"/>
  <c r="BI200" i="7"/>
  <c r="BF226" i="7"/>
  <c r="BF253" i="7"/>
  <c r="BI271" i="7"/>
  <c r="BI285" i="7"/>
  <c r="BF310" i="7"/>
  <c r="BF318" i="7"/>
  <c r="BF387" i="7"/>
  <c r="BF390" i="7"/>
  <c r="BI477" i="7"/>
  <c r="BF512" i="7"/>
  <c r="BF540" i="7"/>
  <c r="BI548" i="7"/>
  <c r="BF589" i="7"/>
  <c r="BI687" i="7"/>
  <c r="BI28" i="7"/>
  <c r="BF41" i="7"/>
  <c r="BI76" i="7"/>
  <c r="BI136" i="7"/>
  <c r="BF157" i="7"/>
  <c r="R202" i="7"/>
  <c r="Q223" i="7"/>
  <c r="BF223" i="7" s="1"/>
  <c r="BI224" i="7"/>
  <c r="BF245" i="7"/>
  <c r="Q270" i="7"/>
  <c r="BF270" i="7" s="1"/>
  <c r="BI276" i="7"/>
  <c r="BI300" i="7"/>
  <c r="BI318" i="7"/>
  <c r="Q370" i="7"/>
  <c r="BF370" i="7" s="1"/>
  <c r="BF398" i="7"/>
  <c r="BF498" i="7"/>
  <c r="BI609" i="7"/>
  <c r="BF614" i="7"/>
  <c r="BI623" i="7"/>
  <c r="BI631" i="7"/>
  <c r="BF646" i="7"/>
  <c r="BI686" i="7"/>
  <c r="G15" i="10"/>
  <c r="H15" i="10" s="1"/>
  <c r="F15" i="10"/>
  <c r="BI91" i="7"/>
  <c r="BF81" i="7"/>
  <c r="BF107" i="7"/>
  <c r="BF120" i="7"/>
  <c r="BF149" i="7"/>
  <c r="BF173" i="7"/>
  <c r="BF180" i="7"/>
  <c r="BF184" i="7"/>
  <c r="BI198" i="7"/>
  <c r="BF201" i="7"/>
  <c r="BF243" i="7"/>
  <c r="BF290" i="7"/>
  <c r="BF328" i="7"/>
  <c r="BI347" i="7"/>
  <c r="BI421" i="7"/>
  <c r="BF574" i="7"/>
  <c r="BF673" i="7"/>
  <c r="BF678" i="7"/>
  <c r="BF688" i="7"/>
  <c r="BF696" i="7"/>
  <c r="G19" i="10"/>
  <c r="H19" i="10" s="1"/>
  <c r="F19" i="10"/>
  <c r="S19" i="10" s="1"/>
  <c r="BF205" i="7"/>
  <c r="BF349" i="7"/>
  <c r="BF75" i="7"/>
  <c r="BI115" i="7"/>
  <c r="BI132" i="7"/>
  <c r="BI185" i="7"/>
  <c r="BF193" i="7"/>
  <c r="BF232" i="7"/>
  <c r="BF233" i="7"/>
  <c r="BF239" i="7"/>
  <c r="BI280" i="7"/>
  <c r="BI346" i="7"/>
  <c r="BF402" i="7"/>
  <c r="BF460" i="7"/>
  <c r="BF463" i="7"/>
  <c r="BF468" i="7"/>
  <c r="BF475" i="7"/>
  <c r="BF476" i="7"/>
  <c r="BF507" i="7"/>
  <c r="BF524" i="7"/>
  <c r="BF536" i="7"/>
  <c r="BF568" i="7"/>
  <c r="BI602" i="7"/>
  <c r="BF655" i="7"/>
  <c r="BF667" i="7"/>
  <c r="BI673" i="7"/>
  <c r="BF687" i="7"/>
  <c r="G65" i="10"/>
  <c r="H65" i="10" s="1"/>
  <c r="F65" i="10"/>
  <c r="BI69" i="7"/>
  <c r="BF6" i="7"/>
  <c r="BI10" i="7"/>
  <c r="BF50" i="7"/>
  <c r="BF62" i="7"/>
  <c r="BF85" i="7"/>
  <c r="BI103" i="7"/>
  <c r="BF123" i="7"/>
  <c r="BF131" i="7"/>
  <c r="BF139" i="7"/>
  <c r="BI146" i="7"/>
  <c r="BF163" i="7"/>
  <c r="BI232" i="7"/>
  <c r="BF256" i="7"/>
  <c r="BF418" i="7"/>
  <c r="BF432" i="7"/>
  <c r="BI456" i="7"/>
  <c r="BI460" i="7"/>
  <c r="BI476" i="7"/>
  <c r="BF490" i="7"/>
  <c r="BI499" i="7"/>
  <c r="BF503" i="7"/>
  <c r="BI525" i="7"/>
  <c r="BF650" i="7"/>
  <c r="BI671" i="7"/>
  <c r="BF695" i="7"/>
  <c r="BF10" i="7"/>
  <c r="BF14" i="7"/>
  <c r="BF9" i="7"/>
  <c r="BI20" i="7"/>
  <c r="BI27" i="7"/>
  <c r="BF64" i="7"/>
  <c r="BI81" i="7"/>
  <c r="BI89" i="7"/>
  <c r="BI93" i="7"/>
  <c r="BI107" i="7"/>
  <c r="BF111" i="7"/>
  <c r="BF112" i="7"/>
  <c r="BF156" i="7"/>
  <c r="BI184" i="7"/>
  <c r="BI194" i="7"/>
  <c r="BI290" i="7"/>
  <c r="BF314" i="7"/>
  <c r="BF331" i="7"/>
  <c r="BF351" i="7"/>
  <c r="BI353" i="7"/>
  <c r="BF397" i="7"/>
  <c r="BF414" i="7"/>
  <c r="BI418" i="7"/>
  <c r="BI432" i="7"/>
  <c r="BI452" i="7"/>
  <c r="BF455" i="7"/>
  <c r="BI469" i="7"/>
  <c r="BI505" i="7"/>
  <c r="BF511" i="7"/>
  <c r="BI655" i="7"/>
  <c r="BI701" i="7"/>
  <c r="BF19" i="7"/>
  <c r="BF54" i="7"/>
  <c r="BI71" i="7"/>
  <c r="BF200" i="7"/>
  <c r="BI273" i="7"/>
  <c r="Q273" i="7"/>
  <c r="BF273" i="7" s="1"/>
  <c r="BF285" i="7"/>
  <c r="BF302" i="7"/>
  <c r="BF369" i="7"/>
  <c r="BF379" i="7"/>
  <c r="BF386" i="7"/>
  <c r="BF412" i="7"/>
  <c r="BI463" i="7"/>
  <c r="BF473" i="7"/>
  <c r="BF582" i="7"/>
  <c r="BF608" i="7"/>
  <c r="BF627" i="7"/>
  <c r="BF631" i="7"/>
  <c r="BI632" i="7"/>
  <c r="BF672" i="7"/>
  <c r="BF701" i="7"/>
  <c r="Q715" i="7"/>
  <c r="BF715" i="7" s="1"/>
  <c r="G9" i="10"/>
  <c r="H9" i="10" s="1"/>
  <c r="F9" i="10"/>
  <c r="G18" i="10"/>
  <c r="H18" i="10" s="1"/>
  <c r="F18" i="10"/>
  <c r="BI293" i="7"/>
  <c r="BI345" i="7"/>
  <c r="BI19" i="7"/>
  <c r="BF43" i="7"/>
  <c r="BF49" i="7"/>
  <c r="BI92" i="7"/>
  <c r="BF106" i="7"/>
  <c r="BI131" i="7"/>
  <c r="BI140" i="7"/>
  <c r="BF148" i="7"/>
  <c r="BI166" i="7"/>
  <c r="BI175" i="7"/>
  <c r="BI183" i="7"/>
  <c r="BI248" i="7"/>
  <c r="BI302" i="7"/>
  <c r="BF325" i="7"/>
  <c r="BF332" i="7"/>
  <c r="BI348" i="7"/>
  <c r="BF361" i="7"/>
  <c r="BI362" i="7"/>
  <c r="BI369" i="7"/>
  <c r="BF401" i="7"/>
  <c r="BF435" i="7"/>
  <c r="BF545" i="7"/>
  <c r="BI681" i="7"/>
  <c r="BI700" i="7"/>
  <c r="BI480" i="7"/>
  <c r="BF493" i="7"/>
  <c r="BI509" i="7"/>
  <c r="BF525" i="7"/>
  <c r="BF609" i="7"/>
  <c r="BF621" i="7"/>
  <c r="BF645" i="7"/>
  <c r="BF16" i="7"/>
  <c r="BF38" i="7"/>
  <c r="BI42" i="7"/>
  <c r="BF100" i="7"/>
  <c r="BI105" i="7"/>
  <c r="BI117" i="7"/>
  <c r="BI148" i="7"/>
  <c r="BF189" i="7"/>
  <c r="BI230" i="7"/>
  <c r="BI260" i="7"/>
  <c r="BF269" i="7"/>
  <c r="BI332" i="7"/>
  <c r="BI343" i="7"/>
  <c r="BI376" i="7"/>
  <c r="BI384" i="7"/>
  <c r="BI390" i="7"/>
  <c r="BF488" i="7"/>
  <c r="BI493" i="7"/>
  <c r="BI496" i="7"/>
  <c r="BI523" i="7"/>
  <c r="BI524" i="7"/>
  <c r="BI536" i="7"/>
  <c r="BF552" i="7"/>
  <c r="BF583" i="7"/>
  <c r="BI603" i="7"/>
  <c r="BI606" i="7"/>
  <c r="BI613" i="7"/>
  <c r="BI645" i="7"/>
  <c r="BF668" i="7"/>
  <c r="BI670" i="7"/>
  <c r="BI674" i="7"/>
  <c r="BF681" i="7"/>
  <c r="F7" i="10"/>
  <c r="S7" i="10" s="1"/>
  <c r="S42" i="10"/>
  <c r="F56" i="10"/>
  <c r="S56" i="10" s="1"/>
  <c r="J99" i="17"/>
  <c r="J103" i="17"/>
  <c r="J108" i="17"/>
  <c r="J33" i="17"/>
  <c r="S44" i="10"/>
  <c r="J117" i="17"/>
  <c r="F36" i="10"/>
  <c r="S36" i="10" s="1"/>
  <c r="S53" i="10"/>
  <c r="F73" i="10"/>
  <c r="BI713" i="7"/>
  <c r="S3" i="10"/>
  <c r="F5" i="10"/>
  <c r="S5" i="10" s="1"/>
  <c r="F68" i="10"/>
  <c r="S68" i="10" s="1"/>
  <c r="BF677" i="7"/>
  <c r="BI714" i="7"/>
  <c r="F58" i="10"/>
  <c r="BF676" i="7"/>
  <c r="BI677" i="7"/>
  <c r="BI678" i="7"/>
  <c r="BI688" i="7"/>
  <c r="BF705" i="7"/>
  <c r="BF708" i="7"/>
  <c r="BF722" i="7"/>
  <c r="F30" i="10"/>
  <c r="S30" i="10" s="1"/>
  <c r="F52" i="10"/>
  <c r="S52" i="10" s="1"/>
  <c r="BF657" i="7"/>
  <c r="BF675" i="7"/>
  <c r="BI696" i="7"/>
  <c r="BF702" i="7"/>
  <c r="BI723" i="7"/>
  <c r="A5" i="1"/>
  <c r="A4" i="2"/>
  <c r="A3" i="1"/>
  <c r="A45" i="4"/>
  <c r="A48" i="1"/>
  <c r="A4" i="3"/>
  <c r="A4" i="4"/>
  <c r="BI15" i="7"/>
  <c r="BI29" i="7"/>
  <c r="BI56" i="7"/>
  <c r="BI111" i="7"/>
  <c r="BI118" i="7"/>
  <c r="BI134" i="7"/>
  <c r="BI24" i="7"/>
  <c r="BI87" i="7"/>
  <c r="BI21" i="7"/>
  <c r="BI52" i="7"/>
  <c r="BI70" i="7"/>
  <c r="BI55" i="7"/>
  <c r="BI59" i="7"/>
  <c r="BI73" i="7"/>
  <c r="BI90" i="7"/>
  <c r="BI23" i="7"/>
  <c r="BI41" i="7"/>
  <c r="BI58" i="7"/>
  <c r="BI63" i="7"/>
  <c r="BI9" i="7"/>
  <c r="BI45" i="7"/>
  <c r="BI72" i="7"/>
  <c r="BI129" i="7"/>
  <c r="BI40" i="7"/>
  <c r="BI109" i="7"/>
  <c r="BI178" i="7"/>
  <c r="BI86" i="7"/>
  <c r="BI39" i="7"/>
  <c r="BI57" i="7"/>
  <c r="BI74" i="7"/>
  <c r="BI79" i="7"/>
  <c r="BI4" i="7"/>
  <c r="BI7" i="7"/>
  <c r="BI11" i="7"/>
  <c r="BI22" i="7"/>
  <c r="BI61" i="7"/>
  <c r="BI88" i="7"/>
  <c r="BI47" i="7"/>
  <c r="BE134" i="7"/>
  <c r="U134" i="7"/>
  <c r="BI210" i="7"/>
  <c r="U41" i="7"/>
  <c r="Q7" i="7"/>
  <c r="BF7" i="7" s="1"/>
  <c r="Q23" i="7"/>
  <c r="Q39" i="7"/>
  <c r="BF39" i="7" s="1"/>
  <c r="Q55" i="7"/>
  <c r="BF55" i="7" s="1"/>
  <c r="Q71" i="7"/>
  <c r="BF71" i="7" s="1"/>
  <c r="Q87" i="7"/>
  <c r="Q115" i="7"/>
  <c r="BF115" i="7" s="1"/>
  <c r="Q119" i="7"/>
  <c r="BF119" i="7" s="1"/>
  <c r="BI122" i="7"/>
  <c r="Q135" i="7"/>
  <c r="BF135" i="7" s="1"/>
  <c r="Q141" i="7"/>
  <c r="BF141" i="7" s="1"/>
  <c r="Q152" i="7"/>
  <c r="BF152" i="7" s="1"/>
  <c r="BI182" i="7"/>
  <c r="BF191" i="7"/>
  <c r="BI205" i="7"/>
  <c r="BF218" i="7"/>
  <c r="BE270" i="7"/>
  <c r="U270" i="7"/>
  <c r="BI363" i="7"/>
  <c r="Q366" i="7"/>
  <c r="BF366" i="7" s="1"/>
  <c r="BI366" i="7"/>
  <c r="BE366" i="7"/>
  <c r="U366" i="7"/>
  <c r="U6" i="7"/>
  <c r="U22" i="7"/>
  <c r="U38" i="7"/>
  <c r="U54" i="7"/>
  <c r="U70" i="7"/>
  <c r="U86" i="7"/>
  <c r="BI114" i="7"/>
  <c r="U122" i="7"/>
  <c r="AA123" i="7"/>
  <c r="BI123" i="7" s="1"/>
  <c r="BI125" i="7"/>
  <c r="U136" i="7"/>
  <c r="BH137" i="7"/>
  <c r="BH138" i="7"/>
  <c r="BF143" i="7"/>
  <c r="BI156" i="7"/>
  <c r="Q168" i="7"/>
  <c r="BF168" i="7" s="1"/>
  <c r="Q183" i="7"/>
  <c r="BF183" i="7" s="1"/>
  <c r="U191" i="7"/>
  <c r="BE191" i="7"/>
  <c r="BI196" i="7"/>
  <c r="U197" i="7"/>
  <c r="BF231" i="7"/>
  <c r="AA231" i="7"/>
  <c r="BI231" i="7" s="1"/>
  <c r="BE240" i="7"/>
  <c r="U240" i="7"/>
  <c r="U245" i="7"/>
  <c r="BE245" i="7"/>
  <c r="BI275" i="7"/>
  <c r="BI287" i="7"/>
  <c r="U303" i="7"/>
  <c r="BE303" i="7"/>
  <c r="BE314" i="7"/>
  <c r="U314" i="7"/>
  <c r="BI327" i="7"/>
  <c r="BF333" i="7"/>
  <c r="AG246" i="7"/>
  <c r="BI246" i="7" s="1"/>
  <c r="BF246" i="7"/>
  <c r="Q259" i="7"/>
  <c r="BF259" i="7" s="1"/>
  <c r="BI259" i="7"/>
  <c r="U433" i="7"/>
  <c r="BE433" i="7"/>
  <c r="AG245" i="7"/>
  <c r="BI245" i="7" s="1"/>
  <c r="U8" i="7"/>
  <c r="U117" i="7"/>
  <c r="U143" i="7"/>
  <c r="BE143" i="7"/>
  <c r="AA120" i="7"/>
  <c r="BI120" i="7" s="1"/>
  <c r="U142" i="7"/>
  <c r="U162" i="7"/>
  <c r="U10" i="7"/>
  <c r="U26" i="7"/>
  <c r="BI30" i="7"/>
  <c r="BF33" i="7"/>
  <c r="U42" i="7"/>
  <c r="BI46" i="7"/>
  <c r="U58" i="7"/>
  <c r="BI62" i="7"/>
  <c r="U74" i="7"/>
  <c r="BI78" i="7"/>
  <c r="U90" i="7"/>
  <c r="BI94" i="7"/>
  <c r="BF130" i="7"/>
  <c r="U132" i="7"/>
  <c r="U133" i="7"/>
  <c r="U151" i="7"/>
  <c r="BE151" i="7"/>
  <c r="BE158" i="7"/>
  <c r="BI161" i="7"/>
  <c r="BF171" i="7"/>
  <c r="Q195" i="7"/>
  <c r="BF195" i="7" s="1"/>
  <c r="BI195" i="7"/>
  <c r="BI212" i="7"/>
  <c r="BI227" i="7"/>
  <c r="U239" i="7"/>
  <c r="BI243" i="7"/>
  <c r="BI244" i="7"/>
  <c r="Q286" i="7"/>
  <c r="BF286" i="7" s="1"/>
  <c r="BI286" i="7"/>
  <c r="BI177" i="7"/>
  <c r="BE118" i="7"/>
  <c r="U118" i="7"/>
  <c r="U56" i="7"/>
  <c r="Q151" i="7"/>
  <c r="BF151" i="7" s="1"/>
  <c r="BI151" i="7"/>
  <c r="BI14" i="7"/>
  <c r="BE3" i="7"/>
  <c r="U11" i="7"/>
  <c r="BE19" i="7"/>
  <c r="U27" i="7"/>
  <c r="BE35" i="7"/>
  <c r="U43" i="7"/>
  <c r="BE51" i="7"/>
  <c r="U59" i="7"/>
  <c r="BE67" i="7"/>
  <c r="U75" i="7"/>
  <c r="BE83" i="7"/>
  <c r="U91" i="7"/>
  <c r="BE105" i="7"/>
  <c r="BI126" i="7"/>
  <c r="BI130" i="7"/>
  <c r="U131" i="7"/>
  <c r="Q160" i="7"/>
  <c r="BF160" i="7" s="1"/>
  <c r="Q167" i="7"/>
  <c r="BF167" i="7" s="1"/>
  <c r="U175" i="7"/>
  <c r="BE175" i="7"/>
  <c r="BF194" i="7"/>
  <c r="BE195" i="7"/>
  <c r="U195" i="7"/>
  <c r="BF224" i="7"/>
  <c r="BI256" i="7"/>
  <c r="BI263" i="7"/>
  <c r="BI301" i="7"/>
  <c r="Q301" i="7"/>
  <c r="BF301" i="7" s="1"/>
  <c r="Q240" i="7"/>
  <c r="BF240" i="7" s="1"/>
  <c r="BI240" i="7"/>
  <c r="BE274" i="7"/>
  <c r="U274" i="7"/>
  <c r="U72" i="7"/>
  <c r="U116" i="7"/>
  <c r="U73" i="7"/>
  <c r="AA112" i="7"/>
  <c r="BI112" i="7" s="1"/>
  <c r="BF124" i="7"/>
  <c r="BF128" i="7"/>
  <c r="BE153" i="7"/>
  <c r="BE164" i="7"/>
  <c r="Q174" i="7"/>
  <c r="BF174" i="7" s="1"/>
  <c r="BI174" i="7"/>
  <c r="BF225" i="7"/>
  <c r="BI226" i="7"/>
  <c r="BI239" i="7"/>
  <c r="BE301" i="7"/>
  <c r="U301" i="7"/>
  <c r="BF330" i="7"/>
  <c r="AA330" i="7"/>
  <c r="BI330" i="7" s="1"/>
  <c r="Q433" i="7"/>
  <c r="BF433" i="7" s="1"/>
  <c r="BI433" i="7"/>
  <c r="BE321" i="7"/>
  <c r="U321" i="7"/>
  <c r="BF108" i="7"/>
  <c r="BE110" i="7"/>
  <c r="BE129" i="7"/>
  <c r="U129" i="7"/>
  <c r="BF138" i="7"/>
  <c r="BF153" i="7"/>
  <c r="BE170" i="7"/>
  <c r="BI180" i="7"/>
  <c r="U181" i="7"/>
  <c r="BF197" i="7"/>
  <c r="BI225" i="7"/>
  <c r="BF238" i="7"/>
  <c r="AA238" i="7"/>
  <c r="BI238" i="7" s="1"/>
  <c r="Q242" i="7"/>
  <c r="BF242" i="7" s="1"/>
  <c r="BI242" i="7"/>
  <c r="BI257" i="7"/>
  <c r="Q257" i="7"/>
  <c r="BF257" i="7" s="1"/>
  <c r="U25" i="7"/>
  <c r="BI18" i="7"/>
  <c r="BI34" i="7"/>
  <c r="BI50" i="7"/>
  <c r="BI66" i="7"/>
  <c r="BI82" i="7"/>
  <c r="BI104" i="7"/>
  <c r="BI127" i="7"/>
  <c r="BF137" i="7"/>
  <c r="Q187" i="7"/>
  <c r="BF187" i="7" s="1"/>
  <c r="BI187" i="7"/>
  <c r="BI193" i="7"/>
  <c r="U194" i="7"/>
  <c r="BF221"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F206" i="7"/>
  <c r="BE221" i="7"/>
  <c r="U221" i="7"/>
  <c r="BF248" i="7"/>
  <c r="U257" i="7"/>
  <c r="BF276" i="7"/>
  <c r="BE285" i="7"/>
  <c r="U285" i="7"/>
  <c r="Q300" i="7"/>
  <c r="BF300" i="7" s="1"/>
  <c r="BI391" i="7"/>
  <c r="Q391" i="7"/>
  <c r="BF391" i="7" s="1"/>
  <c r="U57" i="7"/>
  <c r="BE40" i="7"/>
  <c r="BE88" i="7"/>
  <c r="U126" i="7"/>
  <c r="BE126" i="7"/>
  <c r="BE159" i="7"/>
  <c r="U159" i="7"/>
  <c r="Q192" i="7"/>
  <c r="BF192" i="7" s="1"/>
  <c r="BI192" i="7"/>
  <c r="Q211" i="7"/>
  <c r="BF211" i="7" s="1"/>
  <c r="BI211" i="7"/>
  <c r="BF237" i="7"/>
  <c r="AA237" i="7"/>
  <c r="BI237" i="7" s="1"/>
  <c r="BF241" i="7"/>
  <c r="BF251" i="7"/>
  <c r="BI269" i="7"/>
  <c r="BF295" i="7"/>
  <c r="BE305" i="7"/>
  <c r="U305" i="7"/>
  <c r="Q371" i="7"/>
  <c r="BF371" i="7" s="1"/>
  <c r="BI371" i="7"/>
  <c r="Q203" i="7"/>
  <c r="BF203" i="7" s="1"/>
  <c r="BI203" i="7"/>
  <c r="BE269" i="7"/>
  <c r="U269" i="7"/>
  <c r="BE9" i="7"/>
  <c r="BI121" i="7"/>
  <c r="BF125" i="7"/>
  <c r="BE147" i="7"/>
  <c r="U147" i="7"/>
  <c r="BI155" i="7"/>
  <c r="BI163" i="7"/>
  <c r="BF165" i="7"/>
  <c r="BE166" i="7"/>
  <c r="U166" i="7"/>
  <c r="Q179" i="7"/>
  <c r="BI179" i="7"/>
  <c r="BE199" i="7"/>
  <c r="U199" i="7"/>
  <c r="BE211" i="7"/>
  <c r="U211" i="7"/>
  <c r="BF219" i="7"/>
  <c r="BF235" i="7"/>
  <c r="BI236" i="7"/>
  <c r="BI241" i="7"/>
  <c r="AA247" i="7"/>
  <c r="BI247" i="7" s="1"/>
  <c r="U261" i="7"/>
  <c r="BE261" i="7"/>
  <c r="U271" i="7"/>
  <c r="BI296" i="7"/>
  <c r="Q304" i="7"/>
  <c r="BF304" i="7" s="1"/>
  <c r="BI304" i="7"/>
  <c r="BE183" i="7"/>
  <c r="U183" i="7"/>
  <c r="BI139" i="7"/>
  <c r="BF140" i="7"/>
  <c r="BF178" i="7"/>
  <c r="BE179" i="7"/>
  <c r="U179" i="7"/>
  <c r="BF198" i="7"/>
  <c r="BE202" i="7"/>
  <c r="AA261" i="7"/>
  <c r="BI261" i="7" s="1"/>
  <c r="BF261" i="7"/>
  <c r="BF277" i="7"/>
  <c r="BI209" i="7"/>
  <c r="BE255" i="7"/>
  <c r="U255" i="7"/>
  <c r="BI6" i="7"/>
  <c r="BI113" i="7"/>
  <c r="Q122" i="7"/>
  <c r="BF122" i="7" s="1"/>
  <c r="BF136" i="7"/>
  <c r="BF144" i="7"/>
  <c r="BE145" i="7"/>
  <c r="U145" i="7"/>
  <c r="BI171" i="7"/>
  <c r="BI204" i="7"/>
  <c r="BI234" i="7"/>
  <c r="BF275" i="7"/>
  <c r="AG277" i="7"/>
  <c r="BI277" i="7" s="1"/>
  <c r="U289" i="7"/>
  <c r="BI340" i="7"/>
  <c r="BE171" i="7"/>
  <c r="BE187" i="7"/>
  <c r="BE203" i="7"/>
  <c r="BE215" i="7"/>
  <c r="BE258" i="7"/>
  <c r="U258" i="7"/>
  <c r="BE293" i="7"/>
  <c r="U302" i="7"/>
  <c r="BE302" i="7"/>
  <c r="BI303" i="7"/>
  <c r="BF312" i="7"/>
  <c r="BF313" i="7"/>
  <c r="Q378" i="7"/>
  <c r="BF378" i="7" s="1"/>
  <c r="BI378" i="7"/>
  <c r="BI401" i="7"/>
  <c r="BI419" i="7"/>
  <c r="Q429" i="7"/>
  <c r="BF429" i="7" s="1"/>
  <c r="BI466" i="7"/>
  <c r="U347" i="7"/>
  <c r="BE347" i="7"/>
  <c r="BI361" i="7"/>
  <c r="Q400" i="7"/>
  <c r="BF400" i="7" s="1"/>
  <c r="BI400" i="7"/>
  <c r="BI405" i="7"/>
  <c r="U437" i="7"/>
  <c r="BE437" i="7"/>
  <c r="Q461" i="7"/>
  <c r="BF461" i="7" s="1"/>
  <c r="BI461" i="7"/>
  <c r="BI311" i="7"/>
  <c r="BE327" i="7"/>
  <c r="U327" i="7"/>
  <c r="U345" i="7"/>
  <c r="Q377" i="7"/>
  <c r="BF377" i="7" s="1"/>
  <c r="BI377" i="7"/>
  <c r="BF437" i="7"/>
  <c r="AA437" i="7"/>
  <c r="BI437" i="7" s="1"/>
  <c r="BE461" i="7"/>
  <c r="U461" i="7"/>
  <c r="BE540" i="7"/>
  <c r="U540" i="7"/>
  <c r="Q558" i="7"/>
  <c r="BF558" i="7" s="1"/>
  <c r="BI558" i="7"/>
  <c r="BI310" i="7"/>
  <c r="AG328" i="7"/>
  <c r="BI328" i="7" s="1"/>
  <c r="U344" i="7"/>
  <c r="U394" i="7"/>
  <c r="BE394" i="7"/>
  <c r="BF555" i="7"/>
  <c r="AG555" i="7"/>
  <c r="BI555" i="7" s="1"/>
  <c r="BE571" i="7"/>
  <c r="U571" i="7"/>
  <c r="BE207" i="7"/>
  <c r="BI215" i="7"/>
  <c r="BE219" i="7"/>
  <c r="BE235" i="7"/>
  <c r="BE249" i="7"/>
  <c r="BI254" i="7"/>
  <c r="BI267" i="7"/>
  <c r="BI283" i="7"/>
  <c r="BI291" i="7"/>
  <c r="BI299" i="7"/>
  <c r="Q299" i="7"/>
  <c r="BF299" i="7" s="1"/>
  <c r="U300" i="7"/>
  <c r="BI309" i="7"/>
  <c r="U318" i="7"/>
  <c r="BF364" i="7"/>
  <c r="U365" i="7"/>
  <c r="BF380" i="7"/>
  <c r="BI397" i="7"/>
  <c r="BF410" i="7"/>
  <c r="BF446" i="7"/>
  <c r="AA446" i="7"/>
  <c r="BI446" i="7" s="1"/>
  <c r="BI464" i="7"/>
  <c r="BE532" i="7"/>
  <c r="U532" i="7"/>
  <c r="U148" i="7"/>
  <c r="U167" i="7"/>
  <c r="U168" i="7"/>
  <c r="U184" i="7"/>
  <c r="BE192" i="7"/>
  <c r="U200" i="7"/>
  <c r="BE208" i="7"/>
  <c r="Q229" i="7"/>
  <c r="BF229" i="7" s="1"/>
  <c r="BI264" i="7"/>
  <c r="U268" i="7"/>
  <c r="BF282" i="7"/>
  <c r="BI294" i="7"/>
  <c r="BI317" i="7"/>
  <c r="BF343" i="7"/>
  <c r="BF365" i="7"/>
  <c r="BE369" i="7"/>
  <c r="U369" i="7"/>
  <c r="U386" i="7"/>
  <c r="U390" i="7"/>
  <c r="BI393" i="7"/>
  <c r="Q393" i="7"/>
  <c r="BF393" i="7" s="1"/>
  <c r="BH419" i="7"/>
  <c r="Q428" i="7"/>
  <c r="BF428" i="7" s="1"/>
  <c r="BI428" i="7"/>
  <c r="BI445" i="7"/>
  <c r="Q531" i="7"/>
  <c r="BF531" i="7" s="1"/>
  <c r="BI531" i="7"/>
  <c r="BI251" i="7"/>
  <c r="BF266" i="7"/>
  <c r="BF281" i="7"/>
  <c r="BF308" i="7"/>
  <c r="BI316" i="7"/>
  <c r="Q316" i="7"/>
  <c r="BF316" i="7" s="1"/>
  <c r="BI389" i="7"/>
  <c r="Q389" i="7"/>
  <c r="BF389" i="7" s="1"/>
  <c r="BE422" i="7"/>
  <c r="U422" i="7"/>
  <c r="BE428" i="7"/>
  <c r="U428" i="7"/>
  <c r="Q431" i="7"/>
  <c r="BF431" i="7" s="1"/>
  <c r="BI431" i="7"/>
  <c r="U436" i="7"/>
  <c r="BE436" i="7"/>
  <c r="BI516" i="7"/>
  <c r="Q516" i="7"/>
  <c r="BF516" i="7" s="1"/>
  <c r="BI190" i="7"/>
  <c r="BI206" i="7"/>
  <c r="BI218" i="7"/>
  <c r="BF265" i="7"/>
  <c r="U266" i="7"/>
  <c r="BE266" i="7"/>
  <c r="BI281" i="7"/>
  <c r="U282" i="7"/>
  <c r="BE282" i="7"/>
  <c r="BF298" i="7"/>
  <c r="U308" i="7"/>
  <c r="BE308" i="7"/>
  <c r="U317" i="7"/>
  <c r="BF334" i="7"/>
  <c r="U343" i="7"/>
  <c r="BF357" i="7"/>
  <c r="BF385" i="7"/>
  <c r="BE431" i="7"/>
  <c r="U431" i="7"/>
  <c r="Q520" i="7"/>
  <c r="BF520" i="7" s="1"/>
  <c r="BI520" i="7"/>
  <c r="Q230" i="7"/>
  <c r="BF230" i="7" s="1"/>
  <c r="BI235" i="7"/>
  <c r="BF250" i="7"/>
  <c r="BI265" i="7"/>
  <c r="BI295" i="7"/>
  <c r="BF296" i="7"/>
  <c r="U316" i="7"/>
  <c r="Q323" i="7"/>
  <c r="BF323" i="7" s="1"/>
  <c r="BF329" i="7"/>
  <c r="BI334" i="7"/>
  <c r="AG337" i="7"/>
  <c r="BI337" i="7" s="1"/>
  <c r="BF356" i="7"/>
  <c r="BF363" i="7"/>
  <c r="BF384" i="7"/>
  <c r="U389" i="7"/>
  <c r="BF236" i="7"/>
  <c r="BF249" i="7"/>
  <c r="U250" i="7"/>
  <c r="BE250" i="7"/>
  <c r="Q278" i="7"/>
  <c r="BF278" i="7" s="1"/>
  <c r="BI278" i="7"/>
  <c r="BF342" i="7"/>
  <c r="BI356" i="7"/>
  <c r="U363" i="7"/>
  <c r="BE363" i="7"/>
  <c r="BF373" i="7"/>
  <c r="U375" i="7"/>
  <c r="BE375" i="7"/>
  <c r="BF408" i="7"/>
  <c r="BI249" i="7"/>
  <c r="U295" i="7"/>
  <c r="BI307" i="7"/>
  <c r="Q307" i="7"/>
  <c r="BF307" i="7" s="1"/>
  <c r="BI315" i="7"/>
  <c r="Q315" i="7"/>
  <c r="BF315" i="7" s="1"/>
  <c r="BE319" i="7"/>
  <c r="BI367" i="7"/>
  <c r="BI383" i="7"/>
  <c r="BI392" i="7"/>
  <c r="Q392" i="7"/>
  <c r="BF392" i="7" s="1"/>
  <c r="BI434" i="7"/>
  <c r="Q434" i="7"/>
  <c r="BF434" i="7" s="1"/>
  <c r="Q262" i="7"/>
  <c r="BF262" i="7" s="1"/>
  <c r="BI262" i="7"/>
  <c r="BF303" i="7"/>
  <c r="U307" i="7"/>
  <c r="BE307" i="7"/>
  <c r="BF322" i="7"/>
  <c r="BF359" i="7"/>
  <c r="BF362" i="7"/>
  <c r="BF382" i="7"/>
  <c r="BI388" i="7"/>
  <c r="Q388" i="7"/>
  <c r="BF388" i="7" s="1"/>
  <c r="BF409" i="7"/>
  <c r="BE421" i="7"/>
  <c r="U421" i="7"/>
  <c r="Q427" i="7"/>
  <c r="BF427" i="7" s="1"/>
  <c r="BI427" i="7"/>
  <c r="Q430" i="7"/>
  <c r="BF430" i="7" s="1"/>
  <c r="BI430" i="7"/>
  <c r="BI486" i="7"/>
  <c r="Q486" i="7"/>
  <c r="BF486" i="7" s="1"/>
  <c r="BF289" i="7"/>
  <c r="BE290" i="7"/>
  <c r="U290" i="7"/>
  <c r="U315" i="7"/>
  <c r="BE322" i="7"/>
  <c r="U322" i="7"/>
  <c r="BF341" i="7"/>
  <c r="BF381" i="7"/>
  <c r="BI382" i="7"/>
  <c r="BF407" i="7"/>
  <c r="BF413" i="7"/>
  <c r="BE427" i="7"/>
  <c r="U427" i="7"/>
  <c r="BE430" i="7"/>
  <c r="U430" i="7"/>
  <c r="BI462" i="7"/>
  <c r="Q462" i="7"/>
  <c r="BF462" i="7" s="1"/>
  <c r="BF321" i="7"/>
  <c r="BF340" i="7"/>
  <c r="Q350" i="7"/>
  <c r="BF350" i="7" s="1"/>
  <c r="BI350" i="7"/>
  <c r="BE376" i="7"/>
  <c r="U388" i="7"/>
  <c r="BI408" i="7"/>
  <c r="BE462" i="7"/>
  <c r="U462" i="7"/>
  <c r="BF480" i="7"/>
  <c r="BI344" i="7"/>
  <c r="BF420" i="7"/>
  <c r="BF421" i="7"/>
  <c r="BI422" i="7"/>
  <c r="BI443" i="7"/>
  <c r="Q445" i="7"/>
  <c r="BF445" i="7" s="1"/>
  <c r="BF451" i="7"/>
  <c r="Q487" i="7"/>
  <c r="BF487" i="7" s="1"/>
  <c r="BI487" i="7"/>
  <c r="BF505" i="7"/>
  <c r="BE546" i="7"/>
  <c r="U546" i="7"/>
  <c r="BF553" i="7"/>
  <c r="BI438" i="7"/>
  <c r="Q438" i="7"/>
  <c r="BF438" i="7" s="1"/>
  <c r="Q441" i="7"/>
  <c r="BF441" i="7" s="1"/>
  <c r="BI441" i="7"/>
  <c r="U464" i="7"/>
  <c r="BE464" i="7"/>
  <c r="U487" i="7"/>
  <c r="BE487" i="7"/>
  <c r="Q559" i="7"/>
  <c r="BF559" i="7" s="1"/>
  <c r="BI559" i="7"/>
  <c r="BE560" i="7"/>
  <c r="U560" i="7"/>
  <c r="BF592" i="7"/>
  <c r="U685" i="7"/>
  <c r="BE685" i="7"/>
  <c r="Q694" i="7"/>
  <c r="BF694" i="7" s="1"/>
  <c r="BI694" i="7"/>
  <c r="U443" i="7"/>
  <c r="U452" i="7"/>
  <c r="U463" i="7"/>
  <c r="BF504" i="7"/>
  <c r="BI532" i="7"/>
  <c r="BI403" i="7"/>
  <c r="Q485" i="7"/>
  <c r="BF485" i="7" s="1"/>
  <c r="BI485" i="7"/>
  <c r="AG554" i="7"/>
  <c r="BI554" i="7" s="1"/>
  <c r="BF554" i="7"/>
  <c r="BE563" i="7"/>
  <c r="U563" i="7"/>
  <c r="BE690" i="7"/>
  <c r="U690" i="7"/>
  <c r="BF326" i="7"/>
  <c r="BE357" i="7"/>
  <c r="U370" i="7"/>
  <c r="U371" i="7"/>
  <c r="U372" i="7"/>
  <c r="U398" i="7"/>
  <c r="U399" i="7"/>
  <c r="U400" i="7"/>
  <c r="U429" i="7"/>
  <c r="BI455" i="7"/>
  <c r="BF458" i="7"/>
  <c r="U478" i="7"/>
  <c r="BE478" i="7"/>
  <c r="BI511" i="7"/>
  <c r="Q519" i="7"/>
  <c r="BF519" i="7" s="1"/>
  <c r="BI519" i="7"/>
  <c r="BI567" i="7"/>
  <c r="BI331" i="7"/>
  <c r="U402" i="7"/>
  <c r="BI406" i="7"/>
  <c r="BI415" i="7"/>
  <c r="U460" i="7"/>
  <c r="BI472" i="7"/>
  <c r="BI478" i="7"/>
  <c r="BF484" i="7"/>
  <c r="BF640" i="7"/>
  <c r="AG640" i="7"/>
  <c r="BI640" i="7" s="1"/>
  <c r="BI407" i="7"/>
  <c r="BI413" i="7"/>
  <c r="BI416" i="7"/>
  <c r="BF456" i="7"/>
  <c r="BE472" i="7"/>
  <c r="U472" i="7"/>
  <c r="Q495" i="7"/>
  <c r="BF495" i="7" s="1"/>
  <c r="BI495" i="7"/>
  <c r="BI580" i="7"/>
  <c r="Q580" i="7"/>
  <c r="BF580" i="7" s="1"/>
  <c r="BE635" i="7"/>
  <c r="U635" i="7"/>
  <c r="U649" i="7"/>
  <c r="BE649" i="7"/>
  <c r="BI306" i="7"/>
  <c r="BI351" i="7"/>
  <c r="BI409" i="7"/>
  <c r="BI453" i="7"/>
  <c r="U458" i="7"/>
  <c r="BI471" i="7"/>
  <c r="U474" i="7"/>
  <c r="U605" i="7"/>
  <c r="BE605" i="7"/>
  <c r="BI336" i="7"/>
  <c r="BF354" i="7"/>
  <c r="BI357" i="7"/>
  <c r="BI467" i="7"/>
  <c r="BF494" i="7"/>
  <c r="BF537" i="7"/>
  <c r="U548" i="7"/>
  <c r="BE548" i="7"/>
  <c r="BI338" i="7"/>
  <c r="BI358" i="7"/>
  <c r="BI381" i="7"/>
  <c r="Q383" i="7"/>
  <c r="BF383" i="7" s="1"/>
  <c r="U456" i="7"/>
  <c r="BI470" i="7"/>
  <c r="BI481" i="7"/>
  <c r="BE488" i="7"/>
  <c r="U488" i="7"/>
  <c r="BF496" i="7"/>
  <c r="BI514" i="7"/>
  <c r="BI515" i="7"/>
  <c r="BI410" i="7"/>
  <c r="BE432" i="7"/>
  <c r="BI454" i="7"/>
  <c r="BF522" i="7"/>
  <c r="BF542" i="7"/>
  <c r="BE547" i="7"/>
  <c r="U547" i="7"/>
  <c r="BE619" i="7"/>
  <c r="U619" i="7"/>
  <c r="U414" i="7"/>
  <c r="BF453" i="7"/>
  <c r="U469" i="7"/>
  <c r="BF482" i="7"/>
  <c r="Q575" i="7"/>
  <c r="BF575" i="7" s="1"/>
  <c r="BI575" i="7"/>
  <c r="BI576" i="7"/>
  <c r="BI298" i="7"/>
  <c r="BI314" i="7"/>
  <c r="BI339" i="7"/>
  <c r="BI364" i="7"/>
  <c r="U383" i="7"/>
  <c r="BI387" i="7"/>
  <c r="BI439" i="7"/>
  <c r="U454" i="7"/>
  <c r="BI482" i="7"/>
  <c r="BE485" i="7"/>
  <c r="BI533" i="7"/>
  <c r="Q533" i="7"/>
  <c r="BF533" i="7" s="1"/>
  <c r="BE579" i="7"/>
  <c r="U579" i="7"/>
  <c r="Q422" i="7"/>
  <c r="BF422" i="7" s="1"/>
  <c r="Q443" i="7"/>
  <c r="BF452" i="7"/>
  <c r="U466" i="7"/>
  <c r="BE466" i="7"/>
  <c r="BF481" i="7"/>
  <c r="BI517" i="7"/>
  <c r="Q521" i="7"/>
  <c r="BF521" i="7" s="1"/>
  <c r="BI521" i="7"/>
  <c r="BF510" i="7"/>
  <c r="Q513" i="7"/>
  <c r="BF513" i="7" s="1"/>
  <c r="BI513" i="7"/>
  <c r="BH556" i="7"/>
  <c r="U572" i="7"/>
  <c r="BI587" i="7"/>
  <c r="AG607" i="7"/>
  <c r="BI607" i="7" s="1"/>
  <c r="BE614" i="7"/>
  <c r="U614" i="7"/>
  <c r="BI619" i="7"/>
  <c r="BI630" i="7"/>
  <c r="BF639" i="7"/>
  <c r="AG641" i="7"/>
  <c r="BI641" i="7" s="1"/>
  <c r="BF641" i="7"/>
  <c r="BI490" i="7"/>
  <c r="BI518" i="7"/>
  <c r="BI539" i="7"/>
  <c r="BF566" i="7"/>
  <c r="U580" i="7"/>
  <c r="BE580" i="7"/>
  <c r="Q586" i="7"/>
  <c r="BF586" i="7" s="1"/>
  <c r="BI586" i="7"/>
  <c r="BI592" i="7"/>
  <c r="Q618" i="7"/>
  <c r="BF618" i="7" s="1"/>
  <c r="BI618" i="7"/>
  <c r="BF624" i="7"/>
  <c r="AG624" i="7"/>
  <c r="BI624" i="7" s="1"/>
  <c r="Q634" i="7"/>
  <c r="BF634" i="7" s="1"/>
  <c r="BI634" i="7"/>
  <c r="BI638" i="7"/>
  <c r="Q591" i="7"/>
  <c r="BF591" i="7" s="1"/>
  <c r="BI591" i="7"/>
  <c r="U592" i="7"/>
  <c r="BE592" i="7"/>
  <c r="BI622" i="7"/>
  <c r="BI639" i="7"/>
  <c r="Q663" i="7"/>
  <c r="BF663" i="7" s="1"/>
  <c r="BI663" i="7"/>
  <c r="Q679" i="7"/>
  <c r="BF679" i="7" s="1"/>
  <c r="BI679" i="7"/>
  <c r="BF499" i="7"/>
  <c r="BE512" i="7"/>
  <c r="U512" i="7"/>
  <c r="Q565" i="7"/>
  <c r="BF565" i="7" s="1"/>
  <c r="BI565" i="7"/>
  <c r="BI579" i="7"/>
  <c r="BF598" i="7"/>
  <c r="BI616" i="7"/>
  <c r="BI646" i="7"/>
  <c r="BF680" i="7"/>
  <c r="AG680" i="7"/>
  <c r="BI680" i="7" s="1"/>
  <c r="BI398" i="7"/>
  <c r="BI503" i="7"/>
  <c r="BI507" i="7"/>
  <c r="U520" i="7"/>
  <c r="BE520" i="7"/>
  <c r="BF584" i="7"/>
  <c r="BE585" i="7"/>
  <c r="U585" i="7"/>
  <c r="BH586" i="7"/>
  <c r="BE597" i="7"/>
  <c r="U597" i="7"/>
  <c r="BF617" i="7"/>
  <c r="BF633" i="7"/>
  <c r="Q637" i="7"/>
  <c r="BF637" i="7" s="1"/>
  <c r="Q647" i="7"/>
  <c r="BF647" i="7" s="1"/>
  <c r="BF489" i="7"/>
  <c r="BF517" i="7"/>
  <c r="BF530" i="7"/>
  <c r="BF544" i="7"/>
  <c r="BF564" i="7"/>
  <c r="BI578" i="7"/>
  <c r="Q578" i="7"/>
  <c r="BF597" i="7"/>
  <c r="BE659" i="7"/>
  <c r="U659" i="7"/>
  <c r="BI666" i="7"/>
  <c r="Q724" i="7"/>
  <c r="BF724" i="7" s="1"/>
  <c r="BI724" i="7"/>
  <c r="BE482" i="7"/>
  <c r="BI530" i="7"/>
  <c r="BI544" i="7"/>
  <c r="BI564" i="7"/>
  <c r="Q573" i="7"/>
  <c r="BF573" i="7" s="1"/>
  <c r="BI573" i="7"/>
  <c r="BI590" i="7"/>
  <c r="Q590" i="7"/>
  <c r="BF590" i="7" s="1"/>
  <c r="AA597" i="7"/>
  <c r="BI597" i="7" s="1"/>
  <c r="BF603" i="7"/>
  <c r="BI621" i="7"/>
  <c r="BE666" i="7"/>
  <c r="U666" i="7"/>
  <c r="BF709" i="7"/>
  <c r="Q529" i="7"/>
  <c r="BF529" i="7" s="1"/>
  <c r="BI529" i="7"/>
  <c r="BF543" i="7"/>
  <c r="BF557" i="7"/>
  <c r="BF563" i="7"/>
  <c r="U564" i="7"/>
  <c r="BE564" i="7"/>
  <c r="BF596" i="7"/>
  <c r="U621" i="7"/>
  <c r="BE621" i="7"/>
  <c r="BF632" i="7"/>
  <c r="BI675" i="7"/>
  <c r="U517" i="7"/>
  <c r="U530" i="7"/>
  <c r="U544" i="7"/>
  <c r="BE557" i="7"/>
  <c r="U557" i="7"/>
  <c r="BI563" i="7"/>
  <c r="U573" i="7"/>
  <c r="BF577" i="7"/>
  <c r="U590" i="7"/>
  <c r="BF604" i="7"/>
  <c r="BI614" i="7"/>
  <c r="Q620" i="7"/>
  <c r="BF620" i="7" s="1"/>
  <c r="BI620" i="7"/>
  <c r="Q636" i="7"/>
  <c r="BF636" i="7" s="1"/>
  <c r="BI636" i="7"/>
  <c r="BI584" i="7"/>
  <c r="BI594" i="7"/>
  <c r="BE636" i="7"/>
  <c r="U636" i="7"/>
  <c r="U646" i="7"/>
  <c r="BE646" i="7"/>
  <c r="BI652" i="7"/>
  <c r="BI665" i="7"/>
  <c r="Q665" i="7"/>
  <c r="BF665" i="7" s="1"/>
  <c r="BI502" i="7"/>
  <c r="BF515" i="7"/>
  <c r="BI542" i="7"/>
  <c r="BI556" i="7"/>
  <c r="BF562" i="7"/>
  <c r="U577" i="7"/>
  <c r="AA583" i="7"/>
  <c r="BI583" i="7" s="1"/>
  <c r="BF595" i="7"/>
  <c r="U620" i="7"/>
  <c r="BF483" i="7"/>
  <c r="BI484" i="7"/>
  <c r="U486" i="7"/>
  <c r="Q501" i="7"/>
  <c r="BF501" i="7" s="1"/>
  <c r="BI501" i="7"/>
  <c r="U516" i="7"/>
  <c r="BE528" i="7"/>
  <c r="U528" i="7"/>
  <c r="Q541" i="7"/>
  <c r="BF541" i="7" s="1"/>
  <c r="BI541" i="7"/>
  <c r="BI562" i="7"/>
  <c r="Q572" i="7"/>
  <c r="BF572" i="7" s="1"/>
  <c r="BI581" i="7"/>
  <c r="U582" i="7"/>
  <c r="BE582" i="7"/>
  <c r="U589" i="7"/>
  <c r="Q593" i="7"/>
  <c r="BF593" i="7" s="1"/>
  <c r="BI593" i="7"/>
  <c r="AA595" i="7"/>
  <c r="BI595" i="7" s="1"/>
  <c r="BE631" i="7"/>
  <c r="U631" i="7"/>
  <c r="U502" i="7"/>
  <c r="BH503" i="7"/>
  <c r="BF514" i="7"/>
  <c r="BI527" i="7"/>
  <c r="Q561" i="7"/>
  <c r="BF561" i="7" s="1"/>
  <c r="BI561" i="7"/>
  <c r="BF567" i="7"/>
  <c r="BF588" i="7"/>
  <c r="BI601" i="7"/>
  <c r="BE603" i="7"/>
  <c r="BE615" i="7"/>
  <c r="U615" i="7"/>
  <c r="BI582" i="7"/>
  <c r="BF587" i="7"/>
  <c r="BF599" i="7"/>
  <c r="BF625" i="7"/>
  <c r="AG625" i="7"/>
  <c r="BI625" i="7" s="1"/>
  <c r="BI651" i="7"/>
  <c r="BI664" i="7"/>
  <c r="Q664" i="7"/>
  <c r="BF664" i="7" s="1"/>
  <c r="BF622" i="7"/>
  <c r="BF638" i="7"/>
  <c r="BI650" i="7"/>
  <c r="BI692" i="7"/>
  <c r="BF699" i="7"/>
  <c r="BI560" i="7"/>
  <c r="U595" i="7"/>
  <c r="BE595" i="7"/>
  <c r="Q660" i="7"/>
  <c r="BF660" i="7" s="1"/>
  <c r="BI660" i="7"/>
  <c r="Q666" i="7"/>
  <c r="BF666" i="7" s="1"/>
  <c r="BE673" i="7"/>
  <c r="BE692" i="7"/>
  <c r="U692" i="7"/>
  <c r="Q716" i="7"/>
  <c r="BF716" i="7" s="1"/>
  <c r="BE721" i="7"/>
  <c r="BF651" i="7"/>
  <c r="U660" i="7"/>
  <c r="BE660" i="7"/>
  <c r="U709" i="7"/>
  <c r="BE709" i="7"/>
  <c r="BI635" i="7"/>
  <c r="BI659" i="7"/>
  <c r="BF670" i="7"/>
  <c r="Q674" i="7"/>
  <c r="BF674" i="7" s="1"/>
  <c r="U688" i="7"/>
  <c r="BE688" i="7"/>
  <c r="U708" i="7"/>
  <c r="BE708" i="7"/>
  <c r="BE715" i="7"/>
  <c r="U715" i="7"/>
  <c r="Q685" i="7"/>
  <c r="BF685" i="7" s="1"/>
  <c r="BI685" i="7"/>
  <c r="BE696" i="7"/>
  <c r="U696" i="7"/>
  <c r="G10" i="10"/>
  <c r="H10" i="10" s="1"/>
  <c r="F10" i="10"/>
  <c r="Q570" i="7"/>
  <c r="BF570" i="7" s="1"/>
  <c r="BF612" i="7"/>
  <c r="Q613" i="7"/>
  <c r="BF613" i="7" s="1"/>
  <c r="BE645" i="7"/>
  <c r="U645" i="7"/>
  <c r="AA658" i="7"/>
  <c r="BI658" i="7" s="1"/>
  <c r="BF658" i="7"/>
  <c r="BI712" i="7"/>
  <c r="BF629" i="7"/>
  <c r="BE637" i="7"/>
  <c r="BF707" i="7"/>
  <c r="BI498" i="7"/>
  <c r="BI510" i="7"/>
  <c r="BI526" i="7"/>
  <c r="BI538" i="7"/>
  <c r="Q602" i="7"/>
  <c r="BF602" i="7" s="1"/>
  <c r="Q610" i="7"/>
  <c r="BF610" i="7" s="1"/>
  <c r="BI610" i="7"/>
  <c r="BI611" i="7"/>
  <c r="BF628" i="7"/>
  <c r="BI629" i="7"/>
  <c r="U644" i="7"/>
  <c r="BF662" i="7"/>
  <c r="BI668" i="7"/>
  <c r="BF711" i="7"/>
  <c r="U712" i="7"/>
  <c r="BI720" i="7"/>
  <c r="Q720" i="7"/>
  <c r="BF720" i="7" s="1"/>
  <c r="Q556" i="7"/>
  <c r="BF556" i="7" s="1"/>
  <c r="BI596" i="7"/>
  <c r="BI598" i="7"/>
  <c r="BI604" i="7"/>
  <c r="Q606" i="7"/>
  <c r="BF606" i="7" s="1"/>
  <c r="BI643" i="7"/>
  <c r="BI667" i="7"/>
  <c r="BI682" i="7"/>
  <c r="BF683" i="7"/>
  <c r="BI693" i="7"/>
  <c r="BE697" i="7"/>
  <c r="BI699" i="7"/>
  <c r="BF706" i="7"/>
  <c r="BI711" i="7"/>
  <c r="G25" i="10"/>
  <c r="H25" i="10" s="1"/>
  <c r="F25" i="10"/>
  <c r="BI500" i="7"/>
  <c r="BI512" i="7"/>
  <c r="BI528" i="7"/>
  <c r="BI540" i="7"/>
  <c r="BI557" i="7"/>
  <c r="BI585" i="7"/>
  <c r="BF601" i="7"/>
  <c r="Q626" i="7"/>
  <c r="BF626" i="7" s="1"/>
  <c r="BI626" i="7"/>
  <c r="BI627" i="7"/>
  <c r="Q642" i="7"/>
  <c r="BF642" i="7" s="1"/>
  <c r="BI642" i="7"/>
  <c r="Q661" i="7"/>
  <c r="BF661" i="7" s="1"/>
  <c r="BI661" i="7"/>
  <c r="BF669" i="7"/>
  <c r="BI691" i="7"/>
  <c r="BE693" i="7"/>
  <c r="U693" i="7"/>
  <c r="BI705" i="7"/>
  <c r="BI706" i="7"/>
  <c r="Q710" i="7"/>
  <c r="BF710" i="7" s="1"/>
  <c r="BI710" i="7"/>
  <c r="BF725" i="7"/>
  <c r="U643" i="7"/>
  <c r="U662" i="7"/>
  <c r="BE676" i="7"/>
  <c r="BI698" i="7"/>
  <c r="BF700" i="7"/>
  <c r="S15" i="10"/>
  <c r="BI577" i="7"/>
  <c r="BI589" i="7"/>
  <c r="BF594" i="7"/>
  <c r="BI599" i="7"/>
  <c r="BI605" i="7"/>
  <c r="BF652" i="7"/>
  <c r="BI653" i="7"/>
  <c r="BI662" i="7"/>
  <c r="Q692" i="7"/>
  <c r="BF692" i="7" s="1"/>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I656" i="7"/>
  <c r="Q682" i="7"/>
  <c r="BF682" i="7" s="1"/>
  <c r="BE724" i="7"/>
  <c r="U724" i="7"/>
  <c r="F20" i="10"/>
  <c r="S20" i="10" s="1"/>
  <c r="G51" i="10"/>
  <c r="H51" i="10" s="1"/>
  <c r="G64" i="10"/>
  <c r="H64" i="10" s="1"/>
  <c r="F64" i="10"/>
  <c r="BI657" i="7"/>
  <c r="BI683" i="7"/>
  <c r="BI707" i="7"/>
  <c r="F51" i="10"/>
  <c r="U652" i="7"/>
  <c r="BI684" i="7"/>
  <c r="BI709" i="7"/>
  <c r="G29" i="10"/>
  <c r="H29" i="10" s="1"/>
  <c r="F29" i="10"/>
  <c r="G50" i="10"/>
  <c r="H50" i="10" s="1"/>
  <c r="F17" i="10"/>
  <c r="S17" i="10" s="1"/>
  <c r="F50" i="10"/>
  <c r="BI708" i="7"/>
  <c r="S12" i="10"/>
  <c r="F16" i="10"/>
  <c r="S16" i="10" s="1"/>
  <c r="G57" i="10"/>
  <c r="H57" i="10" s="1"/>
  <c r="F57" i="10"/>
  <c r="F14" i="10"/>
  <c r="S14" i="10" s="1"/>
  <c r="G43" i="10"/>
  <c r="H43" i="10" s="1"/>
  <c r="F43" i="10"/>
  <c r="G72" i="10"/>
  <c r="H72" i="10" s="1"/>
  <c r="F13" i="10"/>
  <c r="S13" i="10" s="1"/>
  <c r="G27" i="10"/>
  <c r="H27" i="10" s="1"/>
  <c r="F27" i="10"/>
  <c r="G67" i="10"/>
  <c r="H67" i="10" s="1"/>
  <c r="G35" i="10"/>
  <c r="H35" i="10" s="1"/>
  <c r="G48" i="10"/>
  <c r="H48" i="10" s="1"/>
  <c r="F48" i="10"/>
  <c r="F35"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88" i="17"/>
  <c r="J92" i="17"/>
  <c r="J30" i="17"/>
  <c r="J34" i="17"/>
  <c r="J114" i="17"/>
  <c r="J38" i="17"/>
  <c r="J65" i="17"/>
  <c r="J73" i="17"/>
  <c r="J81" i="17"/>
  <c r="J122" i="17"/>
  <c r="J35" i="17"/>
  <c r="J111" i="17"/>
  <c r="J28" i="17"/>
  <c r="J106" i="17"/>
  <c r="A6" i="1" a="1"/>
  <c r="A5" i="2" a="1"/>
  <c r="A5" i="3" a="1"/>
  <c r="A5" i="4" a="1"/>
  <c r="BF177" i="7" l="1"/>
  <c r="BF443" i="7"/>
  <c r="BF244" i="7"/>
  <c r="BF247" i="7"/>
  <c r="BF23" i="7"/>
  <c r="BF47" i="7"/>
  <c r="BF459" i="7"/>
  <c r="BF31" i="7"/>
  <c r="BF68" i="7"/>
  <c r="BF88" i="7"/>
  <c r="BF551" i="7"/>
  <c r="BF40" i="7"/>
  <c r="BF89" i="7"/>
  <c r="BF179" i="7"/>
  <c r="BI186" i="7"/>
  <c r="BF87" i="7"/>
  <c r="BF578" i="7"/>
  <c r="BF15" i="7"/>
  <c r="F4" i="10"/>
  <c r="S4" i="10" s="1"/>
  <c r="G8" i="10"/>
  <c r="H8" i="10" s="1"/>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47" i="10" s="1"/>
  <c r="S66" i="10"/>
  <c r="S8"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L404" i="13" l="1"/>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469" i="13"/>
  <c r="K469" i="13"/>
  <c r="L472" i="13"/>
  <c r="K472" i="13"/>
  <c r="A10" i="4" a="1"/>
  <c r="A10" i="3" a="1"/>
  <c r="A11" i="1" a="1"/>
  <c r="A10" i="2" a="1"/>
  <c r="L378" i="13" l="1"/>
  <c r="L848" i="13"/>
  <c r="L292" i="13"/>
  <c r="L610" i="13"/>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20" i="3" a="1"/>
  <c r="A19" i="4" a="1"/>
  <c r="A20"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093" i="13" l="1"/>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<sst xmlns="http://schemas.openxmlformats.org/spreadsheetml/2006/main" count="13429" uniqueCount="4321">
  <si>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</si>
  <si>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</si>
  <si>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</si>
  <si>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</si>
  <si>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</si>
  <si>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</si>
  <si>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</si>
  <si>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</si>
  <si>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</si>
  <si>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</si>
  <si>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</si>
  <si>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</si>
  <si>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</si>
  <si>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</si>
  <si>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</si>
  <si>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</si>
  <si>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</si>
  <si>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</si>
  <si>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</si>
  <si>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</si>
  <si>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</si>
  <si>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</si>
  <si>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</si>
  <si>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</si>
  <si>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</si>
  <si>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</si>
  <si>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</si>
  <si>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</si>
  <si>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</si>
  <si>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</si>
  <si>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</si>
  <si>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</si>
  <si>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</si>
  <si>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</si>
  <si>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</si>
  <si>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</si>
  <si>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</si>
  <si>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</si>
  <si>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</si>
  <si>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</si>
  <si>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</si>
  <si>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</si>
  <si>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</si>
  <si>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</si>
  <si>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</si>
  <si>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</si>
  <si>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</si>
  <si>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</si>
  <si>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</si>
  <si>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</si>
  <si>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</si>
  <si>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</si>
  <si>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</si>
  <si>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</si>
  <si>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</si>
  <si>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</si>
  <si>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</si>
  <si>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</si>
  <si>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</si>
  <si>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</si>
  <si>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</si>
  <si>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</si>
  <si>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</si>
  <si>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</si>
  <si>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</si>
  <si>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</si>
  <si>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</si>
  <si>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</si>
  <si>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</si>
  <si>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</si>
  <si>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</si>
  <si>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</si>
  <si>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</si>
  <si>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</si>
  <si>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</si>
  <si>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</si>
  <si>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</si>
  <si>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</si>
  <si>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</si>
  <si>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</si>
  <si>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</si>
  <si>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</si>
  <si>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</si>
  <si>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</si>
  <si>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</si>
  <si>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</si>
  <si>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</si>
  <si>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</si>
  <si>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</si>
  <si>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</si>
  <si>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</si>
  <si>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</si>
  <si>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</si>
  <si>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</si>
  <si>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</si>
  <si>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</si>
  <si>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</si>
  <si>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</si>
  <si>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</si>
  <si>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</si>
  <si>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</si>
  <si>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</si>
  <si>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</si>
  <si>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</si>
  <si>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</si>
  <si>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</si>
  <si>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</si>
  <si>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</si>
  <si>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</si>
  <si>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</si>
  <si>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</si>
  <si>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</si>
  <si>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</si>
  <si>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</si>
  <si>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</si>
  <si>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</si>
  <si>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</si>
  <si>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</si>
  <si>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</si>
  <si>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</si>
  <si>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</si>
  <si>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</si>
  <si>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</si>
  <si>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</si>
  <si>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</si>
  <si>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</si>
  <si>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</si>
  <si>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</si>
  <si>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</si>
  <si>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</si>
  <si>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</si>
  <si>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</si>
  <si>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</si>
  <si>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</si>
  <si>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</si>
  <si>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</si>
  <si>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</si>
  <si>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</si>
  <si>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</si>
  <si>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</si>
  <si>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</si>
  <si>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</si>
  <si>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</si>
  <si>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</si>
  <si>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</si>
  <si>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</si>
  <si>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</si>
  <si>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</si>
  <si>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</si>
  <si>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</si>
  <si>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</si>
  <si>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</si>
  <si>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</si>
  <si>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</si>
  <si>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</si>
  <si>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</si>
  <si>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</si>
  <si>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</si>
  <si>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</si>
  <si>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</si>
  <si>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</si>
  <si>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</si>
  <si>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</si>
  <si>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</si>
  <si>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</si>
  <si>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</si>
  <si>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</si>
  <si>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</si>
  <si>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</si>
  <si>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</si>
  <si>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</si>
  <si>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</si>
  <si>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</si>
  <si>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</si>
  <si>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</si>
  <si>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</si>
  <si>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</si>
  <si>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</si>
  <si>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</si>
  <si>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</si>
  <si>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</si>
  <si>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</si>
  <si>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</si>
  <si>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</si>
  <si>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</si>
  <si>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</si>
  <si>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</si>
  <si>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</si>
  <si>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</si>
  <si>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</si>
  <si>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</si>
  <si>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</si>
  <si>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</si>
  <si>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</si>
  <si>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</si>
  <si>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</si>
  <si>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</si>
  <si>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</si>
  <si>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</si>
  <si>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</si>
  <si>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</si>
  <si>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</si>
  <si>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</si>
  <si>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</si>
  <si>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</si>
  <si>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</si>
  <si>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</si>
  <si>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</si>
  <si>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</si>
  <si>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</si>
  <si>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</si>
  <si>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</si>
  <si>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</si>
  <si>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</si>
  <si>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</si>
  <si>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</si>
  <si>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</si>
  <si>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</si>
  <si>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</si>
  <si>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</si>
  <si>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</si>
  <si>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</si>
  <si>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</si>
  <si>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</si>
  <si>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</si>
  <si>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</si>
  <si>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</si>
  <si>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</si>
  <si>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</si>
  <si>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</si>
  <si>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</si>
  <si>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</si>
  <si>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</si>
  <si>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</si>
  <si>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</si>
  <si>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</si>
  <si>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</si>
  <si>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</si>
  <si>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</si>
  <si>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</si>
  <si>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</si>
  <si>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</si>
  <si>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</si>
  <si>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</si>
  <si>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</si>
  <si>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</si>
  <si>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</si>
  <si>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</si>
  <si>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</si>
  <si>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</si>
  <si>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</si>
  <si>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</si>
  <si>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</si>
  <si>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</si>
  <si>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</si>
  <si>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</si>
  <si>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</si>
  <si>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</si>
  <si>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</si>
  <si>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</si>
  <si>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</si>
  <si>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</si>
  <si>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</si>
  <si>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</si>
  <si>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</si>
  <si>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</si>
  <si>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</si>
  <si>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</si>
  <si>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</si>
  <si>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</si>
  <si>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</si>
  <si>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</si>
  <si>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</si>
  <si>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</si>
  <si>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</si>
  <si>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</si>
  <si>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</si>
  <si>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</si>
  <si>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</si>
  <si>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</si>
  <si>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</si>
  <si>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</si>
  <si>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</si>
  <si>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</si>
  <si>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</si>
  <si>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</si>
  <si>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</si>
  <si>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</si>
  <si>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</si>
  <si>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</si>
  <si>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</si>
  <si>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</si>
  <si>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</si>
  <si>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</si>
  <si>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</si>
  <si>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</si>
  <si>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</si>
  <si>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</si>
  <si>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</si>
  <si>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</si>
  <si>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</si>
  <si>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</si>
  <si>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</si>
  <si>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</si>
  <si>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</si>
  <si>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</si>
  <si>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</si>
  <si>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</si>
  <si>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</si>
  <si>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</si>
  <si>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</si>
  <si>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</si>
  <si>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</si>
  <si>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</si>
  <si>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</si>
  <si>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</si>
  <si>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</si>
  <si>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</si>
  <si>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</si>
  <si>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</si>
  <si>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</si>
  <si>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</si>
  <si>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</si>
  <si>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</si>
  <si>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</si>
  <si>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</si>
  <si>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</si>
  <si>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</si>
  <si>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</si>
  <si>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</si>
  <si>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</si>
  <si>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</si>
  <si>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</si>
  <si>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</si>
  <si>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</si>
  <si>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</si>
  <si>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</si>
  <si>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</si>
  <si>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</si>
  <si>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</si>
  <si>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</si>
  <si>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</si>
  <si>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</si>
  <si>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</si>
  <si>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</si>
  <si>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</si>
  <si>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</si>
  <si>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</si>
  <si>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</si>
  <si>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</si>
  <si>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</si>
  <si>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</si>
  <si>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</si>
  <si>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</si>
  <si>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</si>
  <si>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</si>
  <si>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</si>
  <si>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</si>
  <si>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</si>
  <si>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</si>
  <si>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</si>
  <si>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</si>
  <si>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</si>
  <si>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</si>
  <si>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</si>
  <si>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</si>
  <si>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</si>
  <si>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</si>
  <si>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</si>
  <si>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</si>
  <si>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</si>
  <si>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</si>
  <si>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</si>
  <si>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</si>
  <si>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</si>
  <si>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</si>
  <si>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</si>
  <si>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</si>
  <si>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</si>
  <si>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</si>
  <si>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</si>
  <si>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</si>
  <si>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</si>
  <si>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</si>
  <si>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</si>
  <si>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</si>
  <si>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</si>
  <si>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</si>
  <si>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</si>
  <si>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</si>
  <si>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</si>
  <si>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</si>
  <si>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</si>
  <si>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</si>
  <si>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</si>
  <si>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</si>
  <si>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</si>
  <si>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</si>
  <si>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</si>
  <si>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</si>
  <si>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</si>
  <si>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</si>
  <si>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</si>
  <si>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</si>
  <si>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</si>
  <si>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</si>
  <si>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</si>
  <si>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</si>
  <si>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</si>
  <si>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</si>
  <si>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</si>
  <si>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</si>
  <si>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</si>
  <si>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</si>
  <si>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</si>
  <si>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</si>
  <si>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</si>
  <si>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</si>
  <si>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</si>
  <si>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</si>
  <si>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</si>
  <si>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</si>
  <si>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</si>
  <si>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</si>
  <si>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</si>
  <si>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</si>
  <si>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</si>
  <si>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</si>
  <si>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</si>
  <si>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</si>
  <si>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</si>
  <si>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</si>
  <si>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</si>
  <si>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</si>
  <si>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</si>
  <si>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</si>
  <si>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</si>
  <si>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</si>
  <si>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</si>
  <si>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</si>
  <si>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</si>
  <si>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</si>
  <si>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</si>
  <si>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</si>
  <si>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</si>
  <si>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</si>
  <si>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</si>
  <si>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</si>
  <si>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</si>
  <si>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</si>
  <si>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</si>
  <si>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</si>
  <si>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</si>
  <si>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</si>
  <si>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</si>
  <si>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</si>
  <si>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</si>
  <si>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</si>
  <si>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</si>
  <si>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</si>
  <si>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</si>
  <si>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</si>
  <si>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</si>
  <si>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</si>
  <si>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</si>
  <si>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</si>
  <si>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</si>
  <si>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</si>
  <si>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</si>
  <si>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</si>
  <si>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</si>
  <si>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</si>
  <si>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</si>
  <si>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</si>
  <si>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</si>
  <si>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</si>
  <si>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</si>
  <si>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</si>
  <si>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</si>
  <si>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</si>
  <si>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</si>
  <si>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</si>
  <si>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</si>
  <si>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</si>
  <si>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</si>
  <si>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</si>
  <si>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</si>
  <si>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</si>
  <si>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</si>
  <si>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</si>
  <si>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</si>
  <si>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</si>
  <si>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</si>
  <si>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</si>
  <si>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</si>
  <si>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</si>
  <si>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</si>
  <si>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</si>
  <si>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</si>
  <si>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</si>
  <si>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</si>
  <si>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</si>
  <si>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</si>
  <si>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</si>
  <si>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</si>
  <si>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</si>
  <si>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</si>
  <si>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</si>
  <si>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</si>
  <si>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</si>
  <si>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</si>
  <si>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</si>
  <si>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</si>
  <si>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</si>
  <si>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</si>
  <si>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</si>
  <si>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</si>
  <si>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</si>
  <si>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</si>
  <si>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</si>
  <si>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</si>
  <si>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</si>
  <si>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</si>
  <si>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</si>
  <si>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</si>
  <si>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</si>
  <si>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</si>
  <si>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</si>
  <si>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</si>
  <si>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</si>
  <si>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</si>
  <si>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</si>
  <si>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</si>
  <si>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</si>
  <si>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</si>
  <si>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</si>
  <si>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</si>
  <si>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</si>
  <si>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</si>
  <si>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</si>
  <si>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</si>
  <si>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</si>
  <si>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</si>
  <si>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</si>
  <si>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</si>
  <si>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</si>
  <si>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</si>
  <si>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</si>
  <si>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</si>
  <si>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</si>
  <si>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</si>
  <si>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</si>
  <si>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</si>
  <si>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</si>
  <si>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</si>
  <si>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</si>
  <si>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</si>
  <si>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</si>
  <si>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</si>
  <si>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</si>
  <si>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</si>
  <si>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</si>
  <si>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</si>
  <si>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</si>
  <si>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</si>
  <si>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</si>
  <si>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</si>
  <si>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</si>
  <si>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</si>
  <si>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</si>
  <si>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</si>
  <si>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</si>
  <si>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</si>
  <si>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</si>
  <si>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</si>
  <si>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</si>
  <si>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</si>
  <si>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</si>
  <si>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</si>
  <si>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</si>
  <si>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</si>
  <si>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</si>
  <si>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</si>
  <si>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</si>
  <si>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</si>
  <si>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</si>
  <si>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</si>
  <si>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</si>
  <si>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</si>
  <si>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</si>
  <si>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</si>
  <si>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</si>
  <si>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</si>
  <si>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</si>
  <si>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</si>
  <si>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</si>
  <si>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</si>
  <si>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</si>
  <si>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</si>
  <si>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</si>
  <si>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</si>
  <si>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</si>
  <si>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</si>
  <si>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</si>
  <si>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</si>
  <si>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</si>
  <si>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</si>
  <si>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</si>
  <si>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</si>
  <si>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</si>
  <si>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</si>
  <si>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</si>
  <si>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</si>
  <si>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</si>
  <si>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</si>
  <si>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</si>
  <si>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</si>
  <si>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</si>
  <si>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</si>
  <si>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</si>
  <si>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</si>
  <si>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</si>
  <si>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</si>
  <si>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</si>
  <si>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</si>
  <si>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</si>
  <si>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</si>
  <si>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</si>
  <si>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</si>
  <si>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</si>
  <si>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</si>
  <si>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</si>
  <si>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</si>
  <si>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</si>
  <si>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</si>
  <si>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</si>
  <si>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</si>
  <si>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</si>
  <si>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</si>
  <si>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</si>
  <si>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</si>
  <si>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</si>
  <si>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</si>
  <si>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</si>
  <si>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</si>
  <si>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</si>
  <si>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</si>
  <si>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</si>
  <si>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</si>
  <si>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</si>
  <si>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</si>
  <si>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</si>
  <si>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</si>
  <si>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</si>
  <si>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</si>
  <si>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</si>
  <si>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</si>
  <si>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</si>
  <si>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</si>
  <si>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</si>
  <si>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</si>
  <si>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</si>
  <si>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</si>
  <si>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</si>
  <si>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</si>
  <si>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</si>
  <si>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</si>
  <si>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</si>
  <si>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</si>
  <si>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</si>
  <si>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</si>
  <si>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</si>
  <si>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</si>
  <si>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</si>
  <si>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</si>
  <si>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</si>
  <si>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</si>
  <si>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</si>
  <si>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</si>
  <si>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</si>
  <si>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</si>
  <si>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</si>
  <si>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</si>
  <si>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</si>
  <si>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</si>
  <si>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</si>
  <si>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</si>
  <si>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</si>
  <si>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</si>
  <si>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</si>
  <si>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</si>
  <si>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</si>
  <si>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</si>
  <si>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</si>
  <si>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</si>
  <si>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</si>
  <si>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</si>
  <si>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</si>
  <si>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</si>
  <si>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</si>
  <si>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</si>
  <si>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</si>
  <si>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</si>
  <si>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</si>
  <si>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</si>
  <si>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</si>
  <si>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</si>
  <si>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</si>
  <si>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</si>
  <si>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</si>
  <si>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</si>
  <si>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</si>
  <si>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</si>
  <si>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</si>
  <si>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</si>
  <si>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</si>
  <si>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</si>
  <si>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</si>
  <si>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</si>
  <si>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</si>
  <si>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</si>
  <si>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</si>
  <si>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</si>
  <si>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</si>
  <si>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</si>
  <si>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</si>
  <si>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</si>
  <si>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</si>
  <si>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</si>
  <si>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</si>
  <si>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</si>
  <si>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</si>
  <si>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</si>
  <si>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</si>
  <si>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</si>
  <si>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</si>
  <si>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</si>
  <si>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</si>
  <si>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</si>
  <si>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</si>
  <si>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</si>
  <si>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</si>
  <si>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</si>
  <si>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</si>
  <si>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</si>
  <si>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</si>
  <si>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</si>
  <si>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</si>
  <si>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</si>
  <si>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</si>
  <si>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</si>
  <si>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</si>
  <si>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</si>
  <si>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</si>
  <si>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</si>
  <si>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</si>
  <si>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</si>
  <si>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</si>
  <si>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</si>
  <si>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</si>
  <si>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</si>
  <si>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</si>
  <si>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</si>
  <si>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</si>
  <si>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</si>
  <si>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</si>
  <si>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</si>
  <si>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</si>
  <si>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</si>
  <si>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</si>
  <si>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</si>
  <si>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</si>
  <si>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</si>
  <si>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</si>
  <si>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</si>
  <si>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</si>
  <si>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</si>
  <si>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</si>
  <si>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</si>
  <si>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</si>
  <si>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</si>
  <si>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</si>
  <si>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</si>
  <si>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</si>
  <si>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</si>
  <si>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</si>
  <si>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</si>
  <si>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</si>
  <si>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</si>
  <si>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</si>
  <si>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</si>
  <si>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</si>
  <si>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</si>
  <si>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</si>
  <si>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</si>
  <si>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</si>
  <si>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</si>
  <si>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</si>
  <si>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</si>
  <si>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</si>
  <si>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</si>
  <si>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</si>
  <si>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</si>
  <si>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</si>
  <si>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</si>
  <si>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</si>
  <si>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</si>
  <si>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</si>
  <si>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</si>
  <si>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</si>
  <si>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</si>
  <si>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</si>
  <si>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</si>
  <si>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</si>
  <si>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</si>
  <si>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</si>
  <si>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</si>
  <si>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</si>
  <si>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</si>
  <si>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</si>
  <si>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</si>
  <si>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</si>
  <si>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</si>
  <si>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</si>
  <si>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</si>
  <si>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</si>
  <si>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</si>
  <si>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</si>
  <si>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</si>
  <si>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</si>
  <si>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</si>
  <si>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</si>
  <si>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</si>
  <si>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</si>
  <si>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</si>
  <si>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</si>
  <si>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</si>
  <si>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</si>
  <si>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</si>
  <si>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</si>
  <si>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</si>
  <si>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</si>
  <si>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</si>
  <si>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</si>
  <si>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</si>
  <si>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</si>
  <si>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</si>
  <si>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</si>
  <si>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</si>
  <si>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</si>
  <si>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</si>
  <si>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</si>
  <si>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</si>
  <si>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</si>
  <si>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</si>
  <si>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</si>
  <si>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</si>
  <si>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</si>
  <si>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</si>
  <si>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</si>
  <si>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</si>
  <si>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</si>
  <si>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</si>
  <si>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</si>
  <si>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</si>
  <si>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</si>
  <si>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</si>
  <si>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</si>
  <si>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</si>
  <si>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</si>
  <si>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</si>
  <si>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</si>
  <si>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</si>
  <si>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</si>
  <si>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</si>
  <si>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</si>
  <si>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</si>
  <si>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</si>
  <si>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</si>
  <si>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</si>
  <si>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</si>
  <si>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</si>
  <si>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</si>
  <si>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</si>
  <si>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</si>
  <si>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</si>
  <si>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</si>
  <si>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</si>
  <si>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</si>
  <si>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</si>
  <si>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</si>
  <si>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</si>
  <si>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</si>
  <si>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</si>
  <si>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</si>
  <si>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</si>
  <si>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</si>
  <si>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</si>
  <si>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</si>
  <si>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</si>
  <si>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</si>
  <si>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</si>
  <si>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</si>
  <si>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</si>
  <si>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</si>
  <si>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</si>
  <si>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</si>
  <si>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</si>
  <si>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</si>
  <si>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</si>
  <si>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</si>
  <si>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</si>
  <si>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</si>
  <si>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</si>
  <si>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</si>
  <si>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</si>
  <si>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</si>
  <si>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</si>
  <si>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</si>
  <si>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</si>
  <si>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</si>
  <si>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</si>
  <si>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</si>
  <si>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</si>
  <si>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</si>
  <si>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</si>
  <si>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</si>
  <si>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</si>
  <si>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</si>
  <si>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</si>
  <si>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</si>
  <si>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</si>
  <si>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</si>
  <si>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</si>
  <si>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</si>
  <si>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</si>
  <si>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</si>
  <si>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</si>
  <si>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</si>
  <si>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</si>
  <si>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</si>
  <si>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</si>
  <si>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</si>
  <si>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</si>
  <si>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</si>
  <si>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</si>
  <si>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</si>
  <si>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</si>
  <si>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</si>
  <si>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</si>
  <si>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</si>
  <si>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</si>
  <si>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</si>
  <si>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</si>
  <si>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</si>
  <si>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</si>
  <si>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</si>
  <si>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</si>
  <si>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</si>
  <si>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</si>
  <si>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</si>
  <si>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</si>
  <si>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</si>
  <si>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</si>
  <si>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</si>
  <si>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</si>
  <si>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</si>
  <si>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</si>
  <si>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</si>
  <si>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</si>
  <si>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</si>
  <si>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</si>
  <si>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</si>
  <si>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</si>
  <si>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</si>
  <si>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</si>
  <si>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</si>
  <si>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</si>
  <si>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</si>
  <si>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</si>
  <si>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</si>
  <si>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</si>
  <si>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</si>
  <si>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</si>
  <si>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</si>
  <si>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</si>
  <si>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</si>
  <si>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</si>
  <si>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</si>
  <si>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</si>
  <si>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</si>
  <si>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</si>
  <si>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</si>
  <si>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</si>
  <si>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</si>
  <si>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</si>
  <si>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</si>
  <si>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</si>
  <si>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</si>
  <si>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</si>
  <si>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</si>
  <si>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</si>
  <si>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</si>
  <si>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</si>
  <si>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</si>
  <si>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</si>
  <si>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</si>
  <si>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</si>
  <si>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</si>
  <si>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</si>
  <si>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</si>
  <si>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</si>
  <si>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</si>
  <si>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</si>
  <si>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</si>
  <si>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</si>
  <si>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</si>
  <si>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</si>
  <si>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</si>
  <si>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</si>
  <si>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</si>
  <si>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</si>
  <si>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</si>
  <si>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</si>
  <si>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</si>
  <si>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</si>
  <si>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</si>
  <si>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</si>
  <si>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</si>
  <si>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</si>
  <si>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</si>
  <si>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</si>
  <si>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</si>
  <si>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</si>
  <si>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</si>
  <si>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</si>
  <si>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</si>
  <si>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</si>
  <si>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</si>
  <si>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</si>
  <si>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</si>
  <si>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</si>
  <si>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</si>
  <si>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</si>
  <si>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</si>
  <si>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</si>
  <si>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</si>
  <si>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</si>
  <si>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</si>
  <si>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</si>
  <si>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</si>
  <si>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</si>
  <si>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</si>
  <si>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</si>
  <si>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</si>
  <si>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</si>
  <si>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</si>
  <si>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</si>
  <si>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</si>
  <si>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</si>
  <si>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</si>
  <si>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</si>
  <si>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</si>
  <si>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</si>
  <si>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</si>
  <si>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</si>
  <si>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</si>
  <si>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</si>
  <si>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</si>
  <si>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</si>
  <si>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</si>
  <si>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</si>
  <si>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</si>
  <si>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</si>
  <si>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</si>
  <si>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</si>
  <si>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</si>
  <si>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</si>
  <si>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</si>
  <si>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</si>
  <si>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</si>
  <si>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</si>
  <si>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</si>
  <si>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</si>
  <si>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</si>
  <si>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</si>
  <si>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</si>
  <si>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</si>
  <si>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</si>
  <si>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</si>
  <si>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</si>
  <si>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</si>
  <si>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</si>
  <si>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</si>
  <si>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</si>
  <si>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</si>
  <si>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</si>
  <si>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</si>
  <si>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</si>
  <si>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</si>
  <si>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</si>
  <si>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</si>
  <si>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</si>
  <si>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</si>
  <si>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</si>
  <si>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</si>
  <si>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</si>
  <si>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</si>
  <si>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</si>
  <si>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</si>
  <si>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</si>
  <si>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</si>
  <si>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</si>
  <si>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</si>
  <si>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</si>
  <si>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</si>
  <si>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</si>
  <si>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</si>
  <si>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</si>
  <si>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</si>
  <si>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</si>
  <si>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</si>
  <si>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</si>
  <si>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</si>
  <si>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</si>
  <si>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</si>
  <si>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</si>
  <si>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</si>
  <si>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</si>
  <si>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</si>
  <si>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</si>
  <si>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</si>
  <si>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</si>
  <si>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</si>
  <si>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</si>
  <si>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</si>
  <si>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</si>
  <si>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</si>
  <si>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</si>
  <si>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</si>
  <si>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</si>
  <si>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</si>
  <si>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</si>
  <si>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</si>
  <si>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</si>
  <si>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</si>
  <si>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</si>
  <si>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</si>
  <si>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</si>
  <si>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</si>
  <si>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</si>
  <si>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</si>
  <si>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</si>
  <si>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</si>
  <si>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</si>
  <si>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</si>
  <si>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</si>
  <si>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</si>
  <si>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</si>
  <si>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</si>
  <si>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</si>
  <si>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</si>
  <si>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</si>
  <si>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</si>
  <si>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</si>
  <si>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</si>
  <si>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</si>
  <si>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</si>
  <si>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</si>
  <si>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</si>
  <si>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</si>
  <si>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</si>
  <si>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</si>
  <si>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</si>
  <si>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</si>
  <si>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</si>
  <si>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</si>
  <si>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</si>
  <si>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</si>
  <si>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</si>
  <si>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</si>
  <si>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</si>
  <si>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</si>
  <si>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</si>
  <si>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</si>
  <si>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</si>
  <si>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</si>
  <si>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</si>
  <si>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</si>
  <si>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</si>
  <si>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</si>
  <si>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</si>
  <si>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</si>
  <si>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</si>
  <si>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</si>
  <si>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</si>
  <si>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</si>
  <si>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</si>
  <si>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</si>
  <si>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</si>
  <si>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</si>
  <si>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</si>
  <si>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</si>
  <si>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</si>
  <si>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</si>
  <si>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</si>
  <si>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</si>
  <si>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</si>
  <si>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</si>
  <si>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</si>
  <si>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</si>
  <si>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</si>
  <si>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</si>
  <si>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</si>
  <si>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</si>
  <si>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</si>
  <si>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</si>
  <si>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</si>
  <si>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</si>
  <si>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</si>
  <si>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</si>
  <si>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</si>
  <si>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</si>
  <si>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</si>
  <si>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</si>
  <si>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</si>
  <si>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</si>
  <si>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</si>
  <si>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</si>
  <si>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</si>
  <si>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</si>
  <si>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</si>
  <si>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</si>
  <si>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</si>
  <si>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</si>
  <si>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</si>
  <si>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</si>
  <si>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</si>
  <si>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</si>
  <si>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</si>
  <si>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</si>
  <si>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</si>
  <si>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</si>
  <si>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</si>
  <si>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</si>
  <si>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</si>
  <si>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</si>
  <si>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</si>
  <si>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</si>
  <si>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</si>
  <si>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</si>
  <si>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</si>
  <si>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</si>
  <si>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</si>
  <si>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</si>
  <si>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</si>
  <si>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</si>
  <si>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</si>
  <si>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</si>
  <si>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</si>
  <si>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</si>
  <si>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</si>
  <si>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</si>
  <si>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</si>
  <si>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</si>
  <si>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</si>
  <si>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</si>
  <si>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</si>
  <si>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</si>
  <si>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</si>
  <si>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</si>
  <si>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</si>
  <si>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</si>
  <si>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</si>
  <si>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</si>
  <si>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</si>
  <si>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</si>
  <si>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</si>
  <si>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</si>
  <si>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</si>
  <si>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</si>
  <si>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</si>
  <si>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</si>
  <si>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</si>
  <si>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</si>
  <si>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</si>
  <si>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</si>
  <si>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</si>
  <si>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</si>
  <si>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</si>
  <si>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</si>
  <si>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</si>
  <si>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</si>
  <si>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</si>
  <si>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</si>
  <si>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</si>
  <si>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</si>
  <si>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</si>
  <si>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</si>
  <si>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</si>
  <si>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</si>
  <si>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</si>
  <si>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</si>
  <si>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</si>
  <si>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</si>
  <si>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</si>
  <si>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</si>
  <si>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</si>
  <si>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</si>
  <si>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</si>
  <si>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</si>
  <si>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</si>
  <si>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</si>
  <si>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</si>
  <si>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</si>
  <si>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</si>
  <si>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</si>
  <si>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</si>
  <si>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</si>
  <si>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</si>
  <si>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</si>
  <si>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</si>
  <si>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</si>
  <si>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</si>
  <si>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</si>
  <si>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</si>
  <si>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</si>
  <si>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</si>
  <si>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</si>
  <si>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</si>
  <si>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</si>
  <si>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</si>
  <si>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</si>
  <si>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</si>
  <si>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</si>
  <si>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</si>
  <si>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</si>
  <si>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</si>
  <si>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</si>
  <si>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</si>
  <si>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</si>
  <si>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</si>
  <si>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</si>
  <si>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</si>
  <si>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</si>
  <si>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</si>
  <si>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</si>
  <si>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</si>
  <si>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</si>
  <si>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</si>
  <si>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</si>
  <si>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</si>
  <si>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</si>
  <si>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</si>
  <si>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</si>
  <si>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</si>
  <si>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</si>
  <si>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</si>
  <si>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</si>
  <si>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</si>
  <si>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</si>
  <si>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</si>
  <si>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</si>
  <si>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</si>
  <si>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</si>
  <si>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</si>
  <si>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</si>
  <si>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</si>
  <si>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</si>
  <si>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</si>
  <si>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</si>
  <si>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</si>
  <si>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</si>
  <si>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</si>
  <si>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</si>
  <si>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</si>
  <si>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</si>
  <si>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</si>
  <si>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</si>
  <si>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</si>
  <si>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</si>
  <si>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</si>
  <si>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</si>
  <si>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</si>
  <si>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</si>
  <si>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</si>
  <si>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</si>
  <si>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</si>
  <si>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</si>
  <si>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</si>
  <si>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</si>
  <si>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</si>
  <si>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</si>
  <si>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</si>
  <si>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</si>
  <si>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</si>
  <si>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</si>
  <si>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</si>
  <si>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</si>
  <si>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</si>
  <si>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</si>
  <si>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</si>
  <si>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</si>
  <si>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</si>
  <si>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</si>
  <si>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</si>
  <si>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</si>
  <si>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</si>
  <si>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</si>
  <si>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</si>
  <si>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</si>
  <si>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</si>
  <si>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</si>
  <si>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</si>
  <si>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</si>
  <si>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</si>
  <si>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</si>
  <si>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</si>
  <si>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</si>
  <si>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</si>
  <si>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</si>
  <si>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</si>
  <si>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</si>
  <si>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</si>
  <si>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</si>
  <si>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</si>
  <si>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</si>
  <si>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</si>
  <si>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</si>
  <si>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</si>
  <si>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</si>
  <si>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</si>
  <si>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</si>
  <si>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</si>
  <si>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</si>
  <si>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</si>
  <si>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</si>
  <si>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</si>
  <si>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</si>
  <si>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</si>
  <si>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</si>
  <si>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</si>
  <si>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</si>
  <si>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</si>
  <si>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</si>
  <si>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</si>
  <si>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</si>
  <si>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</si>
  <si>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</si>
  <si>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</si>
  <si>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</si>
  <si>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</si>
  <si>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</si>
  <si>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</si>
  <si>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</si>
  <si>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</si>
  <si>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</si>
  <si>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</si>
  <si>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</si>
  <si>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</si>
  <si>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</si>
  <si>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</si>
  <si>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</si>
  <si>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</si>
  <si>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</si>
  <si>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</si>
  <si>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</si>
  <si>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</si>
  <si>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</si>
  <si>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</si>
  <si>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</si>
  <si>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</si>
  <si>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</si>
  <si>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</si>
  <si>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</si>
  <si>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</si>
  <si>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</si>
  <si>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</si>
  <si>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</si>
  <si>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</si>
  <si>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</si>
  <si>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</si>
  <si>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</si>
  <si>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</si>
  <si>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</si>
  <si>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</si>
  <si>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</si>
  <si>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</si>
  <si>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</si>
  <si>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</si>
  <si>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</si>
  <si>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</si>
  <si>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</si>
  <si>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</si>
  <si>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</si>
  <si>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</si>
  <si>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</si>
  <si>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</si>
  <si>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</si>
  <si>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</si>
  <si>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</si>
  <si>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</si>
  <si>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</si>
  <si>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</si>
  <si>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</si>
  <si>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</si>
  <si>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</si>
  <si>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</si>
  <si>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</si>
  <si>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</si>
  <si>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</si>
  <si>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</si>
  <si>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</si>
  <si>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</si>
  <si>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</si>
  <si>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</si>
  <si>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</si>
  <si>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</si>
  <si>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</si>
  <si>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</si>
  <si>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</si>
  <si>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</si>
  <si>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</si>
  <si>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</si>
  <si>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</si>
  <si>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</si>
  <si>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</si>
  <si>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</si>
  <si>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</si>
  <si>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</si>
  <si>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</si>
  <si>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</si>
  <si>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</si>
  <si>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</si>
  <si>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</si>
  <si>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</si>
  <si>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</si>
  <si>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</si>
  <si>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</si>
  <si>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</si>
  <si>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</si>
  <si>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</si>
  <si>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</si>
  <si>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</si>
  <si>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</si>
  <si>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</si>
  <si>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</si>
  <si>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</si>
  <si>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</si>
  <si>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</si>
  <si>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</si>
  <si>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</si>
  <si>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</si>
  <si>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</si>
  <si>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</si>
  <si>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</si>
  <si>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</si>
  <si>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</si>
  <si>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</si>
  <si>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</si>
  <si>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</si>
  <si>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</si>
  <si>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</si>
  <si>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</si>
  <si>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</si>
  <si>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</si>
  <si>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</si>
  <si>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</si>
  <si>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</si>
  <si>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</si>
  <si>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</si>
  <si>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</si>
  <si>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</si>
  <si>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</si>
  <si>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</si>
  <si>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</si>
  <si>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</si>
  <si>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</si>
  <si>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</si>
  <si>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</si>
  <si>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</si>
  <si>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</si>
  <si>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</si>
  <si>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</si>
  <si>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</si>
  <si>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</si>
  <si>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</si>
  <si>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</si>
  <si>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</si>
  <si>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</si>
  <si>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</si>
  <si>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</si>
  <si>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</si>
  <si>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</si>
  <si>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</si>
  <si>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</si>
  <si>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</si>
  <si>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</si>
  <si>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</si>
  <si>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</si>
  <si>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</si>
  <si>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</si>
  <si>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</si>
  <si>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</si>
  <si>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</si>
  <si>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</si>
  <si>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</si>
  <si>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</si>
  <si>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</si>
  <si>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</si>
  <si>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</si>
  <si>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</si>
  <si>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</si>
  <si>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</si>
  <si>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</si>
  <si>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</si>
  <si>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</si>
  <si>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</si>
  <si>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</si>
  <si>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</si>
  <si>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</si>
  <si>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</si>
  <si>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</si>
  <si>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</si>
  <si>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</si>
  <si>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</si>
  <si>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</si>
  <si>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</si>
  <si>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</si>
  <si>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</si>
  <si>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</si>
  <si>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</si>
  <si>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</si>
  <si>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</si>
  <si>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</si>
  <si>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</si>
  <si>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</si>
  <si>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</si>
  <si>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</si>
  <si>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</si>
  <si>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</si>
  <si>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</si>
  <si>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</si>
  <si>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</si>
  <si>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</si>
  <si>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</si>
  <si>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</si>
  <si>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</si>
  <si>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</si>
  <si>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</si>
  <si>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</si>
  <si>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</si>
  <si>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</si>
  <si>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</si>
  <si>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</si>
  <si>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</si>
  <si>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</si>
  <si>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</si>
  <si>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</si>
  <si>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</si>
  <si>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</si>
  <si>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</si>
  <si>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</si>
  <si>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</si>
  <si>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</si>
  <si>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</si>
  <si>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</si>
  <si>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</si>
  <si>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</si>
  <si>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</si>
  <si>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</si>
  <si>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</si>
  <si>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</si>
  <si>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</si>
  <si>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</si>
  <si>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</si>
  <si>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</si>
  <si>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</si>
  <si>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</si>
  <si>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</si>
  <si>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</si>
  <si>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</si>
  <si>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</si>
  <si>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</si>
  <si>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</si>
  <si>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</si>
  <si>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</si>
  <si>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</si>
  <si>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</si>
  <si>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</si>
  <si>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</si>
  <si>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</si>
  <si>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</si>
  <si>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</si>
  <si>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</si>
  <si>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</si>
  <si>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</si>
  <si>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</si>
  <si>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</si>
  <si>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</si>
  <si>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</si>
  <si>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</si>
  <si>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</si>
  <si>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</si>
  <si>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</si>
  <si>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</si>
  <si>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</si>
  <si>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</si>
  <si>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</si>
  <si>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</si>
  <si>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</si>
  <si>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</si>
  <si>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</si>
  <si>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</si>
  <si>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</si>
  <si>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</si>
  <si>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</si>
  <si>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</si>
  <si>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</si>
  <si>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</si>
  <si>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</si>
  <si>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</si>
  <si>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</si>
  <si>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</si>
  <si>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</si>
  <si>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</si>
  <si>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</si>
  <si>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</si>
  <si>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</si>
  <si>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</si>
  <si>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</si>
  <si>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</si>
  <si>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</si>
  <si>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</si>
  <si>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</si>
  <si>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</si>
  <si>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</si>
  <si>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</si>
  <si>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</si>
  <si>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</si>
  <si>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</si>
  <si>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</si>
  <si>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</si>
  <si>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</si>
  <si>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</si>
  <si>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</si>
  <si>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</si>
  <si>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</si>
  <si>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</si>
  <si>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</si>
  <si>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</si>
  <si>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</si>
  <si>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</si>
  <si>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</si>
  <si>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</si>
  <si>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</si>
  <si>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</si>
  <si>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</si>
  <si>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</si>
  <si>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</si>
  <si>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</si>
  <si>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</si>
  <si>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</si>
  <si>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</si>
  <si>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</si>
  <si>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</si>
  <si>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</si>
  <si>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</si>
  <si>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</si>
  <si>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</si>
  <si>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</si>
  <si>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</si>
  <si>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</si>
  <si>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</si>
  <si>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</si>
  <si>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</si>
  <si>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</si>
  <si>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</si>
  <si>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</si>
  <si>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</si>
  <si>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</si>
  <si>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</si>
  <si>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</si>
  <si>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</si>
  <si>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</si>
  <si>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</si>
  <si>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</si>
  <si>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</si>
  <si>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</si>
  <si>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</si>
  <si>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</si>
  <si>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</si>
  <si>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</si>
  <si>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</si>
  <si>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</si>
  <si>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</si>
  <si>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</si>
  <si>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</si>
  <si>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</si>
  <si>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</si>
  <si>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</si>
  <si>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</si>
  <si>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</si>
  <si>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</si>
  <si>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</si>
  <si>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</si>
  <si>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</si>
  <si>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</si>
  <si>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</si>
  <si>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</si>
  <si>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</si>
  <si>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</si>
  <si>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</si>
  <si>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</si>
  <si>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</si>
  <si>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</si>
  <si>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</si>
  <si>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</si>
  <si>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</si>
  <si>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</si>
  <si>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</si>
  <si>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</si>
  <si>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</si>
  <si>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</si>
  <si>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</si>
  <si>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</si>
  <si>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</si>
  <si>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</si>
  <si>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</si>
  <si>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</si>
  <si>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</si>
  <si>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</si>
  <si>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</si>
  <si>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</si>
  <si>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</si>
  <si>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</si>
  <si>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</si>
  <si>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</si>
  <si>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</si>
  <si>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</si>
  <si>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</si>
  <si>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</si>
  <si>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</si>
  <si>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</si>
  <si>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</si>
  <si>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</si>
  <si>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</si>
  <si>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</si>
  <si>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</si>
  <si>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</si>
  <si>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</si>
  <si>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</si>
  <si>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</si>
  <si>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</si>
  <si>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</si>
  <si>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</si>
  <si>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</si>
  <si>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</si>
  <si>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</si>
  <si>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</si>
  <si>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</si>
  <si>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</si>
  <si>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</si>
  <si>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</si>
  <si>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</si>
  <si>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</si>
  <si>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</si>
  <si>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</si>
  <si>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</si>
  <si>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</si>
  <si>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</si>
  <si>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</si>
  <si>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</si>
  <si>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</si>
  <si>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</si>
  <si>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</si>
  <si>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</si>
  <si>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</si>
  <si>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</si>
  <si>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</si>
  <si>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</si>
  <si>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</si>
  <si>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</si>
  <si>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</si>
  <si>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</si>
  <si>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</si>
  <si>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</si>
  <si>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</si>
  <si>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</si>
  <si>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</si>
  <si>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</si>
  <si>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</si>
  <si>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</si>
  <si>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</si>
  <si>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</si>
  <si>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</si>
  <si>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</si>
  <si>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</si>
  <si>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</si>
  <si>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</si>
  <si>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</si>
  <si>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</si>
  <si>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</si>
  <si>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</si>
  <si>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</si>
  <si>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</si>
  <si>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</si>
  <si>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</si>
  <si>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</si>
  <si>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</si>
  <si>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</si>
  <si>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</si>
  <si>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</si>
  <si>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</si>
  <si>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</si>
  <si>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</si>
  <si>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</si>
  <si>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</si>
  <si>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</si>
  <si>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</si>
  <si>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</si>
  <si>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</si>
  <si>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</si>
  <si>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</si>
  <si>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</si>
  <si>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</si>
  <si>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</si>
  <si>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</si>
  <si>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</si>
  <si>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</si>
  <si>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</si>
  <si>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</si>
  <si>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</si>
  <si>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</si>
  <si>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</si>
  <si>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</si>
  <si>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</si>
  <si>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</si>
  <si>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</si>
  <si>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</si>
  <si>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</si>
  <si>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</si>
  <si>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</si>
  <si>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</si>
  <si>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</si>
  <si>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</si>
  <si>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</si>
  <si>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</si>
  <si>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</si>
  <si>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</si>
  <si>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</si>
  <si>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</si>
  <si>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</si>
  <si>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</si>
  <si>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</si>
  <si>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</si>
  <si>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</si>
  <si>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</si>
  <si>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</si>
  <si>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</si>
  <si>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</si>
  <si>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</si>
  <si>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</si>
  <si>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</si>
  <si>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</si>
  <si>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</si>
  <si>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</si>
  <si>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</si>
  <si>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</si>
  <si>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</si>
  <si>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</si>
  <si>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</si>
  <si>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</si>
  <si>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</si>
  <si>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</si>
  <si>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</si>
  <si>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</si>
  <si>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</si>
  <si>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</si>
  <si>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</si>
  <si>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</si>
  <si>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</si>
  <si>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</si>
  <si>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</si>
  <si>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</si>
  <si>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</si>
  <si>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</si>
  <si>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</si>
  <si>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</si>
  <si>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</si>
  <si>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</si>
  <si>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</si>
  <si>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</si>
  <si>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</si>
  <si>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</si>
  <si>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</si>
  <si>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</si>
  <si>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</si>
  <si>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</si>
  <si>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</si>
  <si>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</si>
  <si>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</si>
  <si>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</si>
  <si>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</si>
  <si>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</si>
  <si>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</si>
  <si>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</si>
  <si>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</si>
  <si>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</si>
  <si>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</si>
  <si>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</si>
  <si>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</si>
  <si>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</si>
  <si>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</si>
  <si>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</si>
  <si>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</si>
  <si>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</si>
  <si>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</si>
  <si>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</si>
  <si>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</si>
  <si>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</si>
  <si>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</si>
  <si>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</si>
  <si>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</si>
  <si>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</si>
  <si>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</si>
  <si>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</si>
  <si>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</si>
  <si>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</si>
  <si>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</si>
  <si>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</si>
  <si>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</si>
  <si>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</si>
  <si>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</si>
  <si>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</si>
  <si>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</si>
  <si>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</si>
  <si>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</si>
  <si>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</si>
  <si>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</si>
  <si>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</si>
  <si>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</si>
  <si>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</si>
  <si>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</si>
  <si>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</si>
  <si>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</si>
  <si>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</si>
  <si>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</si>
  <si>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</si>
  <si>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</si>
  <si>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</si>
  <si>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</si>
  <si>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</si>
  <si>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</si>
  <si>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</si>
  <si>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</si>
  <si>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</si>
  <si>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</si>
  <si>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</si>
  <si>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</si>
  <si>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</si>
  <si>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</si>
  <si>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</si>
  <si>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</si>
  <si>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</si>
  <si>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</si>
  <si>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</si>
  <si>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</si>
  <si>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</si>
  <si>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</si>
  <si>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</si>
  <si>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</si>
  <si>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</si>
  <si>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</si>
  <si>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</si>
  <si>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</si>
  <si>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</si>
  <si>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</si>
  <si>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</si>
  <si>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</si>
  <si>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</si>
  <si>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</si>
  <si>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</si>
  <si>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</si>
  <si>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</si>
  <si>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</si>
  <si>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</si>
  <si>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</si>
  <si>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</si>
  <si>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</si>
  <si>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</si>
  <si>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</si>
  <si>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</si>
  <si>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</si>
  <si>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</si>
  <si>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</si>
  <si>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</si>
  <si>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</si>
  <si>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</si>
  <si>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</si>
  <si>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</si>
  <si>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</si>
  <si>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</si>
  <si>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</si>
  <si>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</si>
  <si>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</si>
  <si>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</si>
  <si>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</si>
  <si>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</si>
  <si>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</si>
  <si>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</si>
  <si>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</si>
  <si>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Thieves Guild zone storyline</t>
  </si>
  <si>
    <t>Diebes Gilde Zonen Geschichte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</si>
  <si>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</si>
  <si>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</si>
  <si>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</si>
  <si>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</si>
  <si>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</si>
  <si>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</si>
  <si>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</si>
  <si>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</si>
  <si>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</si>
  <si>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</si>
  <si>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</si>
  <si>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</si>
  <si>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</si>
  <si>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</si>
  <si>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</si>
  <si>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</si>
  <si>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</si>
  <si>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</si>
  <si>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</si>
  <si>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</si>
  <si>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</si>
  <si>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</si>
  <si>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</si>
  <si>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</si>
  <si>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</si>
  <si>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</si>
  <si>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</si>
  <si>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</si>
  <si>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</si>
  <si>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</si>
  <si>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</si>
  <si>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</si>
  <si>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</si>
  <si>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</si>
  <si>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</si>
  <si>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</si>
  <si>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</si>
  <si>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</si>
  <si>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</si>
  <si>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</si>
  <si>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</si>
  <si>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</si>
  <si>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</si>
  <si>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</si>
  <si>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</si>
  <si>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</si>
  <si>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</si>
  <si>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</si>
  <si>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</si>
  <si>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</si>
  <si>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</si>
  <si>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</si>
  <si>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</si>
  <si>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</si>
  <si>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</si>
  <si>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</si>
  <si>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</si>
  <si>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</si>
  <si>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</si>
  <si>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</si>
  <si>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</si>
  <si>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</si>
  <si>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</si>
  <si>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</si>
  <si>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</si>
  <si>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</si>
  <si>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</si>
  <si>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</si>
  <si>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</si>
  <si>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</si>
  <si>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</si>
  <si>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</si>
  <si>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</si>
  <si>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</si>
  <si>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</si>
  <si>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</si>
  <si>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</si>
  <si>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</si>
  <si>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</si>
  <si>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</si>
  <si>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</si>
  <si>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</si>
  <si>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</si>
  <si>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</si>
  <si>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</si>
  <si>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</si>
  <si>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</si>
  <si>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</si>
  <si>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</si>
  <si>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</si>
  <si>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</si>
  <si>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</si>
  <si>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</si>
  <si>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</si>
  <si>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</si>
  <si>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</si>
  <si>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</si>
  <si>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</si>
  <si>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</si>
  <si>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</si>
  <si>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</si>
  <si>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</si>
  <si>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</si>
  <si>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</si>
  <si>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</si>
  <si>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</si>
  <si>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</si>
  <si>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</si>
  <si>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</si>
  <si>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</si>
  <si>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</si>
  <si>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</si>
  <si>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</si>
  <si>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</si>
  <si>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</si>
  <si>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</si>
  <si>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</si>
  <si>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</si>
  <si>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</si>
  <si>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</si>
  <si>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</si>
  <si>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</si>
  <si>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</si>
  <si>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</si>
  <si>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</si>
  <si>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</si>
  <si>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</si>
  <si>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</si>
  <si>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</si>
  <si>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</si>
  <si>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</si>
  <si>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</si>
  <si>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</si>
  <si>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</si>
  <si>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</si>
  <si>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</si>
  <si>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</si>
  <si>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</si>
  <si>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</si>
  <si>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</si>
  <si>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</si>
  <si>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</si>
  <si>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</si>
  <si>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</si>
  <si>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</si>
  <si>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</si>
  <si>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</si>
  <si>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</si>
  <si>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</si>
  <si>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</si>
  <si>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</si>
  <si>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</si>
  <si>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</si>
  <si>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</si>
  <si>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</si>
  <si>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</si>
  <si>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</si>
  <si>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</si>
  <si>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</si>
  <si>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</si>
  <si>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</si>
  <si>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</si>
  <si>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</si>
  <si>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</si>
  <si>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</si>
  <si>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</si>
  <si>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</si>
  <si>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</si>
  <si>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</si>
  <si>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</si>
  <si>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</si>
  <si>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</si>
  <si>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</si>
  <si>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</si>
  <si>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</si>
  <si>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</si>
  <si>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</si>
  <si>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</si>
  <si>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</si>
  <si>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</si>
  <si>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</si>
  <si>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</si>
  <si>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</si>
  <si>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</si>
  <si>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</si>
  <si>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</si>
  <si>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</si>
  <si>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</si>
  <si>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</si>
  <si>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</si>
  <si>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</si>
  <si>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</si>
  <si>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</si>
  <si>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</si>
  <si>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</si>
  <si>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</si>
  <si>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</si>
  <si>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</si>
  <si>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</si>
  <si>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</si>
  <si>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</si>
  <si>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</si>
  <si>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</si>
  <si>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</si>
  <si>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</si>
  <si>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</si>
  <si>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</si>
  <si>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</si>
  <si>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</si>
  <si>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</si>
  <si>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</si>
  <si>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</si>
  <si>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</si>
  <si>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</si>
  <si>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</si>
  <si>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</si>
  <si>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</si>
  <si>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</si>
  <si>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</si>
  <si>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</si>
  <si>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</si>
  <si>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</si>
  <si>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</si>
  <si>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</si>
  <si>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</si>
  <si>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</si>
  <si>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</si>
  <si>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</si>
  <si>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</si>
  <si>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</si>
  <si>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</si>
  <si>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</si>
  <si>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</si>
  <si>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</si>
  <si>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</si>
  <si>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</si>
  <si>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</si>
  <si>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</si>
  <si>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</si>
  <si>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</si>
  <si>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</si>
  <si>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</si>
  <si>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</si>
  <si>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</si>
  <si>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</si>
  <si>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</si>
  <si>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</si>
  <si>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</si>
  <si>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</si>
  <si>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</si>
  <si>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</si>
  <si>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</si>
  <si>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</si>
  <si>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</si>
  <si>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</si>
  <si>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</si>
  <si>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</si>
  <si>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</si>
  <si>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</si>
  <si>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</si>
  <si>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</si>
  <si>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</si>
  <si>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</si>
  <si>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</si>
  <si>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</si>
  <si>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</si>
  <si>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</si>
  <si>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</si>
  <si>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</si>
  <si>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</si>
  <si>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</si>
  <si>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</si>
  <si>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</si>
  <si>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</si>
  <si>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</si>
  <si>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</si>
  <si>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</si>
  <si>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</si>
  <si>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</si>
  <si>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</si>
  <si>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</si>
  <si>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</si>
  <si>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</si>
  <si>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</si>
  <si>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</si>
  <si>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</si>
  <si>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</si>
  <si>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</si>
  <si>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</si>
  <si>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</si>
  <si>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</si>
  <si>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</si>
  <si>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</si>
  <si>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</si>
  <si>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</si>
  <si>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</si>
  <si>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</si>
  <si>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</si>
  <si>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</si>
  <si>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</si>
  <si>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</si>
  <si>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</si>
  <si>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</si>
  <si>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</si>
  <si>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</si>
  <si>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</si>
  <si>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</si>
  <si>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</si>
  <si>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</si>
  <si>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</si>
  <si>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</si>
  <si>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</si>
  <si>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</si>
  <si>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</si>
  <si>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</si>
  <si>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</si>
  <si>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</si>
  <si>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</si>
  <si>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</si>
  <si>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</si>
  <si>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</si>
  <si>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</si>
  <si>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</si>
  <si>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</si>
  <si>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</si>
  <si>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</si>
  <si>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</si>
  <si>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</si>
  <si>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</si>
  <si>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</si>
  <si>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</si>
  <si>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</si>
  <si>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</si>
  <si>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</si>
  <si>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</si>
  <si>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</si>
  <si>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</si>
  <si>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</si>
  <si>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</si>
  <si>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</si>
  <si>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</si>
  <si>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</si>
  <si>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</si>
  <si>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</si>
  <si>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</si>
  <si>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</si>
  <si>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</si>
  <si>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</si>
  <si>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</si>
  <si>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</si>
  <si>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</si>
  <si>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</si>
  <si>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</si>
  <si>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</si>
  <si>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</si>
  <si>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</si>
  <si>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</si>
  <si>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</si>
  <si>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</si>
  <si>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</si>
  <si>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</si>
  <si>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</si>
  <si>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</si>
  <si>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</si>
  <si>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</si>
  <si>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</si>
  <si>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</si>
  <si>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</si>
  <si>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</si>
  <si>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</si>
  <si>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</si>
  <si>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</si>
  <si>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</si>
  <si>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</si>
  <si>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</si>
  <si>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</si>
  <si>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</si>
  <si>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</si>
  <si>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</si>
  <si>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</si>
  <si>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</si>
  <si>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</si>
  <si>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</si>
  <si>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</si>
  <si>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</si>
  <si>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</si>
  <si>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</si>
  <si>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</si>
  <si>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</si>
  <si>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</si>
  <si>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</si>
  <si>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</si>
  <si>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</si>
  <si>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</si>
  <si>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</si>
  <si>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</si>
  <si>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</si>
  <si>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</si>
  <si>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</si>
  <si>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</si>
  <si>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</si>
  <si>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</si>
  <si>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</si>
  <si>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</si>
  <si>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</si>
  <si>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</si>
  <si>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</si>
  <si>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</si>
  <si>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</si>
  <si>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</si>
  <si>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</si>
  <si>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</si>
  <si>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</si>
  <si>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</si>
  <si>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</si>
  <si>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</si>
  <si>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</si>
  <si>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</si>
  <si>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</si>
  <si>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</si>
  <si>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</si>
  <si>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</si>
  <si>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</si>
  <si>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</si>
  <si>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</si>
  <si>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</si>
  <si>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</si>
  <si>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</si>
  <si>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</si>
  <si>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</si>
  <si>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</si>
  <si>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</si>
  <si>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</si>
  <si>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</si>
  <si>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</si>
  <si>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</si>
  <si>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</si>
  <si>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</si>
  <si>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</si>
  <si>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</si>
  <si>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</si>
  <si>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</si>
  <si>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</si>
  <si>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</si>
  <si>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</si>
  <si>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</si>
  <si>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</si>
  <si>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</si>
  <si>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</si>
  <si>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</si>
  <si>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</si>
  <si>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</si>
  <si>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</si>
  <si>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</si>
  <si>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</si>
  <si>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</si>
  <si>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</si>
  <si>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</si>
  <si>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</si>
  <si>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</si>
  <si>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</si>
  <si>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</si>
  <si>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</si>
  <si>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</si>
  <si>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</si>
  <si>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</si>
  <si>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</si>
  <si>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</si>
  <si>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</si>
  <si>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</si>
  <si>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</si>
  <si>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</si>
  <si>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</si>
  <si>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</si>
  <si>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</si>
  <si>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</si>
  <si>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</si>
  <si>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</si>
  <si>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</si>
  <si>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</si>
  <si>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</si>
  <si>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</si>
  <si>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</si>
  <si>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</si>
  <si>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</si>
  <si>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</si>
  <si>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</si>
  <si>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</si>
  <si>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</si>
  <si>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</si>
  <si>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</si>
  <si>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</si>
  <si>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</si>
  <si>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</si>
  <si>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</si>
  <si>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</si>
  <si>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</si>
  <si>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</si>
  <si>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</si>
  <si>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</si>
  <si>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</si>
  <si>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</si>
  <si>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</si>
  <si>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</si>
  <si>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</si>
  <si>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</si>
  <si>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</si>
  <si>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</si>
  <si>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</si>
  <si>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</si>
  <si>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</si>
  <si>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</si>
  <si>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</si>
  <si>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</si>
  <si>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</si>
  <si>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</si>
  <si>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</si>
  <si>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</si>
  <si>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</si>
  <si>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</si>
  <si>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</si>
  <si>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</si>
  <si>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</si>
  <si>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</si>
  <si>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</si>
  <si>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</si>
  <si>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</si>
  <si>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</si>
  <si>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</si>
  <si>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</si>
  <si>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</si>
  <si>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</si>
  <si>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</si>
  <si>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</si>
  <si>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</si>
  <si>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</si>
  <si>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</si>
  <si>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</si>
  <si>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</si>
  <si>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</si>
  <si>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</si>
  <si>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</si>
  <si>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</si>
  <si>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</si>
  <si>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</si>
  <si>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</si>
  <si>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</si>
  <si>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</si>
  <si>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</si>
  <si>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</si>
  <si>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</si>
  <si>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</si>
  <si>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</si>
  <si>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</si>
  <si>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</si>
  <si>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</si>
  <si>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</si>
  <si>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</si>
  <si>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</si>
  <si>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</si>
  <si>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</si>
  <si>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</si>
  <si>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</si>
  <si>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</si>
  <si>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</si>
  <si>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</si>
  <si>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</si>
  <si>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</si>
  <si>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</si>
  <si>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</si>
  <si>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</si>
  <si>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</si>
  <si>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</si>
  <si>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</si>
  <si>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</si>
  <si>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</si>
  <si>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</si>
  <si>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</si>
  <si>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</si>
  <si>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</si>
  <si>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</si>
  <si>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</si>
  <si>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</si>
  <si>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</si>
  <si>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</si>
  <si>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</si>
  <si>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</si>
  <si>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</si>
  <si>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</si>
  <si>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</si>
  <si>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</si>
  <si>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</si>
  <si>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</si>
  <si>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</si>
  <si>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</si>
  <si>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</si>
  <si>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</si>
  <si>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</si>
  <si>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</si>
  <si>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</si>
  <si>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</si>
  <si>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</si>
  <si>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</si>
  <si>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</si>
  <si>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</si>
  <si>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</si>
  <si>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</si>
  <si>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</si>
  <si>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</si>
  <si>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</si>
  <si>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</si>
  <si>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</si>
  <si>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</si>
  <si>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</si>
  <si>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</si>
  <si>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</si>
  <si>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</si>
  <si>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</si>
  <si>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</si>
  <si>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</si>
  <si>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</si>
  <si>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</si>
  <si>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</si>
  <si>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</si>
  <si>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</si>
  <si>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</si>
  <si>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</si>
  <si>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</si>
  <si>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</si>
  <si>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</si>
  <si>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</si>
  <si>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</si>
  <si>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</si>
  <si>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</si>
  <si>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</si>
  <si>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</si>
  <si>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</si>
  <si>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</si>
  <si>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</si>
  <si>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</si>
  <si>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</si>
  <si>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</si>
  <si>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</si>
  <si>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</si>
  <si>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</si>
  <si>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</si>
  <si>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</si>
  <si>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</si>
  <si>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</si>
  <si>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</si>
  <si>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</si>
  <si>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</si>
  <si>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</si>
  <si>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</si>
  <si>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</si>
  <si>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</si>
  <si>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</si>
  <si>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</si>
  <si>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</si>
  <si>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</si>
  <si>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</si>
  <si>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</si>
  <si>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</si>
  <si>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</si>
  <si>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</si>
  <si>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</si>
  <si>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</si>
  <si>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</si>
  <si>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</si>
  <si>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</si>
  <si>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</si>
  <si>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</si>
  <si>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</si>
  <si>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</si>
  <si>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</si>
  <si>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</si>
  <si>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</si>
  <si>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</si>
  <si>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</si>
  <si>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</si>
  <si>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</si>
  <si>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</si>
  <si>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</si>
  <si>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</si>
  <si>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</si>
  <si>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</si>
  <si>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</si>
  <si>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</si>
  <si>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</si>
  <si>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</si>
  <si>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</si>
  <si>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</si>
  <si>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</si>
  <si>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</si>
  <si>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</si>
  <si>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</si>
  <si>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</si>
  <si>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</si>
  <si>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</si>
  <si>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</si>
  <si>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</si>
  <si>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</si>
  <si>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</si>
  <si>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</si>
  <si>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</si>
  <si>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</si>
  <si>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</si>
  <si>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</si>
  <si>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</si>
  <si>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</si>
  <si>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</si>
  <si>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</si>
  <si>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</si>
  <si>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</si>
  <si>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</si>
  <si>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</si>
  <si>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</si>
  <si>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</si>
  <si>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</si>
  <si>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</si>
  <si>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</si>
  <si>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</si>
  <si>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</si>
  <si>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</si>
  <si>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</si>
  <si>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</si>
  <si>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</si>
  <si>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</si>
  <si>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</si>
  <si>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</si>
  <si>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</si>
  <si>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</si>
  <si>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</si>
  <si>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</si>
  <si>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</si>
  <si>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</si>
  <si>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</si>
  <si>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</si>
  <si>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</si>
  <si>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</si>
  <si>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</si>
  <si>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</si>
  <si>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</si>
  <si>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</si>
  <si>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</si>
  <si>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</si>
  <si>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</si>
  <si>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</si>
  <si>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</si>
  <si>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</si>
  <si>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</si>
  <si>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</si>
  <si>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</si>
  <si>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</si>
  <si>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</si>
  <si>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</si>
  <si>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</si>
  <si>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</si>
  <si>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</si>
  <si>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</si>
  <si>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</si>
  <si>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</si>
  <si>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</si>
  <si>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</si>
  <si>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</si>
  <si>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</si>
  <si>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</si>
  <si>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</si>
  <si>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</si>
  <si>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</si>
  <si>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</si>
  <si>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</si>
  <si>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</si>
  <si>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</si>
  <si>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</si>
  <si>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</si>
  <si>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</si>
  <si>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</si>
  <si>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</si>
  <si>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</si>
  <si>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</si>
  <si>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</si>
  <si>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</si>
  <si>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</si>
  <si>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</si>
  <si>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</si>
  <si>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</si>
  <si>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</si>
  <si>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</si>
  <si>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</si>
  <si>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</si>
  <si>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</si>
  <si>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</si>
  <si>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</si>
  <si>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</si>
  <si>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</si>
  <si>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</si>
  <si>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</si>
  <si>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</si>
  <si>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</si>
  <si>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</si>
  <si>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</si>
  <si>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</si>
  <si>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</si>
  <si>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</si>
  <si>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</si>
  <si>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</si>
  <si>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</si>
  <si>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</si>
  <si>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</si>
  <si>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</si>
  <si>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</si>
  <si>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</si>
  <si>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</si>
  <si>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</si>
  <si>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</si>
  <si>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</si>
  <si>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</si>
  <si>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</si>
  <si>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</si>
  <si>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</si>
  <si>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</si>
  <si>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</si>
  <si>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</si>
  <si>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</si>
  <si>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</si>
  <si>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</si>
  <si>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</si>
  <si>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</si>
  <si>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</si>
  <si>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</si>
  <si>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</si>
  <si>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</si>
  <si>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</si>
  <si>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</si>
  <si>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</si>
  <si>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</si>
  <si>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</si>
  <si>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</si>
  <si>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</si>
  <si>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</si>
  <si>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</si>
  <si>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</si>
  <si>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</si>
  <si>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</si>
  <si>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</si>
  <si>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</si>
  <si>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</si>
  <si>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</si>
  <si>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</si>
  <si>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</si>
  <si>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</si>
  <si>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</si>
  <si>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</si>
  <si>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</si>
  <si>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</si>
  <si>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</si>
  <si>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</si>
  <si>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</si>
  <si>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</si>
  <si>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</si>
  <si>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</si>
  <si>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</si>
  <si>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</si>
  <si>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</si>
  <si>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</si>
  <si>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</si>
  <si>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</si>
  <si>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</si>
  <si>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</si>
  <si>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</si>
  <si>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</si>
  <si>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</si>
  <si>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</si>
  <si>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</si>
  <si>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</si>
  <si>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</si>
  <si>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</si>
  <si>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</si>
  <si>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</si>
  <si>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</si>
  <si>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</si>
  <si>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</si>
  <si>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</si>
  <si>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</si>
  <si>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</si>
  <si>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</si>
  <si>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</si>
  <si>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</si>
  <si>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</si>
  <si>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</si>
  <si>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</si>
  <si>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</si>
  <si>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</si>
  <si>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</si>
  <si>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</si>
  <si>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</si>
  <si>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</si>
  <si>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</si>
  <si>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</si>
  <si>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</si>
  <si>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</si>
  <si>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</si>
  <si>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</si>
  <si>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</si>
  <si>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</si>
  <si>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</si>
  <si>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</si>
  <si>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</si>
  <si>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</si>
  <si>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</si>
  <si>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</si>
  <si>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</si>
  <si>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</si>
  <si>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</si>
  <si>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</si>
  <si>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</si>
  <si>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</si>
  <si>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</si>
  <si>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</si>
  <si>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</si>
  <si>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</si>
  <si>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</si>
  <si>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</si>
  <si>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</si>
  <si>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</si>
  <si>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</si>
  <si>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</si>
  <si>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</si>
  <si>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</si>
  <si>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</si>
  <si>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</si>
  <si>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</si>
  <si>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</si>
  <si>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</si>
  <si>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</si>
  <si>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</si>
  <si>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</si>
  <si>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</si>
  <si>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</si>
  <si>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</si>
  <si>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</si>
  <si>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</si>
  <si>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</si>
  <si>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</si>
  <si>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</si>
  <si>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</si>
  <si>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</si>
  <si>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</si>
  <si>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</si>
  <si>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</si>
  <si>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</si>
  <si>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</si>
  <si>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</si>
  <si>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</si>
  <si>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</si>
  <si>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</si>
  <si>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</si>
  <si>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</si>
  <si>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</si>
  <si>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</si>
  <si>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</si>
  <si>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</si>
  <si>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</si>
  <si>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</si>
  <si>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</si>
  <si>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</si>
  <si>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</si>
  <si>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</si>
  <si>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</si>
  <si>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</si>
  <si>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</si>
  <si>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</si>
  <si>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</si>
  <si>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</si>
  <si>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</si>
  <si>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</si>
  <si>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</si>
  <si>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</si>
  <si>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</si>
  <si>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</si>
  <si>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</si>
  <si>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</si>
  <si>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</si>
  <si>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</si>
  <si>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</si>
  <si>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</si>
  <si>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</si>
  <si>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</si>
  <si>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</si>
  <si>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</si>
  <si>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</si>
  <si>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</si>
  <si>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</si>
  <si>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</si>
  <si>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</si>
  <si>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</si>
  <si>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</si>
  <si>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</si>
  <si>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</si>
  <si>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</si>
  <si>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</si>
  <si>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</si>
  <si>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</si>
  <si>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</si>
  <si>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</si>
  <si>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</si>
  <si>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</si>
  <si>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</si>
  <si>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</si>
  <si>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</si>
  <si>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</si>
  <si>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</si>
  <si>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</si>
  <si>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</si>
  <si>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</si>
  <si>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</si>
  <si>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</si>
  <si>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</si>
  <si>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</si>
  <si>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</si>
  <si>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</si>
  <si>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</si>
  <si>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</si>
  <si>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</si>
  <si>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</si>
  <si>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</si>
  <si>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</si>
  <si>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</si>
  <si>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</si>
  <si>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</si>
  <si>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</si>
  <si>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</si>
  <si>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</si>
  <si>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</si>
  <si>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</si>
  <si>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</si>
  <si>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</si>
  <si>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</si>
  <si>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</si>
  <si>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</si>
  <si>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</si>
  <si>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</si>
  <si>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</si>
  <si>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</si>
  <si>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</si>
  <si>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</si>
  <si>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</si>
  <si>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</si>
  <si>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</si>
  <si>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</si>
  <si>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</si>
  <si>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</si>
  <si>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</si>
  <si>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</si>
  <si>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</si>
  <si>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</si>
  <si>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</si>
  <si>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</si>
  <si>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</si>
  <si>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</si>
  <si>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</si>
  <si>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</si>
  <si>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</si>
  <si>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</si>
  <si>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</si>
  <si>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</si>
  <si>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</si>
  <si>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</si>
  <si>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</si>
  <si>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</si>
  <si>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</si>
  <si>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</si>
  <si>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</si>
  <si>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</si>
  <si>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</si>
  <si>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</si>
  <si>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</si>
  <si>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</si>
  <si>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</si>
  <si>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</si>
  <si>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</si>
  <si>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</si>
  <si>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</si>
  <si>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</si>
  <si>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</si>
  <si>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</si>
  <si>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</si>
  <si>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</si>
  <si>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</si>
  <si>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</si>
  <si>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</si>
  <si>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</si>
  <si>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</si>
  <si>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</si>
  <si>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</si>
  <si>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</si>
  <si>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</si>
  <si>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</si>
  <si>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</si>
  <si>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</si>
  <si>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</si>
  <si>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</si>
  <si>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</si>
  <si>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</si>
  <si>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</si>
  <si>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</si>
  <si>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</si>
  <si>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</si>
  <si>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</si>
  <si>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</si>
  <si>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</si>
  <si>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</si>
  <si>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</si>
  <si>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</si>
  <si>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</si>
  <si>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</si>
  <si>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</si>
  <si>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</si>
  <si>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</si>
  <si>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</si>
  <si>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</si>
  <si>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</si>
  <si>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</si>
  <si>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</si>
  <si>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</si>
  <si>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</si>
  <si>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</si>
  <si>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</si>
  <si>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</si>
  <si>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</si>
  <si>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</si>
  <si>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</si>
  <si>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</si>
  <si>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</si>
  <si>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</si>
  <si>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</si>
  <si>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</si>
  <si>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</si>
  <si>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</si>
  <si>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</si>
  <si>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</si>
  <si>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</si>
  <si>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</si>
  <si>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</si>
  <si>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</si>
  <si>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</si>
  <si>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</si>
  <si>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</si>
  <si>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</si>
  <si>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</si>
  <si>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</si>
  <si>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</si>
  <si>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</si>
  <si>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</si>
  <si>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</si>
  <si>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</si>
  <si>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</si>
  <si>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</si>
  <si>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</si>
  <si>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</si>
  <si>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</si>
  <si>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</si>
  <si>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</si>
  <si>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</si>
  <si>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</si>
  <si>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</si>
  <si>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</si>
  <si>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</si>
  <si>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</si>
  <si>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</si>
  <si>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</si>
  <si>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</si>
  <si>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</si>
  <si>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</si>
  <si>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</si>
  <si>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</si>
  <si>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</si>
  <si>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</si>
  <si>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</si>
  <si>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</si>
  <si>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</si>
  <si>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</si>
  <si>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</si>
  <si>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</si>
  <si>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</si>
  <si>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</si>
  <si>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</si>
  <si>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</si>
  <si>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</si>
  <si>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</si>
  <si>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</si>
  <si>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</si>
  <si>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</si>
  <si>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</si>
  <si>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</si>
  <si>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</si>
  <si>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</si>
  <si>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</si>
  <si>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</si>
  <si>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</si>
  <si>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</si>
  <si>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</si>
  <si>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</si>
  <si>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</si>
  <si>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</si>
  <si>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</si>
  <si>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</si>
  <si>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</si>
  <si>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</si>
  <si>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</si>
  <si>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</si>
  <si>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</si>
  <si>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</si>
  <si>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</si>
  <si>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</si>
  <si>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</si>
  <si>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</si>
  <si>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</si>
  <si>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</si>
  <si>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</si>
  <si>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</si>
  <si>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</si>
  <si>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</si>
  <si>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</si>
  <si>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</si>
  <si>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</si>
  <si>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</si>
  <si>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</si>
  <si>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</si>
  <si>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</si>
  <si>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</si>
  <si>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</si>
  <si>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</si>
  <si>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</si>
  <si>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</si>
  <si>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</si>
  <si>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</si>
  <si>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</si>
  <si>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</si>
  <si>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</si>
  <si>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</si>
  <si>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</si>
  <si>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</si>
  <si>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</si>
  <si>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</si>
  <si>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</si>
  <si>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</si>
  <si>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</si>
  <si>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</si>
  <si>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</si>
  <si>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</si>
  <si>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</si>
  <si>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</si>
  <si>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</si>
  <si>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</si>
  <si>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</si>
  <si>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</si>
  <si>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</si>
  <si>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</si>
  <si>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</si>
  <si>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</si>
  <si>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</si>
  <si>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</si>
  <si>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</si>
  <si>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</si>
  <si>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</si>
  <si>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</si>
  <si>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</si>
  <si>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</si>
  <si>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</si>
  <si>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</si>
  <si>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</si>
  <si>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</si>
  <si>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</si>
  <si>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</si>
  <si>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</si>
  <si>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</si>
  <si>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</si>
  <si>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</si>
  <si>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</si>
  <si>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</si>
  <si>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</si>
  <si>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</si>
  <si>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</si>
  <si>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</si>
  <si>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</si>
  <si>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</si>
  <si>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</si>
  <si>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</si>
  <si>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</si>
  <si>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</si>
  <si>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</si>
  <si>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</si>
  <si>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</si>
  <si>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</si>
  <si>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</si>
  <si>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</si>
  <si>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</si>
  <si>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</si>
  <si>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</si>
  <si>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</si>
  <si>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</si>
  <si>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</si>
  <si>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</si>
  <si>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</si>
  <si>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</si>
  <si>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</si>
  <si>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</si>
  <si>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</si>
  <si>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</si>
  <si>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</si>
  <si>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</si>
  <si>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</si>
  <si>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</si>
  <si>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</si>
  <si>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</si>
  <si>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</si>
  <si>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</si>
  <si>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</si>
  <si>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</si>
  <si>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</si>
  <si>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</si>
  <si>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</si>
  <si>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</si>
  <si>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</si>
  <si>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</si>
  <si>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</si>
  <si>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</si>
  <si>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</si>
  <si>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</si>
  <si>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</si>
  <si>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</si>
  <si>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</si>
  <si>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</si>
  <si>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</si>
  <si>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</si>
  <si>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</si>
  <si>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</si>
  <si>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</si>
  <si>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</si>
  <si>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</si>
  <si>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</si>
  <si>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</si>
  <si>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</si>
  <si>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</si>
  <si>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</si>
  <si>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</si>
  <si>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</si>
  <si>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</si>
  <si>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</si>
  <si>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</si>
  <si>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</si>
  <si>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</si>
  <si>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</si>
  <si>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</si>
  <si>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</si>
  <si>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</si>
  <si>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</si>
  <si>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</si>
  <si>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</si>
  <si>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</si>
  <si>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</si>
  <si>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</si>
  <si>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</si>
  <si>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</si>
  <si>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</si>
  <si>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</si>
  <si>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</si>
  <si>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</si>
  <si>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</si>
  <si>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</si>
  <si>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</si>
  <si>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</si>
  <si>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</si>
  <si>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</si>
  <si>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</si>
  <si>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</si>
  <si>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</si>
  <si>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</si>
  <si>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</si>
  <si>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</si>
  <si>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</si>
  <si>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</si>
  <si>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</si>
  <si>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</si>
  <si>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</si>
  <si>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</si>
  <si>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</si>
  <si>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</si>
  <si>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</si>
  <si>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</si>
  <si>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</si>
  <si>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</si>
  <si>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</si>
  <si>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</si>
  <si>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</si>
  <si>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</si>
  <si>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</si>
  <si>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</si>
  <si>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</si>
  <si>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</si>
  <si>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</si>
  <si>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</si>
  <si>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</si>
  <si>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</si>
  <si>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</si>
  <si>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</si>
  <si>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</si>
  <si>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</si>
  <si>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</si>
  <si>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</si>
  <si>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</si>
  <si>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</si>
  <si>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</si>
  <si>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</si>
  <si>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</si>
  <si>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</si>
  <si>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</si>
  <si>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</si>
  <si>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</si>
  <si>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</si>
  <si>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</si>
  <si>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</si>
  <si>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</si>
  <si>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</si>
  <si>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</si>
  <si>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</si>
  <si>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</si>
  <si>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</si>
  <si>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</si>
  <si>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</si>
  <si>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</si>
  <si>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</si>
  <si>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</si>
  <si>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</si>
  <si>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</si>
  <si>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</si>
  <si>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</si>
  <si>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</si>
  <si>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</si>
  <si>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</si>
  <si>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</si>
  <si>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</si>
  <si>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</si>
  <si>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</si>
  <si>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</si>
  <si>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</si>
  <si>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</si>
  <si>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</si>
  <si>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</si>
  <si>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</si>
  <si>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</si>
  <si>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</si>
  <si>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</si>
  <si>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</si>
  <si>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</si>
  <si>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</si>
  <si>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</si>
  <si>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</si>
  <si>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</si>
  <si>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</si>
  <si>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</si>
  <si>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</si>
  <si>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</si>
  <si>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</si>
  <si>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</si>
  <si>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</si>
  <si>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</si>
  <si>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</si>
  <si>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</si>
  <si>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</si>
  <si>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</si>
  <si>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</si>
  <si>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</si>
  <si>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</si>
  <si>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</si>
  <si>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</si>
  <si>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</si>
  <si>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</si>
  <si>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</si>
  <si>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</si>
  <si>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</si>
  <si>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</si>
  <si>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</si>
  <si>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</si>
  <si>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</si>
  <si>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</si>
  <si>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</si>
  <si>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</si>
  <si>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</si>
  <si>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</si>
  <si>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</si>
  <si>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</si>
  <si>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</si>
  <si>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</si>
  <si>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</si>
  <si>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</si>
  <si>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</si>
  <si>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</si>
  <si>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</si>
  <si>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</si>
  <si>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</si>
  <si>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</si>
  <si>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</si>
  <si>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</si>
  <si>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</si>
  <si>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</si>
  <si>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</si>
  <si>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</si>
  <si>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</si>
  <si>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</si>
  <si>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</si>
  <si>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</si>
  <si>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</si>
  <si>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</si>
  <si>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</si>
  <si>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</si>
  <si>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</si>
  <si>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</si>
  <si>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</si>
  <si>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</si>
  <si>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</si>
  <si>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</si>
  <si>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</si>
  <si>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</si>
  <si>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</si>
  <si>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</si>
  <si>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</si>
  <si>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</si>
  <si>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</si>
  <si>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</si>
  <si>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</si>
  <si>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</si>
  <si>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</si>
  <si>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</si>
  <si>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</si>
  <si>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</si>
  <si>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</si>
  <si>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</si>
  <si>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</si>
  <si>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</si>
  <si>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</si>
  <si>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</si>
  <si>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</si>
  <si>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</si>
  <si>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</si>
  <si>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</si>
  <si>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</si>
  <si>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</si>
  <si>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</si>
  <si>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</si>
  <si>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</si>
  <si>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</si>
  <si>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</si>
  <si>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</si>
  <si>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</si>
  <si>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</si>
  <si>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</si>
  <si>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</si>
  <si>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</si>
  <si>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</si>
  <si>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</si>
  <si>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</si>
  <si>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</si>
  <si>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</si>
  <si>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</si>
  <si>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</si>
  <si>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</si>
  <si>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</si>
  <si>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</si>
  <si>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</si>
  <si>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</si>
  <si>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</si>
  <si>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</si>
  <si>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</si>
  <si>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</si>
  <si>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</si>
  <si>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</si>
  <si>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</si>
  <si>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</si>
  <si>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</si>
  <si>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</si>
  <si>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</si>
  <si>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</si>
  <si>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</si>
  <si>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</si>
  <si>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</si>
  <si>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</si>
  <si>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</si>
  <si>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</si>
  <si>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</si>
  <si>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</si>
  <si>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</si>
  <si>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</si>
  <si>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</si>
  <si>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</si>
  <si>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</si>
  <si>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</si>
  <si>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</si>
  <si>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</si>
  <si>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</si>
  <si>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</si>
  <si>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</si>
  <si>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</si>
  <si>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</si>
  <si>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</si>
  <si>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</si>
  <si>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</si>
  <si>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</si>
  <si>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</si>
  <si>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</si>
  <si>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</si>
  <si>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</si>
  <si>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</si>
  <si>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</si>
  <si>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</si>
  <si>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</si>
  <si>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</si>
  <si>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</si>
  <si>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</si>
  <si>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</si>
  <si>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</si>
  <si>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</si>
  <si>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</si>
  <si>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</si>
  <si>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</si>
  <si>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</si>
  <si>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</si>
  <si>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</si>
  <si>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</si>
  <si>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</si>
  <si>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</si>
  <si>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</si>
  <si>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</si>
  <si>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</si>
  <si>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</si>
  <si>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</si>
  <si>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</si>
  <si>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</si>
  <si>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</si>
  <si>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</si>
  <si>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</si>
  <si>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</si>
  <si>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</si>
  <si>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</si>
  <si>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</si>
  <si>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</si>
  <si>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</si>
  <si>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</si>
  <si>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</si>
  <si>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</si>
  <si>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</si>
  <si>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</si>
  <si>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</si>
  <si>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</si>
  <si>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</si>
  <si>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</si>
  <si>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</si>
  <si>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</si>
  <si>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</si>
  <si>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</si>
  <si>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</si>
  <si>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</si>
  <si>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</si>
  <si>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</si>
  <si>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</si>
  <si>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</si>
  <si>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</si>
  <si>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</si>
  <si>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</si>
  <si>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</si>
  <si>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</si>
  <si>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</si>
  <si>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</si>
  <si>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</si>
  <si>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</si>
  <si>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</si>
  <si>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</si>
  <si>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</si>
  <si>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</si>
  <si>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</si>
  <si>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</si>
  <si>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</si>
  <si>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</si>
  <si>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</si>
  <si>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</si>
  <si>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</si>
  <si>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</si>
  <si>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</si>
  <si>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</si>
  <si>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</si>
  <si>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</si>
  <si>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</si>
  <si>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</si>
  <si>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</si>
  <si>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</si>
  <si>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</si>
  <si>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</si>
  <si>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</si>
  <si>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</si>
  <si>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</si>
  <si>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</si>
  <si>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</si>
  <si>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</si>
  <si>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</si>
  <si>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</si>
  <si>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</si>
  <si>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</si>
  <si>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</si>
  <si>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</si>
  <si>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</si>
  <si>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</si>
  <si>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</si>
  <si>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</si>
  <si>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</si>
  <si>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</si>
  <si>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</si>
  <si>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</si>
  <si>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</si>
  <si>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</si>
  <si>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</si>
  <si>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</si>
  <si>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</si>
  <si>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</si>
  <si>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</si>
  <si>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</si>
  <si>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</si>
  <si>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</si>
  <si>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</si>
  <si>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</si>
  <si>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</si>
  <si>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</si>
  <si>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</si>
  <si>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</si>
  <si>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</si>
  <si>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</si>
  <si>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</si>
  <si>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</si>
  <si>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</si>
  <si>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</si>
  <si>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</si>
  <si>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</si>
  <si>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</si>
  <si>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</si>
  <si>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</si>
  <si>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</si>
  <si>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</si>
  <si>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</si>
  <si>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</si>
  <si>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</si>
  <si>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</si>
  <si>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</si>
  <si>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</si>
  <si>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</si>
  <si>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</si>
  <si>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</si>
  <si>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</si>
  <si>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</si>
  <si>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</si>
  <si>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</si>
  <si>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</si>
  <si>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</si>
  <si>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</si>
  <si>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</si>
  <si>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</si>
  <si>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</si>
  <si>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</si>
  <si>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</si>
  <si>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</si>
  <si>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</si>
  <si>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</si>
  <si>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</si>
  <si>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</si>
  <si>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</si>
  <si>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</si>
  <si>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</si>
  <si>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</si>
  <si>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</si>
  <si>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</si>
  <si>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</si>
  <si>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</si>
  <si>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</si>
  <si>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</si>
  <si>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</si>
  <si>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</si>
  <si>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</si>
  <si>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</si>
  <si>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</si>
  <si>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</si>
  <si>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</si>
  <si>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</si>
  <si>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</si>
  <si>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</si>
  <si>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</si>
  <si>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</si>
  <si>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</si>
  <si>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</si>
  <si>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</si>
  <si>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</si>
  <si>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</si>
  <si>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</si>
  <si>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</si>
  <si>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</si>
  <si>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</si>
  <si>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</si>
  <si>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</si>
  <si>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</si>
  <si>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</si>
  <si>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</si>
  <si>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</si>
  <si>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</si>
  <si>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</si>
  <si>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</si>
  <si>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</si>
  <si>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</si>
  <si>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</si>
  <si>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</si>
  <si>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</si>
  <si>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</si>
  <si>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</si>
  <si>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</si>
  <si>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</si>
  <si>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</si>
  <si>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</si>
  <si>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</si>
  <si>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</si>
  <si>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</si>
  <si>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</si>
  <si>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</si>
  <si>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</si>
  <si>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</si>
  <si>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</si>
  <si>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</si>
  <si>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</si>
  <si>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</si>
  <si>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</si>
  <si>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</si>
  <si>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</si>
  <si>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</si>
  <si>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</si>
  <si>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</si>
  <si>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</si>
  <si>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</si>
  <si>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</si>
  <si>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</si>
  <si>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</si>
  <si>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</si>
  <si>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</si>
  <si>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</si>
  <si>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</si>
  <si>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</si>
  <si>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</si>
  <si>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</si>
  <si>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</si>
  <si>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</si>
  <si>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</si>
  <si>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</si>
  <si>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</si>
  <si>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</si>
  <si>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</si>
  <si>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</si>
  <si>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</si>
  <si>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</si>
  <si>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</si>
  <si>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</si>
  <si>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</si>
  <si>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</si>
  <si>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</si>
  <si>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</si>
  <si>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</si>
  <si>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</si>
  <si>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</si>
  <si>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</si>
  <si>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</si>
  <si>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</si>
  <si>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</si>
  <si>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</si>
  <si>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</si>
  <si>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</si>
  <si>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</si>
  <si>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</si>
  <si>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</si>
  <si>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</si>
  <si>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</si>
  <si>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</si>
  <si>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</si>
  <si>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</si>
  <si>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</si>
  <si>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</si>
  <si>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</si>
  <si>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</si>
  <si>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</si>
  <si>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</si>
  <si>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</si>
  <si>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</si>
  <si>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</si>
  <si>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</si>
  <si>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</si>
  <si>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</si>
  <si>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</si>
  <si>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</si>
  <si>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</si>
  <si>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</si>
  <si>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</si>
  <si>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</si>
  <si>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</si>
  <si>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</si>
  <si>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</si>
  <si>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</si>
  <si>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</si>
  <si>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</si>
  <si>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</si>
  <si>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</si>
  <si>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</si>
  <si>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</si>
  <si>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</si>
  <si>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</si>
  <si>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</si>
  <si>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</si>
  <si>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</si>
  <si>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</si>
  <si>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</si>
  <si>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</si>
  <si>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</si>
  <si>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</si>
  <si>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</si>
  <si>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</si>
  <si>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</si>
  <si>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</si>
  <si>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</si>
  <si>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</si>
  <si>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</si>
  <si>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</si>
  <si>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</si>
  <si>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</si>
  <si>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</si>
  <si>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</si>
  <si>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</si>
  <si>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</si>
  <si>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</si>
  <si>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</si>
  <si>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</si>
  <si>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</si>
  <si>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</si>
  <si>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</si>
  <si>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</si>
  <si>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</si>
  <si>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</si>
  <si>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</si>
  <si>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</si>
  <si>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</si>
  <si>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</si>
  <si>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</si>
  <si>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</si>
  <si>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</si>
  <si>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</si>
  <si>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</si>
  <si>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</si>
  <si>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</si>
  <si>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</si>
  <si>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</si>
  <si>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</si>
  <si>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</si>
  <si>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</si>
  <si>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</si>
  <si>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</si>
  <si>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</si>
  <si>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</si>
  <si>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</si>
  <si>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</si>
  <si>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</si>
  <si>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</si>
  <si>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</si>
  <si>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</si>
  <si>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</si>
  <si>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</si>
  <si>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</si>
  <si>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</si>
  <si>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</si>
  <si>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</si>
  <si>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</si>
  <si>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</si>
  <si>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</si>
  <si>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</si>
  <si>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</si>
  <si>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</si>
  <si>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</si>
  <si>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</si>
  <si>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</si>
  <si>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</si>
  <si>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</si>
  <si>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</si>
  <si>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</si>
  <si>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</si>
  <si>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</si>
  <si>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</si>
  <si>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</si>
  <si>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</si>
  <si>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</si>
  <si>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</si>
  <si>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</si>
  <si>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</si>
  <si>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</si>
  <si>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</si>
  <si>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</si>
  <si>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</si>
  <si>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</si>
  <si>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</si>
  <si>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</si>
  <si>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</si>
  <si>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</si>
  <si>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</si>
  <si>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</si>
  <si>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</si>
  <si>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</si>
  <si>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</si>
  <si>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</si>
  <si>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</si>
  <si>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</si>
  <si>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</si>
  <si>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</si>
  <si>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</si>
  <si>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</si>
  <si>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</si>
  <si>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</si>
  <si>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</si>
  <si>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</si>
  <si>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</si>
  <si>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</si>
  <si>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</si>
  <si>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</si>
  <si>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</si>
  <si>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</si>
  <si>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</si>
  <si>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</si>
  <si>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</si>
  <si>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</si>
  <si>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</si>
  <si>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</si>
  <si>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</si>
  <si>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</si>
  <si>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</si>
  <si>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</si>
  <si>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</si>
  <si>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</si>
  <si>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</si>
  <si>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</si>
  <si>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</si>
  <si>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</si>
  <si>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</si>
  <si>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</si>
  <si>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</si>
  <si>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</si>
  <si>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</si>
  <si>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</si>
  <si>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</si>
  <si>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</si>
  <si>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</si>
  <si>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</si>
  <si>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</si>
  <si>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</si>
  <si>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</si>
  <si>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</si>
  <si>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</si>
  <si>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</si>
  <si>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</si>
  <si>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</si>
  <si>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</si>
  <si>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</si>
  <si>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</si>
  <si>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</si>
  <si>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</si>
  <si>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</si>
  <si>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</si>
  <si>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</si>
  <si>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</si>
  <si>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</si>
  <si>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</si>
  <si>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</si>
  <si>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</si>
  <si>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</si>
  <si>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</si>
  <si>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</si>
  <si>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</si>
  <si>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</si>
  <si>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</si>
  <si>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</si>
  <si>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</si>
  <si>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</si>
  <si>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</si>
  <si>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</si>
  <si>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</si>
  <si>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</si>
  <si>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</si>
  <si>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</si>
  <si>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</si>
  <si>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</si>
  <si>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</si>
  <si>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</si>
  <si>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</si>
  <si>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</si>
  <si>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</si>
  <si>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</si>
  <si>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</si>
  <si>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</si>
  <si>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</si>
  <si>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</si>
  <si>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</si>
  <si>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</si>
  <si>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</si>
  <si>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</si>
  <si>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</si>
  <si>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</si>
  <si>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</si>
  <si>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</si>
  <si>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</si>
  <si>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</si>
  <si>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</si>
  <si>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</si>
  <si>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</si>
  <si>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</si>
  <si>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</si>
  <si>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</si>
  <si>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</si>
  <si>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</si>
  <si>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</si>
  <si>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</si>
  <si>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</si>
  <si>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</si>
  <si>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</si>
  <si>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</si>
  <si>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</si>
  <si>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</si>
  <si>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</si>
  <si>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</si>
  <si>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</si>
  <si>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</si>
  <si>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</si>
  <si>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</si>
  <si>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</si>
  <si>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</si>
  <si>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</si>
  <si>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</si>
  <si>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</si>
  <si>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</si>
  <si>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</si>
  <si>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</si>
  <si>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</si>
  <si>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</si>
  <si>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</si>
  <si>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</si>
  <si>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</si>
  <si>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</si>
  <si>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</si>
  <si>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</si>
  <si>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</si>
  <si>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</si>
  <si>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</si>
  <si>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</si>
  <si>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</si>
  <si>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</si>
  <si>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</si>
  <si>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</si>
  <si>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</si>
  <si>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</si>
  <si>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</si>
  <si>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</si>
  <si>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</si>
  <si>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</si>
  <si>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</si>
  <si>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</si>
  <si>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</si>
  <si>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</si>
  <si>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</si>
  <si>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</si>
  <si>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</si>
  <si>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</si>
  <si>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</si>
  <si>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</si>
  <si>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</si>
  <si>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</si>
  <si>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</si>
  <si>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Birien Manor</t>
  </si>
  <si>
    <t>Hidden Library</t>
  </si>
  <si>
    <t>Rols Boron's Warehouse</t>
  </si>
  <si>
    <t>Daggerfall</t>
  </si>
  <si>
    <t>Sage's Isle</t>
  </si>
  <si>
    <t>The Nowhere Vault</t>
  </si>
  <si>
    <t>Rogue's Refuge</t>
  </si>
  <si>
    <t>Dancing Waters Wellspring</t>
  </si>
  <si>
    <t>Star-Gazer's Vigil</t>
  </si>
  <si>
    <r>
      <rPr>
        <sz val="11"/>
        <rFont val="Calibri"/>
        <family val="2"/>
      </rPr>
      <t>Last dumped: 2026-04-15, PTS 101050</t>
    </r>
    <r>
      <rPr>
        <sz val="11"/>
        <color rgb="FFFF0000"/>
        <rFont val="Calibri"/>
        <family val="2"/>
      </rPr>
      <t xml:space="preserve">	As you update zoneData copy the excel formulas of all other columns, then enter the correct ESO DLC Id in column J</t>
    </r>
  </si>
  <si>
    <t>Do not remove or change this line!</t>
  </si>
  <si>
    <t>DO NOT REMOVE OR CHANGE!</t>
  </si>
  <si>
    <t>Last dumped: 2026-04-15, PTS 101050</t>
  </si>
  <si>
    <t>DLC_SEASON2_PART0</t>
  </si>
  <si>
    <t>Season 2 - Part 0</t>
  </si>
  <si>
    <t>September 28th 20206</t>
  </si>
  <si>
    <t>Tarcyr</t>
  </si>
  <si>
    <t>Mylenne Mondruferin</t>
  </si>
  <si>
    <t>Mylenne Moon-Caller</t>
  </si>
  <si>
    <t>LIBSETS_SETTYPE_SOLO_MONSTER</t>
  </si>
  <si>
    <t>Solo Monster</t>
  </si>
  <si>
    <t>LIBSETS_DROP_MECHANIC_SOLO_DUNGEON_BOSS</t>
  </si>
  <si>
    <t>Bosses in Solo Dungeons</t>
  </si>
  <si>
    <t>Bosse in Solo Verliesen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</si>
</sst>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1">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
      <patternFill patternType="solid">
        <fgColor rgb="FFFFFF00"/>
        <bgColor indexed="64"/>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2">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0" fillId="30" borderId="0" xfId="0" applyFill="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1" fillId="28" borderId="1" xfId="1" applyFill="1"/>
    <xf numFmtId="0" fontId="21" fillId="0" borderId="0" xfId="1" applyFont="1" applyFill="1" applyBorder="1" applyAlignment="1">
      <alignment horizontal="left" vertical="top"/>
    </xf>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8"/>
  <sheetViews>
    <sheetView workbookViewId="0">
      <pane xSplit="1" ySplit="2" topLeftCell="B38"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101" t="s">
        <v>0</v>
      </c>
      <c r="B1" s="102"/>
      <c r="C1" s="102"/>
      <c r="D1" s="102"/>
      <c r="E1" s="102"/>
      <c r="F1" s="102"/>
      <c r="G1" s="102"/>
      <c r="H1" s="102"/>
      <c r="I1" s="102"/>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v>43</v>
      </c>
      <c r="B47" t="s">
        <v>4310</v>
      </c>
      <c r="C47" t="s">
        <v>4311</v>
      </c>
      <c r="D47" t="s">
        <v>4312</v>
      </c>
    </row>
    <row r="48" spans="1:4" x14ac:dyDescent="0.25">
      <c r="A48" s="3">
        <f t="array" aca="1" ref="A48" ca="1">INDIRECT(ADDRESS(ROW()-1,COLUMN()))</f>
        <v>43</v>
      </c>
      <c r="B48" s="32" t="s">
        <v>132</v>
      </c>
      <c r="C48"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3" t="s">
        <v>134</v>
      </c>
      <c r="B1" s="104"/>
      <c r="C1" s="104"/>
      <c r="D1" s="104"/>
      <c r="E1" s="104"/>
      <c r="F1" s="104"/>
      <c r="G1" s="104"/>
      <c r="H1" s="104"/>
      <c r="I1" s="104"/>
      <c r="J1" s="6"/>
      <c r="K1" s="6"/>
      <c r="L1" s="6"/>
      <c r="M1" s="86"/>
      <c r="N1" s="87"/>
      <c r="O1" s="87"/>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20"/>
  <sheetViews>
    <sheetView workbookViewId="0">
      <pane xSplit="1" ySplit="2" topLeftCell="B3" activePane="bottomRight" state="frozen"/>
      <selection pane="topRight"/>
      <selection pane="bottomLeft"/>
      <selection pane="bottomRight" activeCell="B19" sqref="B19"/>
    </sheetView>
  </sheetViews>
  <sheetFormatPr defaultColWidth="10.7109375" defaultRowHeight="15" x14ac:dyDescent="0.25"/>
  <cols>
    <col min="2" max="2" width="54.5703125" customWidth="1"/>
    <col min="3" max="3" width="68.85546875" customWidth="1"/>
  </cols>
  <sheetData>
    <row r="1" spans="1:15" x14ac:dyDescent="0.25">
      <c r="A1" s="103" t="s">
        <v>134</v>
      </c>
      <c r="B1" s="104"/>
      <c r="C1" s="104"/>
      <c r="D1" s="104"/>
      <c r="E1" s="104"/>
      <c r="F1" s="104"/>
      <c r="G1" s="104"/>
      <c r="H1" s="104"/>
      <c r="I1" s="104"/>
      <c r="J1" s="6"/>
      <c r="K1" s="6"/>
      <c r="L1" s="6"/>
      <c r="M1" s="86"/>
      <c r="N1" s="87"/>
      <c r="O1" s="87"/>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v>16</v>
      </c>
      <c r="B19" s="3" t="s">
        <v>4316</v>
      </c>
      <c r="C19" t="s">
        <v>4317</v>
      </c>
    </row>
    <row r="20" spans="1:3" x14ac:dyDescent="0.25">
      <c r="A20">
        <f t="array" aca="1" ref="A20" ca="1">INDIRECT(ADDRESS(ROW()-1,COLUMN()))</f>
        <v>16</v>
      </c>
      <c r="B20" s="37" t="s">
        <v>188</v>
      </c>
      <c r="C20" t="s">
        <v>189</v>
      </c>
    </row>
  </sheetData>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5"/>
  <sheetViews>
    <sheetView workbookViewId="0">
      <pane xSplit="1" ySplit="2" topLeftCell="B27" activePane="bottomRight" state="frozen"/>
      <selection pane="topRight"/>
      <selection pane="bottomLeft"/>
      <selection pane="bottomRight" activeCell="B44" sqref="B44"/>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3" t="s">
        <v>0</v>
      </c>
      <c r="B1" s="104"/>
      <c r="C1" s="104"/>
      <c r="D1" s="104"/>
      <c r="E1" s="104"/>
      <c r="F1" s="104"/>
      <c r="G1" s="104"/>
      <c r="H1" s="104"/>
      <c r="I1" s="104"/>
      <c r="J1" s="6"/>
      <c r="K1" s="6"/>
      <c r="L1" s="6"/>
      <c r="M1" s="86"/>
      <c r="N1" s="87"/>
      <c r="O1" s="87"/>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v>41</v>
      </c>
      <c r="B44" s="3" t="s">
        <v>4318</v>
      </c>
      <c r="C44" t="s">
        <v>4319</v>
      </c>
      <c r="D44" s="26" t="s">
        <v>4320</v>
      </c>
    </row>
    <row r="45" spans="1:4" x14ac:dyDescent="0.25">
      <c r="A45">
        <f t="array" aca="1" ref="A45" ca="1">INDIRECT(ADDRESS(ROW()-1,COLUMN()))</f>
        <v>41</v>
      </c>
      <c r="B45" s="36" t="s">
        <v>316</v>
      </c>
      <c r="C45" t="s">
        <v>317</v>
      </c>
      <c r="D45" t="s">
        <v>318</v>
      </c>
    </row>
  </sheetData>
  <autoFilter ref="A2:D43" xr:uid="{00000000-0009-0000-0000-000003000000}"/>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101" t="s">
        <v>319</v>
      </c>
      <c r="B1" s="102"/>
      <c r="C1" s="102"/>
      <c r="D1" s="102"/>
      <c r="E1" s="102"/>
      <c r="F1" s="102"/>
      <c r="G1" s="102"/>
      <c r="H1" s="102"/>
      <c r="I1" s="102"/>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3" t="s">
        <v>134</v>
      </c>
      <c r="B1" s="104"/>
      <c r="C1" s="104"/>
      <c r="D1" s="104"/>
      <c r="E1" s="104"/>
      <c r="F1" s="104"/>
      <c r="G1" s="104"/>
      <c r="H1" s="104"/>
      <c r="I1" s="104"/>
      <c r="J1" s="6"/>
      <c r="K1" s="6"/>
      <c r="L1" s="6"/>
      <c r="M1" s="86"/>
      <c r="N1" s="87"/>
      <c r="O1" s="87"/>
    </row>
    <row r="2" spans="1:15" s="89" customFormat="1" x14ac:dyDescent="0.25">
      <c r="A2" s="88" t="s">
        <v>325</v>
      </c>
      <c r="B2" s="88" t="s">
        <v>326</v>
      </c>
      <c r="C2" s="88"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7"/>
  <sheetViews>
    <sheetView tabSelected="1" zoomScale="90" workbookViewId="0">
      <pane xSplit="3" ySplit="2" topLeftCell="BI701" activePane="bottomRight" state="frozen"/>
      <selection pane="topRight" activeCell="D1" sqref="D1"/>
      <selection pane="bottomLeft" activeCell="A3" sqref="A3"/>
      <selection pane="bottomRight" activeCell="BE725" sqref="BE725:BI727"/>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100"/>
      <c r="B1" s="100"/>
      <c r="C1" s="100"/>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IF(T3&lt;&gt;"",VLOOKUP(T3,ConstDLCIds!$B$4:$C$1000,2,FALSE),"")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IF(T4&lt;&gt;"",VLOOKUP(T4,ConstDLCIds!$B$4:$C$1000,2,FALSE),"")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IF(T5&lt;&gt;"",VLOOKUP(T5,ConstDLCIds!$B$4:$C$1000,2,FALSE),"")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IF(T6&lt;&gt;"",VLOOKUP(T6,ConstDLCIds!$B$4:$C$1000,2,FALSE),"")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IF(T7&lt;&gt;"",VLOOKUP(T7,ConstDLCIds!$B$4:$C$1000,2,FALSE),"")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IF(T8&lt;&gt;"",VLOOKUP(T8,ConstDLCIds!$B$4:$C$1000,2,FALSE),"")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IF(T9&lt;&gt;"",VLOOKUP(T9,ConstDLCIds!$B$4:$C$1000,2,FALSE),"")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IF(T10&lt;&gt;"",VLOOKUP(T10,ConstDLCIds!$B$4:$C$1000,2,FALSE),"")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IF(T11&lt;&gt;"",VLOOKUP(T11,ConstDLCIds!$B$4:$C$1000,2,FALSE),"")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IF(T12&lt;&gt;"",VLOOKUP(T12,ConstDLCIds!$B$4:$C$1000,2,FALSE),"")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IF(T13&lt;&gt;"",VLOOKUP(T13,ConstDLCIds!$B$4:$C$1000,2,FALSE),"")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IF(T14&lt;&gt;"",VLOOKUP(T14,ConstDLCIds!$B$4:$C$1000,2,FALSE),"")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IF(T15&lt;&gt;"",VLOOKUP(T15,ConstDLCIds!$B$4:$C$1000,2,FALSE),"")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IF(T16&lt;&gt;"",VLOOKUP(T16,ConstDLCIds!$B$4:$C$1000,2,FALSE),"")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IF(T17&lt;&gt;"",VLOOKUP(T17,ConstDLCIds!$B$4:$C$1000,2,FALSE),"")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IF(T18&lt;&gt;"",VLOOKUP(T18,ConstDLCIds!$B$4:$C$1000,2,FALSE),"")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IF(T19&lt;&gt;"",VLOOKUP(T19,ConstDLCIds!$B$4:$C$1000,2,FALSE),"")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IF(T20&lt;&gt;"",VLOOKUP(T20,ConstDLCIds!$B$4:$C$1000,2,FALSE),"")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IF(T21&lt;&gt;"",VLOOKUP(T21,ConstDLCIds!$B$4:$C$1000,2,FALSE),"")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IF(T22&lt;&gt;"",VLOOKUP(T22,ConstDLCIds!$B$4:$C$1000,2,FALSE),"")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IF(T23&lt;&gt;"",VLOOKUP(T23,ConstDLCIds!$B$4:$C$1000,2,FALSE),"")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IF(T24&lt;&gt;"",VLOOKUP(T24,ConstDLCIds!$B$4:$C$1000,2,FALSE),"")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IF(T25&lt;&gt;"",VLOOKUP(T25,ConstDLCIds!$B$4:$C$1000,2,FALSE),"")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IF(T26&lt;&gt;"",VLOOKUP(T26,ConstDLCIds!$B$4:$C$1000,2,FALSE),"")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IF(T27&lt;&gt;"",VLOOKUP(T27,ConstDLCIds!$B$4:$C$1000,2,FALSE),"")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IF(T28&lt;&gt;"",VLOOKUP(T28,ConstDLCIds!$B$4:$C$1000,2,FALSE),"")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IF(T29&lt;&gt;"",VLOOKUP(T29,ConstDLCIds!$B$4:$C$1000,2,FALSE),"")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IF(T30&lt;&gt;"",VLOOKUP(T30,ConstDLCIds!$B$4:$C$1000,2,FALSE),"")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IF(T31&lt;&gt;"",VLOOKUP(T31,ConstDLCIds!$B$4:$C$1000,2,FALSE),"")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IF(T32&lt;&gt;"",VLOOKUP(T32,ConstDLCIds!$B$4:$C$1000,2,FALSE),"")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IF(T33&lt;&gt;"",VLOOKUP(T33,ConstDLCIds!$B$4:$C$1000,2,FALSE),"")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IF(T34&lt;&gt;"",VLOOKUP(T34,ConstDLCIds!$B$4:$C$1000,2,FALSE),"")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IF(T35&lt;&gt;"",VLOOKUP(T35,ConstDLCIds!$B$4:$C$1000,2,FALSE),"")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IF(T36&lt;&gt;"",VLOOKUP(T36,ConstDLCIds!$B$4:$C$1000,2,FALSE),"")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IF(T37&lt;&gt;"",VLOOKUP(T37,ConstDLCIds!$B$4:$C$1000,2,FALSE),"")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IF(T38&lt;&gt;"",VLOOKUP(T38,ConstDLCIds!$B$4:$C$1000,2,FALSE),"")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IF(T39&lt;&gt;"",VLOOKUP(T39,ConstDLCIds!$B$4:$C$1000,2,FALSE),"")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IF(T40&lt;&gt;"",VLOOKUP(T40,ConstDLCIds!$B$4:$C$1000,2,FALSE),"")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IF(T41&lt;&gt;"",VLOOKUP(T41,ConstDLCIds!$B$4:$C$1000,2,FALSE),"")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IF(T42&lt;&gt;"",VLOOKUP(T42,ConstDLCIds!$B$4:$C$1000,2,FALSE),"")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IF(T43&lt;&gt;"",VLOOKUP(T43,ConstDLCIds!$B$4:$C$1000,2,FALSE),"")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IF(T44&lt;&gt;"",VLOOKUP(T44,ConstDLCIds!$B$4:$C$1000,2,FALSE),"")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IF(T45&lt;&gt;"",VLOOKUP(T45,ConstDLCIds!$B$4:$C$1000,2,FALSE),"")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IF(T46&lt;&gt;"",VLOOKUP(T46,ConstDLCIds!$B$4:$C$1000,2,FALSE),"")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IF(T47&lt;&gt;"",VLOOKUP(T47,ConstDLCIds!$B$4:$C$1000,2,FALSE),"")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IF(T48&lt;&gt;"",VLOOKUP(T48,ConstDLCIds!$B$4:$C$1000,2,FALSE),"")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IF(T49&lt;&gt;"",VLOOKUP(T49,ConstDLCIds!$B$4:$C$1000,2,FALSE),"")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IF(T50&lt;&gt;"",VLOOKUP(T50,ConstDLCIds!$B$4:$C$1000,2,FALSE),"")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IF(T51&lt;&gt;"",VLOOKUP(T51,ConstDLCIds!$B$4:$C$1000,2,FALSE),"")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IF(T52&lt;&gt;"",VLOOKUP(T52,ConstDLCIds!$B$4:$C$1000,2,FALSE),"")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IF(T53&lt;&gt;"",VLOOKUP(T53,ConstDLCIds!$B$4:$C$1000,2,FALSE),"")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IF(T54&lt;&gt;"",VLOOKUP(T54,ConstDLCIds!$B$4:$C$1000,2,FALSE),"")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IF(T55&lt;&gt;"",VLOOKUP(T55,ConstDLCIds!$B$4:$C$1000,2,FALSE),"")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IF(T56&lt;&gt;"",VLOOKUP(T56,ConstDLCIds!$B$4:$C$1000,2,FALSE),"")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IF(T57&lt;&gt;"",VLOOKUP(T57,ConstDLCIds!$B$4:$C$1000,2,FALSE),"")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IF(T58&lt;&gt;"",VLOOKUP(T58,ConstDLCIds!$B$4:$C$1000,2,FALSE),"")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IF(T59&lt;&gt;"",VLOOKUP(T59,ConstDLCIds!$B$4:$C$1000,2,FALSE),"")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IF(T60&lt;&gt;"",VLOOKUP(T60,ConstDLCIds!$B$4:$C$1000,2,FALSE),"")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IF(T61&lt;&gt;"",VLOOKUP(T61,ConstDLCIds!$B$4:$C$1000,2,FALSE),"")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IF(T62&lt;&gt;"",VLOOKUP(T62,ConstDLCIds!$B$4:$C$1000,2,FALSE),"")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IF(T63&lt;&gt;"",VLOOKUP(T63,ConstDLCIds!$B$4:$C$1000,2,FALSE),"")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IF(T64&lt;&gt;"",VLOOKUP(T64,ConstDLCIds!$B$4:$C$1000,2,FALSE),"")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IF(T65&lt;&gt;"",VLOOKUP(T65,ConstDLCIds!$B$4:$C$1000,2,FALSE),"")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IF(T66&lt;&gt;"",VLOOKUP(T66,ConstDLCIds!$B$4:$C$1000,2,FALSE),"")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IF(T67&lt;&gt;"",VLOOKUP(T67,ConstDLCIds!$B$4:$C$1000,2,FALSE),"")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IF(T68&lt;&gt;"",VLOOKUP(T68,ConstDLCIds!$B$4:$C$1000,2,FALSE),"")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IF(T69&lt;&gt;"",VLOOKUP(T69,ConstDLCIds!$B$4:$C$1000,2,FALSE),"")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IF(T70&lt;&gt;"",VLOOKUP(T70,ConstDLCIds!$B$4:$C$1000,2,FALSE),"")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IF(T71&lt;&gt;"",VLOOKUP(T71,ConstDLCIds!$B$4:$C$1000,2,FALSE),"")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IF(T72&lt;&gt;"",VLOOKUP(T72,ConstDLCIds!$B$4:$C$1000,2,FALSE),"")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IF(T73&lt;&gt;"",VLOOKUP(T73,ConstDLCIds!$B$4:$C$1000,2,FALSE),"")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IF(T74&lt;&gt;"",VLOOKUP(T74,ConstDLCIds!$B$4:$C$1000,2,FALSE),"")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IF(T75&lt;&gt;"",VLOOKUP(T75,ConstDLCIds!$B$4:$C$1000,2,FALSE),"")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IF(T76&lt;&gt;"",VLOOKUP(T76,ConstDLCIds!$B$4:$C$1000,2,FALSE),"")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IF(T77&lt;&gt;"",VLOOKUP(T77,ConstDLCIds!$B$4:$C$1000,2,FALSE),"")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IF(T78&lt;&gt;"",VLOOKUP(T78,ConstDLCIds!$B$4:$C$1000,2,FALSE),"")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IF(T79&lt;&gt;"",VLOOKUP(T79,ConstDLCIds!$B$4:$C$1000,2,FALSE),"")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IF(T80&lt;&gt;"",VLOOKUP(T80,ConstDLCIds!$B$4:$C$1000,2,FALSE),"")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IF(T81&lt;&gt;"",VLOOKUP(T81,ConstDLCIds!$B$4:$C$1000,2,FALSE),"")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IF(T82&lt;&gt;"",VLOOKUP(T82,ConstDLCIds!$B$4:$C$1000,2,FALSE),"")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IF(T83&lt;&gt;"",VLOOKUP(T83,ConstDLCIds!$B$4:$C$1000,2,FALSE),"")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IF(T84&lt;&gt;"",VLOOKUP(T84,ConstDLCIds!$B$4:$C$1000,2,FALSE),"")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IF(T85&lt;&gt;"",VLOOKUP(T85,ConstDLCIds!$B$4:$C$1000,2,FALSE),"")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IF(T86&lt;&gt;"",VLOOKUP(T86,ConstDLCIds!$B$4:$C$1000,2,FALSE),"")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IF(T87&lt;&gt;"",VLOOKUP(T87,ConstDLCIds!$B$4:$C$1000,2,FALSE),"")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IF(T88&lt;&gt;"",VLOOKUP(T88,ConstDLCIds!$B$4:$C$1000,2,FALSE),"")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IF(T89&lt;&gt;"",VLOOKUP(T89,ConstDLCIds!$B$4:$C$1000,2,FALSE),"")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IF(T90&lt;&gt;"",VLOOKUP(T90,ConstDLCIds!$B$4:$C$1000,2,FALSE),"")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IF(T91&lt;&gt;"",VLOOKUP(T91,ConstDLCIds!$B$4:$C$1000,2,FALSE),"")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IF(T92&lt;&gt;"",VLOOKUP(T92,ConstDLCIds!$B$4:$C$1000,2,FALSE),"")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IF(T93&lt;&gt;"",VLOOKUP(T93,ConstDLCIds!$B$4:$C$1000,2,FALSE),"")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IF(T94&lt;&gt;"",VLOOKUP(T94,ConstDLCIds!$B$4:$C$1000,2,FALSE),"")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IF(T95&lt;&gt;"",VLOOKUP(T95,ConstDLCIds!$B$4:$C$1000,2,FALSE),"")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IF(T96&lt;&gt;"",VLOOKUP(T96,ConstDLCIds!$B$4:$C$1000,2,FALSE),"")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IF(T97&lt;&gt;"",VLOOKUP(T97,ConstDLCIds!$B$4:$C$1000,2,FALSE),"")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IF(T98&lt;&gt;"",VLOOKUP(T98,ConstDLCIds!$B$4:$C$1000,2,FALSE),"")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IF(T99&lt;&gt;"",VLOOKUP(T99,ConstDLCIds!$B$4:$C$1000,2,FALSE),"")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IF(T100&lt;&gt;"",VLOOKUP(T100,ConstDLCIds!$B$4:$C$1000,2,FALSE),"")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IF(T101&lt;&gt;"",VLOOKUP(T101,ConstDLCIds!$B$4:$C$1000,2,FALSE),"")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IF(T102&lt;&gt;"",VLOOKUP(T102,ConstDLCIds!$B$4:$C$1000,2,FALSE),"")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IF(T103&lt;&gt;"",VLOOKUP(T103,ConstDLCIds!$B$4:$C$1000,2,FALSE),"")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IF(T104&lt;&gt;"",VLOOKUP(T104,ConstDLCIds!$B$4:$C$1000,2,FALSE),"")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IF(T105&lt;&gt;"",VLOOKUP(T105,ConstDLCIds!$B$4:$C$1000,2,FALSE),"")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IF(T106&lt;&gt;"",VLOOKUP(T106,ConstDLCIds!$B$4:$C$1000,2,FALSE),"")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IF(T107&lt;&gt;"",VLOOKUP(T107,ConstDLCIds!$B$4:$C$1000,2,FALSE),"")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IF(T108&lt;&gt;"",VLOOKUP(T108,ConstDLCIds!$B$4:$C$1000,2,FALSE),"")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IF(T109&lt;&gt;"",VLOOKUP(T109,ConstDLCIds!$B$4:$C$1000,2,FALSE),"")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IF(T110&lt;&gt;"",VLOOKUP(T110,ConstDLCIds!$B$4:$C$1000,2,FALSE),"")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IF(T111&lt;&gt;"",VLOOKUP(T111,ConstDLCIds!$B$4:$C$1000,2,FALSE),"")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IF(T112&lt;&gt;"",VLOOKUP(T112,ConstDLCIds!$B$4:$C$1000,2,FALSE),"")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IF(T113&lt;&gt;"",VLOOKUP(T113,ConstDLCIds!$B$4:$C$1000,2,FALSE),"")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IF(T114&lt;&gt;"",VLOOKUP(T114,ConstDLCIds!$B$4:$C$1000,2,FALSE),"")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IF(T115&lt;&gt;"",VLOOKUP(T115,ConstDLCIds!$B$4:$C$1000,2,FALSE),"")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IF(T116&lt;&gt;"",VLOOKUP(T116,ConstDLCIds!$B$4:$C$1000,2,FALSE),"")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IF(T117&lt;&gt;"",VLOOKUP(T117,ConstDLCIds!$B$4:$C$1000,2,FALSE),"")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IF(T118&lt;&gt;"",VLOOKUP(T118,ConstDLCIds!$B$4:$C$1000,2,FALSE),"")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IF(T119&lt;&gt;"",VLOOKUP(T119,ConstDLCIds!$B$4:$C$1000,2,FALSE),"")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IF(T120&lt;&gt;"",VLOOKUP(T120,ConstDLCIds!$B$4:$C$1000,2,FALSE),"")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IF(T121&lt;&gt;"",VLOOKUP(T121,ConstDLCIds!$B$4:$C$1000,2,FALSE),"")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IF(T122&lt;&gt;"",VLOOKUP(T122,ConstDLCIds!$B$4:$C$1000,2,FALSE),"")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IF(T123&lt;&gt;"",VLOOKUP(T123,ConstDLCIds!$B$4:$C$1000,2,FALSE),"")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IF(T124&lt;&gt;"",VLOOKUP(T124,ConstDLCIds!$B$4:$C$1000,2,FALSE),"")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IF(T125&lt;&gt;"",VLOOKUP(T125,ConstDLCIds!$B$4:$C$1000,2,FALSE),"")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IF(T126&lt;&gt;"",VLOOKUP(T126,ConstDLCIds!$B$4:$C$1000,2,FALSE),"")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IF(T127&lt;&gt;"",VLOOKUP(T127,ConstDLCIds!$B$4:$C$1000,2,FALSE),"")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IF(T128&lt;&gt;"",VLOOKUP(T128,ConstDLCIds!$B$4:$C$1000,2,FALSE),"")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IF(T129&lt;&gt;"",VLOOKUP(T129,ConstDLCIds!$B$4:$C$1000,2,FALSE),"")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IF(T130&lt;&gt;"",VLOOKUP(T130,ConstDLCIds!$B$4:$C$1000,2,FALSE),"")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IF(T131&lt;&gt;"",VLOOKUP(T131,ConstDLCIds!$B$4:$C$1000,2,FALSE),"")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IF(T132&lt;&gt;"",VLOOKUP(T132,ConstDLCIds!$B$4:$C$1000,2,FALSE),"")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IF(T133&lt;&gt;"",VLOOKUP(T133,ConstDLCIds!$B$4:$C$1000,2,FALSE),"")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IF(T134&lt;&gt;"",VLOOKUP(T134,ConstDLCIds!$B$4:$C$1000,2,FALSE),"")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IF(T135&lt;&gt;"",VLOOKUP(T135,ConstDLCIds!$B$4:$C$1000,2,FALSE),"")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IF(T136&lt;&gt;"",VLOOKUP(T136,ConstDLCIds!$B$4:$C$1000,2,FALSE),"")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IF(T137&lt;&gt;"",VLOOKUP(T137,ConstDLCIds!$B$4:$C$1000,2,FALSE),"")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IF(AB137&lt;&gt;"",IF(AB137&lt;&gt;"LIBSETS_DROP_MECHANIC_MONSTER_NAME",VLOOKUP(AB137,ConstDropMechs!$B$4:$C$1001,2,FALSE),""),"")</f>
        <v/>
      </c>
      <c r="AD137" s="3" t="str">
        <f>IF(AB137&lt;&gt;"",IF(AB137&lt;&gt;"LIBSETS_DROP_MECHANIC_MONSTER_NAME",VLOOKUP(AB137,ConstDropMechs!$B$4:$D$1001,3,FALSE),""),"")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IF(T138&lt;&gt;"",VLOOKUP(T138,ConstDLCIds!$B$4:$C$1000,2,FALSE),"")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IF(AB138&lt;&gt;"",IF(AB138&lt;&gt;"LIBSETS_DROP_MECHANIC_MONSTER_NAME",VLOOKUP(AB138,ConstDropMechs!$B$4:$C$1001,2,FALSE),""),"")</f>
        <v/>
      </c>
      <c r="AD138" s="3" t="str">
        <f>IF(AB138&lt;&gt;"",IF(AB138&lt;&gt;"LIBSETS_DROP_MECHANIC_MONSTER_NAME",VLOOKUP(AB138,ConstDropMechs!$B$4:$D$1001,3,FALSE),""),"")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IF(T139&lt;&gt;"",VLOOKUP(T139,ConstDLCIds!$B$4:$C$1000,2,FALSE),"")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IF(AB139&lt;&gt;"",IF(AB139&lt;&gt;"LIBSETS_DROP_MECHANIC_MONSTER_NAME",VLOOKUP(AB139,ConstDropMechs!$B$4:$C$1001,2,FALSE),""),"")</f>
        <v/>
      </c>
      <c r="AD139" s="3" t="str">
        <f>IF(AB139&lt;&gt;"",IF(AB139&lt;&gt;"LIBSETS_DROP_MECHANIC_MONSTER_NAME",VLOOKUP(AB139,ConstDropMechs!$B$4:$D$1001,3,FALSE),""),"")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IF(T140&lt;&gt;"",VLOOKUP(T140,ConstDLCIds!$B$4:$C$1000,2,FALSE),"")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IF(AB140&lt;&gt;"",IF(AB140&lt;&gt;"LIBSETS_DROP_MECHANIC_MONSTER_NAME",VLOOKUP(AB140,ConstDropMechs!$B$4:$C$1001,2,FALSE),""),"")</f>
        <v/>
      </c>
      <c r="AD140" s="3" t="str">
        <f>IF(AB140&lt;&gt;"",IF(AB140&lt;&gt;"LIBSETS_DROP_MECHANIC_MONSTER_NAME",VLOOKUP(AB140,ConstDropMechs!$B$4:$D$1001,3,FALSE),""),"")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IF(T141&lt;&gt;"",VLOOKUP(T141,ConstDLCIds!$B$4:$C$1000,2,FALSE),"")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IF(AB141&lt;&gt;"",IF(AB141&lt;&gt;"LIBSETS_DROP_MECHANIC_MONSTER_NAME",VLOOKUP(AB141,ConstDropMechs!$B$4:$C$1001,2,FALSE),""),"")</f>
        <v/>
      </c>
      <c r="AD141" s="3" t="str">
        <f>IF(AB141&lt;&gt;"",IF(AB141&lt;&gt;"LIBSETS_DROP_MECHANIC_MONSTER_NAME",VLOOKUP(AB141,ConstDropMechs!$B$4:$D$1001,3,FALSE),""),"")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IF(T142&lt;&gt;"",VLOOKUP(T142,ConstDLCIds!$B$4:$C$1000,2,FALSE),"")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IF(AB142&lt;&gt;"",IF(AB142&lt;&gt;"LIBSETS_DROP_MECHANIC_MONSTER_NAME",VLOOKUP(AB142,ConstDropMechs!$B$4:$C$1001,2,FALSE),""),"")</f>
        <v/>
      </c>
      <c r="AD142" s="3" t="str">
        <f>IF(AB142&lt;&gt;"",IF(AB142&lt;&gt;"LIBSETS_DROP_MECHANIC_MONSTER_NAME",VLOOKUP(AB142,ConstDropMechs!$B$4:$D$1001,3,FALSE),""),"")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IF(T143&lt;&gt;"",VLOOKUP(T143,ConstDLCIds!$B$4:$C$1000,2,FALSE),"")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IF(AB143&lt;&gt;"",IF(AB143&lt;&gt;"LIBSETS_DROP_MECHANIC_MONSTER_NAME",VLOOKUP(AB143,ConstDropMechs!$B$4:$C$1001,2,FALSE),""),"")</f>
        <v/>
      </c>
      <c r="AD143" s="3" t="str">
        <f>IF(AB143&lt;&gt;"",IF(AB143&lt;&gt;"LIBSETS_DROP_MECHANIC_MONSTER_NAME",VLOOKUP(AB143,ConstDropMechs!$B$4:$D$1001,3,FALSE),""),"")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IF(T144&lt;&gt;"",VLOOKUP(T144,ConstDLCIds!$B$4:$C$1000,2,FALSE),"")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IF(AB144&lt;&gt;"",IF(AB144&lt;&gt;"LIBSETS_DROP_MECHANIC_MONSTER_NAME",VLOOKUP(AB144,ConstDropMechs!$B$4:$C$1001,2,FALSE),""),"")</f>
        <v/>
      </c>
      <c r="AD144" s="3" t="str">
        <f>IF(AB144&lt;&gt;"",IF(AB144&lt;&gt;"LIBSETS_DROP_MECHANIC_MONSTER_NAME",VLOOKUP(AB144,ConstDropMechs!$B$4:$D$1001,3,FALSE),""),"")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IF(T145&lt;&gt;"",VLOOKUP(T145,ConstDLCIds!$B$4:$C$1000,2,FALSE),"")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IF(AB145&lt;&gt;"",IF(AB145&lt;&gt;"LIBSETS_DROP_MECHANIC_MONSTER_NAME",VLOOKUP(AB145,ConstDropMechs!$B$4:$C$1001,2,FALSE),""),"")</f>
        <v/>
      </c>
      <c r="AD145" s="3" t="str">
        <f>IF(AB145&lt;&gt;"",IF(AB145&lt;&gt;"LIBSETS_DROP_MECHANIC_MONSTER_NAME",VLOOKUP(AB145,ConstDropMechs!$B$4:$D$1001,3,FALSE),""),"")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IF(T146&lt;&gt;"",VLOOKUP(T146,ConstDLCIds!$B$4:$C$1000,2,FALSE),"")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IF(T147&lt;&gt;"",VLOOKUP(T147,ConstDLCIds!$B$4:$C$1000,2,FALSE),"")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IF(T148&lt;&gt;"",VLOOKUP(T148,ConstDLCIds!$B$4:$C$1000,2,FALSE),"")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IF(T149&lt;&gt;"",VLOOKUP(T149,ConstDLCIds!$B$4:$C$1000,2,FALSE),"")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IF(T150&lt;&gt;"",VLOOKUP(T150,ConstDLCIds!$B$4:$C$1000,2,FALSE),"")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IF(T151&lt;&gt;"",VLOOKUP(T151,ConstDLCIds!$B$4:$C$1000,2,FALSE),"")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IF(T152&lt;&gt;"",VLOOKUP(T152,ConstDLCIds!$B$4:$C$1000,2,FALSE),"")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IF(T153&lt;&gt;"",VLOOKUP(T153,ConstDLCIds!$B$4:$C$1000,2,FALSE),"")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IF(T154&lt;&gt;"",VLOOKUP(T154,ConstDLCIds!$B$4:$C$1000,2,FALSE),"")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IF(T155&lt;&gt;"",VLOOKUP(T155,ConstDLCIds!$B$4:$C$1000,2,FALSE),"")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IF(AB155&lt;&gt;"",IF(AB155&lt;&gt;"LIBSETS_DROP_MECHANIC_MONSTER_NAME",VLOOKUP(AB155,ConstDropMechs!$B$4:$C$1001,2,FALSE),""),"")</f>
        <v/>
      </c>
      <c r="AD155" s="3" t="str">
        <f>IF(AB155&lt;&gt;"",IF(AB155&lt;&gt;"LIBSETS_DROP_MECHANIC_MONSTER_NAME",VLOOKUP(AB155,ConstDropMechs!$B$4:$D$1001,3,FALSE),""),"")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IF(T156&lt;&gt;"",VLOOKUP(T156,ConstDLCIds!$B$4:$C$1000,2,FALSE),"")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IF(T157&lt;&gt;"",VLOOKUP(T157,ConstDLCIds!$B$4:$C$1000,2,FALSE),"")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IF(T158&lt;&gt;"",VLOOKUP(T158,ConstDLCIds!$B$4:$C$1000,2,FALSE),"")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IF(T159&lt;&gt;"",VLOOKUP(T159,ConstDLCIds!$B$4:$C$1000,2,FALSE),"")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IF(T160&lt;&gt;"",VLOOKUP(T160,ConstDLCIds!$B$4:$C$1000,2,FALSE),"")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IF(T161&lt;&gt;"",VLOOKUP(T161,ConstDLCIds!$B$4:$C$1000,2,FALSE),"")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IF(T162&lt;&gt;"",VLOOKUP(T162,ConstDLCIds!$B$4:$C$1000,2,FALSE),"")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IF(T163&lt;&gt;"",VLOOKUP(T163,ConstDLCIds!$B$4:$C$1000,2,FALSE),"")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IF(T164&lt;&gt;"",VLOOKUP(T164,ConstDLCIds!$B$4:$C$1000,2,FALSE),"")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IF(T165&lt;&gt;"",VLOOKUP(T165,ConstDLCIds!$B$4:$C$1000,2,FALSE),"")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IF(T166&lt;&gt;"",VLOOKUP(T166,ConstDLCIds!$B$4:$C$1000,2,FALSE),"")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IF(T167&lt;&gt;"",VLOOKUP(T167,ConstDLCIds!$B$4:$C$1000,2,FALSE),"")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IF(T168&lt;&gt;"",VLOOKUP(T168,ConstDLCIds!$B$4:$C$1000,2,FALSE),"")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IF(T169&lt;&gt;"",VLOOKUP(T169,ConstDLCIds!$B$4:$C$1000,2,FALSE),"")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IF(T170&lt;&gt;"",VLOOKUP(T170,ConstDLCIds!$B$4:$C$1000,2,FALSE),"")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IF(T171&lt;&gt;"",VLOOKUP(T171,ConstDLCIds!$B$4:$C$1000,2,FALSE),"")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IF(T172&lt;&gt;"",VLOOKUP(T172,ConstDLCIds!$B$4:$C$1000,2,FALSE),"")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IF(T173&lt;&gt;"",VLOOKUP(T173,ConstDLCIds!$B$4:$C$1000,2,FALSE),"")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IF(T174&lt;&gt;"",VLOOKUP(T174,ConstDLCIds!$B$4:$C$1000,2,FALSE),"")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IF(T175&lt;&gt;"",VLOOKUP(T175,ConstDLCIds!$B$4:$C$1000,2,FALSE),"")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IF(T176&lt;&gt;"",VLOOKUP(T176,ConstDLCIds!$B$4:$C$1000,2,FALSE),"")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IF(T177&lt;&gt;"",VLOOKUP(T177,ConstDLCIds!$B$4:$C$1000,2,FALSE),"")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IF(T178&lt;&gt;"",VLOOKUP(T178,ConstDLCIds!$B$4:$C$1000,2,FALSE),"")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IF(T179&lt;&gt;"",VLOOKUP(T179,ConstDLCIds!$B$4:$C$1000,2,FALSE),"")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IF(T180&lt;&gt;"",VLOOKUP(T180,ConstDLCIds!$B$4:$C$1000,2,FALSE),"")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IF(T181&lt;&gt;"",VLOOKUP(T181,ConstDLCIds!$B$4:$C$1000,2,FALSE),"")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IF(T182&lt;&gt;"",VLOOKUP(T182,ConstDLCIds!$B$4:$C$1000,2,FALSE),"")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IF(T183&lt;&gt;"",VLOOKUP(T183,ConstDLCIds!$B$4:$C$1000,2,FALSE),"")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IF(T184&lt;&gt;"",VLOOKUP(T184,ConstDLCIds!$B$4:$C$1000,2,FALSE),"")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IF(T185&lt;&gt;"",VLOOKUP(T185,ConstDLCIds!$B$4:$C$1000,2,FALSE),"")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IF(T186&lt;&gt;"",VLOOKUP(T186,ConstDLCIds!$B$4:$C$1000,2,FALSE),"")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IF(T187&lt;&gt;"",VLOOKUP(T187,ConstDLCIds!$B$4:$C$1000,2,FALSE),"")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IF(T188&lt;&gt;"",VLOOKUP(T188,ConstDLCIds!$B$4:$C$1000,2,FALSE),"")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IF(T189&lt;&gt;"",VLOOKUP(T189,ConstDLCIds!$B$4:$C$1000,2,FALSE),"")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IF(T190&lt;&gt;"",VLOOKUP(T190,ConstDLCIds!$B$4:$C$1000,2,FALSE),"")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IF(T191&lt;&gt;"",VLOOKUP(T191,ConstDLCIds!$B$4:$C$1000,2,FALSE),"")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IF(T192&lt;&gt;"",VLOOKUP(T192,ConstDLCIds!$B$4:$C$1000,2,FALSE),"")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IF(T193&lt;&gt;"",VLOOKUP(T193,ConstDLCIds!$B$4:$C$1000,2,FALSE),"")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IF(T194&lt;&gt;"",VLOOKUP(T194,ConstDLCIds!$B$4:$C$1000,2,FALSE),"")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IF(T195&lt;&gt;"",VLOOKUP(T195,ConstDLCIds!$B$4:$C$1000,2,FALSE),"")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IF(T196&lt;&gt;"",VLOOKUP(T196,ConstDLCIds!$B$4:$C$1000,2,FALSE),"")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IF(T197&lt;&gt;"",VLOOKUP(T197,ConstDLCIds!$B$4:$C$1000,2,FALSE),"")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IF(T198&lt;&gt;"",VLOOKUP(T198,ConstDLCIds!$B$4:$C$1000,2,FALSE),"")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IF(T199&lt;&gt;"",VLOOKUP(T199,ConstDLCIds!$B$4:$C$1000,2,FALSE),"")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IF(T200&lt;&gt;"",VLOOKUP(T200,ConstDLCIds!$B$4:$C$1000,2,FALSE),"")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IF(T201&lt;&gt;"",VLOOKUP(T201,ConstDLCIds!$B$4:$C$1000,2,FALSE),"")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IF(T202&lt;&gt;"",VLOOKUP(T202,ConstDLCIds!$B$4:$C$1000,2,FALSE),"")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IF(T203&lt;&gt;"",VLOOKUP(T203,ConstDLCIds!$B$4:$C$1000,2,FALSE),"")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IF(T204&lt;&gt;"",VLOOKUP(T204,ConstDLCIds!$B$4:$C$1000,2,FALSE),"")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IF(T205&lt;&gt;"",VLOOKUP(T205,ConstDLCIds!$B$4:$C$1000,2,FALSE),"")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IF(T206&lt;&gt;"",VLOOKUP(T206,ConstDLCIds!$B$4:$C$1000,2,FALSE),"")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IF(T207&lt;&gt;"",VLOOKUP(T207,ConstDLCIds!$B$4:$C$1000,2,FALSE),"")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IF(T208&lt;&gt;"",VLOOKUP(T208,ConstDLCIds!$B$4:$C$1000,2,FALSE),"")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IF(T209&lt;&gt;"",VLOOKUP(T209,ConstDLCIds!$B$4:$C$1000,2,FALSE),"")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IF(T210&lt;&gt;"",VLOOKUP(T210,ConstDLCIds!$B$4:$C$1000,2,FALSE),"")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IF(T211&lt;&gt;"",VLOOKUP(T211,ConstDLCIds!$B$4:$C$1000,2,FALSE),"")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IF(T212&lt;&gt;"",VLOOKUP(T212,ConstDLCIds!$B$4:$C$1000,2,FALSE),"")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IF(AB212&lt;&gt;"",IF(AB212&lt;&gt;"LIBSETS_DROP_MECHANIC_MONSTER_NAME",VLOOKUP(AB212,ConstDropMechs!$B$4:$C$1001,2,FALSE),""),"")</f>
        <v/>
      </c>
      <c r="AD212" s="3" t="str">
        <f>IF(AB212&lt;&gt;"",IF(AB212&lt;&gt;"LIBSETS_DROP_MECHANIC_MONSTER_NAME",VLOOKUP(AB212,ConstDropMechs!$B$4:$D$1001,3,FALSE),""),"")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IF(T213&lt;&gt;"",VLOOKUP(T213,ConstDLCIds!$B$4:$C$1000,2,FALSE),"")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IF(AB213&lt;&gt;"",IF(AB213&lt;&gt;"LIBSETS_DROP_MECHANIC_MONSTER_NAME",VLOOKUP(AB213,ConstDropMechs!$B$4:$C$1001,2,FALSE),""),"")</f>
        <v/>
      </c>
      <c r="AD213" s="3" t="str">
        <f>IF(AB213&lt;&gt;"",IF(AB213&lt;&gt;"LIBSETS_DROP_MECHANIC_MONSTER_NAME",VLOOKUP(AB213,ConstDropMechs!$B$4:$D$1001,3,FALSE),""),"")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IF(T214&lt;&gt;"",VLOOKUP(T214,ConstDLCIds!$B$4:$C$1000,2,FALSE),"")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IF(T215&lt;&gt;"",VLOOKUP(T215,ConstDLCIds!$B$4:$C$1000,2,FALSE),"")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IF(T216&lt;&gt;"",VLOOKUP(T216,ConstDLCIds!$B$4:$C$1000,2,FALSE),"")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IF(T217&lt;&gt;"",VLOOKUP(T217,ConstDLCIds!$B$4:$C$1000,2,FALSE),"")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IF(T218&lt;&gt;"",VLOOKUP(T218,ConstDLCIds!$B$4:$C$1000,2,FALSE),"")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IF(T219&lt;&gt;"",VLOOKUP(T219,ConstDLCIds!$B$4:$C$1000,2,FALSE),"")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IF(T220&lt;&gt;"",VLOOKUP(T220,ConstDLCIds!$B$4:$C$1000,2,FALSE),"")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IF(AB220&lt;&gt;"",IF(AB220&lt;&gt;"LIBSETS_DROP_MECHANIC_MONSTER_NAME",VLOOKUP(AB220,ConstDropMechs!$B$4:$C$1001,2,FALSE),""),"")</f>
        <v/>
      </c>
      <c r="AD220" s="3" t="str">
        <f>IF(AB220&lt;&gt;"",IF(AB220&lt;&gt;"LIBSETS_DROP_MECHANIC_MONSTER_NAME",VLOOKUP(AB220,ConstDropMechs!$B$4:$D$1001,3,FALSE),""),"")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IF(T221&lt;&gt;"",VLOOKUP(T221,ConstDLCIds!$B$4:$C$1000,2,FALSE),"")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IF(AB221&lt;&gt;"",IF(AB221&lt;&gt;"LIBSETS_DROP_MECHANIC_MONSTER_NAME",VLOOKUP(AB221,ConstDropMechs!$B$4:$C$1001,2,FALSE),""),"")</f>
        <v/>
      </c>
      <c r="AD221" s="3" t="str">
        <f>IF(AB221&lt;&gt;"",IF(AB221&lt;&gt;"LIBSETS_DROP_MECHANIC_MONSTER_NAME",VLOOKUP(AB221,ConstDropMechs!$B$4:$D$1001,3,FALSE),""),"")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IF(T222&lt;&gt;"",VLOOKUP(T222,ConstDLCIds!$B$4:$C$1000,2,FALSE),"")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IF(AB222&lt;&gt;"",IF(AB222&lt;&gt;"LIBSETS_DROP_MECHANIC_MONSTER_NAME",VLOOKUP(AB222,ConstDropMechs!$B$4:$C$1001,2,FALSE),""),"")</f>
        <v/>
      </c>
      <c r="AD222" s="3" t="str">
        <f>IF(AB222&lt;&gt;"",IF(AB222&lt;&gt;"LIBSETS_DROP_MECHANIC_MONSTER_NAME",VLOOKUP(AB222,ConstDropMechs!$B$4:$D$1001,3,FALSE),""),"")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IF(T223&lt;&gt;"",VLOOKUP(T223,ConstDLCIds!$B$4:$C$1000,2,FALSE),"")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IF(AB223&lt;&gt;"",IF(AB223&lt;&gt;"LIBSETS_DROP_MECHANIC_MONSTER_NAME",VLOOKUP(AB223,ConstDropMechs!$B$4:$C$1001,2,FALSE),""),"")</f>
        <v/>
      </c>
      <c r="AD223" s="3" t="str">
        <f>IF(AB223&lt;&gt;"",IF(AB223&lt;&gt;"LIBSETS_DROP_MECHANIC_MONSTER_NAME",VLOOKUP(AB223,ConstDropMechs!$B$4:$D$1001,3,FALSE),""),"")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IF(T224&lt;&gt;"",VLOOKUP(T224,ConstDLCIds!$B$4:$C$1000,2,FALSE),"")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IF(AB224&lt;&gt;"",IF(AB224&lt;&gt;"LIBSETS_DROP_MECHANIC_MONSTER_NAME",VLOOKUP(AB224,ConstDropMechs!$B$4:$C$1001,2,FALSE),""),"")</f>
        <v/>
      </c>
      <c r="AD224" s="3" t="str">
        <f>IF(AB224&lt;&gt;"",IF(AB224&lt;&gt;"LIBSETS_DROP_MECHANIC_MONSTER_NAME",VLOOKUP(AB224,ConstDropMechs!$B$4:$D$1001,3,FALSE),""),"")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IF(T225&lt;&gt;"",VLOOKUP(T225,ConstDLCIds!$B$4:$C$1000,2,FALSE),"")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IF(AB225&lt;&gt;"",IF(AB225&lt;&gt;"LIBSETS_DROP_MECHANIC_MONSTER_NAME",VLOOKUP(AB225,ConstDropMechs!$B$4:$C$1001,2,FALSE),""),"")</f>
        <v/>
      </c>
      <c r="AD225" s="3" t="str">
        <f>IF(AB225&lt;&gt;"",IF(AB225&lt;&gt;"LIBSETS_DROP_MECHANIC_MONSTER_NAME",VLOOKUP(AB225,ConstDropMechs!$B$4:$D$1001,3,FALSE),""),"")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IF(T226&lt;&gt;"",VLOOKUP(T226,ConstDLCIds!$B$4:$C$1000,2,FALSE),"")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IF(AB226&lt;&gt;"",IF(AB226&lt;&gt;"LIBSETS_DROP_MECHANIC_MONSTER_NAME",VLOOKUP(AB226,ConstDropMechs!$B$4:$C$1001,2,FALSE),""),"")</f>
        <v/>
      </c>
      <c r="AD226" s="3" t="str">
        <f>IF(AB226&lt;&gt;"",IF(AB226&lt;&gt;"LIBSETS_DROP_MECHANIC_MONSTER_NAME",VLOOKUP(AB226,ConstDropMechs!$B$4:$D$1001,3,FALSE),""),"")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IF(T227&lt;&gt;"",VLOOKUP(T227,ConstDLCIds!$B$4:$C$1000,2,FALSE),"")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IF(AB227&lt;&gt;"",IF(AB227&lt;&gt;"LIBSETS_DROP_MECHANIC_MONSTER_NAME",VLOOKUP(AB227,ConstDropMechs!$B$4:$C$1001,2,FALSE),""),"")</f>
        <v/>
      </c>
      <c r="AD227" s="3" t="str">
        <f>IF(AB227&lt;&gt;"",IF(AB227&lt;&gt;"LIBSETS_DROP_MECHANIC_MONSTER_NAME",VLOOKUP(AB227,ConstDropMechs!$B$4:$D$1001,3,FALSE),""),"")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IF(T228&lt;&gt;"",VLOOKUP(T228,ConstDLCIds!$B$4:$C$1000,2,FALSE),"")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IF(AB228&lt;&gt;"",IF(AB228&lt;&gt;"LIBSETS_DROP_MECHANIC_MONSTER_NAME",VLOOKUP(AB228,ConstDropMechs!$B$4:$C$1001,2,FALSE),""),"")</f>
        <v/>
      </c>
      <c r="AD228" s="3" t="str">
        <f>IF(AB228&lt;&gt;"",IF(AB228&lt;&gt;"LIBSETS_DROP_MECHANIC_MONSTER_NAME",VLOOKUP(AB228,ConstDropMechs!$B$4:$D$1001,3,FALSE),""),"")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IF(T229&lt;&gt;"",VLOOKUP(T229,ConstDLCIds!$B$4:$C$1000,2,FALSE),"")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IF(AB229&lt;&gt;"",IF(AB229&lt;&gt;"LIBSETS_DROP_MECHANIC_MONSTER_NAME",VLOOKUP(AB229,ConstDropMechs!$B$4:$C$1001,2,FALSE),""),"")</f>
        <v/>
      </c>
      <c r="AD229" s="3" t="str">
        <f>IF(AB229&lt;&gt;"",IF(AB229&lt;&gt;"LIBSETS_DROP_MECHANIC_MONSTER_NAME",VLOOKUP(AB229,ConstDropMechs!$B$4:$D$1001,3,FALSE),""),"")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IF(T230&lt;&gt;"",VLOOKUP(T230,ConstDLCIds!$B$4:$C$1000,2,FALSE),"")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IF(AB230&lt;&gt;"",IF(AB230&lt;&gt;"LIBSETS_DROP_MECHANIC_MONSTER_NAME",VLOOKUP(AB230,ConstDropMechs!$B$4:$C$1001,2,FALSE),""),"")</f>
        <v/>
      </c>
      <c r="AD230" s="3" t="str">
        <f>IF(AB230&lt;&gt;"",IF(AB230&lt;&gt;"LIBSETS_DROP_MECHANIC_MONSTER_NAME",VLOOKUP(AB230,ConstDropMechs!$B$4:$D$1001,3,FALSE),""),"")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IF(T231&lt;&gt;"",VLOOKUP(T231,ConstDLCIds!$B$4:$C$1000,2,FALSE),"")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IF(AB231&lt;&gt;"",IF(AB231&lt;&gt;"LIBSETS_DROP_MECHANIC_MONSTER_NAME",VLOOKUP(AB231,ConstDropMechs!$B$4:$C$1001,2,FALSE),""),"")</f>
        <v/>
      </c>
      <c r="AD231" s="3" t="str">
        <f>IF(AB231&lt;&gt;"",IF(AB231&lt;&gt;"LIBSETS_DROP_MECHANIC_MONSTER_NAME",VLOOKUP(AB231,ConstDropMechs!$B$4:$D$1001,3,FALSE),""),"")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IF(T232&lt;&gt;"",VLOOKUP(T232,ConstDLCIds!$B$4:$C$1000,2,FALSE),"")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IF(AB232&lt;&gt;"",IF(AB232&lt;&gt;"LIBSETS_DROP_MECHANIC_MONSTER_NAME",VLOOKUP(AB232,ConstDropMechs!$B$4:$C$1001,2,FALSE),""),"")</f>
        <v/>
      </c>
      <c r="AD232" s="3" t="str">
        <f>IF(AB232&lt;&gt;"",IF(AB232&lt;&gt;"LIBSETS_DROP_MECHANIC_MONSTER_NAME",VLOOKUP(AB232,ConstDropMechs!$B$4:$D$1001,3,FALSE),""),"")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IF(T233&lt;&gt;"",VLOOKUP(T233,ConstDLCIds!$B$4:$C$1000,2,FALSE),"")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IF(AB233&lt;&gt;"",IF(AB233&lt;&gt;"LIBSETS_DROP_MECHANIC_MONSTER_NAME",VLOOKUP(AB233,ConstDropMechs!$B$4:$C$1001,2,FALSE),""),"")</f>
        <v/>
      </c>
      <c r="AD233" s="3" t="str">
        <f>IF(AB233&lt;&gt;"",IF(AB233&lt;&gt;"LIBSETS_DROP_MECHANIC_MONSTER_NAME",VLOOKUP(AB233,ConstDropMechs!$B$4:$D$1001,3,FALSE),""),"")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IF(T234&lt;&gt;"",VLOOKUP(T234,ConstDLCIds!$B$4:$C$1000,2,FALSE),"")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IF(AB234&lt;&gt;"",IF(AB234&lt;&gt;"LIBSETS_DROP_MECHANIC_MONSTER_NAME",VLOOKUP(AB234,ConstDropMechs!$B$4:$C$1001,2,FALSE),""),"")</f>
        <v/>
      </c>
      <c r="AD234" s="3" t="str">
        <f>IF(AB234&lt;&gt;"",IF(AB234&lt;&gt;"LIBSETS_DROP_MECHANIC_MONSTER_NAME",VLOOKUP(AB234,ConstDropMechs!$B$4:$D$1001,3,FALSE),""),"")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IF(T235&lt;&gt;"",VLOOKUP(T235,ConstDLCIds!$B$4:$C$1000,2,FALSE),"")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IF(AB235&lt;&gt;"",IF(AB235&lt;&gt;"LIBSETS_DROP_MECHANIC_MONSTER_NAME",VLOOKUP(AB235,ConstDropMechs!$B$4:$C$1001,2,FALSE),""),"")</f>
        <v/>
      </c>
      <c r="AD235" s="3" t="str">
        <f>IF(AB235&lt;&gt;"",IF(AB235&lt;&gt;"LIBSETS_DROP_MECHANIC_MONSTER_NAME",VLOOKUP(AB235,ConstDropMechs!$B$4:$D$1001,3,FALSE),""),"")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IF(T236&lt;&gt;"",VLOOKUP(T236,ConstDLCIds!$B$4:$C$1000,2,FALSE),"")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IF(AB236&lt;&gt;"",IF(AB236&lt;&gt;"LIBSETS_DROP_MECHANIC_MONSTER_NAME",VLOOKUP(AB236,ConstDropMechs!$B$4:$C$1001,2,FALSE),""),"")</f>
        <v/>
      </c>
      <c r="AD236" s="3" t="str">
        <f>IF(AB236&lt;&gt;"",IF(AB236&lt;&gt;"LIBSETS_DROP_MECHANIC_MONSTER_NAME",VLOOKUP(AB236,ConstDropMechs!$B$4:$D$1001,3,FALSE),""),"")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IF(T237&lt;&gt;"",VLOOKUP(T237,ConstDLCIds!$B$4:$C$1000,2,FALSE),"")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IF(T238&lt;&gt;"",VLOOKUP(T238,ConstDLCIds!$B$4:$C$1000,2,FALSE),"")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IF(T239&lt;&gt;"",VLOOKUP(T239,ConstDLCIds!$B$4:$C$1000,2,FALSE),"")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IF(T240&lt;&gt;"",VLOOKUP(T240,ConstDLCIds!$B$4:$C$1000,2,FALSE),"")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IF(T241&lt;&gt;"",VLOOKUP(T241,ConstDLCIds!$B$4:$C$1000,2,FALSE),"")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IF(T242&lt;&gt;"",VLOOKUP(T242,ConstDLCIds!$B$4:$C$1000,2,FALSE),"")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IF(T243&lt;&gt;"",VLOOKUP(T243,ConstDLCIds!$B$4:$C$1000,2,FALSE),"")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IF(T244&lt;&gt;"",VLOOKUP(T244,ConstDLCIds!$B$4:$C$1000,2,FALSE),"")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IF(T245&lt;&gt;"",VLOOKUP(T245,ConstDLCIds!$B$4:$C$1000,2,FALSE),"")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IF(T246&lt;&gt;"",VLOOKUP(T246,ConstDLCIds!$B$4:$C$1000,2,FALSE),"")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IF(T247&lt;&gt;"",VLOOKUP(T247,ConstDLCIds!$B$4:$C$1000,2,FALSE),"")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IF(T248&lt;&gt;"",VLOOKUP(T248,ConstDLCIds!$B$4:$C$1000,2,FALSE),"")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IF(T249&lt;&gt;"",VLOOKUP(T249,ConstDLCIds!$B$4:$C$1000,2,FALSE),"")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IF(T250&lt;&gt;"",VLOOKUP(T250,ConstDLCIds!$B$4:$C$1000,2,FALSE),"")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IF(T251&lt;&gt;"",VLOOKUP(T251,ConstDLCIds!$B$4:$C$1000,2,FALSE),"")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IF(T252&lt;&gt;"",VLOOKUP(T252,ConstDLCIds!$B$4:$C$1000,2,FALSE),"")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IF(T253&lt;&gt;"",VLOOKUP(T253,ConstDLCIds!$B$4:$C$1000,2,FALSE),"")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IF(T254&lt;&gt;"",VLOOKUP(T254,ConstDLCIds!$B$4:$C$1000,2,FALSE),"")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IF(T255&lt;&gt;"",VLOOKUP(T255,ConstDLCIds!$B$4:$C$1000,2,FALSE),"")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IF(T256&lt;&gt;"",VLOOKUP(T256,ConstDLCIds!$B$4:$C$1000,2,FALSE),"")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IF(T257&lt;&gt;"",VLOOKUP(T257,ConstDLCIds!$B$4:$C$1000,2,FALSE),"")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IF(T258&lt;&gt;"",VLOOKUP(T258,ConstDLCIds!$B$4:$C$1000,2,FALSE),"")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IF(T259&lt;&gt;"",VLOOKUP(T259,ConstDLCIds!$B$4:$C$1000,2,FALSE),"")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IF(T260&lt;&gt;"",VLOOKUP(T260,ConstDLCIds!$B$4:$C$1000,2,FALSE),"")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IF(T261&lt;&gt;"",VLOOKUP(T261,ConstDLCIds!$B$4:$C$1000,2,FALSE),"")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IF(T262&lt;&gt;"",VLOOKUP(T262,ConstDLCIds!$B$4:$C$1000,2,FALSE),"")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IF(T263&lt;&gt;"",VLOOKUP(T263,ConstDLCIds!$B$4:$C$1000,2,FALSE),"")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IF(T264&lt;&gt;"",VLOOKUP(T264,ConstDLCIds!$B$4:$C$1000,2,FALSE),"")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IF(T265&lt;&gt;"",VLOOKUP(T265,ConstDLCIds!$B$4:$C$1000,2,FALSE),"")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IF(T266&lt;&gt;"",VLOOKUP(T266,ConstDLCIds!$B$4:$C$1000,2,FALSE),"")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IF(T267&lt;&gt;"",VLOOKUP(T267,ConstDLCIds!$B$4:$C$1000,2,FALSE),"")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IF(T268&lt;&gt;"",VLOOKUP(T268,ConstDLCIds!$B$4:$C$1000,2,FALSE),"")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IF(T269&lt;&gt;"",VLOOKUP(T269,ConstDLCIds!$B$4:$C$1000,2,FALSE),"")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IF(T270&lt;&gt;"",VLOOKUP(T270,ConstDLCIds!$B$4:$C$1000,2,FALSE),"")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IF(T271&lt;&gt;"",VLOOKUP(T271,ConstDLCIds!$B$4:$C$1000,2,FALSE),"")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IF(T272&lt;&gt;"",VLOOKUP(T272,ConstDLCIds!$B$4:$C$1000,2,FALSE),"")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IF(T273&lt;&gt;"",VLOOKUP(T273,ConstDLCIds!$B$4:$C$1000,2,FALSE),"")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IF(T274&lt;&gt;"",VLOOKUP(T274,ConstDLCIds!$B$4:$C$1000,2,FALSE),"")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IF(T275&lt;&gt;"",VLOOKUP(T275,ConstDLCIds!$B$4:$C$1000,2,FALSE),"")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IF(T276&lt;&gt;"",VLOOKUP(T276,ConstDLCIds!$B$4:$C$1000,2,FALSE),"")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IF(T277&lt;&gt;"",VLOOKUP(T277,ConstDLCIds!$B$4:$C$1000,2,FALSE),"")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IF(T278&lt;&gt;"",VLOOKUP(T278,ConstDLCIds!$B$4:$C$1000,2,FALSE),"")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IF(T279&lt;&gt;"",VLOOKUP(T279,ConstDLCIds!$B$4:$C$1000,2,FALSE),"")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IF(T280&lt;&gt;"",VLOOKUP(T280,ConstDLCIds!$B$4:$C$1000,2,FALSE),"")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IF(T281&lt;&gt;"",VLOOKUP(T281,ConstDLCIds!$B$4:$C$1000,2,FALSE),"")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IF(T282&lt;&gt;"",VLOOKUP(T282,ConstDLCIds!$B$4:$C$1000,2,FALSE),"")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IF(T283&lt;&gt;"",VLOOKUP(T283,ConstDLCIds!$B$4:$C$1000,2,FALSE),"")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IF(T284&lt;&gt;"",VLOOKUP(T284,ConstDLCIds!$B$4:$C$1000,2,FALSE),"")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IF(T285&lt;&gt;"",VLOOKUP(T285,ConstDLCIds!$B$4:$C$1000,2,FALSE),"")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IF(T286&lt;&gt;"",VLOOKUP(T286,ConstDLCIds!$B$4:$C$1000,2,FALSE),"")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IF(T287&lt;&gt;"",VLOOKUP(T287,ConstDLCIds!$B$4:$C$1000,2,FALSE),"")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IF(T288&lt;&gt;"",VLOOKUP(T288,ConstDLCIds!$B$4:$C$1000,2,FALSE),"")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IF(T289&lt;&gt;"",VLOOKUP(T289,ConstDLCIds!$B$4:$C$1000,2,FALSE),"")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IF(T290&lt;&gt;"",VLOOKUP(T290,ConstDLCIds!$B$4:$C$1000,2,FALSE),"")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IF(T291&lt;&gt;"",VLOOKUP(T291,ConstDLCIds!$B$4:$C$1000,2,FALSE),"")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IF(T292&lt;&gt;"",VLOOKUP(T292,ConstDLCIds!$B$4:$C$1000,2,FALSE),"")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IF(T293&lt;&gt;"",VLOOKUP(T293,ConstDLCIds!$B$4:$C$1000,2,FALSE),"")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IF(T294&lt;&gt;"",VLOOKUP(T294,ConstDLCIds!$B$4:$C$1000,2,FALSE),"")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IF(AB294&lt;&gt;"",IF(AB294&lt;&gt;"LIBSETS_DROP_MECHANIC_MONSTER_NAME",VLOOKUP(AB294,ConstDropMechs!$B$4:$C$1001,2,FALSE),""),"")</f>
        <v/>
      </c>
      <c r="AD294" s="3" t="str">
        <f>IF(AB294&lt;&gt;"",IF(AB294&lt;&gt;"LIBSETS_DROP_MECHANIC_MONSTER_NAME",VLOOKUP(AB294,ConstDropMechs!$B$4:$D$1001,3,FALSE),""),"")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IF(T295&lt;&gt;"",VLOOKUP(T295,ConstDLCIds!$B$4:$C$1000,2,FALSE),"")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IF(AB295&lt;&gt;"",IF(AB295&lt;&gt;"LIBSETS_DROP_MECHANIC_MONSTER_NAME",VLOOKUP(AB295,ConstDropMechs!$B$4:$C$1001,2,FALSE),""),"")</f>
        <v/>
      </c>
      <c r="AD295" s="3" t="str">
        <f>IF(AB295&lt;&gt;"",IF(AB295&lt;&gt;"LIBSETS_DROP_MECHANIC_MONSTER_NAME",VLOOKUP(AB295,ConstDropMechs!$B$4:$D$1001,3,FALSE),""),"")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IF(T296&lt;&gt;"",VLOOKUP(T296,ConstDLCIds!$B$4:$C$1000,2,FALSE),"")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IF(T297&lt;&gt;"",VLOOKUP(T297,ConstDLCIds!$B$4:$C$1000,2,FALSE),"")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IF(T298&lt;&gt;"",VLOOKUP(T298,ConstDLCIds!$B$4:$C$1000,2,FALSE),"")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IF(T299&lt;&gt;"",VLOOKUP(T299,ConstDLCIds!$B$4:$C$1000,2,FALSE),"")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IF(T300&lt;&gt;"",VLOOKUP(T300,ConstDLCIds!$B$4:$C$1000,2,FALSE),"")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IF(T301&lt;&gt;"",VLOOKUP(T301,ConstDLCIds!$B$4:$C$1000,2,FALSE),"")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IF(T302&lt;&gt;"",VLOOKUP(T302,ConstDLCIds!$B$4:$C$1000,2,FALSE),"")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IF(AB302&lt;&gt;"",IF(AB302&lt;&gt;"LIBSETS_DROP_MECHANIC_MONSTER_NAME",VLOOKUP(AB302,ConstDropMechs!$B$4:$C$1001,2,FALSE),""),"")</f>
        <v/>
      </c>
      <c r="AD302" s="3" t="str">
        <f>IF(AB302&lt;&gt;"",IF(AB302&lt;&gt;"LIBSETS_DROP_MECHANIC_MONSTER_NAME",VLOOKUP(AB302,ConstDropMechs!$B$4:$D$1001,3,FALSE),""),"")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IF(T303&lt;&gt;"",VLOOKUP(T303,ConstDLCIds!$B$4:$C$1000,2,FALSE),"")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IF(AB303&lt;&gt;"",IF(AB303&lt;&gt;"LIBSETS_DROP_MECHANIC_MONSTER_NAME",VLOOKUP(AB303,ConstDropMechs!$B$4:$C$1001,2,FALSE),""),"")</f>
        <v/>
      </c>
      <c r="AD303" s="3" t="str">
        <f>IF(AB303&lt;&gt;"",IF(AB303&lt;&gt;"LIBSETS_DROP_MECHANIC_MONSTER_NAME",VLOOKUP(AB303,ConstDropMechs!$B$4:$D$1001,3,FALSE),""),"")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IF(T304&lt;&gt;"",VLOOKUP(T304,ConstDLCIds!$B$4:$C$1000,2,FALSE),"")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IF(T305&lt;&gt;"",VLOOKUP(T305,ConstDLCIds!$B$4:$C$1000,2,FALSE),"")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IF(T306&lt;&gt;"",VLOOKUP(T306,ConstDLCIds!$B$4:$C$1000,2,FALSE),"")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IF(T307&lt;&gt;"",VLOOKUP(T307,ConstDLCIds!$B$4:$C$1000,2,FALSE),"")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IF(T308&lt;&gt;"",VLOOKUP(T308,ConstDLCIds!$B$4:$C$1000,2,FALSE),"")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IF(T309&lt;&gt;"",VLOOKUP(T309,ConstDLCIds!$B$4:$C$1000,2,FALSE),"")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IF(T310&lt;&gt;"",VLOOKUP(T310,ConstDLCIds!$B$4:$C$1000,2,FALSE),"")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IF(T311&lt;&gt;"",VLOOKUP(T311,ConstDLCIds!$B$4:$C$1000,2,FALSE),"")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IF(T312&lt;&gt;"",VLOOKUP(T312,ConstDLCIds!$B$4:$C$1000,2,FALSE),"")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IF(T313&lt;&gt;"",VLOOKUP(T313,ConstDLCIds!$B$4:$C$1000,2,FALSE),"")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IF(T314&lt;&gt;"",VLOOKUP(T314,ConstDLCIds!$B$4:$C$1000,2,FALSE),"")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IF(T315&lt;&gt;"",VLOOKUP(T315,ConstDLCIds!$B$4:$C$1000,2,FALSE),"")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IF(T316&lt;&gt;"",VLOOKUP(T316,ConstDLCIds!$B$4:$C$1000,2,FALSE),"")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IF(T317&lt;&gt;"",VLOOKUP(T317,ConstDLCIds!$B$4:$C$1000,2,FALSE),"")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IF(T318&lt;&gt;"",VLOOKUP(T318,ConstDLCIds!$B$4:$C$1000,2,FALSE),"")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IF(T319&lt;&gt;"",VLOOKUP(T319,ConstDLCIds!$B$4:$C$1000,2,FALSE),"")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IF(T320&lt;&gt;"",VLOOKUP(T320,ConstDLCIds!$B$4:$C$1000,2,FALSE),"")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IF(T321&lt;&gt;"",VLOOKUP(T321,ConstDLCIds!$B$4:$C$1000,2,FALSE),"")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IF(T322&lt;&gt;"",VLOOKUP(T322,ConstDLCIds!$B$4:$C$1000,2,FALSE),"")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IF(T323&lt;&gt;"",VLOOKUP(T323,ConstDLCIds!$B$4:$C$1000,2,FALSE),"")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IF(T324&lt;&gt;"",VLOOKUP(T324,ConstDLCIds!$B$4:$C$1000,2,FALSE),"")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IF(T325&lt;&gt;"",VLOOKUP(T325,ConstDLCIds!$B$4:$C$1000,2,FALSE),"")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IF(T326&lt;&gt;"",VLOOKUP(T326,ConstDLCIds!$B$4:$C$1000,2,FALSE),"")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IF(T327&lt;&gt;"",VLOOKUP(T327,ConstDLCIds!$B$4:$C$1000,2,FALSE),"")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IF(T328&lt;&gt;"",VLOOKUP(T328,ConstDLCIds!$B$4:$C$1000,2,FALSE),"")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IF(T329&lt;&gt;"",VLOOKUP(T329,ConstDLCIds!$B$4:$C$1000,2,FALSE),"")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IF(T330&lt;&gt;"",VLOOKUP(T330,ConstDLCIds!$B$4:$C$1000,2,FALSE),"")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IF(T331&lt;&gt;"",VLOOKUP(T331,ConstDLCIds!$B$4:$C$1000,2,FALSE),"")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IF(T332&lt;&gt;"",VLOOKUP(T332,ConstDLCIds!$B$4:$C$1000,2,FALSE),"")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IF(T333&lt;&gt;"",VLOOKUP(T333,ConstDLCIds!$B$4:$C$1000,2,FALSE),"")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IF(T334&lt;&gt;"",VLOOKUP(T334,ConstDLCIds!$B$4:$C$1000,2,FALSE),"")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IF(T335&lt;&gt;"",VLOOKUP(T335,ConstDLCIds!$B$4:$C$1000,2,FALSE),"")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IF(T336&lt;&gt;"",VLOOKUP(T336,ConstDLCIds!$B$4:$C$1000,2,FALSE),"")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IF(T337&lt;&gt;"",VLOOKUP(T337,ConstDLCIds!$B$4:$C$1000,2,FALSE),"")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IF(T338&lt;&gt;"",VLOOKUP(T338,ConstDLCIds!$B$4:$C$1000,2,FALSE),"")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IF(T339&lt;&gt;"",VLOOKUP(T339,ConstDLCIds!$B$4:$C$1000,2,FALSE),"")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IF(T340&lt;&gt;"",VLOOKUP(T340,ConstDLCIds!$B$4:$C$1000,2,FALSE),"")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IF(T341&lt;&gt;"",VLOOKUP(T341,ConstDLCIds!$B$4:$C$1000,2,FALSE),"")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IF(T342&lt;&gt;"",VLOOKUP(T342,ConstDLCIds!$B$4:$C$1000,2,FALSE),"")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IF(T343&lt;&gt;"",VLOOKUP(T343,ConstDLCIds!$B$4:$C$1000,2,FALSE),"")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IF(T344&lt;&gt;"",VLOOKUP(T344,ConstDLCIds!$B$4:$C$1000,2,FALSE),"")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IF(AB344&lt;&gt;"",IF(AB344&lt;&gt;"LIBSETS_DROP_MECHANIC_MONSTER_NAME",VLOOKUP(AB344,ConstDropMechs!$B$4:$C$1001,2,FALSE),""),"")</f>
        <v/>
      </c>
      <c r="AD344" s="3" t="str">
        <f>IF(AB344&lt;&gt;"",IF(AB344&lt;&gt;"LIBSETS_DROP_MECHANIC_MONSTER_NAME",VLOOKUP(AB344,ConstDropMechs!$B$4:$D$1001,3,FALSE),""),"")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IF(T345&lt;&gt;"",VLOOKUP(T345,ConstDLCIds!$B$4:$C$1000,2,FALSE),"")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IF(AB345&lt;&gt;"",IF(AB345&lt;&gt;"LIBSETS_DROP_MECHANIC_MONSTER_NAME",VLOOKUP(AB345,ConstDropMechs!$B$4:$C$1001,2,FALSE),""),"")</f>
        <v/>
      </c>
      <c r="AD345" s="3" t="str">
        <f>IF(AB345&lt;&gt;"",IF(AB345&lt;&gt;"LIBSETS_DROP_MECHANIC_MONSTER_NAME",VLOOKUP(AB345,ConstDropMechs!$B$4:$D$1001,3,FALSE),""),"")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IF(T346&lt;&gt;"",VLOOKUP(T346,ConstDLCIds!$B$4:$C$1000,2,FALSE),"")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IF(T347&lt;&gt;"",VLOOKUP(T347,ConstDLCIds!$B$4:$C$1000,2,FALSE),"")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IF(T348&lt;&gt;"",VLOOKUP(T348,ConstDLCIds!$B$4:$C$1000,2,FALSE),"")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IF(T349&lt;&gt;"",VLOOKUP(T349,ConstDLCIds!$B$4:$C$1000,2,FALSE),"")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IF(T350&lt;&gt;"",VLOOKUP(T350,ConstDLCIds!$B$4:$C$1000,2,FALSE),"")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IF(T351&lt;&gt;"",VLOOKUP(T351,ConstDLCIds!$B$4:$C$1000,2,FALSE),"")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IF(T352&lt;&gt;"",VLOOKUP(T352,ConstDLCIds!$B$4:$C$1000,2,FALSE),"")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IF(T353&lt;&gt;"",VLOOKUP(T353,ConstDLCIds!$B$4:$C$1000,2,FALSE),"")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IF(T354&lt;&gt;"",VLOOKUP(T354,ConstDLCIds!$B$4:$C$1000,2,FALSE),"")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IF(T355&lt;&gt;"",VLOOKUP(T355,ConstDLCIds!$B$4:$C$1000,2,FALSE),"")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IF(T356&lt;&gt;"",VLOOKUP(T356,ConstDLCIds!$B$4:$C$1000,2,FALSE),"")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IF(T357&lt;&gt;"",VLOOKUP(T357,ConstDLCIds!$B$4:$C$1000,2,FALSE),"")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IF(T358&lt;&gt;"",VLOOKUP(T358,ConstDLCIds!$B$4:$C$1000,2,FALSE),"")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IF(T359&lt;&gt;"",VLOOKUP(T359,ConstDLCIds!$B$4:$C$1000,2,FALSE),"")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IF(T360&lt;&gt;"",VLOOKUP(T360,ConstDLCIds!$B$4:$C$1000,2,FALSE),"")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IF(T361&lt;&gt;"",VLOOKUP(T361,ConstDLCIds!$B$4:$C$1000,2,FALSE),"")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IF(T362&lt;&gt;"",VLOOKUP(T362,ConstDLCIds!$B$4:$C$1000,2,FALSE),"")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IF(T363&lt;&gt;"",VLOOKUP(T363,ConstDLCIds!$B$4:$C$1000,2,FALSE),"")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IF(T364&lt;&gt;"",VLOOKUP(T364,ConstDLCIds!$B$4:$C$1000,2,FALSE),"")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IF(T365&lt;&gt;"",VLOOKUP(T365,ConstDLCIds!$B$4:$C$1000,2,FALSE),"")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IF(T366&lt;&gt;"",VLOOKUP(T366,ConstDLCIds!$B$4:$C$1000,2,FALSE),"")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IF(T367&lt;&gt;"",VLOOKUP(T367,ConstDLCIds!$B$4:$C$1000,2,FALSE),"")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IF(T368&lt;&gt;"",VLOOKUP(T368,ConstDLCIds!$B$4:$C$1000,2,FALSE),"")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IF(T369&lt;&gt;"",VLOOKUP(T369,ConstDLCIds!$B$4:$C$1000,2,FALSE),"")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IF(T370&lt;&gt;"",VLOOKUP(T370,ConstDLCIds!$B$4:$C$1000,2,FALSE),"")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IF(T371&lt;&gt;"",VLOOKUP(T371,ConstDLCIds!$B$4:$C$1000,2,FALSE),"")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IF(T372&lt;&gt;"",VLOOKUP(T372,ConstDLCIds!$B$4:$C$1000,2,FALSE),"")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IF(T373&lt;&gt;"",VLOOKUP(T373,ConstDLCIds!$B$4:$C$1000,2,FALSE),"")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IF(T374&lt;&gt;"",VLOOKUP(T374,ConstDLCIds!$B$4:$C$1000,2,FALSE),"")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IF(T375&lt;&gt;"",VLOOKUP(T375,ConstDLCIds!$B$4:$C$1000,2,FALSE),"")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IF(T376&lt;&gt;"",VLOOKUP(T376,ConstDLCIds!$B$4:$C$1000,2,FALSE),"")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IF(T377&lt;&gt;"",VLOOKUP(T377,ConstDLCIds!$B$4:$C$1000,2,FALSE),"")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IF(T378&lt;&gt;"",VLOOKUP(T378,ConstDLCIds!$B$4:$C$1000,2,FALSE),"")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IF(T379&lt;&gt;"",VLOOKUP(T379,ConstDLCIds!$B$4:$C$1000,2,FALSE),"")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IF(AB379&lt;&gt;"",IF(AB379&lt;&gt;"LIBSETS_DROP_MECHANIC_MONSTER_NAME",VLOOKUP(AB379,ConstDropMechs!$B$4:$C$1001,2,FALSE),""),"")</f>
        <v/>
      </c>
      <c r="AD379" s="3" t="str">
        <f>IF(AB379&lt;&gt;"",IF(AB379&lt;&gt;"LIBSETS_DROP_MECHANIC_MONSTER_NAME",VLOOKUP(AB379,ConstDropMechs!$B$4:$D$1001,3,FALSE),""),"")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IF(T380&lt;&gt;"",VLOOKUP(T380,ConstDLCIds!$B$4:$C$1000,2,FALSE),"")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IF(T381&lt;&gt;"",VLOOKUP(T381,ConstDLCIds!$B$4:$C$1000,2,FALSE),"")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IF(T382&lt;&gt;"",VLOOKUP(T382,ConstDLCIds!$B$4:$C$1000,2,FALSE),"")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IF(T383&lt;&gt;"",VLOOKUP(T383,ConstDLCIds!$B$4:$C$1000,2,FALSE),"")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IF(AB383&lt;&gt;"",IF(AB383&lt;&gt;"LIBSETS_DROP_MECHANIC_MONSTER_NAME",VLOOKUP(AB383,ConstDropMechs!$B$4:$C$1001,2,FALSE),""),"")</f>
        <v/>
      </c>
      <c r="AD383" s="3" t="str">
        <f>IF(AB383&lt;&gt;"",IF(AB383&lt;&gt;"LIBSETS_DROP_MECHANIC_MONSTER_NAME",VLOOKUP(AB383,ConstDropMechs!$B$4:$D$1001,3,FALSE),""),"")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IF(T384&lt;&gt;"",VLOOKUP(T384,ConstDLCIds!$B$4:$C$1000,2,FALSE),"")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IF(T385&lt;&gt;"",VLOOKUP(T385,ConstDLCIds!$B$4:$C$1000,2,FALSE),"")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IF(T386&lt;&gt;"",VLOOKUP(T386,ConstDLCIds!$B$4:$C$1000,2,FALSE),"")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IF(T387&lt;&gt;"",VLOOKUP(T387,ConstDLCIds!$B$4:$C$1000,2,FALSE),"")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IF(T388&lt;&gt;"",VLOOKUP(T388,ConstDLCIds!$B$4:$C$1000,2,FALSE),"")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IF(T389&lt;&gt;"",VLOOKUP(T389,ConstDLCIds!$B$4:$C$1000,2,FALSE),"")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IF(T390&lt;&gt;"",VLOOKUP(T390,ConstDLCIds!$B$4:$C$1000,2,FALSE),"")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IF(T391&lt;&gt;"",VLOOKUP(T391,ConstDLCIds!$B$4:$C$1000,2,FALSE),"")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IF(T392&lt;&gt;"",VLOOKUP(T392,ConstDLCIds!$B$4:$C$1000,2,FALSE),"")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IF(T393&lt;&gt;"",VLOOKUP(T393,ConstDLCIds!$B$4:$C$1000,2,FALSE),"")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IF(T394&lt;&gt;"",VLOOKUP(T394,ConstDLCIds!$B$4:$C$1000,2,FALSE),"")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IF(T395&lt;&gt;"",VLOOKUP(T395,ConstDLCIds!$B$4:$C$1000,2,FALSE),"")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IF(T396&lt;&gt;"",VLOOKUP(T396,ConstDLCIds!$B$4:$C$1000,2,FALSE),"")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IF(T397&lt;&gt;"",VLOOKUP(T397,ConstDLCIds!$B$4:$C$1000,2,FALSE),"")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IF(T398&lt;&gt;"",VLOOKUP(T398,ConstDLCIds!$B$4:$C$1000,2,FALSE),"")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IF(T399&lt;&gt;"",VLOOKUP(T399,ConstDLCIds!$B$4:$C$1000,2,FALSE),"")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IF(T400&lt;&gt;"",VLOOKUP(T400,ConstDLCIds!$B$4:$C$1000,2,FALSE),"")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IF(T401&lt;&gt;"",VLOOKUP(T401,ConstDLCIds!$B$4:$C$1000,2,FALSE),"")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IF(T402&lt;&gt;"",VLOOKUP(T402,ConstDLCIds!$B$4:$C$1000,2,FALSE),"")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IF(T403&lt;&gt;"",VLOOKUP(T403,ConstDLCIds!$B$4:$C$1000,2,FALSE),"")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IF(T404&lt;&gt;"",VLOOKUP(T404,ConstDLCIds!$B$4:$C$1000,2,FALSE),"")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IF(AB404&lt;&gt;"",IF(AB404&lt;&gt;"LIBSETS_DROP_MECHANIC_MONSTER_NAME",VLOOKUP(AB404,ConstDropMechs!$B$4:$C$1001,2,FALSE),""),"")</f>
        <v/>
      </c>
      <c r="AD404" s="3" t="str">
        <f>IF(AB404&lt;&gt;"",IF(AB404&lt;&gt;"LIBSETS_DROP_MECHANIC_MONSTER_NAME",VLOOKUP(AB404,ConstDropMechs!$B$4:$D$1001,3,FALSE),""),"")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IF(T405&lt;&gt;"",VLOOKUP(T405,ConstDLCIds!$B$4:$C$1000,2,FALSE),"")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IF(AB405&lt;&gt;"",IF(AB405&lt;&gt;"LIBSETS_DROP_MECHANIC_MONSTER_NAME",VLOOKUP(AB405,ConstDropMechs!$B$4:$C$1001,2,FALSE),""),"")</f>
        <v/>
      </c>
      <c r="AD405" s="3" t="str">
        <f>IF(AB405&lt;&gt;"",IF(AB405&lt;&gt;"LIBSETS_DROP_MECHANIC_MONSTER_NAME",VLOOKUP(AB405,ConstDropMechs!$B$4:$D$1001,3,FALSE),""),"")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IF(T406&lt;&gt;"",VLOOKUP(T406,ConstDLCIds!$B$4:$C$1000,2,FALSE),"")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IF(T407&lt;&gt;"",VLOOKUP(T407,ConstDLCIds!$B$4:$C$1000,2,FALSE),"")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IF(T408&lt;&gt;"",VLOOKUP(T408,ConstDLCIds!$B$4:$C$1000,2,FALSE),"")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IF(T409&lt;&gt;"",VLOOKUP(T409,ConstDLCIds!$B$4:$C$1000,2,FALSE),"")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IF(T410&lt;&gt;"",VLOOKUP(T410,ConstDLCIds!$B$4:$C$1000,2,FALSE),"")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IF(T411&lt;&gt;"",VLOOKUP(T411,ConstDLCIds!$B$4:$C$1000,2,FALSE),"")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IF(T412&lt;&gt;"",VLOOKUP(T412,ConstDLCIds!$B$4:$C$1000,2,FALSE),"")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IF(T413&lt;&gt;"",VLOOKUP(T413,ConstDLCIds!$B$4:$C$1000,2,FALSE),"")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IF(T414&lt;&gt;"",VLOOKUP(T414,ConstDLCIds!$B$4:$C$1000,2,FALSE),"")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IF(T415&lt;&gt;"",VLOOKUP(T415,ConstDLCIds!$B$4:$C$1000,2,FALSE),"")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IF(T416&lt;&gt;"",VLOOKUP(T416,ConstDLCIds!$B$4:$C$1000,2,FALSE),"")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IF(T417&lt;&gt;"",VLOOKUP(T417,ConstDLCIds!$B$4:$C$1000,2,FALSE),"")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IF(T418&lt;&gt;"",VLOOKUP(T418,ConstDLCIds!$B$4:$C$1000,2,FALSE),"")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IF(AB418&lt;&gt;"",IF(AB418&lt;&gt;"LIBSETS_DROP_MECHANIC_MONSTER_NAME",VLOOKUP(AB418,ConstDropMechs!$B$4:$C$1001,2,FALSE),""),"")</f>
        <v/>
      </c>
      <c r="AD418" s="3" t="str">
        <f>IF(AB418&lt;&gt;"",IF(AB418&lt;&gt;"LIBSETS_DROP_MECHANIC_MONSTER_NAME",VLOOKUP(AB418,ConstDropMechs!$B$4:$D$1001,3,FALSE),""),"")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IF(T419&lt;&gt;"",VLOOKUP(T419,ConstDLCIds!$B$4:$C$1000,2,FALSE),"")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IF(AB419&lt;&gt;"",IF(AB419&lt;&gt;"LIBSETS_DROP_MECHANIC_MONSTER_NAME",VLOOKUP(AB419,ConstDropMechs!$B$4:$C$1001,2,FALSE),""),"")</f>
        <v/>
      </c>
      <c r="AD419" s="3" t="str">
        <f>IF(AB419&lt;&gt;"",IF(AB419&lt;&gt;"LIBSETS_DROP_MECHANIC_MONSTER_NAME",VLOOKUP(AB419,ConstDropMechs!$B$4:$D$1001,3,FALSE),""),"")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IF(T420&lt;&gt;"",VLOOKUP(T420,ConstDLCIds!$B$4:$C$1000,2,FALSE),"")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IF(T421&lt;&gt;"",VLOOKUP(T421,ConstDLCIds!$B$4:$C$1000,2,FALSE),"")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IF(T422&lt;&gt;"",VLOOKUP(T422,ConstDLCIds!$B$4:$C$1000,2,FALSE),"")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IF(T423&lt;&gt;"",VLOOKUP(T423,ConstDLCIds!$B$4:$C$1000,2,FALSE),"")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IF(T424&lt;&gt;"",VLOOKUP(T424,ConstDLCIds!$B$4:$C$1000,2,FALSE),"")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IF(T425&lt;&gt;"",VLOOKUP(T425,ConstDLCIds!$B$4:$C$1000,2,FALSE),"")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IF(T426&lt;&gt;"",VLOOKUP(T426,ConstDLCIds!$B$4:$C$1000,2,FALSE),"")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IF(T427&lt;&gt;"",VLOOKUP(T427,ConstDLCIds!$B$4:$C$1000,2,FALSE),"")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IF(T428&lt;&gt;"",VLOOKUP(T428,ConstDLCIds!$B$4:$C$1000,2,FALSE),"")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IF(T429&lt;&gt;"",VLOOKUP(T429,ConstDLCIds!$B$4:$C$1000,2,FALSE),"")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IF(T430&lt;&gt;"",VLOOKUP(T430,ConstDLCIds!$B$4:$C$1000,2,FALSE),"")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IF(T431&lt;&gt;"",VLOOKUP(T431,ConstDLCIds!$B$4:$C$1000,2,FALSE),"")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IF(T432&lt;&gt;"",VLOOKUP(T432,ConstDLCIds!$B$4:$C$1000,2,FALSE),"")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IF(T433&lt;&gt;"",VLOOKUP(T433,ConstDLCIds!$B$4:$C$1000,2,FALSE),"")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IF(T434&lt;&gt;"",VLOOKUP(T434,ConstDLCIds!$B$4:$C$1000,2,FALSE),"")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IF(T435&lt;&gt;"",VLOOKUP(T435,ConstDLCIds!$B$4:$C$1000,2,FALSE),"")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IF(T436&lt;&gt;"",VLOOKUP(T436,ConstDLCIds!$B$4:$C$1000,2,FALSE),"")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IF(T437&lt;&gt;"",VLOOKUP(T437,ConstDLCIds!$B$4:$C$1000,2,FALSE),"")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IF(T438&lt;&gt;"",VLOOKUP(T438,ConstDLCIds!$B$4:$C$1000,2,FALSE),"")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IF(T439&lt;&gt;"",VLOOKUP(T439,ConstDLCIds!$B$4:$C$1000,2,FALSE),"")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IF(T440&lt;&gt;"",VLOOKUP(T440,ConstDLCIds!$B$4:$C$1000,2,FALSE),"")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IF(T441&lt;&gt;"",VLOOKUP(T441,ConstDLCIds!$B$4:$C$1000,2,FALSE),"")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IF(T442&lt;&gt;"",VLOOKUP(T442,ConstDLCIds!$B$4:$C$1000,2,FALSE),"")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IF(T443&lt;&gt;"",VLOOKUP(T443,ConstDLCIds!$B$4:$C$1000,2,FALSE),"")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IF(T444&lt;&gt;"",VLOOKUP(T444,ConstDLCIds!$B$4:$C$1000,2,FALSE),"")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IF(T445&lt;&gt;"",VLOOKUP(T445,ConstDLCIds!$B$4:$C$1000,2,FALSE),"")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IF(T446&lt;&gt;"",VLOOKUP(T446,ConstDLCIds!$B$4:$C$1000,2,FALSE),"")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IF(T447&lt;&gt;"",VLOOKUP(T447,ConstDLCIds!$B$4:$C$1000,2,FALSE),"")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IF(T448&lt;&gt;"",VLOOKUP(T448,ConstDLCIds!$B$4:$C$1000,2,FALSE),"")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IF(T449&lt;&gt;"",VLOOKUP(T449,ConstDLCIds!$B$4:$C$1000,2,FALSE),"")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IF(T450&lt;&gt;"",VLOOKUP(T450,ConstDLCIds!$B$4:$C$1000,2,FALSE),"")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IF(T451&lt;&gt;"",VLOOKUP(T451,ConstDLCIds!$B$4:$C$1000,2,FALSE),"")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IF(T452&lt;&gt;"",VLOOKUP(T452,ConstDLCIds!$B$4:$C$1000,2,FALSE),"")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IF(T453&lt;&gt;"",VLOOKUP(T453,ConstDLCIds!$B$4:$C$1000,2,FALSE),"")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IF(T454&lt;&gt;"",VLOOKUP(T454,ConstDLCIds!$B$4:$C$1000,2,FALSE),"")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IF(T455&lt;&gt;"",VLOOKUP(T455,ConstDLCIds!$B$4:$C$1000,2,FALSE),"")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IF(T456&lt;&gt;"",VLOOKUP(T456,ConstDLCIds!$B$4:$C$1000,2,FALSE),"")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IF(T457&lt;&gt;"",VLOOKUP(T457,ConstDLCIds!$B$4:$C$1000,2,FALSE),"")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IF(T458&lt;&gt;"",VLOOKUP(T458,ConstDLCIds!$B$4:$C$1000,2,FALSE),"")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IF(T459&lt;&gt;"",VLOOKUP(T459,ConstDLCIds!$B$4:$C$1000,2,FALSE),"")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IF(T460&lt;&gt;"",VLOOKUP(T460,ConstDLCIds!$B$4:$C$1000,2,FALSE),"")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IF(T461&lt;&gt;"",VLOOKUP(T461,ConstDLCIds!$B$4:$C$1000,2,FALSE),"")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IF(T462&lt;&gt;"",VLOOKUP(T462,ConstDLCIds!$B$4:$C$1000,2,FALSE),"")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IF(T463&lt;&gt;"",VLOOKUP(T463,ConstDLCIds!$B$4:$C$1000,2,FALSE),"")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IF(T464&lt;&gt;"",VLOOKUP(T464,ConstDLCIds!$B$4:$C$1000,2,FALSE),"")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IF(T465&lt;&gt;"",VLOOKUP(T465,ConstDLCIds!$B$4:$C$1000,2,FALSE),"")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IF(T466&lt;&gt;"",VLOOKUP(T466,ConstDLCIds!$B$4:$C$1000,2,FALSE),"")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IF(T467&lt;&gt;"",VLOOKUP(T467,ConstDLCIds!$B$4:$C$1000,2,FALSE),"")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IF(T468&lt;&gt;"",VLOOKUP(T468,ConstDLCIds!$B$4:$C$1000,2,FALSE),"")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IF(T469&lt;&gt;"",VLOOKUP(T469,ConstDLCIds!$B$4:$C$1000,2,FALSE),"")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IF(T470&lt;&gt;"",VLOOKUP(T470,ConstDLCIds!$B$4:$C$1000,2,FALSE),"")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IF(T471&lt;&gt;"",VLOOKUP(T471,ConstDLCIds!$B$4:$C$1000,2,FALSE),"")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IF(T472&lt;&gt;"",VLOOKUP(T472,ConstDLCIds!$B$4:$C$1000,2,FALSE),"")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IF(AB472&lt;&gt;"",IF(AB472&lt;&gt;"LIBSETS_DROP_MECHANIC_MONSTER_NAME",VLOOKUP(AB472,ConstDropMechs!$B$4:$C$1001,2,FALSE),""),"")</f>
        <v/>
      </c>
      <c r="AD472" s="3" t="str">
        <f>IF(AB472&lt;&gt;"",IF(AB472&lt;&gt;"LIBSETS_DROP_MECHANIC_MONSTER_NAME",VLOOKUP(AB472,ConstDropMechs!$B$4:$D$1001,3,FALSE),""),"")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IF(T473&lt;&gt;"",VLOOKUP(T473,ConstDLCIds!$B$4:$C$1000,2,FALSE),"")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IF(AB473&lt;&gt;"",IF(AB473&lt;&gt;"LIBSETS_DROP_MECHANIC_MONSTER_NAME",VLOOKUP(AB473,ConstDropMechs!$B$4:$C$1001,2,FALSE),""),"")</f>
        <v/>
      </c>
      <c r="AD473" s="3" t="str">
        <f>IF(AB473&lt;&gt;"",IF(AB473&lt;&gt;"LIBSETS_DROP_MECHANIC_MONSTER_NAME",VLOOKUP(AB473,ConstDropMechs!$B$4:$D$1001,3,FALSE),""),"")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IF(T474&lt;&gt;"",VLOOKUP(T474,ConstDLCIds!$B$4:$C$1000,2,FALSE),"")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IF(T475&lt;&gt;"",VLOOKUP(T475,ConstDLCIds!$B$4:$C$1000,2,FALSE),"")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IF(T476&lt;&gt;"",VLOOKUP(T476,ConstDLCIds!$B$4:$C$1000,2,FALSE),"")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IF(T477&lt;&gt;"",VLOOKUP(T477,ConstDLCIds!$B$4:$C$1000,2,FALSE),"")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IF(T478&lt;&gt;"",VLOOKUP(T478,ConstDLCIds!$B$4:$C$1000,2,FALSE),"")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IF(T479&lt;&gt;"",VLOOKUP(T479,ConstDLCIds!$B$4:$C$1000,2,FALSE),"")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IF(T480&lt;&gt;"",VLOOKUP(T480,ConstDLCIds!$B$4:$C$1000,2,FALSE),"")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IF(T481&lt;&gt;"",VLOOKUP(T481,ConstDLCIds!$B$4:$C$1000,2,FALSE),"")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IF(T482&lt;&gt;"",VLOOKUP(T482,ConstDLCIds!$B$4:$C$1000,2,FALSE),"")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IF(T483&lt;&gt;"",VLOOKUP(T483,ConstDLCIds!$B$4:$C$1000,2,FALSE),"")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IF(T484&lt;&gt;"",VLOOKUP(T484,ConstDLCIds!$B$4:$C$1000,2,FALSE),"")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IF(T485&lt;&gt;"",VLOOKUP(T485,ConstDLCIds!$B$4:$C$1000,2,FALSE),"")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IF(T486&lt;&gt;"",VLOOKUP(T486,ConstDLCIds!$B$4:$C$1000,2,FALSE),"")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IF(T487&lt;&gt;"",VLOOKUP(T487,ConstDLCIds!$B$4:$C$1000,2,FALSE),"")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IF(T488&lt;&gt;"",VLOOKUP(T488,ConstDLCIds!$B$4:$C$1000,2,FALSE),"")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IF(T489&lt;&gt;"",VLOOKUP(T489,ConstDLCIds!$B$4:$C$1000,2,FALSE),"")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IF(T490&lt;&gt;"",VLOOKUP(T490,ConstDLCIds!$B$4:$C$1000,2,FALSE),"")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IF(T491&lt;&gt;"",VLOOKUP(T491,ConstDLCIds!$B$4:$C$1000,2,FALSE),"")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IF(T492&lt;&gt;"",VLOOKUP(T492,ConstDLCIds!$B$4:$C$1000,2,FALSE),"")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IF(T493&lt;&gt;"",VLOOKUP(T493,ConstDLCIds!$B$4:$C$1000,2,FALSE),"")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IF(T494&lt;&gt;"",VLOOKUP(T494,ConstDLCIds!$B$4:$C$1000,2,FALSE),"")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IF(T495&lt;&gt;"",VLOOKUP(T495,ConstDLCIds!$B$4:$C$1000,2,FALSE),"")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IF(T496&lt;&gt;"",VLOOKUP(T496,ConstDLCIds!$B$4:$C$1000,2,FALSE),"")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IF(T497&lt;&gt;"",VLOOKUP(T497,ConstDLCIds!$B$4:$C$1000,2,FALSE),"")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IF(T498&lt;&gt;"",VLOOKUP(T498,ConstDLCIds!$B$4:$C$1000,2,FALSE),"")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IF(T499&lt;&gt;"",VLOOKUP(T499,ConstDLCIds!$B$4:$C$1000,2,FALSE),"")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IF(T500&lt;&gt;"",VLOOKUP(T500,ConstDLCIds!$B$4:$C$1000,2,FALSE),"")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IF(T501&lt;&gt;"",VLOOKUP(T501,ConstDLCIds!$B$4:$C$1000,2,FALSE),"")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IF(T502&lt;&gt;"",VLOOKUP(T502,ConstDLCIds!$B$4:$C$1000,2,FALSE),"")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IF(T503&lt;&gt;"",VLOOKUP(T503,ConstDLCIds!$B$4:$C$1000,2,FALSE),"")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IF(AB503&lt;&gt;"",IF(AB503&lt;&gt;"LIBSETS_DROP_MECHANIC_MONSTER_NAME",VLOOKUP(AB503,ConstDropMechs!$B$4:$C$1001,2,FALSE),""),"")</f>
        <v/>
      </c>
      <c r="AD503" s="3" t="str">
        <f>IF(AB503&lt;&gt;"",IF(AB503&lt;&gt;"LIBSETS_DROP_MECHANIC_MONSTER_NAME",VLOOKUP(AB503,ConstDropMechs!$B$4:$D$1001,3,FALSE),""),"")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IF(T504&lt;&gt;"",VLOOKUP(T504,ConstDLCIds!$B$4:$C$1000,2,FALSE),"")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IF(AB504&lt;&gt;"",IF(AB504&lt;&gt;"LIBSETS_DROP_MECHANIC_MONSTER_NAME",VLOOKUP(AB504,ConstDropMechs!$B$4:$C$1001,2,FALSE),""),"")</f>
        <v/>
      </c>
      <c r="AD504" s="3" t="str">
        <f>IF(AB504&lt;&gt;"",IF(AB504&lt;&gt;"LIBSETS_DROP_MECHANIC_MONSTER_NAME",VLOOKUP(AB504,ConstDropMechs!$B$4:$D$1001,3,FALSE),""),"")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IF(T505&lt;&gt;"",VLOOKUP(T505,ConstDLCIds!$B$4:$C$1000,2,FALSE),"")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IF(T506&lt;&gt;"",VLOOKUP(T506,ConstDLCIds!$B$4:$C$1000,2,FALSE),"")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IF(T507&lt;&gt;"",VLOOKUP(T507,ConstDLCIds!$B$4:$C$1000,2,FALSE),"")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IF(T508&lt;&gt;"",VLOOKUP(T508,ConstDLCIds!$B$4:$C$1000,2,FALSE),"")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IF(T509&lt;&gt;"",VLOOKUP(T509,ConstDLCIds!$B$4:$C$1000,2,FALSE),"")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IF(T510&lt;&gt;"",VLOOKUP(T510,ConstDLCIds!$B$4:$C$1000,2,FALSE),"")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IF(T511&lt;&gt;"",VLOOKUP(T511,ConstDLCIds!$B$4:$C$1000,2,FALSE),"")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IF(T512&lt;&gt;"",VLOOKUP(T512,ConstDLCIds!$B$4:$C$1000,2,FALSE),"")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IF(T513&lt;&gt;"",VLOOKUP(T513,ConstDLCIds!$B$4:$C$1000,2,FALSE),"")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IF(T514&lt;&gt;"",VLOOKUP(T514,ConstDLCIds!$B$4:$C$1000,2,FALSE),"")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IF(T515&lt;&gt;"",VLOOKUP(T515,ConstDLCIds!$B$4:$C$1000,2,FALSE),"")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IF(T516&lt;&gt;"",VLOOKUP(T516,ConstDLCIds!$B$4:$C$1000,2,FALSE),"")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IF(T517&lt;&gt;"",VLOOKUP(T517,ConstDLCIds!$B$4:$C$1000,2,FALSE),"")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IF(T518&lt;&gt;"",VLOOKUP(T518,ConstDLCIds!$B$4:$C$1000,2,FALSE),"")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IF(T519&lt;&gt;"",VLOOKUP(T519,ConstDLCIds!$B$4:$C$1000,2,FALSE),"")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IF(T520&lt;&gt;"",VLOOKUP(T520,ConstDLCIds!$B$4:$C$1000,2,FALSE),"")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IF(T521&lt;&gt;"",VLOOKUP(T521,ConstDLCIds!$B$4:$C$1000,2,FALSE),"")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IF(T522&lt;&gt;"",VLOOKUP(T522,ConstDLCIds!$B$4:$C$1000,2,FALSE),"")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IF(T523&lt;&gt;"",VLOOKUP(T523,ConstDLCIds!$B$4:$C$1000,2,FALSE),"")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IF(T524&lt;&gt;"",VLOOKUP(T524,ConstDLCIds!$B$4:$C$1000,2,FALSE),"")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IF(T525&lt;&gt;"",VLOOKUP(T525,ConstDLCIds!$B$4:$C$1000,2,FALSE),"")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IF(T526&lt;&gt;"",VLOOKUP(T526,ConstDLCIds!$B$4:$C$1000,2,FALSE),"")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IF(T527&lt;&gt;"",VLOOKUP(T527,ConstDLCIds!$B$4:$C$1000,2,FALSE),"")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IF(T528&lt;&gt;"",VLOOKUP(T528,ConstDLCIds!$B$4:$C$1000,2,FALSE),"")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IF(T529&lt;&gt;"",VLOOKUP(T529,ConstDLCIds!$B$4:$C$1000,2,FALSE),"")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IF(T530&lt;&gt;"",VLOOKUP(T530,ConstDLCIds!$B$4:$C$1000,2,FALSE),"")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IF(T531&lt;&gt;"",VLOOKUP(T531,ConstDLCIds!$B$4:$C$1000,2,FALSE),"")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IF(T532&lt;&gt;"",VLOOKUP(T532,ConstDLCIds!$B$4:$C$1000,2,FALSE),"")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IF(AB532&lt;&gt;"",IF(AB532&lt;&gt;"LIBSETS_DROP_MECHANIC_MONSTER_NAME",VLOOKUP(AB532,ConstDropMechs!$B$4:$C$1001,2,FALSE),""),"")</f>
        <v/>
      </c>
      <c r="AD532" s="3" t="str">
        <f>IF(AB532&lt;&gt;"",IF(AB532&lt;&gt;"LIBSETS_DROP_MECHANIC_MONSTER_NAME",VLOOKUP(AB532,ConstDropMechs!$B$4:$D$1001,3,FALSE),""),"")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IF(T533&lt;&gt;"",VLOOKUP(T533,ConstDLCIds!$B$4:$C$1000,2,FALSE),"")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IF(AB533&lt;&gt;"",IF(AB533&lt;&gt;"LIBSETS_DROP_MECHANIC_MONSTER_NAME",VLOOKUP(AB533,ConstDropMechs!$B$4:$C$1001,2,FALSE),""),"")</f>
        <v/>
      </c>
      <c r="AD533" s="3" t="str">
        <f>IF(AB533&lt;&gt;"",IF(AB533&lt;&gt;"LIBSETS_DROP_MECHANIC_MONSTER_NAME",VLOOKUP(AB533,ConstDropMechs!$B$4:$D$1001,3,FALSE),""),"")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IF(T534&lt;&gt;"",VLOOKUP(T534,ConstDLCIds!$B$4:$C$1000,2,FALSE),"")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IF(T535&lt;&gt;"",VLOOKUP(T535,ConstDLCIds!$B$4:$C$1000,2,FALSE),"")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IF(T536&lt;&gt;"",VLOOKUP(T536,ConstDLCIds!$B$4:$C$1000,2,FALSE),"")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IF(T537&lt;&gt;"",VLOOKUP(T537,ConstDLCIds!$B$4:$C$1000,2,FALSE),"")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IF(T538&lt;&gt;"",VLOOKUP(T538,ConstDLCIds!$B$4:$C$1000,2,FALSE),"")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IF(T539&lt;&gt;"",VLOOKUP(T539,ConstDLCIds!$B$4:$C$1000,2,FALSE),"")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IF(T540&lt;&gt;"",VLOOKUP(T540,ConstDLCIds!$B$4:$C$1000,2,FALSE),"")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IF(T541&lt;&gt;"",VLOOKUP(T541,ConstDLCIds!$B$4:$C$1000,2,FALSE),"")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IF(T542&lt;&gt;"",VLOOKUP(T542,ConstDLCIds!$B$4:$C$1000,2,FALSE),"")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IF(T543&lt;&gt;"",VLOOKUP(T543,ConstDLCIds!$B$4:$C$1000,2,FALSE),"")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IF(T544&lt;&gt;"",VLOOKUP(T544,ConstDLCIds!$B$4:$C$1000,2,FALSE),"")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IF(T545&lt;&gt;"",VLOOKUP(T545,ConstDLCIds!$B$4:$C$1000,2,FALSE),"")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IF(T546&lt;&gt;"",VLOOKUP(T546,ConstDLCIds!$B$4:$C$1000,2,FALSE),"")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IF(T547&lt;&gt;"",VLOOKUP(T547,ConstDLCIds!$B$4:$C$1000,2,FALSE),"")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IF(T548&lt;&gt;"",VLOOKUP(T548,ConstDLCIds!$B$4:$C$1000,2,FALSE),"")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IF(T549&lt;&gt;"",VLOOKUP(T549,ConstDLCIds!$B$4:$C$1000,2,FALSE),"")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IF(T550&lt;&gt;"",VLOOKUP(T550,ConstDLCIds!$B$4:$C$1000,2,FALSE),"")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IF(T551&lt;&gt;"",VLOOKUP(T551,ConstDLCIds!$B$4:$C$1000,2,FALSE),"")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IF(T552&lt;&gt;"",VLOOKUP(T552,ConstDLCIds!$B$4:$C$1000,2,FALSE),"")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IF(T553&lt;&gt;"",VLOOKUP(T553,ConstDLCIds!$B$4:$C$1000,2,FALSE),"")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IF(T554&lt;&gt;"",VLOOKUP(T554,ConstDLCIds!$B$4:$C$1000,2,FALSE),"")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IF(T555&lt;&gt;"",VLOOKUP(T555,ConstDLCIds!$B$4:$C$1000,2,FALSE),"")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IF(AB555&lt;&gt;"",IF(AB555&lt;&gt;"LIBSETS_DROP_MECHANIC_MONSTER_NAME",VLOOKUP(AB555,ConstDropMechs!$B$4:$C$1001,2,FALSE),""),"")</f>
        <v/>
      </c>
      <c r="AD555" s="3" t="str">
        <f>IF(AB555&lt;&gt;"",IF(AB555&lt;&gt;"LIBSETS_DROP_MECHANIC_MONSTER_NAME",VLOOKUP(AB555,ConstDropMechs!$B$4:$D$1001,3,FALSE),""),"")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IF(T556&lt;&gt;"",VLOOKUP(T556,ConstDLCIds!$B$4:$C$1000,2,FALSE),"")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IF(AB556&lt;&gt;"",IF(AB556&lt;&gt;"LIBSETS_DROP_MECHANIC_MONSTER_NAME",VLOOKUP(AB556,ConstDropMechs!$B$4:$C$1001,2,FALSE),""),"")</f>
        <v/>
      </c>
      <c r="AD556" s="3" t="str">
        <f>IF(AB556&lt;&gt;"",IF(AB556&lt;&gt;"LIBSETS_DROP_MECHANIC_MONSTER_NAME",VLOOKUP(AB556,ConstDropMechs!$B$4:$D$1001,3,FALSE),""),"")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IF(T557&lt;&gt;"",VLOOKUP(T557,ConstDLCIds!$B$4:$C$1000,2,FALSE),"")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IF(T558&lt;&gt;"",VLOOKUP(T558,ConstDLCIds!$B$4:$C$1000,2,FALSE),"")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IF(T559&lt;&gt;"",VLOOKUP(T559,ConstDLCIds!$B$4:$C$1000,2,FALSE),"")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IF(T560&lt;&gt;"",VLOOKUP(T560,ConstDLCIds!$B$4:$C$1000,2,FALSE),"")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IF(T561&lt;&gt;"",VLOOKUP(T561,ConstDLCIds!$B$4:$C$1000,2,FALSE),"")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IF(T562&lt;&gt;"",VLOOKUP(T562,ConstDLCIds!$B$4:$C$1000,2,FALSE),"")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IF(T563&lt;&gt;"",VLOOKUP(T563,ConstDLCIds!$B$4:$C$1000,2,FALSE),"")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IF(T564&lt;&gt;"",VLOOKUP(T564,ConstDLCIds!$B$4:$C$1000,2,FALSE),"")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IF(T565&lt;&gt;"",VLOOKUP(T565,ConstDLCIds!$B$4:$C$1000,2,FALSE),"")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IF(T566&lt;&gt;"",VLOOKUP(T566,ConstDLCIds!$B$4:$C$1000,2,FALSE),"")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IF(T567&lt;&gt;"",VLOOKUP(T567,ConstDLCIds!$B$4:$C$1000,2,FALSE),"")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IF(T568&lt;&gt;"",VLOOKUP(T568,ConstDLCIds!$B$4:$C$1000,2,FALSE),"")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IF(T569&lt;&gt;"",VLOOKUP(T569,ConstDLCIds!$B$4:$C$1000,2,FALSE),"")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IF(T570&lt;&gt;"",VLOOKUP(T570,ConstDLCIds!$B$4:$C$1000,2,FALSE),"")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IF(T571&lt;&gt;"",VLOOKUP(T571,ConstDLCIds!$B$4:$C$1000,2,FALSE),"")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IF(T572&lt;&gt;"",VLOOKUP(T572,ConstDLCIds!$B$4:$C$1000,2,FALSE),"")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IF(T573&lt;&gt;"",VLOOKUP(T573,ConstDLCIds!$B$4:$C$1000,2,FALSE),"")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IF(T574&lt;&gt;"",VLOOKUP(T574,ConstDLCIds!$B$4:$C$1000,2,FALSE),"")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IF(T575&lt;&gt;"",VLOOKUP(T575,ConstDLCIds!$B$4:$C$1000,2,FALSE),"")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IF(T576&lt;&gt;"",VLOOKUP(T576,ConstDLCIds!$B$4:$C$1000,2,FALSE),"")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IF(T577&lt;&gt;"",VLOOKUP(T577,ConstDLCIds!$B$4:$C$1000,2,FALSE),"")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IF(T578&lt;&gt;"",VLOOKUP(T578,ConstDLCIds!$B$4:$C$1000,2,FALSE),"")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IF(T579&lt;&gt;"",VLOOKUP(T579,ConstDLCIds!$B$4:$C$1000,2,FALSE),"")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IF(T580&lt;&gt;"",VLOOKUP(T580,ConstDLCIds!$B$4:$C$1000,2,FALSE),"")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IF(T581&lt;&gt;"",VLOOKUP(T581,ConstDLCIds!$B$4:$C$1000,2,FALSE),"")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IF(T582&lt;&gt;"",VLOOKUP(T582,ConstDLCIds!$B$4:$C$1000,2,FALSE),"")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IF(T583&lt;&gt;"",VLOOKUP(T583,ConstDLCIds!$B$4:$C$1000,2,FALSE),"")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IF(T584&lt;&gt;"",VLOOKUP(T584,ConstDLCIds!$B$4:$C$1000,2,FALSE),"")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IF(T585&lt;&gt;"",VLOOKUP(T585,ConstDLCIds!$B$4:$C$1000,2,FALSE),"")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IF(AB585&lt;&gt;"",IF(AB585&lt;&gt;"LIBSETS_DROP_MECHANIC_MONSTER_NAME",VLOOKUP(AB585,ConstDropMechs!$B$4:$C$1001,2,FALSE),""),"")</f>
        <v/>
      </c>
      <c r="AD585" s="3" t="str">
        <f>IF(AB585&lt;&gt;"",IF(AB585&lt;&gt;"LIBSETS_DROP_MECHANIC_MONSTER_NAME",VLOOKUP(AB585,ConstDropMechs!$B$4:$D$1001,3,FALSE),""),"")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IF(T586&lt;&gt;"",VLOOKUP(T586,ConstDLCIds!$B$4:$C$1000,2,FALSE),"")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IF(AB586&lt;&gt;"",IF(AB586&lt;&gt;"LIBSETS_DROP_MECHANIC_MONSTER_NAME",VLOOKUP(AB586,ConstDropMechs!$B$4:$C$1001,2,FALSE),""),"")</f>
        <v/>
      </c>
      <c r="AD586" s="3" t="str">
        <f>IF(AB586&lt;&gt;"",IF(AB586&lt;&gt;"LIBSETS_DROP_MECHANIC_MONSTER_NAME",VLOOKUP(AB586,ConstDropMechs!$B$4:$D$1001,3,FALSE),""),"")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IF(T587&lt;&gt;"",VLOOKUP(T587,ConstDLCIds!$B$4:$C$1000,2,FALSE),"")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IF(T588&lt;&gt;"",VLOOKUP(T588,ConstDLCIds!$B$4:$C$1000,2,FALSE),"")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IF(T589&lt;&gt;"",VLOOKUP(T589,ConstDLCIds!$B$4:$C$1000,2,FALSE),"")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IF(T590&lt;&gt;"",VLOOKUP(T590,ConstDLCIds!$B$4:$C$1000,2,FALSE),"")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IF(T591&lt;&gt;"",VLOOKUP(T591,ConstDLCIds!$B$4:$C$1000,2,FALSE),"")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IF(T592&lt;&gt;"",VLOOKUP(T592,ConstDLCIds!$B$4:$C$1000,2,FALSE),"")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IF(T593&lt;&gt;"",VLOOKUP(T593,ConstDLCIds!$B$4:$C$1000,2,FALSE),"")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IF(T594&lt;&gt;"",VLOOKUP(T594,ConstDLCIds!$B$4:$C$1000,2,FALSE),"")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IF(T595&lt;&gt;"",VLOOKUP(T595,ConstDLCIds!$B$4:$C$1000,2,FALSE),"")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IF(T596&lt;&gt;"",VLOOKUP(T596,ConstDLCIds!$B$4:$C$1000,2,FALSE),"")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IF(T597&lt;&gt;"",VLOOKUP(T597,ConstDLCIds!$B$4:$C$1000,2,FALSE),"")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IF(T598&lt;&gt;"",VLOOKUP(T598,ConstDLCIds!$B$4:$C$1000,2,FALSE),"")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IF(T599&lt;&gt;"",VLOOKUP(T599,ConstDLCIds!$B$4:$C$1000,2,FALSE),"")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IF(T600&lt;&gt;"",VLOOKUP(T600,ConstDLCIds!$B$4:$C$1000,2,FALSE),"")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IF(T601&lt;&gt;"",VLOOKUP(T601,ConstDLCIds!$B$4:$C$1000,2,FALSE),"")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IF(T602&lt;&gt;"",VLOOKUP(T602,ConstDLCIds!$B$4:$C$1000,2,FALSE),"")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IF(AB602&lt;&gt;"",IF(AB602&lt;&gt;"LIBSETS_DROP_MECHANIC_MONSTER_NAME",VLOOKUP(AB602,ConstDropMechs!$B$4:$C$1001,2,FALSE),""),"")</f>
        <v/>
      </c>
      <c r="AD602" s="3" t="str">
        <f>IF(AB602&lt;&gt;"",IF(AB602&lt;&gt;"LIBSETS_DROP_MECHANIC_MONSTER_NAME",VLOOKUP(AB602,ConstDropMechs!$B$4:$D$1001,3,FALSE),""),"")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IF(T603&lt;&gt;"",VLOOKUP(T603,ConstDLCIds!$B$4:$C$1000,2,FALSE),"")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IF(T604&lt;&gt;"",VLOOKUP(T604,ConstDLCIds!$B$4:$C$1000,2,FALSE),"")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IF(T605&lt;&gt;"",VLOOKUP(T605,ConstDLCIds!$B$4:$C$1000,2,FALSE),"")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IF(T606&lt;&gt;"",VLOOKUP(T606,ConstDLCIds!$B$4:$C$1000,2,FALSE),"")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IF(AB606&lt;&gt;"",IF(AB606&lt;&gt;"LIBSETS_DROP_MECHANIC_MONSTER_NAME",VLOOKUP(AB606,ConstDropMechs!$B$4:$C$1001,2,FALSE),""),"")</f>
        <v/>
      </c>
      <c r="AD606" s="3" t="str">
        <f>IF(AB606&lt;&gt;"",IF(AB606&lt;&gt;"LIBSETS_DROP_MECHANIC_MONSTER_NAME",VLOOKUP(AB606,ConstDropMechs!$B$4:$D$1001,3,FALSE),""),"")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IF(T607&lt;&gt;"",VLOOKUP(T607,ConstDLCIds!$B$4:$C$1000,2,FALSE),"")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IF(T608&lt;&gt;"",VLOOKUP(T608,ConstDLCIds!$B$4:$C$1000,2,FALSE),"")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IF(T609&lt;&gt;"",VLOOKUP(T609,ConstDLCIds!$B$4:$C$1000,2,FALSE),"")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IF(T610&lt;&gt;"",VLOOKUP(T610,ConstDLCIds!$B$4:$C$1000,2,FALSE),"")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IF(T611&lt;&gt;"",VLOOKUP(T611,ConstDLCIds!$B$4:$C$1000,2,FALSE),"")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IF(T612&lt;&gt;"",VLOOKUP(T612,ConstDLCIds!$B$4:$C$1000,2,FALSE),"")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IF(T613&lt;&gt;"",VLOOKUP(T613,ConstDLCIds!$B$4:$C$1000,2,FALSE),"")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IF(T614&lt;&gt;"",VLOOKUP(T614,ConstDLCIds!$B$4:$C$1000,2,FALSE),"")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IF(T615&lt;&gt;"",VLOOKUP(T615,ConstDLCIds!$B$4:$C$1000,2,FALSE),"")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IF(T616&lt;&gt;"",VLOOKUP(T616,ConstDLCIds!$B$4:$C$1000,2,FALSE),"")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IF(T617&lt;&gt;"",VLOOKUP(T617,ConstDLCIds!$B$4:$C$1000,2,FALSE),"")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IF(T618&lt;&gt;"",VLOOKUP(T618,ConstDLCIds!$B$4:$C$1000,2,FALSE),"")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IF(T619&lt;&gt;"",VLOOKUP(T619,ConstDLCIds!$B$4:$C$1000,2,FALSE),"")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IF(T620&lt;&gt;"",VLOOKUP(T620,ConstDLCIds!$B$4:$C$1000,2,FALSE),"")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IF(T621&lt;&gt;"",VLOOKUP(T621,ConstDLCIds!$B$4:$C$1000,2,FALSE),"")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IF(T622&lt;&gt;"",VLOOKUP(T622,ConstDLCIds!$B$4:$C$1000,2,FALSE),"")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IF(T623&lt;&gt;"",VLOOKUP(T623,ConstDLCIds!$B$4:$C$1000,2,FALSE),"")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IF(T624&lt;&gt;"",VLOOKUP(T624,ConstDLCIds!$B$4:$C$1000,2,FALSE),"")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IF(T625&lt;&gt;"",VLOOKUP(T625,ConstDLCIds!$B$4:$C$1000,2,FALSE),"")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IF(T626&lt;&gt;"",VLOOKUP(T626,ConstDLCIds!$B$4:$C$1000,2,FALSE),"")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IF(T627&lt;&gt;"",VLOOKUP(T627,ConstDLCIds!$B$4:$C$1000,2,FALSE),"")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IF(T628&lt;&gt;"",VLOOKUP(T628,ConstDLCIds!$B$4:$C$1000,2,FALSE),"")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IF(T629&lt;&gt;"",VLOOKUP(T629,ConstDLCIds!$B$4:$C$1000,2,FALSE),"")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IF(T630&lt;&gt;"",VLOOKUP(T630,ConstDLCIds!$B$4:$C$1000,2,FALSE),"")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IF(T631&lt;&gt;"",VLOOKUP(T631,ConstDLCIds!$B$4:$C$1000,2,FALSE),"")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IF(T632&lt;&gt;"",VLOOKUP(T632,ConstDLCIds!$B$4:$C$1000,2,FALSE),"")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IF(T633&lt;&gt;"",VLOOKUP(T633,ConstDLCIds!$B$4:$C$1000,2,FALSE),"")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IF(T634&lt;&gt;"",VLOOKUP(T634,ConstDLCIds!$B$4:$C$1000,2,FALSE),"")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IF(T635&lt;&gt;"",VLOOKUP(T635,ConstDLCIds!$B$4:$C$1000,2,FALSE),"")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IF(T636&lt;&gt;"",VLOOKUP(T636,ConstDLCIds!$B$4:$C$1000,2,FALSE),"")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IF(T637&lt;&gt;"",VLOOKUP(T637,ConstDLCIds!$B$4:$C$1000,2,FALSE),"")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IF(T638&lt;&gt;"",VLOOKUP(T638,ConstDLCIds!$B$4:$C$1000,2,FALSE),"")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IF(T639&lt;&gt;"",VLOOKUP(T639,ConstDLCIds!$B$4:$C$1000,2,FALSE),"")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IF(T640&lt;&gt;"",VLOOKUP(T640,ConstDLCIds!$B$4:$C$1000,2,FALSE),"")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IF(T641&lt;&gt;"",VLOOKUP(T641,ConstDLCIds!$B$4:$C$1000,2,FALSE),"")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IF(AB641&lt;&gt;"",IF(AB641&lt;&gt;"LIBSETS_DROP_MECHANIC_MONSTER_NAME",VLOOKUP(AB641,ConstDropMechs!$B$4:$C$1001,2,FALSE),""),"")</f>
        <v/>
      </c>
      <c r="AD641" s="3" t="str">
        <f>IF(AB641&lt;&gt;"",IF(AB641&lt;&gt;"LIBSETS_DROP_MECHANIC_MONSTER_NAME",VLOOKUP(AB641,ConstDropMechs!$B$4:$D$1001,3,FALSE),""),"")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IF(T642&lt;&gt;"",VLOOKUP(T642,ConstDLCIds!$B$4:$C$1000,2,FALSE),"")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IF(T643&lt;&gt;"",VLOOKUP(T643,ConstDLCIds!$B$4:$C$1000,2,FALSE),"")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IF(T644&lt;&gt;"",VLOOKUP(T644,ConstDLCIds!$B$4:$C$1000,2,FALSE),"")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IF(T645&lt;&gt;"",VLOOKUP(T645,ConstDLCIds!$B$4:$C$1000,2,FALSE),"")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IF(AB645&lt;&gt;"",IF(AB645&lt;&gt;"LIBSETS_DROP_MECHANIC_MONSTER_NAME",VLOOKUP(AB645,ConstDropMechs!$B$4:$C$1001,2,FALSE),""),"")</f>
        <v/>
      </c>
      <c r="AD645" s="3" t="str">
        <f>IF(AB645&lt;&gt;"",IF(AB645&lt;&gt;"LIBSETS_DROP_MECHANIC_MONSTER_NAME",VLOOKUP(AB645,ConstDropMechs!$B$4:$D$1001,3,FALSE),""),"")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IF(T646&lt;&gt;"",VLOOKUP(T646,ConstDLCIds!$B$4:$C$1000,2,FALSE),"")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IF(T647&lt;&gt;"",VLOOKUP(T647,ConstDLCIds!$B$4:$C$1000,2,FALSE),"")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IF(T648&lt;&gt;"",VLOOKUP(T648,ConstDLCIds!$B$4:$C$1000,2,FALSE),"")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IF(T649&lt;&gt;"",VLOOKUP(T649,ConstDLCIds!$B$4:$C$1000,2,FALSE),"")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IF(T650&lt;&gt;"",VLOOKUP(T650,ConstDLCIds!$B$4:$C$1000,2,FALSE),"")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IF(T651&lt;&gt;"",VLOOKUP(T651,ConstDLCIds!$B$4:$C$1000,2,FALSE),"")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IF(T652&lt;&gt;"",VLOOKUP(T652,ConstDLCIds!$B$4:$C$1000,2,FALSE),"")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IF(T653&lt;&gt;"",VLOOKUP(T653,ConstDLCIds!$B$4:$C$1000,2,FALSE),"")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IF(T654&lt;&gt;"",VLOOKUP(T654,ConstDLCIds!$B$4:$C$1000,2,FALSE),"")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IF(T655&lt;&gt;"",VLOOKUP(T655,ConstDLCIds!$B$4:$C$1000,2,FALSE),"")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IF(T656&lt;&gt;"",VLOOKUP(T656,ConstDLCIds!$B$4:$C$1000,2,FALSE),"")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IF(T657&lt;&gt;"",VLOOKUP(T657,ConstDLCIds!$B$4:$C$1000,2,FALSE),"")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IF(T658&lt;&gt;"",VLOOKUP(T658,ConstDLCIds!$B$4:$C$1000,2,FALSE),"")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IF(T659&lt;&gt;"",VLOOKUP(T659,ConstDLCIds!$B$4:$C$1000,2,FALSE),"")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IF(T660&lt;&gt;"",VLOOKUP(T660,ConstDLCIds!$B$4:$C$1000,2,FALSE),"")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IF(T661&lt;&gt;"",VLOOKUP(T661,ConstDLCIds!$B$4:$C$1000,2,FALSE),"")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IF(T662&lt;&gt;"",VLOOKUP(T662,ConstDLCIds!$B$4:$C$1000,2,FALSE),"")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IF(T663&lt;&gt;"",VLOOKUP(T663,ConstDLCIds!$B$4:$C$1000,2,FALSE),"")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IF(T664&lt;&gt;"",VLOOKUP(T664,ConstDLCIds!$B$4:$C$1000,2,FALSE),"")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IF(T665&lt;&gt;"",VLOOKUP(T665,ConstDLCIds!$B$4:$C$1000,2,FALSE),"")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IF(T666&lt;&gt;"",VLOOKUP(T666,ConstDLCIds!$B$4:$C$1000,2,FALSE),"")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IF(T667&lt;&gt;"",VLOOKUP(T667,ConstDLCIds!$B$4:$C$1000,2,FALSE),"")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IF(T668&lt;&gt;"",VLOOKUP(T668,ConstDLCIds!$B$4:$C$1000,2,FALSE),"")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IF(T669&lt;&gt;"",VLOOKUP(T669,ConstDLCIds!$B$4:$C$1000,2,FALSE),"")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IF(T670&lt;&gt;"",VLOOKUP(T670,ConstDLCIds!$B$4:$C$1000,2,FALSE),"")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IF(T671&lt;&gt;"",VLOOKUP(T671,ConstDLCIds!$B$4:$C$1000,2,FALSE),"")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IF(T672&lt;&gt;"",VLOOKUP(T672,ConstDLCIds!$B$4:$C$1000,2,FALSE),"")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IF(T673&lt;&gt;"",VLOOKUP(T673,ConstDLCIds!$B$4:$C$1000,2,FALSE),"")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IF(T674&lt;&gt;"",VLOOKUP(T674,ConstDLCIds!$B$4:$C$1000,2,FALSE),"")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IF(T675&lt;&gt;"",VLOOKUP(T675,ConstDLCIds!$B$4:$C$1000,2,FALSE),"")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IF(T676&lt;&gt;"",VLOOKUP(T676,ConstDLCIds!$B$4:$C$1000,2,FALSE),"")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IF(T677&lt;&gt;"",VLOOKUP(T677,ConstDLCIds!$B$4:$C$1000,2,FALSE),"")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IF(T678&lt;&gt;"",VLOOKUP(T678,ConstDLCIds!$B$4:$C$1000,2,FALSE),"")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IF(T679&lt;&gt;"",VLOOKUP(T679,ConstDLCIds!$B$4:$C$1000,2,FALSE),"")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IF(T680&lt;&gt;"",VLOOKUP(T680,ConstDLCIds!$B$4:$C$1000,2,FALSE),"")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IF(T681&lt;&gt;"",VLOOKUP(T681,ConstDLCIds!$B$4:$C$1000,2,FALSE),"")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IF(T682&lt;&gt;"",VLOOKUP(T682,ConstDLCIds!$B$4:$C$1000,2,FALSE),"")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IF(AB682&lt;&gt;"",IF(AB682&lt;&gt;"LIBSETS_DROP_MECHANIC_MONSTER_NAME",VLOOKUP(AB682,ConstDropMechs!$B$4:$C$1001,2,FALSE),""),"")</f>
        <v/>
      </c>
      <c r="AD682" s="3" t="str">
        <f>IF(AB682&lt;&gt;"",IF(AB682&lt;&gt;"LIBSETS_DROP_MECHANIC_MONSTER_NAME",VLOOKUP(AB682,ConstDropMechs!$B$4:$D$1001,3,FALSE),""),"")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IF(T683&lt;&gt;"",VLOOKUP(T683,ConstDLCIds!$B$4:$C$1000,2,FALSE),"")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IF(T684&lt;&gt;"",VLOOKUP(T684,ConstDLCIds!$B$4:$C$1000,2,FALSE),"")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IF(T685&lt;&gt;"",VLOOKUP(T685,ConstDLCIds!$B$4:$C$1000,2,FALSE),"")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IF(T686&lt;&gt;"",VLOOKUP(T686,ConstDLCIds!$B$4:$C$1000,2,FALSE),"")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IF(AB686&lt;&gt;"",IF(AB686&lt;&gt;"LIBSETS_DROP_MECHANIC_MONSTER_NAME",VLOOKUP(AB686,ConstDropMechs!$B$4:$C$1001,2,FALSE),""),"")</f>
        <v/>
      </c>
      <c r="AD686" s="3" t="str">
        <f>IF(AB686&lt;&gt;"",IF(AB686&lt;&gt;"LIBSETS_DROP_MECHANIC_MONSTER_NAME",VLOOKUP(AB686,ConstDropMechs!$B$4:$D$1001,3,FALSE),""),"")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IF(T687&lt;&gt;"",VLOOKUP(T687,ConstDLCIds!$B$4:$C$1000,2,FALSE),"")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IF(T688&lt;&gt;"",VLOOKUP(T688,ConstDLCIds!$B$4:$C$1000,2,FALSE),"")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IF(T689&lt;&gt;"",VLOOKUP(T689,ConstDLCIds!$B$4:$C$1000,2,FALSE),"")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IF(T690&lt;&gt;"",VLOOKUP(T690,ConstDLCIds!$B$4:$C$1000,2,FALSE),"")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IF(T691&lt;&gt;"",VLOOKUP(T691,ConstDLCIds!$B$4:$C$1000,2,FALSE),"")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IF(T692&lt;&gt;"",VLOOKUP(T692,ConstDLCIds!$B$4:$C$1000,2,FALSE),"")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IF(T693&lt;&gt;"",VLOOKUP(T693,ConstDLCIds!$B$4:$C$1000,2,FALSE),"")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IF(T694&lt;&gt;"",VLOOKUP(T694,ConstDLCIds!$B$4:$C$1000,2,FALSE),"")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IF(T695&lt;&gt;"",VLOOKUP(T695,ConstDLCIds!$B$4:$C$1000,2,FALSE),"")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IF(T696&lt;&gt;"",VLOOKUP(T696,ConstDLCIds!$B$4:$C$1000,2,FALSE),"")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IF(T697&lt;&gt;"",VLOOKUP(T697,ConstDLCIds!$B$4:$C$1000,2,FALSE),"")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IF(T698&lt;&gt;"",VLOOKUP(T698,ConstDLCIds!$B$4:$C$1000,2,FALSE),"")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IF(T699&lt;&gt;"",VLOOKUP(T699,ConstDLCIds!$B$4:$C$1000,2,FALSE),"")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IF(T700&lt;&gt;"",VLOOKUP(T700,ConstDLCIds!$B$4:$C$1000,2,FALSE),"")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IF(T701&lt;&gt;"",VLOOKUP(T701,ConstDLCIds!$B$4:$C$1000,2,FALSE),"")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IF(T702&lt;&gt;"",VLOOKUP(T702,ConstDLCIds!$B$4:$C$1000,2,FALSE),"")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IF(T703&lt;&gt;"",VLOOKUP(T703,ConstDLCIds!$B$4:$C$1000,2,FALSE),"")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IF(T704&lt;&gt;"",VLOOKUP(T704,ConstDLCIds!$B$4:$C$1000,2,FALSE),"")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IF(T705&lt;&gt;"",VLOOKUP(T705,ConstDLCIds!$B$4:$C$1000,2,FALSE),"")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IF(T706&lt;&gt;"",VLOOKUP(T706,ConstDLCIds!$B$4:$C$1000,2,FALSE),"")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IF(T707&lt;&gt;"",VLOOKUP(T707,ConstDLCIds!$B$4:$C$1000,2,FALSE),"")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IF(T708&lt;&gt;"",VLOOKUP(T708,ConstDLCIds!$B$4:$C$1000,2,FALSE),"")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IF(T709&lt;&gt;"",VLOOKUP(T709,ConstDLCIds!$B$4:$C$1000,2,FALSE),"")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IF(T710&lt;&gt;"",VLOOKUP(T710,ConstDLCIds!$B$4:$C$1000,2,FALSE),"")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IF(T711&lt;&gt;"",VLOOKUP(T711,ConstDLCIds!$B$4:$C$1000,2,FALSE),"")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IF(T712&lt;&gt;"",VLOOKUP(T712,ConstDLCIds!$B$4:$C$1000,2,FALSE),"")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IF(T713&lt;&gt;"",VLOOKUP(T713,ConstDLCIds!$B$4:$C$1000,2,FALSE),"")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IF(AB713&lt;&gt;"",IF(AB713&lt;&gt;"LIBSETS_DROP_MECHANIC_MONSTER_NAME",VLOOKUP(AB713,ConstDropMechs!$B$4:$C$1001,2,FALSE),""),"")</f>
        <v/>
      </c>
      <c r="AD713" s="3" t="str">
        <f>IF(AB713&lt;&gt;"",IF(AB713&lt;&gt;"LIBSETS_DROP_MECHANIC_MONSTER_NAME",VLOOKUP(AB713,ConstDropMechs!$B$4:$D$1001,3,FALSE),""),"")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IF(T714&lt;&gt;"",VLOOKUP(T714,ConstDLCIds!$B$4:$C$1000,2,FALSE),"")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IF(AB714&lt;&gt;"",IF(AB714&lt;&gt;"LIBSETS_DROP_MECHANIC_MONSTER_NAME",VLOOKUP(AB714,ConstDropMechs!$B$4:$C$1001,2,FALSE),""),"")</f>
        <v/>
      </c>
      <c r="AD714" s="3" t="str">
        <f>IF(AB714&lt;&gt;"",IF(AB714&lt;&gt;"LIBSETS_DROP_MECHANIC_MONSTER_NAME",VLOOKUP(AB714,ConstDropMechs!$B$4:$D$1001,3,FALSE),""),"")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IF(T715&lt;&gt;"",VLOOKUP(T715,ConstDLCIds!$B$4:$C$1000,2,FALSE),"")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IF(T716&lt;&gt;"",VLOOKUP(T716,ConstDLCIds!$B$4:$C$1000,2,FALSE),"")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IF(T717&lt;&gt;"",VLOOKUP(T717,ConstDLCIds!$B$4:$C$1000,2,FALSE),"")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IF(T718&lt;&gt;"",VLOOKUP(T718,ConstDLCIds!$B$4:$C$1000,2,FALSE),"")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IF(T719&lt;&gt;"",VLOOKUP(T719,ConstDLCIds!$B$4:$C$1000,2,FALSE),"")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IF(T720&lt;&gt;"",VLOOKUP(T720,ConstDLCIds!$B$4:$C$1000,2,FALSE),"")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IF(T721&lt;&gt;"",VLOOKUP(T721,ConstDLCIds!$B$4:$C$1000,2,FALSE),"")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IF(T722&lt;&gt;"",VLOOKUP(T722,ConstDLCIds!$B$4:$C$1000,2,FALSE),"")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IF(T723&lt;&gt;"",VLOOKUP(T723,ConstDLCIds!$B$4:$C$1000,2,FALSE),"")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IF(T724&lt;&gt;"",VLOOKUP(T724,ConstDLCIds!$B$4:$C$1000,2,FALSE),"")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1">
        <v>854</v>
      </c>
      <c r="B725" t="s">
        <v>2110</v>
      </c>
      <c r="C725" t="s">
        <v>2111</v>
      </c>
      <c r="D725" s="3">
        <f>A725</f>
        <v>854</v>
      </c>
      <c r="G725" s="9" t="s">
        <v>180</v>
      </c>
      <c r="I725" t="s">
        <v>401</v>
      </c>
      <c r="J725" t="s">
        <v>401</v>
      </c>
      <c r="K725" s="91">
        <v>-1</v>
      </c>
      <c r="L725" s="91">
        <v>-1</v>
      </c>
      <c r="M725" s="91">
        <v>-1</v>
      </c>
      <c r="P725" s="5">
        <v>816</v>
      </c>
      <c r="Q725" s="3">
        <f>IF(AND(P725&lt;&gt;"",ISNUMBER(P725),NOT(ISNA(P725))),P725,IF(R725&lt;&gt;"",VLOOKUP(R725,'ESO zones'!$D$5:$H$10005,5,FALSE),""))</f>
        <v>816</v>
      </c>
      <c r="R725" t="str">
        <f>IF(AND(O725&lt;&gt;"",NOT(ISERROR(O725))),O725,IF(AND(P725&lt;&gt;"",ISNUMBER(P725),P725&gt;0,NOT(ISNA(P725))),VLOOKUP(P725,'ESO zones'!$A$5:$D$10003,4,FALSE),IF(AND(K725&lt;&gt;"",K725&gt;0,NOT(ISERROR(K725))),VLOOKUP(K725,'ESO wayshrines'!$K$3:$N$9972,4,FALSE),"")))</f>
        <v>Hew's Bane</v>
      </c>
      <c r="S725" s="85"/>
      <c r="T725" s="16" t="str">
        <f>IF(AND(S725&lt;&gt;"",NOT(ISERROR(S725))),S725,VLOOKUP(A725,'ESO Set&amp;DLCs'!$A$3:$D$99998,4,FALSE))</f>
        <v>DLC_SEASON0_PART2</v>
      </c>
      <c r="U725" s="3" t="str">
        <f>IF(T725&lt;&gt;"",VLOOKUP(T725,ConstDLCIds!$B$4:$C$1000,2,FALSE),"")</f>
        <v>Season 0 - Part 2</v>
      </c>
      <c r="V725" s="4" t="s">
        <v>313</v>
      </c>
      <c r="W725" s="3" t="s">
        <v>2112</v>
      </c>
      <c r="X725" s="3" t="s">
        <v>2113</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zoneIds={816,816,816},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zone storyline','','','','','',},['de']={'Diebes Gilde Zonen Geschichte','','','','','',},}</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[Hew's Bane, Hew's Bane, Hew's Bane]</v>
      </c>
    </row>
    <row r="726" spans="1:61" x14ac:dyDescent="0.25">
      <c r="A726" s="99">
        <v>876</v>
      </c>
      <c r="B726" t="s">
        <v>4313</v>
      </c>
      <c r="C726" t="s">
        <v>4313</v>
      </c>
      <c r="D726" s="3">
        <f>A726</f>
        <v>876</v>
      </c>
      <c r="G726" s="3" t="s">
        <v>4316</v>
      </c>
      <c r="I726" t="s">
        <v>712</v>
      </c>
      <c r="J726" t="s">
        <v>401</v>
      </c>
      <c r="K726">
        <v>370</v>
      </c>
      <c r="L726">
        <v>370</v>
      </c>
      <c r="M726">
        <v>370</v>
      </c>
      <c r="O726" s="5" t="s">
        <v>1195</v>
      </c>
      <c r="Q726" s="3">
        <f>IF(AND(P726&lt;&gt;"",ISNUMBER(P726),NOT(ISNA(P726))),P726,IF(R726&lt;&gt;"",VLOOKUP(R726,'ESO zones'!$D$5:$H$10005,5,FALSE),""))</f>
        <v>1055</v>
      </c>
      <c r="R726" t="s">
        <v>1195</v>
      </c>
      <c r="S726" s="85"/>
      <c r="T726" s="16" t="str">
        <f>IF(AND(S726&lt;&gt;"",NOT(ISERROR(S726))),S726,VLOOKUP(A726,'ESO Set&amp;DLCs'!$A$3:$D$99998,4,FALSE))</f>
        <v>DLC_SEASON2_PART0</v>
      </c>
      <c r="U726" s="3" t="str">
        <f>IF(T726&lt;&gt;"",VLOOKUP(T726,ConstDLCIds!$B$4:$C$1000,2,FALSE),"")</f>
        <v>Season 2 - Part 0</v>
      </c>
      <c r="V726" s="57" t="s">
        <v>4318</v>
      </c>
      <c r="W726" s="3" t="s">
        <v>1194</v>
      </c>
      <c r="X726" s="3" t="s">
        <v>1194</v>
      </c>
      <c r="Y726" s="5"/>
      <c r="Z726" s="3">
        <f>IF(AND(G726&lt;&gt;"LIBSETS_SETTYPE_BATTLEGROUND",G726&lt;&gt;"LIBSETS_SETTYPE_SPECIAL"),IF(AND(Y726&lt;&gt;"",ISNUMBER(Y726),NOT(ISNA(Y726))),Y726,IF(AND(L726&lt;&gt;"",ISNUMBER(L726),L726&gt;0,NOT(ISNA(L726))),VLOOKUP(L726,'ESO wayshrines'!$K$3:$L$9972,2,FALSE),"")),"")</f>
        <v>108</v>
      </c>
      <c r="AA726" t="str">
        <f>IF(AND(Z726&lt;&gt;"",ISNUMBER(Z726),NOT(ISNA(Z726))),VLOOKUP(Z726,'ESO zones'!$A$5:$D$10003,4,FALSE),"")</f>
        <v>Greenshade</v>
      </c>
      <c r="AE726" s="68"/>
      <c r="AF726" s="3">
        <f>IF(AND(G726&lt;&gt;"LIBSETS_SETTYPE_BATTLEGROUND",G726&lt;&gt;"LIBSETS_SETTYPE_SPECIAL"),IF(AND(AE726&lt;&gt;"",ISNUMBER(AE726),NOT(ISNA(AE726))),AE726,IF(AND(M726&lt;&gt;"",ISNUMBER(M726),M726&gt;0,NOT(ISNA(M726))),VLOOKUP(M726,'ESO wayshrines'!$K$3:$L$9972,2,FALSE),"")),"")</f>
        <v>108</v>
      </c>
      <c r="AG726" t="str">
        <f>IF(AND(AF726&lt;&gt;"",ISNUMBER(AF726),NOT(ISNA(AF726))),VLOOKUP(AF726,'ESO zones'!$A$5:$D$10003,4,FALSE),"")</f>
        <v>Greenshade</v>
      </c>
      <c r="AI726" s="30"/>
      <c r="AJ726" s="30"/>
      <c r="AK726" s="3" t="str">
        <f>IF(AND(G726&lt;&gt;"LIBSETS_SETTYPE_BATTLEGROUND",G726&lt;&gt;"LIBSETS_SETTYPE_SPECIAL"),IF(AL726&lt;&gt;"",VLOOKUP(AL726,'ESO zones'!$D$5:$H$4957,5,FALSE),""),"")</f>
        <v/>
      </c>
      <c r="AN726" s="30"/>
      <c r="AO726" s="30"/>
      <c r="AP726" s="3" t="str">
        <f>IF(AND(G726&lt;&gt;"LIBSETS_SETTYPE_BATTLEGROUND",G726&lt;&gt;"LIBSETS_SETTYPE_SPECIAL"),IF(AQ726&lt;&gt;"",VLOOKUP(AQ726,'ESO zones'!$D$5:$H$4957,5,FALSE),""),"")</f>
        <v/>
      </c>
      <c r="AS726" s="30"/>
      <c r="AT726" s="30"/>
      <c r="AU726" s="3" t="str">
        <f>IF(AND(G726&lt;&gt;"LIBSETS_SETTYPE_BATTLEGROUND",G726&lt;&gt;"LIBSETS_SETTYPE_SPECIAL"),IF(AV726&lt;&gt;"",VLOOKUP(AV726,'ESO zones'!$D$5:$H$4957,5,FALSE),""),"")</f>
        <v/>
      </c>
      <c r="AZ726" s="49" t="s">
        <v>403</v>
      </c>
      <c r="BA726" s="49"/>
      <c r="BB726" s="49"/>
      <c r="BC726" s="49"/>
      <c r="BD726" s="49"/>
      <c r="BE726" s="18" t="str">
        <f t="shared" ref="BE726:BE727" si="72">IF(A726="???","--","")&amp;IF(F726&lt;&gt;"Not in the game (anymore)",IF(A726&lt;&gt;"",CONCATENATE("[",A726,"] = {wayshrines={")&amp;IF(K726&lt;&gt;"",CONCATENATE(K726,","),"")&amp;IF(L726&lt;&gt;"",CONCATENATE(L726,","),"")&amp;IF(M726&lt;&gt;"",CONCATENATE(M726,","),"")&amp;CONCATENATE("}")&amp;IF(VALUE(N726)&gt;0,CONCATENATE(", traitsNeeded=",N726),"")&amp;CONCATENATE(", dlcId=",IF(T726&lt;&gt;"",T726,"DLC_BASE_GAME")),""),"")</f>
        <v>[876] = {wayshrines={370,370,370,}, dlcId=DLC_SEASON2_PART0</v>
      </c>
      <c r="BF726" s="18" t="str">
        <f t="shared" ref="BF726:BF727" si="73">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zoneIds={1055,108,108}, veteran={[EQUIP_TYPE_HEAD]=true, [EQUIP_TYPE_SHOULDERS]=false}</v>
      </c>
      <c r="BG726" s="18" t="str">
        <f t="shared" ref="BG726:BG727" si="74">IF(A726&lt;&gt;"",IF(F726&lt;&gt;"Not in the game (anymore)",IF(A726&lt;&gt;"",", setType="&amp;G726,"")&amp;IF(G726="LIBSETS_SETTYPE_CLASS",", classId="&amp;BC726,"")&amp;IF(J726="true",", multiTrialSet=true",""),"")&amp;IF(AND(H726&lt;&gt;"",ISNUMBER(H726)),", undauntedChestId="&amp;H726,""),"")</f>
        <v>, setType=LIBSETS_SETTYPE_SOLO_MONSTER</v>
      </c>
      <c r="BH726" s="18" t="str">
        <f t="shared" ref="BH726:BH727" si="75">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dropMechanic={LIBSETS_DROP_MECHANIC_SOLO_DUNGEON_BOSS}, dropMechanicDropLocationNames={['en']={'Balorgh','','','','','',},['de']={'Balorgh','','','','','',},}</v>
      </c>
      <c r="BI726" s="18" t="str">
        <f t="shared" ref="BI726:BI727" si="76">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--Tarcyr / Tarcyr   [March of Sacrifices, Greenshade, Greenshade]</v>
      </c>
    </row>
    <row r="727" spans="1:61" x14ac:dyDescent="0.25">
      <c r="A727" s="99">
        <v>877</v>
      </c>
      <c r="B727" t="s">
        <v>4314</v>
      </c>
      <c r="C727" t="s">
        <v>4315</v>
      </c>
      <c r="D727" s="3">
        <f>A727</f>
        <v>877</v>
      </c>
      <c r="G727" s="3" t="s">
        <v>4316</v>
      </c>
      <c r="I727" t="s">
        <v>712</v>
      </c>
      <c r="J727" t="s">
        <v>401</v>
      </c>
      <c r="K727">
        <v>371</v>
      </c>
      <c r="L727">
        <v>371</v>
      </c>
      <c r="M727">
        <v>371</v>
      </c>
      <c r="O727" t="s">
        <v>1197</v>
      </c>
      <c r="Q727" s="3">
        <f>IF(AND(P727&lt;&gt;"",ISNUMBER(P727),NOT(ISNA(P727))),P727,IF(R727&lt;&gt;"",VLOOKUP(R727,'ESO zones'!$D$5:$H$10005,5,FALSE),""))</f>
        <v>1052</v>
      </c>
      <c r="R727" t="s">
        <v>1197</v>
      </c>
      <c r="S727" s="85"/>
      <c r="T727" s="16" t="str">
        <f>IF(AND(S727&lt;&gt;"",NOT(ISERROR(S727))),S727,VLOOKUP(A727,'ESO Set&amp;DLCs'!$A$3:$D$99998,4,FALSE))</f>
        <v>DLC_SEASON2_PART0</v>
      </c>
      <c r="U727" s="3" t="str">
        <f>IF(T727&lt;&gt;"",VLOOKUP(T727,ConstDLCIds!$B$4:$C$1000,2,FALSE),"")</f>
        <v>Season 2 - Part 0</v>
      </c>
      <c r="V727" s="57" t="s">
        <v>4318</v>
      </c>
      <c r="W727" s="3" t="s">
        <v>4315</v>
      </c>
      <c r="X727" s="3" t="s">
        <v>4314</v>
      </c>
      <c r="Y727" s="5"/>
      <c r="Z727" s="3">
        <f>IF(AND(G727&lt;&gt;"LIBSETS_SETTYPE_BATTLEGROUND",G727&lt;&gt;"LIBSETS_SETTYPE_SPECIAL"),IF(AND(Y727&lt;&gt;"",ISNUMBER(Y727),NOT(ISNA(Y727))),Y727,IF(AND(L727&lt;&gt;"",ISNUMBER(L727),L727&gt;0,NOT(ISNA(L727))),VLOOKUP(L727,'ESO wayshrines'!$K$3:$L$9972,2,FALSE),"")),"")</f>
        <v>382</v>
      </c>
      <c r="AA727" t="str">
        <f>IF(AND(Z727&lt;&gt;"",ISNUMBER(Z727),NOT(ISNA(Z727))),VLOOKUP(Z727,'ESO zones'!$A$5:$D$10003,4,FALSE),"")</f>
        <v>Reaper's March</v>
      </c>
      <c r="AE727" s="68"/>
      <c r="AF727" s="3">
        <f>IF(AND(G727&lt;&gt;"LIBSETS_SETTYPE_BATTLEGROUND",G727&lt;&gt;"LIBSETS_SETTYPE_SPECIAL"),IF(AND(AE727&lt;&gt;"",ISNUMBER(AE727),NOT(ISNA(AE727))),AE727,IF(AND(M727&lt;&gt;"",ISNUMBER(M727),M727&gt;0,NOT(ISNA(M727))),VLOOKUP(M727,'ESO wayshrines'!$K$3:$L$9972,2,FALSE),"")),"")</f>
        <v>382</v>
      </c>
      <c r="AG727" t="str">
        <f>IF(AND(AF727&lt;&gt;"",ISNUMBER(AF727),NOT(ISNA(AF727))),VLOOKUP(AF727,'ESO zones'!$A$5:$D$10003,4,FALSE),"")</f>
        <v>Reaper's March</v>
      </c>
      <c r="AI727" s="30"/>
      <c r="AJ727" s="30"/>
      <c r="AK727" s="3" t="str">
        <f>IF(AND(G727&lt;&gt;"LIBSETS_SETTYPE_BATTLEGROUND",G727&lt;&gt;"LIBSETS_SETTYPE_SPECIAL"),IF(AL727&lt;&gt;"",VLOOKUP(AL727,'ESO zones'!$D$5:$H$4957,5,FALSE),""),"")</f>
        <v/>
      </c>
      <c r="AN727" s="30"/>
      <c r="AO727" s="30"/>
      <c r="AP727" s="3" t="str">
        <f>IF(AND(G727&lt;&gt;"LIBSETS_SETTYPE_BATTLEGROUND",G727&lt;&gt;"LIBSETS_SETTYPE_SPECIAL"),IF(AQ727&lt;&gt;"",VLOOKUP(AQ727,'ESO zones'!$D$5:$H$4957,5,FALSE),""),"")</f>
        <v/>
      </c>
      <c r="AS727" s="30"/>
      <c r="AT727" s="30"/>
      <c r="AU727" s="3" t="str">
        <f>IF(AND(G727&lt;&gt;"LIBSETS_SETTYPE_BATTLEGROUND",G727&lt;&gt;"LIBSETS_SETTYPE_SPECIAL"),IF(AV727&lt;&gt;"",VLOOKUP(AV727,'ESO zones'!$D$5:$H$4957,5,FALSE),""),"")</f>
        <v/>
      </c>
      <c r="AZ727" s="49" t="s">
        <v>403</v>
      </c>
      <c r="BA727" s="49"/>
      <c r="BB727" s="49"/>
      <c r="BC727" s="49"/>
      <c r="BD727" s="49"/>
      <c r="BE727" s="18" t="str">
        <f t="shared" si="72"/>
        <v>[877] = {wayshrines={371,371,371,}, dlcId=DLC_SEASON2_PART0</v>
      </c>
      <c r="BF727" s="18" t="str">
        <f t="shared" si="73"/>
        <v>, zoneIds={1052,382,382}, veteran={[EQUIP_TYPE_HEAD]=true, [EQUIP_TYPE_SHOULDERS]=false}</v>
      </c>
      <c r="BG727" s="18" t="str">
        <f t="shared" si="74"/>
        <v>, setType=LIBSETS_SETTYPE_SOLO_MONSTER</v>
      </c>
      <c r="BH727" s="18" t="str">
        <f t="shared" si="75"/>
        <v>, dropMechanic={LIBSETS_DROP_MECHANIC_SOLO_DUNGEON_BOSS}, dropMechanicDropLocationNames={['en']={'Mylenne Moon-Caller','','','','','',},['de']={'Mylenne Mondruferin','','','','','',},}</v>
      </c>
      <c r="BI727" s="18" t="str">
        <f t="shared" si="76"/>
        <v>}, --Mylenne Moon-Caller / Mylenne Mondruferin   [Moon Hunter Keep, Reaper's March, Reaper's March]</v>
      </c>
    </row>
  </sheetData>
  <autoFilter ref="A2:BI727"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5" t="s">
        <v>2114</v>
      </c>
      <c r="B1" s="105"/>
      <c r="C1" s="105"/>
      <c r="D1" s="31" t="s">
        <v>2115</v>
      </c>
    </row>
    <row r="2" spans="1:4" x14ac:dyDescent="0.25">
      <c r="A2" s="8" t="s">
        <v>339</v>
      </c>
      <c r="B2" s="3" t="s">
        <v>2116</v>
      </c>
      <c r="C2" s="3" t="s">
        <v>2117</v>
      </c>
      <c r="D2" s="6" t="s">
        <v>2118</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2">
        <v>854</v>
      </c>
      <c r="B741" s="9" t="str">
        <f>VLOOKUP(A741,'Sets (lua data)'!$A$3:$C$9838,3,FALSE)</f>
        <v>The Prowler\'s Talisman</v>
      </c>
      <c r="C741" s="9" t="str">
        <f>VLOOKUP(A741,'Sets (lua data)'!$A$3:$C$9838,2,FALSE)</f>
        <v>Vagabundentalisman</v>
      </c>
    </row>
    <row r="742" spans="1:3" x14ac:dyDescent="0.25">
      <c r="A742" s="92">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7"/>
  <sheetViews>
    <sheetView workbookViewId="0">
      <pane xSplit="3" ySplit="2" topLeftCell="D703" activePane="bottomRight" state="frozen"/>
      <selection pane="topRight"/>
      <selection pane="bottomLeft"/>
      <selection pane="bottomRight" activeCell="D726" sqref="D726"/>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6" t="s">
        <v>2119</v>
      </c>
      <c r="B1" s="106"/>
      <c r="C1" s="106"/>
      <c r="E1"/>
    </row>
    <row r="2" spans="1:6" x14ac:dyDescent="0.25">
      <c r="A2" s="6" t="s">
        <v>2120</v>
      </c>
      <c r="B2" s="6" t="s">
        <v>2121</v>
      </c>
      <c r="C2" s="6" t="s">
        <v>2122</v>
      </c>
      <c r="D2" s="6" t="s">
        <v>2123</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IF(ISNA(VLOOKUP(D3,ConstDLCIds!$B$4:$C$1001,2,FALSE)),"",VLOOKUP(D3,ConstDLCIds!$B$4:$C$1001,2,FALSE))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IF(ISNA(VLOOKUP(D4,ConstDLCIds!$B$4:$C$1001,2,FALSE)),"",VLOOKUP(D4,ConstDLCIds!$B$4:$C$1001,2,FALSE))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IF(ISNA(VLOOKUP(D5,ConstDLCIds!$B$4:$C$1001,2,FALSE)),"",VLOOKUP(D5,ConstDLCIds!$B$4:$C$1001,2,FALSE))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IF(ISNA(VLOOKUP(D6,ConstDLCIds!$B$4:$C$1001,2,FALSE)),"",VLOOKUP(D6,ConstDLCIds!$B$4:$C$1001,2,FALSE))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IF(ISNA(VLOOKUP(D7,ConstDLCIds!$B$4:$C$1001,2,FALSE)),"",VLOOKUP(D7,ConstDLCIds!$B$4:$C$1001,2,FALSE))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IF(ISNA(VLOOKUP(D8,ConstDLCIds!$B$4:$C$1001,2,FALSE)),"",VLOOKUP(D8,ConstDLCIds!$B$4:$C$1001,2,FALSE))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IF(ISNA(VLOOKUP(D9,ConstDLCIds!$B$4:$C$1001,2,FALSE)),"",VLOOKUP(D9,ConstDLCIds!$B$4:$C$1001,2,FALSE))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IF(ISNA(VLOOKUP(D10,ConstDLCIds!$B$4:$C$1001,2,FALSE)),"",VLOOKUP(D10,ConstDLCIds!$B$4:$C$1001,2,FALSE))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IF(ISNA(VLOOKUP(D11,ConstDLCIds!$B$4:$C$1001,2,FALSE)),"",VLOOKUP(D11,ConstDLCIds!$B$4:$C$1001,2,FALSE))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IF(ISNA(VLOOKUP(D12,ConstDLCIds!$B$4:$C$1001,2,FALSE)),"",VLOOKUP(D12,ConstDLCIds!$B$4:$C$1001,2,FALSE))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IF(ISNA(VLOOKUP(D13,ConstDLCIds!$B$4:$C$1001,2,FALSE)),"",VLOOKUP(D13,ConstDLCIds!$B$4:$C$1001,2,FALSE))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IF(ISNA(VLOOKUP(D14,ConstDLCIds!$B$4:$C$1001,2,FALSE)),"",VLOOKUP(D14,ConstDLCIds!$B$4:$C$1001,2,FALSE))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IF(ISNA(VLOOKUP(D15,ConstDLCIds!$B$4:$C$1001,2,FALSE)),"",VLOOKUP(D15,ConstDLCIds!$B$4:$C$1001,2,FALSE))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IF(ISNA(VLOOKUP(D16,ConstDLCIds!$B$4:$C$1001,2,FALSE)),"",VLOOKUP(D16,ConstDLCIds!$B$4:$C$1001,2,FALSE))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IF(ISNA(VLOOKUP(D17,ConstDLCIds!$B$4:$C$1001,2,FALSE)),"",VLOOKUP(D17,ConstDLCIds!$B$4:$C$1001,2,FALSE))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IF(ISNA(VLOOKUP(D18,ConstDLCIds!$B$4:$C$1001,2,FALSE)),"",VLOOKUP(D18,ConstDLCIds!$B$4:$C$1001,2,FALSE))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IF(ISNA(VLOOKUP(D19,ConstDLCIds!$B$4:$C$1001,2,FALSE)),"",VLOOKUP(D19,ConstDLCIds!$B$4:$C$1001,2,FALSE))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IF(ISNA(VLOOKUP(D20,ConstDLCIds!$B$4:$C$1001,2,FALSE)),"",VLOOKUP(D20,ConstDLCIds!$B$4:$C$1001,2,FALSE))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IF(ISNA(VLOOKUP(D21,ConstDLCIds!$B$4:$C$1001,2,FALSE)),"",VLOOKUP(D21,ConstDLCIds!$B$4:$C$1001,2,FALSE))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IF(ISNA(VLOOKUP(D22,ConstDLCIds!$B$4:$C$1001,2,FALSE)),"",VLOOKUP(D22,ConstDLCIds!$B$4:$C$1001,2,FALSE))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IF(ISNA(VLOOKUP(D23,ConstDLCIds!$B$4:$C$1001,2,FALSE)),"",VLOOKUP(D23,ConstDLCIds!$B$4:$C$1001,2,FALSE))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IF(ISNA(VLOOKUP(D24,ConstDLCIds!$B$4:$C$1001,2,FALSE)),"",VLOOKUP(D24,ConstDLCIds!$B$4:$C$1001,2,FALSE))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IF(ISNA(VLOOKUP(D25,ConstDLCIds!$B$4:$C$1001,2,FALSE)),"",VLOOKUP(D25,ConstDLCIds!$B$4:$C$1001,2,FALSE))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IF(ISNA(VLOOKUP(D26,ConstDLCIds!$B$4:$C$1001,2,FALSE)),"",VLOOKUP(D26,ConstDLCIds!$B$4:$C$1001,2,FALSE))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IF(ISNA(VLOOKUP(D27,ConstDLCIds!$B$4:$C$1001,2,FALSE)),"",VLOOKUP(D27,ConstDLCIds!$B$4:$C$1001,2,FALSE))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IF(ISNA(VLOOKUP(D28,ConstDLCIds!$B$4:$C$1001,2,FALSE)),"",VLOOKUP(D28,ConstDLCIds!$B$4:$C$1001,2,FALSE))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IF(ISNA(VLOOKUP(D29,ConstDLCIds!$B$4:$C$1001,2,FALSE)),"",VLOOKUP(D29,ConstDLCIds!$B$4:$C$1001,2,FALSE))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IF(ISNA(VLOOKUP(D30,ConstDLCIds!$B$4:$C$1001,2,FALSE)),"",VLOOKUP(D30,ConstDLCIds!$B$4:$C$1001,2,FALSE))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IF(ISNA(VLOOKUP(D31,ConstDLCIds!$B$4:$C$1001,2,FALSE)),"",VLOOKUP(D31,ConstDLCIds!$B$4:$C$1001,2,FALSE))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IF(ISNA(VLOOKUP(D32,ConstDLCIds!$B$4:$C$1001,2,FALSE)),"",VLOOKUP(D32,ConstDLCIds!$B$4:$C$1001,2,FALSE))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IF(ISNA(VLOOKUP(D33,ConstDLCIds!$B$4:$C$1001,2,FALSE)),"",VLOOKUP(D33,ConstDLCIds!$B$4:$C$1001,2,FALSE))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IF(ISNA(VLOOKUP(D34,ConstDLCIds!$B$4:$C$1001,2,FALSE)),"",VLOOKUP(D34,ConstDLCIds!$B$4:$C$1001,2,FALSE))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IF(ISNA(VLOOKUP(D35,ConstDLCIds!$B$4:$C$1001,2,FALSE)),"",VLOOKUP(D35,ConstDLCIds!$B$4:$C$1001,2,FALSE))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IF(ISNA(VLOOKUP(D36,ConstDLCIds!$B$4:$C$1001,2,FALSE)),"",VLOOKUP(D36,ConstDLCIds!$B$4:$C$1001,2,FALSE))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IF(ISNA(VLOOKUP(D37,ConstDLCIds!$B$4:$C$1001,2,FALSE)),"",VLOOKUP(D37,ConstDLCIds!$B$4:$C$1001,2,FALSE))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IF(ISNA(VLOOKUP(D38,ConstDLCIds!$B$4:$C$1001,2,FALSE)),"",VLOOKUP(D38,ConstDLCIds!$B$4:$C$1001,2,FALSE))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IF(ISNA(VLOOKUP(D39,ConstDLCIds!$B$4:$C$1001,2,FALSE)),"",VLOOKUP(D39,ConstDLCIds!$B$4:$C$1001,2,FALSE))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IF(ISNA(VLOOKUP(D40,ConstDLCIds!$B$4:$C$1001,2,FALSE)),"",VLOOKUP(D40,ConstDLCIds!$B$4:$C$1001,2,FALSE))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IF(ISNA(VLOOKUP(D41,ConstDLCIds!$B$4:$C$1001,2,FALSE)),"",VLOOKUP(D41,ConstDLCIds!$B$4:$C$1001,2,FALSE))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IF(ISNA(VLOOKUP(D42,ConstDLCIds!$B$4:$C$1001,2,FALSE)),"",VLOOKUP(D42,ConstDLCIds!$B$4:$C$1001,2,FALSE))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IF(ISNA(VLOOKUP(D43,ConstDLCIds!$B$4:$C$1001,2,FALSE)),"",VLOOKUP(D43,ConstDLCIds!$B$4:$C$1001,2,FALSE))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IF(ISNA(VLOOKUP(D44,ConstDLCIds!$B$4:$C$1001,2,FALSE)),"",VLOOKUP(D44,ConstDLCIds!$B$4:$C$1001,2,FALSE))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IF(ISNA(VLOOKUP(D45,ConstDLCIds!$B$4:$C$1001,2,FALSE)),"",VLOOKUP(D45,ConstDLCIds!$B$4:$C$1001,2,FALSE))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IF(ISNA(VLOOKUP(D46,ConstDLCIds!$B$4:$C$1001,2,FALSE)),"",VLOOKUP(D46,ConstDLCIds!$B$4:$C$1001,2,FALSE))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IF(ISNA(VLOOKUP(D47,ConstDLCIds!$B$4:$C$1001,2,FALSE)),"",VLOOKUP(D47,ConstDLCIds!$B$4:$C$1001,2,FALSE))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IF(ISNA(VLOOKUP(D48,ConstDLCIds!$B$4:$C$1001,2,FALSE)),"",VLOOKUP(D48,ConstDLCIds!$B$4:$C$1001,2,FALSE))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IF(ISNA(VLOOKUP(D49,ConstDLCIds!$B$4:$C$1001,2,FALSE)),"",VLOOKUP(D49,ConstDLCIds!$B$4:$C$1001,2,FALSE))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IF(ISNA(VLOOKUP(D50,ConstDLCIds!$B$4:$C$1001,2,FALSE)),"",VLOOKUP(D50,ConstDLCIds!$B$4:$C$1001,2,FALSE))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IF(ISNA(VLOOKUP(D51,ConstDLCIds!$B$4:$C$1001,2,FALSE)),"",VLOOKUP(D51,ConstDLCIds!$B$4:$C$1001,2,FALSE))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IF(ISNA(VLOOKUP(D52,ConstDLCIds!$B$4:$C$1001,2,FALSE)),"",VLOOKUP(D52,ConstDLCIds!$B$4:$C$1001,2,FALSE))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IF(ISNA(VLOOKUP(D53,ConstDLCIds!$B$4:$C$1001,2,FALSE)),"",VLOOKUP(D53,ConstDLCIds!$B$4:$C$1001,2,FALSE))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IF(ISNA(VLOOKUP(D54,ConstDLCIds!$B$4:$C$1001,2,FALSE)),"",VLOOKUP(D54,ConstDLCIds!$B$4:$C$1001,2,FALSE))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IF(ISNA(VLOOKUP(D55,ConstDLCIds!$B$4:$C$1001,2,FALSE)),"",VLOOKUP(D55,ConstDLCIds!$B$4:$C$1001,2,FALSE))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IF(ISNA(VLOOKUP(D56,ConstDLCIds!$B$4:$C$1001,2,FALSE)),"",VLOOKUP(D56,ConstDLCIds!$B$4:$C$1001,2,FALSE))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IF(ISNA(VLOOKUP(D57,ConstDLCIds!$B$4:$C$1001,2,FALSE)),"",VLOOKUP(D57,ConstDLCIds!$B$4:$C$1001,2,FALSE))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IF(ISNA(VLOOKUP(D58,ConstDLCIds!$B$4:$C$1001,2,FALSE)),"",VLOOKUP(D58,ConstDLCIds!$B$4:$C$1001,2,FALSE))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IF(ISNA(VLOOKUP(D59,ConstDLCIds!$B$4:$C$1001,2,FALSE)),"",VLOOKUP(D59,ConstDLCIds!$B$4:$C$1001,2,FALSE))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IF(ISNA(VLOOKUP(D60,ConstDLCIds!$B$4:$C$1001,2,FALSE)),"",VLOOKUP(D60,ConstDLCIds!$B$4:$C$1001,2,FALSE))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IF(ISNA(VLOOKUP(D61,ConstDLCIds!$B$4:$C$1001,2,FALSE)),"",VLOOKUP(D61,ConstDLCIds!$B$4:$C$1001,2,FALSE))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IF(ISNA(VLOOKUP(D62,ConstDLCIds!$B$4:$C$1001,2,FALSE)),"",VLOOKUP(D62,ConstDLCIds!$B$4:$C$1001,2,FALSE))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IF(ISNA(VLOOKUP(D63,ConstDLCIds!$B$4:$C$1001,2,FALSE)),"",VLOOKUP(D63,ConstDLCIds!$B$4:$C$1001,2,FALSE))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IF(ISNA(VLOOKUP(D64,ConstDLCIds!$B$4:$C$1001,2,FALSE)),"",VLOOKUP(D64,ConstDLCIds!$B$4:$C$1001,2,FALSE))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IF(ISNA(VLOOKUP(D65,ConstDLCIds!$B$4:$C$1001,2,FALSE)),"",VLOOKUP(D65,ConstDLCIds!$B$4:$C$1001,2,FALSE))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IF(ISNA(VLOOKUP(D66,ConstDLCIds!$B$4:$C$1001,2,FALSE)),"",VLOOKUP(D66,ConstDLCIds!$B$4:$C$1001,2,FALSE))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IF(ISNA(VLOOKUP(D67,ConstDLCIds!$B$4:$C$1001,2,FALSE)),"",VLOOKUP(D67,ConstDLCIds!$B$4:$C$1001,2,FALSE))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IF(ISNA(VLOOKUP(D68,ConstDLCIds!$B$4:$C$1001,2,FALSE)),"",VLOOKUP(D68,ConstDLCIds!$B$4:$C$1001,2,FALSE))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IF(ISNA(VLOOKUP(D69,ConstDLCIds!$B$4:$C$1001,2,FALSE)),"",VLOOKUP(D69,ConstDLCIds!$B$4:$C$1001,2,FALSE))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IF(ISNA(VLOOKUP(D70,ConstDLCIds!$B$4:$C$1001,2,FALSE)),"",VLOOKUP(D70,ConstDLCIds!$B$4:$C$1001,2,FALSE))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IF(ISNA(VLOOKUP(D71,ConstDLCIds!$B$4:$C$1001,2,FALSE)),"",VLOOKUP(D71,ConstDLCIds!$B$4:$C$1001,2,FALSE))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IF(ISNA(VLOOKUP(D72,ConstDLCIds!$B$4:$C$1001,2,FALSE)),"",VLOOKUP(D72,ConstDLCIds!$B$4:$C$1001,2,FALSE))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IF(ISNA(VLOOKUP(D73,ConstDLCIds!$B$4:$C$1001,2,FALSE)),"",VLOOKUP(D73,ConstDLCIds!$B$4:$C$1001,2,FALSE))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IF(ISNA(VLOOKUP(D74,ConstDLCIds!$B$4:$C$1001,2,FALSE)),"",VLOOKUP(D74,ConstDLCIds!$B$4:$C$1001,2,FALSE))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IF(ISNA(VLOOKUP(D75,ConstDLCIds!$B$4:$C$1001,2,FALSE)),"",VLOOKUP(D75,ConstDLCIds!$B$4:$C$1001,2,FALSE))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IF(ISNA(VLOOKUP(D76,ConstDLCIds!$B$4:$C$1001,2,FALSE)),"",VLOOKUP(D76,ConstDLCIds!$B$4:$C$1001,2,FALSE))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IF(ISNA(VLOOKUP(D77,ConstDLCIds!$B$4:$C$1001,2,FALSE)),"",VLOOKUP(D77,ConstDLCIds!$B$4:$C$1001,2,FALSE))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IF(ISNA(VLOOKUP(D78,ConstDLCIds!$B$4:$C$1001,2,FALSE)),"",VLOOKUP(D78,ConstDLCIds!$B$4:$C$1001,2,FALSE))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IF(ISNA(VLOOKUP(D79,ConstDLCIds!$B$4:$C$1001,2,FALSE)),"",VLOOKUP(D79,ConstDLCIds!$B$4:$C$1001,2,FALSE))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IF(ISNA(VLOOKUP(D80,ConstDLCIds!$B$4:$C$1001,2,FALSE)),"",VLOOKUP(D80,ConstDLCIds!$B$4:$C$1001,2,FALSE))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IF(ISNA(VLOOKUP(D81,ConstDLCIds!$B$4:$C$1001,2,FALSE)),"",VLOOKUP(D81,ConstDLCIds!$B$4:$C$1001,2,FALSE))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IF(ISNA(VLOOKUP(D82,ConstDLCIds!$B$4:$C$1001,2,FALSE)),"",VLOOKUP(D82,ConstDLCIds!$B$4:$C$1001,2,FALSE))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IF(ISNA(VLOOKUP(D83,ConstDLCIds!$B$4:$C$1001,2,FALSE)),"",VLOOKUP(D83,ConstDLCIds!$B$4:$C$1001,2,FALSE))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IF(ISNA(VLOOKUP(D84,ConstDLCIds!$B$4:$C$1001,2,FALSE)),"",VLOOKUP(D84,ConstDLCIds!$B$4:$C$1001,2,FALSE))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IF(ISNA(VLOOKUP(D85,ConstDLCIds!$B$4:$C$1001,2,FALSE)),"",VLOOKUP(D85,ConstDLCIds!$B$4:$C$1001,2,FALSE))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IF(ISNA(VLOOKUP(D86,ConstDLCIds!$B$4:$C$1001,2,FALSE)),"",VLOOKUP(D86,ConstDLCIds!$B$4:$C$1001,2,FALSE))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IF(ISNA(VLOOKUP(D87,ConstDLCIds!$B$4:$C$1001,2,FALSE)),"",VLOOKUP(D87,ConstDLCIds!$B$4:$C$1001,2,FALSE))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IF(ISNA(VLOOKUP(D88,ConstDLCIds!$B$4:$C$1001,2,FALSE)),"",VLOOKUP(D88,ConstDLCIds!$B$4:$C$1001,2,FALSE))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IF(ISNA(VLOOKUP(D89,ConstDLCIds!$B$4:$C$1001,2,FALSE)),"",VLOOKUP(D89,ConstDLCIds!$B$4:$C$1001,2,FALSE))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IF(ISNA(VLOOKUP(D90,ConstDLCIds!$B$4:$C$1001,2,FALSE)),"",VLOOKUP(D90,ConstDLCIds!$B$4:$C$1001,2,FALSE))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IF(ISNA(VLOOKUP(D91,ConstDLCIds!$B$4:$C$1001,2,FALSE)),"",VLOOKUP(D91,ConstDLCIds!$B$4:$C$1001,2,FALSE))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IF(ISNA(VLOOKUP(D92,ConstDLCIds!$B$4:$C$1001,2,FALSE)),"",VLOOKUP(D92,ConstDLCIds!$B$4:$C$1001,2,FALSE))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IF(ISNA(VLOOKUP(D93,ConstDLCIds!$B$4:$C$1001,2,FALSE)),"",VLOOKUP(D93,ConstDLCIds!$B$4:$C$1001,2,FALSE))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IF(ISNA(VLOOKUP(D94,ConstDLCIds!$B$4:$C$1001,2,FALSE)),"",VLOOKUP(D94,ConstDLCIds!$B$4:$C$1001,2,FALSE))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IF(ISNA(VLOOKUP(D95,ConstDLCIds!$B$4:$C$1001,2,FALSE)),"",VLOOKUP(D95,ConstDLCIds!$B$4:$C$1001,2,FALSE))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IF(ISNA(VLOOKUP(D96,ConstDLCIds!$B$4:$C$1001,2,FALSE)),"",VLOOKUP(D96,ConstDLCIds!$B$4:$C$1001,2,FALSE))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IF(ISNA(VLOOKUP(D97,ConstDLCIds!$B$4:$C$1001,2,FALSE)),"",VLOOKUP(D97,ConstDLCIds!$B$4:$C$1001,2,FALSE))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IF(ISNA(VLOOKUP(D98,ConstDLCIds!$B$4:$C$1001,2,FALSE)),"",VLOOKUP(D98,ConstDLCIds!$B$4:$C$1001,2,FALSE))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IF(ISNA(VLOOKUP(D99,ConstDLCIds!$B$4:$C$1001,2,FALSE)),"",VLOOKUP(D99,ConstDLCIds!$B$4:$C$1001,2,FALSE))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IF(ISNA(VLOOKUP(D100,ConstDLCIds!$B$4:$C$1001,2,FALSE)),"",VLOOKUP(D100,ConstDLCIds!$B$4:$C$1001,2,FALSE))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IF(ISNA(VLOOKUP(D101,ConstDLCIds!$B$4:$C$1001,2,FALSE)),"",VLOOKUP(D101,ConstDLCIds!$B$4:$C$1001,2,FALSE))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IF(ISNA(VLOOKUP(D102,ConstDLCIds!$B$4:$C$1001,2,FALSE)),"",VLOOKUP(D102,ConstDLCIds!$B$4:$C$1001,2,FALSE))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IF(ISNA(VLOOKUP(D103,ConstDLCIds!$B$4:$C$1001,2,FALSE)),"",VLOOKUP(D103,ConstDLCIds!$B$4:$C$1001,2,FALSE))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IF(ISNA(VLOOKUP(D104,ConstDLCIds!$B$4:$C$1001,2,FALSE)),"",VLOOKUP(D104,ConstDLCIds!$B$4:$C$1001,2,FALSE))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IF(ISNA(VLOOKUP(D105,ConstDLCIds!$B$4:$C$1001,2,FALSE)),"",VLOOKUP(D105,ConstDLCIds!$B$4:$C$1001,2,FALSE))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IF(ISNA(VLOOKUP(D106,ConstDLCIds!$B$4:$C$1001,2,FALSE)),"",VLOOKUP(D106,ConstDLCIds!$B$4:$C$1001,2,FALSE))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IF(ISNA(VLOOKUP(D107,ConstDLCIds!$B$4:$C$1001,2,FALSE)),"",VLOOKUP(D107,ConstDLCIds!$B$4:$C$1001,2,FALSE))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IF(ISNA(VLOOKUP(D108,ConstDLCIds!$B$4:$C$1001,2,FALSE)),"",VLOOKUP(D108,ConstDLCIds!$B$4:$C$1001,2,FALSE))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IF(ISNA(VLOOKUP(D109,ConstDLCIds!$B$4:$C$1001,2,FALSE)),"",VLOOKUP(D109,ConstDLCIds!$B$4:$C$1001,2,FALSE))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IF(ISNA(VLOOKUP(D110,ConstDLCIds!$B$4:$C$1001,2,FALSE)),"",VLOOKUP(D110,ConstDLCIds!$B$4:$C$1001,2,FALSE))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IF(ISNA(VLOOKUP(D111,ConstDLCIds!$B$4:$C$1001,2,FALSE)),"",VLOOKUP(D111,ConstDLCIds!$B$4:$C$1001,2,FALSE))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IF(ISNA(VLOOKUP(D112,ConstDLCIds!$B$4:$C$1001,2,FALSE)),"",VLOOKUP(D112,ConstDLCIds!$B$4:$C$1001,2,FALSE))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IF(ISNA(VLOOKUP(D113,ConstDLCIds!$B$4:$C$1001,2,FALSE)),"",VLOOKUP(D113,ConstDLCIds!$B$4:$C$1001,2,FALSE))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IF(ISNA(VLOOKUP(D114,ConstDLCIds!$B$4:$C$1001,2,FALSE)),"",VLOOKUP(D114,ConstDLCIds!$B$4:$C$1001,2,FALSE))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IF(ISNA(VLOOKUP(D115,ConstDLCIds!$B$4:$C$1001,2,FALSE)),"",VLOOKUP(D115,ConstDLCIds!$B$4:$C$1001,2,FALSE))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IF(ISNA(VLOOKUP(D116,ConstDLCIds!$B$4:$C$1001,2,FALSE)),"",VLOOKUP(D116,ConstDLCIds!$B$4:$C$1001,2,FALSE))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IF(ISNA(VLOOKUP(D117,ConstDLCIds!$B$4:$C$1001,2,FALSE)),"",VLOOKUP(D117,ConstDLCIds!$B$4:$C$1001,2,FALSE))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IF(ISNA(VLOOKUP(D118,ConstDLCIds!$B$4:$C$1001,2,FALSE)),"",VLOOKUP(D118,ConstDLCIds!$B$4:$C$1001,2,FALSE))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IF(ISNA(VLOOKUP(D119,ConstDLCIds!$B$4:$C$1001,2,FALSE)),"",VLOOKUP(D119,ConstDLCIds!$B$4:$C$1001,2,FALSE))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IF(ISNA(VLOOKUP(D120,ConstDLCIds!$B$4:$C$1001,2,FALSE)),"",VLOOKUP(D120,ConstDLCIds!$B$4:$C$1001,2,FALSE))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IF(ISNA(VLOOKUP(D121,ConstDLCIds!$B$4:$C$1001,2,FALSE)),"",VLOOKUP(D121,ConstDLCIds!$B$4:$C$1001,2,FALSE))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IF(ISNA(VLOOKUP(D122,ConstDLCIds!$B$4:$C$1001,2,FALSE)),"",VLOOKUP(D122,ConstDLCIds!$B$4:$C$1001,2,FALSE))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IF(ISNA(VLOOKUP(D123,ConstDLCIds!$B$4:$C$1001,2,FALSE)),"",VLOOKUP(D123,ConstDLCIds!$B$4:$C$1001,2,FALSE))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IF(ISNA(VLOOKUP(D124,ConstDLCIds!$B$4:$C$1001,2,FALSE)),"",VLOOKUP(D124,ConstDLCIds!$B$4:$C$1001,2,FALSE))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IF(ISNA(VLOOKUP(D125,ConstDLCIds!$B$4:$C$1001,2,FALSE)),"",VLOOKUP(D125,ConstDLCIds!$B$4:$C$1001,2,FALSE))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IF(ISNA(VLOOKUP(D126,ConstDLCIds!$B$4:$C$1001,2,FALSE)),"",VLOOKUP(D126,ConstDLCIds!$B$4:$C$1001,2,FALSE))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IF(ISNA(VLOOKUP(D127,ConstDLCIds!$B$4:$C$1001,2,FALSE)),"",VLOOKUP(D127,ConstDLCIds!$B$4:$C$1001,2,FALSE))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IF(ISNA(VLOOKUP(D128,ConstDLCIds!$B$4:$C$1001,2,FALSE)),"",VLOOKUP(D128,ConstDLCIds!$B$4:$C$1001,2,FALSE))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IF(ISNA(VLOOKUP(D129,ConstDLCIds!$B$4:$C$1001,2,FALSE)),"",VLOOKUP(D129,ConstDLCIds!$B$4:$C$1001,2,FALSE))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IF(ISNA(VLOOKUP(D130,ConstDLCIds!$B$4:$C$1001,2,FALSE)),"",VLOOKUP(D130,ConstDLCIds!$B$4:$C$1001,2,FALSE))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IF(ISNA(VLOOKUP(D131,ConstDLCIds!$B$4:$C$1001,2,FALSE)),"",VLOOKUP(D131,ConstDLCIds!$B$4:$C$1001,2,FALSE))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IF(ISNA(VLOOKUP(D132,ConstDLCIds!$B$4:$C$1001,2,FALSE)),"",VLOOKUP(D132,ConstDLCIds!$B$4:$C$1001,2,FALSE))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IF(ISNA(VLOOKUP(D133,ConstDLCIds!$B$4:$C$1001,2,FALSE)),"",VLOOKUP(D133,ConstDLCIds!$B$4:$C$1001,2,FALSE))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IF(ISNA(VLOOKUP(D134,ConstDLCIds!$B$4:$C$1001,2,FALSE)),"",VLOOKUP(D134,ConstDLCIds!$B$4:$C$1001,2,FALSE))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IF(ISNA(VLOOKUP(D135,ConstDLCIds!$B$4:$C$1001,2,FALSE)),"",VLOOKUP(D135,ConstDLCIds!$B$4:$C$1001,2,FALSE))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IF(ISNA(VLOOKUP(D136,ConstDLCIds!$B$4:$C$1001,2,FALSE)),"",VLOOKUP(D136,ConstDLCIds!$B$4:$C$1001,2,FALSE))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IF(ISNA(VLOOKUP(D137,ConstDLCIds!$B$4:$C$1001,2,FALSE)),"",VLOOKUP(D137,ConstDLCIds!$B$4:$C$1001,2,FALSE))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IF(ISNA(VLOOKUP(D138,ConstDLCIds!$B$4:$C$1001,2,FALSE)),"",VLOOKUP(D138,ConstDLCIds!$B$4:$C$1001,2,FALSE))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IF(ISNA(VLOOKUP(D139,ConstDLCIds!$B$4:$C$1001,2,FALSE)),"",VLOOKUP(D139,ConstDLCIds!$B$4:$C$1001,2,FALSE))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IF(ISNA(VLOOKUP(D140,ConstDLCIds!$B$4:$C$1001,2,FALSE)),"",VLOOKUP(D140,ConstDLCIds!$B$4:$C$1001,2,FALSE))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IF(ISNA(VLOOKUP(D141,ConstDLCIds!$B$4:$C$1001,2,FALSE)),"",VLOOKUP(D141,ConstDLCIds!$B$4:$C$1001,2,FALSE))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IF(ISNA(VLOOKUP(D142,ConstDLCIds!$B$4:$C$1001,2,FALSE)),"",VLOOKUP(D142,ConstDLCIds!$B$4:$C$1001,2,FALSE))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IF(ISNA(VLOOKUP(D143,ConstDLCIds!$B$4:$C$1001,2,FALSE)),"",VLOOKUP(D143,ConstDLCIds!$B$4:$C$1001,2,FALSE))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IF(ISNA(VLOOKUP(D144,ConstDLCIds!$B$4:$C$1001,2,FALSE)),"",VLOOKUP(D144,ConstDLCIds!$B$4:$C$1001,2,FALSE))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IF(ISNA(VLOOKUP(D145,ConstDLCIds!$B$4:$C$1001,2,FALSE)),"",VLOOKUP(D145,ConstDLCIds!$B$4:$C$1001,2,FALSE))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IF(ISNA(VLOOKUP(D146,ConstDLCIds!$B$4:$C$1001,2,FALSE)),"",VLOOKUP(D146,ConstDLCIds!$B$4:$C$1001,2,FALSE))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IF(ISNA(VLOOKUP(D147,ConstDLCIds!$B$4:$C$1001,2,FALSE)),"",VLOOKUP(D147,ConstDLCIds!$B$4:$C$1001,2,FALSE))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IF(ISNA(VLOOKUP(D148,ConstDLCIds!$B$4:$C$1001,2,FALSE)),"",VLOOKUP(D148,ConstDLCIds!$B$4:$C$1001,2,FALSE))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IF(ISNA(VLOOKUP(D149,ConstDLCIds!$B$4:$C$1001,2,FALSE)),"",VLOOKUP(D149,ConstDLCIds!$B$4:$C$1001,2,FALSE))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IF(ISNA(VLOOKUP(D150,ConstDLCIds!$B$4:$C$1001,2,FALSE)),"",VLOOKUP(D150,ConstDLCIds!$B$4:$C$1001,2,FALSE))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IF(ISNA(VLOOKUP(D151,ConstDLCIds!$B$4:$C$1001,2,FALSE)),"",VLOOKUP(D151,ConstDLCIds!$B$4:$C$1001,2,FALSE))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IF(ISNA(VLOOKUP(D152,ConstDLCIds!$B$4:$C$1001,2,FALSE)),"",VLOOKUP(D152,ConstDLCIds!$B$4:$C$1001,2,FALSE))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IF(ISNA(VLOOKUP(D153,ConstDLCIds!$B$4:$C$1001,2,FALSE)),"",VLOOKUP(D153,ConstDLCIds!$B$4:$C$1001,2,FALSE))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IF(ISNA(VLOOKUP(D154,ConstDLCIds!$B$4:$C$1001,2,FALSE)),"",VLOOKUP(D154,ConstDLCIds!$B$4:$C$1001,2,FALSE))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IF(ISNA(VLOOKUP(D155,ConstDLCIds!$B$4:$C$1001,2,FALSE)),"",VLOOKUP(D155,ConstDLCIds!$B$4:$C$1001,2,FALSE))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IF(ISNA(VLOOKUP(D156,ConstDLCIds!$B$4:$C$1001,2,FALSE)),"",VLOOKUP(D156,ConstDLCIds!$B$4:$C$1001,2,FALSE))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IF(ISNA(VLOOKUP(D157,ConstDLCIds!$B$4:$C$1001,2,FALSE)),"",VLOOKUP(D157,ConstDLCIds!$B$4:$C$1001,2,FALSE))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IF(ISNA(VLOOKUP(D158,ConstDLCIds!$B$4:$C$1001,2,FALSE)),"",VLOOKUP(D158,ConstDLCIds!$B$4:$C$1001,2,FALSE))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IF(ISNA(VLOOKUP(D159,ConstDLCIds!$B$4:$C$1001,2,FALSE)),"",VLOOKUP(D159,ConstDLCIds!$B$4:$C$1001,2,FALSE))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IF(ISNA(VLOOKUP(D160,ConstDLCIds!$B$4:$C$1001,2,FALSE)),"",VLOOKUP(D160,ConstDLCIds!$B$4:$C$1001,2,FALSE))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IF(ISNA(VLOOKUP(D161,ConstDLCIds!$B$4:$C$1001,2,FALSE)),"",VLOOKUP(D161,ConstDLCIds!$B$4:$C$1001,2,FALSE))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IF(ISNA(VLOOKUP(D162,ConstDLCIds!$B$4:$C$1001,2,FALSE)),"",VLOOKUP(D162,ConstDLCIds!$B$4:$C$1001,2,FALSE))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IF(ISNA(VLOOKUP(D163,ConstDLCIds!$B$4:$C$1001,2,FALSE)),"",VLOOKUP(D163,ConstDLCIds!$B$4:$C$1001,2,FALSE))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IF(ISNA(VLOOKUP(D164,ConstDLCIds!$B$4:$C$1001,2,FALSE)),"",VLOOKUP(D164,ConstDLCIds!$B$4:$C$1001,2,FALSE))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IF(ISNA(VLOOKUP(D165,ConstDLCIds!$B$4:$C$1001,2,FALSE)),"",VLOOKUP(D165,ConstDLCIds!$B$4:$C$1001,2,FALSE))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IF(ISNA(VLOOKUP(D166,ConstDLCIds!$B$4:$C$1001,2,FALSE)),"",VLOOKUP(D166,ConstDLCIds!$B$4:$C$1001,2,FALSE))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IF(ISNA(VLOOKUP(D167,ConstDLCIds!$B$4:$C$1001,2,FALSE)),"",VLOOKUP(D167,ConstDLCIds!$B$4:$C$1001,2,FALSE))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IF(ISNA(VLOOKUP(D168,ConstDLCIds!$B$4:$C$1001,2,FALSE)),"",VLOOKUP(D168,ConstDLCIds!$B$4:$C$1001,2,FALSE))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IF(ISNA(VLOOKUP(D169,ConstDLCIds!$B$4:$C$1001,2,FALSE)),"",VLOOKUP(D169,ConstDLCIds!$B$4:$C$1001,2,FALSE))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IF(ISNA(VLOOKUP(D170,ConstDLCIds!$B$4:$C$1001,2,FALSE)),"",VLOOKUP(D170,ConstDLCIds!$B$4:$C$1001,2,FALSE))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IF(ISNA(VLOOKUP(D171,ConstDLCIds!$B$4:$C$1001,2,FALSE)),"",VLOOKUP(D171,ConstDLCIds!$B$4:$C$1001,2,FALSE))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IF(ISNA(VLOOKUP(D172,ConstDLCIds!$B$4:$C$1001,2,FALSE)),"",VLOOKUP(D172,ConstDLCIds!$B$4:$C$1001,2,FALSE))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IF(ISNA(VLOOKUP(D173,ConstDLCIds!$B$4:$C$1001,2,FALSE)),"",VLOOKUP(D173,ConstDLCIds!$B$4:$C$1001,2,FALSE))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IF(ISNA(VLOOKUP(D174,ConstDLCIds!$B$4:$C$1001,2,FALSE)),"",VLOOKUP(D174,ConstDLCIds!$B$4:$C$1001,2,FALSE))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IF(ISNA(VLOOKUP(D175,ConstDLCIds!$B$4:$C$1001,2,FALSE)),"",VLOOKUP(D175,ConstDLCIds!$B$4:$C$1001,2,FALSE))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IF(ISNA(VLOOKUP(D176,ConstDLCIds!$B$4:$C$1001,2,FALSE)),"",VLOOKUP(D176,ConstDLCIds!$B$4:$C$1001,2,FALSE))</f>
        <v/>
      </c>
      <c r="F176" t="s">
        <v>2124</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IF(ISNA(VLOOKUP(D177,ConstDLCIds!$B$4:$C$1001,2,FALSE)),"",VLOOKUP(D177,ConstDLCIds!$B$4:$C$1001,2,FALSE))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IF(ISNA(VLOOKUP(D178,ConstDLCIds!$B$4:$C$1001,2,FALSE)),"",VLOOKUP(D178,ConstDLCIds!$B$4:$C$1001,2,FALSE))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IF(ISNA(VLOOKUP(D179,ConstDLCIds!$B$4:$C$1001,2,FALSE)),"",VLOOKUP(D179,ConstDLCIds!$B$4:$C$1001,2,FALSE))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IF(ISNA(VLOOKUP(D180,ConstDLCIds!$B$4:$C$1001,2,FALSE)),"",VLOOKUP(D180,ConstDLCIds!$B$4:$C$1001,2,FALSE))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IF(ISNA(VLOOKUP(D181,ConstDLCIds!$B$4:$C$1001,2,FALSE)),"",VLOOKUP(D181,ConstDLCIds!$B$4:$C$1001,2,FALSE))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IF(ISNA(VLOOKUP(D182,ConstDLCIds!$B$4:$C$1001,2,FALSE)),"",VLOOKUP(D182,ConstDLCIds!$B$4:$C$1001,2,FALSE))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IF(ISNA(VLOOKUP(D183,ConstDLCIds!$B$4:$C$1001,2,FALSE)),"",VLOOKUP(D183,ConstDLCIds!$B$4:$C$1001,2,FALSE))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IF(ISNA(VLOOKUP(D184,ConstDLCIds!$B$4:$C$1001,2,FALSE)),"",VLOOKUP(D184,ConstDLCIds!$B$4:$C$1001,2,FALSE))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IF(ISNA(VLOOKUP(D185,ConstDLCIds!$B$4:$C$1001,2,FALSE)),"",VLOOKUP(D185,ConstDLCIds!$B$4:$C$1001,2,FALSE))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IF(ISNA(VLOOKUP(D186,ConstDLCIds!$B$4:$C$1001,2,FALSE)),"",VLOOKUP(D186,ConstDLCIds!$B$4:$C$1001,2,FALSE))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IF(ISNA(VLOOKUP(D187,ConstDLCIds!$B$4:$C$1001,2,FALSE)),"",VLOOKUP(D187,ConstDLCIds!$B$4:$C$1001,2,FALSE))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IF(ISNA(VLOOKUP(D188,ConstDLCIds!$B$4:$C$1001,2,FALSE)),"",VLOOKUP(D188,ConstDLCIds!$B$4:$C$1001,2,FALSE))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IF(ISNA(VLOOKUP(D189,ConstDLCIds!$B$4:$C$1001,2,FALSE)),"",VLOOKUP(D189,ConstDLCIds!$B$4:$C$1001,2,FALSE))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IF(ISNA(VLOOKUP(D190,ConstDLCIds!$B$4:$C$1001,2,FALSE)),"",VLOOKUP(D190,ConstDLCIds!$B$4:$C$1001,2,FALSE))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IF(ISNA(VLOOKUP(D191,ConstDLCIds!$B$4:$C$1001,2,FALSE)),"",VLOOKUP(D191,ConstDLCIds!$B$4:$C$1001,2,FALSE))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IF(ISNA(VLOOKUP(D192,ConstDLCIds!$B$4:$C$1001,2,FALSE)),"",VLOOKUP(D192,ConstDLCIds!$B$4:$C$1001,2,FALSE))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IF(ISNA(VLOOKUP(D193,ConstDLCIds!$B$4:$C$1001,2,FALSE)),"",VLOOKUP(D193,ConstDLCIds!$B$4:$C$1001,2,FALSE))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IF(ISNA(VLOOKUP(D194,ConstDLCIds!$B$4:$C$1001,2,FALSE)),"",VLOOKUP(D194,ConstDLCIds!$B$4:$C$1001,2,FALSE))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IF(ISNA(VLOOKUP(D195,ConstDLCIds!$B$4:$C$1001,2,FALSE)),"",VLOOKUP(D195,ConstDLCIds!$B$4:$C$1001,2,FALSE))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IF(ISNA(VLOOKUP(D196,ConstDLCIds!$B$4:$C$1001,2,FALSE)),"",VLOOKUP(D196,ConstDLCIds!$B$4:$C$1001,2,FALSE))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IF(ISNA(VLOOKUP(D197,ConstDLCIds!$B$4:$C$1001,2,FALSE)),"",VLOOKUP(D197,ConstDLCIds!$B$4:$C$1001,2,FALSE))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IF(ISNA(VLOOKUP(D198,ConstDLCIds!$B$4:$C$1001,2,FALSE)),"",VLOOKUP(D198,ConstDLCIds!$B$4:$C$1001,2,FALSE))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IF(ISNA(VLOOKUP(D199,ConstDLCIds!$B$4:$C$1001,2,FALSE)),"",VLOOKUP(D199,ConstDLCIds!$B$4:$C$1001,2,FALSE))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IF(ISNA(VLOOKUP(D200,ConstDLCIds!$B$4:$C$1001,2,FALSE)),"",VLOOKUP(D200,ConstDLCIds!$B$4:$C$1001,2,FALSE))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IF(ISNA(VLOOKUP(D201,ConstDLCIds!$B$4:$C$1001,2,FALSE)),"",VLOOKUP(D201,ConstDLCIds!$B$4:$C$1001,2,FALSE))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IF(ISNA(VLOOKUP(D202,ConstDLCIds!$B$4:$C$1001,2,FALSE)),"",VLOOKUP(D202,ConstDLCIds!$B$4:$C$1001,2,FALSE))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IF(ISNA(VLOOKUP(D203,ConstDLCIds!$B$4:$C$1001,2,FALSE)),"",VLOOKUP(D203,ConstDLCIds!$B$4:$C$1001,2,FALSE))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IF(ISNA(VLOOKUP(D204,ConstDLCIds!$B$4:$C$1001,2,FALSE)),"",VLOOKUP(D204,ConstDLCIds!$B$4:$C$1001,2,FALSE))</f>
        <v>Dark Brotherhood</v>
      </c>
      <c r="F204" t="s">
        <v>2125</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IF(ISNA(VLOOKUP(D205,ConstDLCIds!$B$4:$C$1001,2,FALSE)),"",VLOOKUP(D205,ConstDLCIds!$B$4:$C$1001,2,FALSE))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IF(ISNA(VLOOKUP(D206,ConstDLCIds!$B$4:$C$1001,2,FALSE)),"",VLOOKUP(D206,ConstDLCIds!$B$4:$C$1001,2,FALSE))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IF(ISNA(VLOOKUP(D207,ConstDLCIds!$B$4:$C$1001,2,FALSE)),"",VLOOKUP(D207,ConstDLCIds!$B$4:$C$1001,2,FALSE))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IF(ISNA(VLOOKUP(D208,ConstDLCIds!$B$4:$C$1001,2,FALSE)),"",VLOOKUP(D208,ConstDLCIds!$B$4:$C$1001,2,FALSE))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IF(ISNA(VLOOKUP(D209,ConstDLCIds!$B$4:$C$1001,2,FALSE)),"",VLOOKUP(D209,ConstDLCIds!$B$4:$C$1001,2,FALSE))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IF(ISNA(VLOOKUP(D210,ConstDLCIds!$B$4:$C$1001,2,FALSE)),"",VLOOKUP(D210,ConstDLCIds!$B$4:$C$1001,2,FALSE))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IF(ISNA(VLOOKUP(D211,ConstDLCIds!$B$4:$C$1001,2,FALSE)),"",VLOOKUP(D211,ConstDLCIds!$B$4:$C$1001,2,FALSE))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IF(ISNA(VLOOKUP(D212,ConstDLCIds!$B$4:$C$1001,2,FALSE)),"",VLOOKUP(D212,ConstDLCIds!$B$4:$C$1001,2,FALSE))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IF(ISNA(VLOOKUP(D213,ConstDLCIds!$B$4:$C$1001,2,FALSE)),"",VLOOKUP(D213,ConstDLCIds!$B$4:$C$1001,2,FALSE))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IF(ISNA(VLOOKUP(D214,ConstDLCIds!$B$4:$C$1001,2,FALSE)),"",VLOOKUP(D214,ConstDLCIds!$B$4:$C$1001,2,FALSE))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IF(ISNA(VLOOKUP(D215,ConstDLCIds!$B$4:$C$1001,2,FALSE)),"",VLOOKUP(D215,ConstDLCIds!$B$4:$C$1001,2,FALSE))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IF(ISNA(VLOOKUP(D216,ConstDLCIds!$B$4:$C$1001,2,FALSE)),"",VLOOKUP(D216,ConstDLCIds!$B$4:$C$1001,2,FALSE))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IF(ISNA(VLOOKUP(D217,ConstDLCIds!$B$4:$C$1001,2,FALSE)),"",VLOOKUP(D217,ConstDLCIds!$B$4:$C$1001,2,FALSE))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IF(ISNA(VLOOKUP(D218,ConstDLCIds!$B$4:$C$1001,2,FALSE)),"",VLOOKUP(D218,ConstDLCIds!$B$4:$C$1001,2,FALSE))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IF(ISNA(VLOOKUP(D219,ConstDLCIds!$B$4:$C$1001,2,FALSE)),"",VLOOKUP(D219,ConstDLCIds!$B$4:$C$1001,2,FALSE))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IF(ISNA(VLOOKUP(D220,ConstDLCIds!$B$4:$C$1001,2,FALSE)),"",VLOOKUP(D220,ConstDLCIds!$B$4:$C$1001,2,FALSE))</f>
        <v/>
      </c>
      <c r="F220" t="s">
        <v>2124</v>
      </c>
    </row>
    <row r="221" spans="1:6" x14ac:dyDescent="0.25">
      <c r="A221" s="1">
        <v>265</v>
      </c>
      <c r="B221" s="9" t="str">
        <f>VLOOKUP(A221,'Sets (lua data)'!$A$3:$C$9838,3,FALSE)</f>
        <v>Shadowrend</v>
      </c>
      <c r="C221" s="9" t="str">
        <f>VLOOKUP(A221,'Sets (lua data)'!$A$3:$C$9838,2,FALSE)</f>
        <v>Schattenriss</v>
      </c>
      <c r="D221" t="s">
        <v>7</v>
      </c>
      <c r="E221" s="3" t="str">
        <f>IF(ISNA(VLOOKUP(D221,ConstDLCIds!$B$4:$C$1001,2,FALSE)),"",VLOOKUP(D221,ConstDLCIds!$B$4:$C$1001,2,FALSE))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IF(ISNA(VLOOKUP(D222,ConstDLCIds!$B$4:$C$1001,2,FALSE)),"",VLOOKUP(D222,ConstDLCIds!$B$4:$C$1001,2,FALSE))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IF(ISNA(VLOOKUP(D223,ConstDLCIds!$B$4:$C$1001,2,FALSE)),"",VLOOKUP(D223,ConstDLCIds!$B$4:$C$1001,2,FALSE))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IF(ISNA(VLOOKUP(D224,ConstDLCIds!$B$4:$C$1001,2,FALSE)),"",VLOOKUP(D224,ConstDLCIds!$B$4:$C$1001,2,FALSE))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IF(ISNA(VLOOKUP(D225,ConstDLCIds!$B$4:$C$1001,2,FALSE)),"",VLOOKUP(D225,ConstDLCIds!$B$4:$C$1001,2,FALSE))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IF(ISNA(VLOOKUP(D226,ConstDLCIds!$B$4:$C$1001,2,FALSE)),"",VLOOKUP(D226,ConstDLCIds!$B$4:$C$1001,2,FALSE))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IF(ISNA(VLOOKUP(D227,ConstDLCIds!$B$4:$C$1001,2,FALSE)),"",VLOOKUP(D227,ConstDLCIds!$B$4:$C$1001,2,FALSE))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IF(ISNA(VLOOKUP(D228,ConstDLCIds!$B$4:$C$1001,2,FALSE)),"",VLOOKUP(D228,ConstDLCIds!$B$4:$C$1001,2,FALSE))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IF(ISNA(VLOOKUP(D229,ConstDLCIds!$B$4:$C$1001,2,FALSE)),"",VLOOKUP(D229,ConstDLCIds!$B$4:$C$1001,2,FALSE))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IF(ISNA(VLOOKUP(D230,ConstDLCIds!$B$4:$C$1001,2,FALSE)),"",VLOOKUP(D230,ConstDLCIds!$B$4:$C$1001,2,FALSE))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IF(ISNA(VLOOKUP(D231,ConstDLCIds!$B$4:$C$1001,2,FALSE)),"",VLOOKUP(D231,ConstDLCIds!$B$4:$C$1001,2,FALSE))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IF(ISNA(VLOOKUP(D232,ConstDLCIds!$B$4:$C$1001,2,FALSE)),"",VLOOKUP(D232,ConstDLCIds!$B$4:$C$1001,2,FALSE))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IF(ISNA(VLOOKUP(D233,ConstDLCIds!$B$4:$C$1001,2,FALSE)),"",VLOOKUP(D233,ConstDLCIds!$B$4:$C$1001,2,FALSE))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IF(ISNA(VLOOKUP(D234,ConstDLCIds!$B$4:$C$1001,2,FALSE)),"",VLOOKUP(D234,ConstDLCIds!$B$4:$C$1001,2,FALSE))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IF(ISNA(VLOOKUP(D235,ConstDLCIds!$B$4:$C$1001,2,FALSE)),"",VLOOKUP(D235,ConstDLCIds!$B$4:$C$1001,2,FALSE))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IF(ISNA(VLOOKUP(D236,ConstDLCIds!$B$4:$C$1001,2,FALSE)),"",VLOOKUP(D236,ConstDLCIds!$B$4:$C$1001,2,FALSE))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IF(ISNA(VLOOKUP(D237,ConstDLCIds!$B$4:$C$1001,2,FALSE)),"",VLOOKUP(D237,ConstDLCIds!$B$4:$C$1001,2,FALSE))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IF(ISNA(VLOOKUP(D238,ConstDLCIds!$B$4:$C$1001,2,FALSE)),"",VLOOKUP(D238,ConstDLCIds!$B$4:$C$1001,2,FALSE))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IF(ISNA(VLOOKUP(D239,ConstDLCIds!$B$4:$C$1001,2,FALSE)),"",VLOOKUP(D239,ConstDLCIds!$B$4:$C$1001,2,FALSE))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IF(ISNA(VLOOKUP(D240,ConstDLCIds!$B$4:$C$1001,2,FALSE)),"",VLOOKUP(D240,ConstDLCIds!$B$4:$C$1001,2,FALSE))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IF(ISNA(VLOOKUP(D241,ConstDLCIds!$B$4:$C$1001,2,FALSE)),"",VLOOKUP(D241,ConstDLCIds!$B$4:$C$1001,2,FALSE))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IF(ISNA(VLOOKUP(D242,ConstDLCIds!$B$4:$C$1001,2,FALSE)),"",VLOOKUP(D242,ConstDLCIds!$B$4:$C$1001,2,FALSE))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IF(ISNA(VLOOKUP(D243,ConstDLCIds!$B$4:$C$1001,2,FALSE)),"",VLOOKUP(D243,ConstDLCIds!$B$4:$C$1001,2,FALSE))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IF(ISNA(VLOOKUP(D244,ConstDLCIds!$B$4:$C$1001,2,FALSE)),"",VLOOKUP(D244,ConstDLCIds!$B$4:$C$1001,2,FALSE))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IF(ISNA(VLOOKUP(D245,ConstDLCIds!$B$4:$C$1001,2,FALSE)),"",VLOOKUP(D245,ConstDLCIds!$B$4:$C$1001,2,FALSE))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IF(ISNA(VLOOKUP(D246,ConstDLCIds!$B$4:$C$1001,2,FALSE)),"",VLOOKUP(D246,ConstDLCIds!$B$4:$C$1001,2,FALSE))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IF(ISNA(VLOOKUP(D247,ConstDLCIds!$B$4:$C$1001,2,FALSE)),"",VLOOKUP(D247,ConstDLCIds!$B$4:$C$1001,2,FALSE))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IF(ISNA(VLOOKUP(D248,ConstDLCIds!$B$4:$C$1001,2,FALSE)),"",VLOOKUP(D248,ConstDLCIds!$B$4:$C$1001,2,FALSE))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IF(ISNA(VLOOKUP(D249,ConstDLCIds!$B$4:$C$1001,2,FALSE)),"",VLOOKUP(D249,ConstDLCIds!$B$4:$C$1001,2,FALSE))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IF(ISNA(VLOOKUP(D250,ConstDLCIds!$B$4:$C$1001,2,FALSE)),"",VLOOKUP(D250,ConstDLCIds!$B$4:$C$1001,2,FALSE))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IF(ISNA(VLOOKUP(D251,ConstDLCIds!$B$4:$C$1001,2,FALSE)),"",VLOOKUP(D251,ConstDLCIds!$B$4:$C$1001,2,FALSE))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IF(ISNA(VLOOKUP(D252,ConstDLCIds!$B$4:$C$1001,2,FALSE)),"",VLOOKUP(D252,ConstDLCIds!$B$4:$C$1001,2,FALSE))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IF(ISNA(VLOOKUP(D253,ConstDLCIds!$B$4:$C$1001,2,FALSE)),"",VLOOKUP(D253,ConstDLCIds!$B$4:$C$1001,2,FALSE))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IF(ISNA(VLOOKUP(D254,ConstDLCIds!$B$4:$C$1001,2,FALSE)),"",VLOOKUP(D254,ConstDLCIds!$B$4:$C$1001,2,FALSE))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IF(ISNA(VLOOKUP(D255,ConstDLCIds!$B$4:$C$1001,2,FALSE)),"",VLOOKUP(D255,ConstDLCIds!$B$4:$C$1001,2,FALSE))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IF(ISNA(VLOOKUP(D256,ConstDLCIds!$B$4:$C$1001,2,FALSE)),"",VLOOKUP(D256,ConstDLCIds!$B$4:$C$1001,2,FALSE))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IF(ISNA(VLOOKUP(D257,ConstDLCIds!$B$4:$C$1001,2,FALSE)),"",VLOOKUP(D257,ConstDLCIds!$B$4:$C$1001,2,FALSE))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IF(ISNA(VLOOKUP(D258,ConstDLCIds!$B$4:$C$1001,2,FALSE)),"",VLOOKUP(D258,ConstDLCIds!$B$4:$C$1001,2,FALSE))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IF(ISNA(VLOOKUP(D259,ConstDLCIds!$B$4:$C$1001,2,FALSE)),"",VLOOKUP(D259,ConstDLCIds!$B$4:$C$1001,2,FALSE))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IF(ISNA(VLOOKUP(D260,ConstDLCIds!$B$4:$C$1001,2,FALSE)),"",VLOOKUP(D260,ConstDLCIds!$B$4:$C$1001,2,FALSE))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IF(ISNA(VLOOKUP(D261,ConstDLCIds!$B$4:$C$1001,2,FALSE)),"",VLOOKUP(D261,ConstDLCIds!$B$4:$C$1001,2,FALSE))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IF(ISNA(VLOOKUP(D262,ConstDLCIds!$B$4:$C$1001,2,FALSE)),"",VLOOKUP(D262,ConstDLCIds!$B$4:$C$1001,2,FALSE))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IF(ISNA(VLOOKUP(D263,ConstDLCIds!$B$4:$C$1001,2,FALSE)),"",VLOOKUP(D263,ConstDLCIds!$B$4:$C$1001,2,FALSE))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IF(ISNA(VLOOKUP(D264,ConstDLCIds!$B$4:$C$1001,2,FALSE)),"",VLOOKUP(D264,ConstDLCIds!$B$4:$C$1001,2,FALSE))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IF(ISNA(VLOOKUP(D265,ConstDLCIds!$B$4:$C$1001,2,FALSE)),"",VLOOKUP(D265,ConstDLCIds!$B$4:$C$1001,2,FALSE))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IF(ISNA(VLOOKUP(D266,ConstDLCIds!$B$4:$C$1001,2,FALSE)),"",VLOOKUP(D266,ConstDLCIds!$B$4:$C$1001,2,FALSE))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IF(ISNA(VLOOKUP(D267,ConstDLCIds!$B$4:$C$1001,2,FALSE)),"",VLOOKUP(D267,ConstDLCIds!$B$4:$C$1001,2,FALSE))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IF(ISNA(VLOOKUP(D268,ConstDLCIds!$B$4:$C$1001,2,FALSE)),"",VLOOKUP(D268,ConstDLCIds!$B$4:$C$1001,2,FALSE))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IF(ISNA(VLOOKUP(D269,ConstDLCIds!$B$4:$C$1001,2,FALSE)),"",VLOOKUP(D269,ConstDLCIds!$B$4:$C$1001,2,FALSE))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IF(ISNA(VLOOKUP(D270,ConstDLCIds!$B$4:$C$1001,2,FALSE)),"",VLOOKUP(D270,ConstDLCIds!$B$4:$C$1001,2,FALSE))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IF(ISNA(VLOOKUP(D271,ConstDLCIds!$B$4:$C$1001,2,FALSE)),"",VLOOKUP(D271,ConstDLCIds!$B$4:$C$1001,2,FALSE))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IF(ISNA(VLOOKUP(D272,ConstDLCIds!$B$4:$C$1001,2,FALSE)),"",VLOOKUP(D272,ConstDLCIds!$B$4:$C$1001,2,FALSE))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IF(ISNA(VLOOKUP(D273,ConstDLCIds!$B$4:$C$1001,2,FALSE)),"",VLOOKUP(D273,ConstDLCIds!$B$4:$C$1001,2,FALSE))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IF(ISNA(VLOOKUP(D274,ConstDLCIds!$B$4:$C$1001,2,FALSE)),"",VLOOKUP(D274,ConstDLCIds!$B$4:$C$1001,2,FALSE))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IF(ISNA(VLOOKUP(D275,ConstDLCIds!$B$4:$C$1001,2,FALSE)),"",VLOOKUP(D275,ConstDLCIds!$B$4:$C$1001,2,FALSE))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IF(ISNA(VLOOKUP(D276,ConstDLCIds!$B$4:$C$1001,2,FALSE)),"",VLOOKUP(D276,ConstDLCIds!$B$4:$C$1001,2,FALSE))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IF(ISNA(VLOOKUP(D277,ConstDLCIds!$B$4:$C$1001,2,FALSE)),"",VLOOKUP(D277,ConstDLCIds!$B$4:$C$1001,2,FALSE))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IF(ISNA(VLOOKUP(D278,ConstDLCIds!$B$4:$C$1001,2,FALSE)),"",VLOOKUP(D278,ConstDLCIds!$B$4:$C$1001,2,FALSE))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IF(ISNA(VLOOKUP(D279,ConstDLCIds!$B$4:$C$1001,2,FALSE)),"",VLOOKUP(D279,ConstDLCIds!$B$4:$C$1001,2,FALSE))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IF(ISNA(VLOOKUP(D280,ConstDLCIds!$B$4:$C$1001,2,FALSE)),"",VLOOKUP(D280,ConstDLCIds!$B$4:$C$1001,2,FALSE))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IF(ISNA(VLOOKUP(D281,ConstDLCIds!$B$4:$C$1001,2,FALSE)),"",VLOOKUP(D281,ConstDLCIds!$B$4:$C$1001,2,FALSE))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IF(ISNA(VLOOKUP(D282,ConstDLCIds!$B$4:$C$1001,2,FALSE)),"",VLOOKUP(D282,ConstDLCIds!$B$4:$C$1001,2,FALSE))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IF(ISNA(VLOOKUP(D283,ConstDLCIds!$B$4:$C$1001,2,FALSE)),"",VLOOKUP(D283,ConstDLCIds!$B$4:$C$1001,2,FALSE))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IF(ISNA(VLOOKUP(D284,ConstDLCIds!$B$4:$C$1001,2,FALSE)),"",VLOOKUP(D284,ConstDLCIds!$B$4:$C$1001,2,FALSE))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IF(ISNA(VLOOKUP(D285,ConstDLCIds!$B$4:$C$1001,2,FALSE)),"",VLOOKUP(D285,ConstDLCIds!$B$4:$C$1001,2,FALSE))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IF(ISNA(VLOOKUP(D286,ConstDLCIds!$B$4:$C$1001,2,FALSE)),"",VLOOKUP(D286,ConstDLCIds!$B$4:$C$1001,2,FALSE))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IF(ISNA(VLOOKUP(D287,ConstDLCIds!$B$4:$C$1001,2,FALSE)),"",VLOOKUP(D287,ConstDLCIds!$B$4:$C$1001,2,FALSE))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IF(ISNA(VLOOKUP(D288,ConstDLCIds!$B$4:$C$1001,2,FALSE)),"",VLOOKUP(D288,ConstDLCIds!$B$4:$C$1001,2,FALSE))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IF(ISNA(VLOOKUP(D289,ConstDLCIds!$B$4:$C$1001,2,FALSE)),"",VLOOKUP(D289,ConstDLCIds!$B$4:$C$1001,2,FALSE))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IF(ISNA(VLOOKUP(D290,ConstDLCIds!$B$4:$C$1001,2,FALSE)),"",VLOOKUP(D290,ConstDLCIds!$B$4:$C$1001,2,FALSE))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IF(ISNA(VLOOKUP(D291,ConstDLCIds!$B$4:$C$1001,2,FALSE)),"",VLOOKUP(D291,ConstDLCIds!$B$4:$C$1001,2,FALSE))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IF(ISNA(VLOOKUP(D292,ConstDLCIds!$B$4:$C$1001,2,FALSE)),"",VLOOKUP(D292,ConstDLCIds!$B$4:$C$1001,2,FALSE))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IF(ISNA(VLOOKUP(D293,ConstDLCIds!$B$4:$C$1001,2,FALSE)),"",VLOOKUP(D293,ConstDLCIds!$B$4:$C$1001,2,FALSE))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IF(ISNA(VLOOKUP(D294,ConstDLCIds!$B$4:$C$1001,2,FALSE)),"",VLOOKUP(D294,ConstDLCIds!$B$4:$C$1001,2,FALSE))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IF(ISNA(VLOOKUP(D295,ConstDLCIds!$B$4:$C$1001,2,FALSE)),"",VLOOKUP(D295,ConstDLCIds!$B$4:$C$1001,2,FALSE))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IF(ISNA(VLOOKUP(D296,ConstDLCIds!$B$4:$C$1001,2,FALSE)),"",VLOOKUP(D296,ConstDLCIds!$B$4:$C$1001,2,FALSE))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IF(ISNA(VLOOKUP(D297,ConstDLCIds!$B$4:$C$1001,2,FALSE)),"",VLOOKUP(D297,ConstDLCIds!$B$4:$C$1001,2,FALSE))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IF(ISNA(VLOOKUP(D298,ConstDLCIds!$B$4:$C$1001,2,FALSE)),"",VLOOKUP(D298,ConstDLCIds!$B$4:$C$1001,2,FALSE))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IF(ISNA(VLOOKUP(D299,ConstDLCIds!$B$4:$C$1001,2,FALSE)),"",VLOOKUP(D299,ConstDLCIds!$B$4:$C$1001,2,FALSE))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IF(ISNA(VLOOKUP(D300,ConstDLCIds!$B$4:$C$1001,2,FALSE)),"",VLOOKUP(D300,ConstDLCIds!$B$4:$C$1001,2,FALSE))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IF(ISNA(VLOOKUP(D301,ConstDLCIds!$B$4:$C$1001,2,FALSE)),"",VLOOKUP(D301,ConstDLCIds!$B$4:$C$1001,2,FALSE))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IF(ISNA(VLOOKUP(D302,ConstDLCIds!$B$4:$C$1001,2,FALSE)),"",VLOOKUP(D302,ConstDLCIds!$B$4:$C$1001,2,FALSE))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IF(ISNA(VLOOKUP(D303,ConstDLCIds!$B$4:$C$1001,2,FALSE)),"",VLOOKUP(D303,ConstDLCIds!$B$4:$C$1001,2,FALSE))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IF(ISNA(VLOOKUP(D304,ConstDLCIds!$B$4:$C$1001,2,FALSE)),"",VLOOKUP(D304,ConstDLCIds!$B$4:$C$1001,2,FALSE))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IF(ISNA(VLOOKUP(D305,ConstDLCIds!$B$4:$C$1001,2,FALSE)),"",VLOOKUP(D305,ConstDLCIds!$B$4:$C$1001,2,FALSE))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IF(ISNA(VLOOKUP(D306,ConstDLCIds!$B$4:$C$1001,2,FALSE)),"",VLOOKUP(D306,ConstDLCIds!$B$4:$C$1001,2,FALSE))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IF(ISNA(VLOOKUP(D307,ConstDLCIds!$B$4:$C$1001,2,FALSE)),"",VLOOKUP(D307,ConstDLCIds!$B$4:$C$1001,2,FALSE))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IF(ISNA(VLOOKUP(D308,ConstDLCIds!$B$4:$C$1001,2,FALSE)),"",VLOOKUP(D308,ConstDLCIds!$B$4:$C$1001,2,FALSE))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IF(ISNA(VLOOKUP(D309,ConstDLCIds!$B$4:$C$1001,2,FALSE)),"",VLOOKUP(D309,ConstDLCIds!$B$4:$C$1001,2,FALSE))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IF(ISNA(VLOOKUP(D310,ConstDLCIds!$B$4:$C$1001,2,FALSE)),"",VLOOKUP(D310,ConstDLCIds!$B$4:$C$1001,2,FALSE))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IF(ISNA(VLOOKUP(D311,ConstDLCIds!$B$4:$C$1001,2,FALSE)),"",VLOOKUP(D311,ConstDLCIds!$B$4:$C$1001,2,FALSE))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IF(ISNA(VLOOKUP(D312,ConstDLCIds!$B$4:$C$1001,2,FALSE)),"",VLOOKUP(D312,ConstDLCIds!$B$4:$C$1001,2,FALSE))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IF(ISNA(VLOOKUP(D313,ConstDLCIds!$B$4:$C$1001,2,FALSE)),"",VLOOKUP(D313,ConstDLCIds!$B$4:$C$1001,2,FALSE))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IF(ISNA(VLOOKUP(D314,ConstDLCIds!$B$4:$C$1001,2,FALSE)),"",VLOOKUP(D314,ConstDLCIds!$B$4:$C$1001,2,FALSE))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IF(ISNA(VLOOKUP(D315,ConstDLCIds!$B$4:$C$1001,2,FALSE)),"",VLOOKUP(D315,ConstDLCIds!$B$4:$C$1001,2,FALSE))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IF(ISNA(VLOOKUP(D316,ConstDLCIds!$B$4:$C$1001,2,FALSE)),"",VLOOKUP(D316,ConstDLCIds!$B$4:$C$1001,2,FALSE))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IF(ISNA(VLOOKUP(D317,ConstDLCIds!$B$4:$C$1001,2,FALSE)),"",VLOOKUP(D317,ConstDLCIds!$B$4:$C$1001,2,FALSE))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IF(ISNA(VLOOKUP(D318,ConstDLCIds!$B$4:$C$1001,2,FALSE)),"",VLOOKUP(D318,ConstDLCIds!$B$4:$C$1001,2,FALSE))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IF(ISNA(VLOOKUP(D319,ConstDLCIds!$B$4:$C$1001,2,FALSE)),"",VLOOKUP(D319,ConstDLCIds!$B$4:$C$1001,2,FALSE))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IF(ISNA(VLOOKUP(D320,ConstDLCIds!$B$4:$C$1001,2,FALSE)),"",VLOOKUP(D320,ConstDLCIds!$B$4:$C$1001,2,FALSE))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IF(ISNA(VLOOKUP(D321,ConstDLCIds!$B$4:$C$1001,2,FALSE)),"",VLOOKUP(D321,ConstDLCIds!$B$4:$C$1001,2,FALSE))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IF(ISNA(VLOOKUP(D322,ConstDLCIds!$B$4:$C$1001,2,FALSE)),"",VLOOKUP(D322,ConstDLCIds!$B$4:$C$1001,2,FALSE))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IF(ISNA(VLOOKUP(D323,ConstDLCIds!$B$4:$C$1001,2,FALSE)),"",VLOOKUP(D323,ConstDLCIds!$B$4:$C$1001,2,FALSE))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IF(ISNA(VLOOKUP(D324,ConstDLCIds!$B$4:$C$1001,2,FALSE)),"",VLOOKUP(D324,ConstDLCIds!$B$4:$C$1001,2,FALSE))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IF(ISNA(VLOOKUP(D325,ConstDLCIds!$B$4:$C$1001,2,FALSE)),"",VLOOKUP(D325,ConstDLCIds!$B$4:$C$1001,2,FALSE))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IF(ISNA(VLOOKUP(D326,ConstDLCIds!$B$4:$C$1001,2,FALSE)),"",VLOOKUP(D326,ConstDLCIds!$B$4:$C$1001,2,FALSE))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IF(ISNA(VLOOKUP(D327,ConstDLCIds!$B$4:$C$1001,2,FALSE)),"",VLOOKUP(D327,ConstDLCIds!$B$4:$C$1001,2,FALSE))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IF(ISNA(VLOOKUP(D328,ConstDLCIds!$B$4:$C$1001,2,FALSE)),"",VLOOKUP(D328,ConstDLCIds!$B$4:$C$1001,2,FALSE))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IF(ISNA(VLOOKUP(D329,ConstDLCIds!$B$4:$C$1001,2,FALSE)),"",VLOOKUP(D329,ConstDLCIds!$B$4:$C$1001,2,FALSE))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IF(ISNA(VLOOKUP(D330,ConstDLCIds!$B$4:$C$1001,2,FALSE)),"",VLOOKUP(D330,ConstDLCIds!$B$4:$C$1001,2,FALSE))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IF(ISNA(VLOOKUP(D331,ConstDLCIds!$B$4:$C$1001,2,FALSE)),"",VLOOKUP(D331,ConstDLCIds!$B$4:$C$1001,2,FALSE))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IF(ISNA(VLOOKUP(D332,ConstDLCIds!$B$4:$C$1001,2,FALSE)),"",VLOOKUP(D332,ConstDLCIds!$B$4:$C$1001,2,FALSE))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IF(ISNA(VLOOKUP(D333,ConstDLCIds!$B$4:$C$1001,2,FALSE)),"",VLOOKUP(D333,ConstDLCIds!$B$4:$C$1001,2,FALSE))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IF(ISNA(VLOOKUP(D334,ConstDLCIds!$B$4:$C$1001,2,FALSE)),"",VLOOKUP(D334,ConstDLCIds!$B$4:$C$1001,2,FALSE))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IF(ISNA(VLOOKUP(D335,ConstDLCIds!$B$4:$C$1001,2,FALSE)),"",VLOOKUP(D335,ConstDLCIds!$B$4:$C$1001,2,FALSE))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IF(ISNA(VLOOKUP(D336,ConstDLCIds!$B$4:$C$1001,2,FALSE)),"",VLOOKUP(D336,ConstDLCIds!$B$4:$C$1001,2,FALSE))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IF(ISNA(VLOOKUP(D337,ConstDLCIds!$B$4:$C$1001,2,FALSE)),"",VLOOKUP(D337,ConstDLCIds!$B$4:$C$1001,2,FALSE))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IF(ISNA(VLOOKUP(D338,ConstDLCIds!$B$4:$C$1001,2,FALSE)),"",VLOOKUP(D338,ConstDLCIds!$B$4:$C$1001,2,FALSE))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IF(ISNA(VLOOKUP(D339,ConstDLCIds!$B$4:$C$1001,2,FALSE)),"",VLOOKUP(D339,ConstDLCIds!$B$4:$C$1001,2,FALSE))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IF(ISNA(VLOOKUP(D340,ConstDLCIds!$B$4:$C$1001,2,FALSE)),"",VLOOKUP(D340,ConstDLCIds!$B$4:$C$1001,2,FALSE))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IF(ISNA(VLOOKUP(D341,ConstDLCIds!$B$4:$C$1001,2,FALSE)),"",VLOOKUP(D341,ConstDLCIds!$B$4:$C$1001,2,FALSE))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IF(ISNA(VLOOKUP(D342,ConstDLCIds!$B$4:$C$1001,2,FALSE)),"",VLOOKUP(D342,ConstDLCIds!$B$4:$C$1001,2,FALSE))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IF(ISNA(VLOOKUP(D343,ConstDLCIds!$B$4:$C$1001,2,FALSE)),"",VLOOKUP(D343,ConstDLCIds!$B$4:$C$1001,2,FALSE))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IF(ISNA(VLOOKUP(D344,ConstDLCIds!$B$4:$C$1001,2,FALSE)),"",VLOOKUP(D344,ConstDLCIds!$B$4:$C$1001,2,FALSE))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IF(ISNA(VLOOKUP(D345,ConstDLCIds!$B$4:$C$1001,2,FALSE)),"",VLOOKUP(D345,ConstDLCIds!$B$4:$C$1001,2,FALSE))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IF(ISNA(VLOOKUP(D346,ConstDLCIds!$B$4:$C$1001,2,FALSE)),"",VLOOKUP(D346,ConstDLCIds!$B$4:$C$1001,2,FALSE))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IF(ISNA(VLOOKUP(D347,ConstDLCIds!$B$4:$C$1001,2,FALSE)),"",VLOOKUP(D347,ConstDLCIds!$B$4:$C$1001,2,FALSE))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IF(ISNA(VLOOKUP(D348,ConstDLCIds!$B$4:$C$1001,2,FALSE)),"",VLOOKUP(D348,ConstDLCIds!$B$4:$C$1001,2,FALSE))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IF(ISNA(VLOOKUP(D349,ConstDLCIds!$B$4:$C$1001,2,FALSE)),"",VLOOKUP(D349,ConstDLCIds!$B$4:$C$1001,2,FALSE))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IF(ISNA(VLOOKUP(D350,ConstDLCIds!$B$4:$C$1001,2,FALSE)),"",VLOOKUP(D350,ConstDLCIds!$B$4:$C$1001,2,FALSE))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IF(ISNA(VLOOKUP(D351,ConstDLCIds!$B$4:$C$1001,2,FALSE)),"",VLOOKUP(D351,ConstDLCIds!$B$4:$C$1001,2,FALSE))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IF(ISNA(VLOOKUP(D352,ConstDLCIds!$B$4:$C$1001,2,FALSE)),"",VLOOKUP(D352,ConstDLCIds!$B$4:$C$1001,2,FALSE))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IF(ISNA(VLOOKUP(D353,ConstDLCIds!$B$4:$C$1001,2,FALSE)),"",VLOOKUP(D353,ConstDLCIds!$B$4:$C$1001,2,FALSE))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IF(ISNA(VLOOKUP(D354,ConstDLCIds!$B$4:$C$1001,2,FALSE)),"",VLOOKUP(D354,ConstDLCIds!$B$4:$C$1001,2,FALSE))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IF(ISNA(VLOOKUP(D355,ConstDLCIds!$B$4:$C$1001,2,FALSE)),"",VLOOKUP(D355,ConstDLCIds!$B$4:$C$1001,2,FALSE))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IF(ISNA(VLOOKUP(D356,ConstDLCIds!$B$4:$C$1001,2,FALSE)),"",VLOOKUP(D356,ConstDLCIds!$B$4:$C$1001,2,FALSE))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IF(ISNA(VLOOKUP(D357,ConstDLCIds!$B$4:$C$1001,2,FALSE)),"",VLOOKUP(D357,ConstDLCIds!$B$4:$C$1001,2,FALSE))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IF(ISNA(VLOOKUP(D358,ConstDLCIds!$B$4:$C$1001,2,FALSE)),"",VLOOKUP(D358,ConstDLCIds!$B$4:$C$1001,2,FALSE))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IF(ISNA(VLOOKUP(D359,ConstDLCIds!$B$4:$C$1001,2,FALSE)),"",VLOOKUP(D359,ConstDLCIds!$B$4:$C$1001,2,FALSE))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IF(ISNA(VLOOKUP(D360,ConstDLCIds!$B$4:$C$1001,2,FALSE)),"",VLOOKUP(D360,ConstDLCIds!$B$4:$C$1001,2,FALSE))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IF(ISNA(VLOOKUP(D361,ConstDLCIds!$B$4:$C$1001,2,FALSE)),"",VLOOKUP(D361,ConstDLCIds!$B$4:$C$1001,2,FALSE))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IF(ISNA(VLOOKUP(D362,ConstDLCIds!$B$4:$C$1001,2,FALSE)),"",VLOOKUP(D362,ConstDLCIds!$B$4:$C$1001,2,FALSE))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IF(ISNA(VLOOKUP(D363,ConstDLCIds!$B$4:$C$1001,2,FALSE)),"",VLOOKUP(D363,ConstDLCIds!$B$4:$C$1001,2,FALSE))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IF(ISNA(VLOOKUP(D364,ConstDLCIds!$B$4:$C$1001,2,FALSE)),"",VLOOKUP(D364,ConstDLCIds!$B$4:$C$1001,2,FALSE))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IF(ISNA(VLOOKUP(D365,ConstDLCIds!$B$4:$C$1001,2,FALSE)),"",VLOOKUP(D365,ConstDLCIds!$B$4:$C$1001,2,FALSE))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IF(ISNA(VLOOKUP(D366,ConstDLCIds!$B$4:$C$1001,2,FALSE)),"",VLOOKUP(D366,ConstDLCIds!$B$4:$C$1001,2,FALSE))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IF(ISNA(VLOOKUP(D367,ConstDLCIds!$B$4:$C$1001,2,FALSE)),"",VLOOKUP(D367,ConstDLCIds!$B$4:$C$1001,2,FALSE))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IF(ISNA(VLOOKUP(D368,ConstDLCIds!$B$4:$C$1001,2,FALSE)),"",VLOOKUP(D368,ConstDLCIds!$B$4:$C$1001,2,FALSE))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IF(ISNA(VLOOKUP(D369,ConstDLCIds!$B$4:$C$1001,2,FALSE)),"",VLOOKUP(D369,ConstDLCIds!$B$4:$C$1001,2,FALSE))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IF(ISNA(VLOOKUP(D370,ConstDLCIds!$B$4:$C$1001,2,FALSE)),"",VLOOKUP(D370,ConstDLCIds!$B$4:$C$1001,2,FALSE))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IF(ISNA(VLOOKUP(D371,ConstDLCIds!$B$4:$C$1001,2,FALSE)),"",VLOOKUP(D371,ConstDLCIds!$B$4:$C$1001,2,FALSE))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IF(ISNA(VLOOKUP(D372,ConstDLCIds!$B$4:$C$1001,2,FALSE)),"",VLOOKUP(D372,ConstDLCIds!$B$4:$C$1001,2,FALSE))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IF(ISNA(VLOOKUP(D373,ConstDLCIds!$B$4:$C$1001,2,FALSE)),"",VLOOKUP(D373,ConstDLCIds!$B$4:$C$1001,2,FALSE))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IF(ISNA(VLOOKUP(D374,ConstDLCIds!$B$4:$C$1001,2,FALSE)),"",VLOOKUP(D374,ConstDLCIds!$B$4:$C$1001,2,FALSE))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IF(ISNA(VLOOKUP(D375,ConstDLCIds!$B$4:$C$1001,2,FALSE)),"",VLOOKUP(D375,ConstDLCIds!$B$4:$C$1001,2,FALSE))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IF(ISNA(VLOOKUP(D376,ConstDLCIds!$B$4:$C$1001,2,FALSE)),"",VLOOKUP(D376,ConstDLCIds!$B$4:$C$1001,2,FALSE))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IF(ISNA(VLOOKUP(D377,ConstDLCIds!$B$4:$C$1001,2,FALSE)),"",VLOOKUP(D377,ConstDLCIds!$B$4:$C$1001,2,FALSE))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IF(ISNA(VLOOKUP(D378,ConstDLCIds!$B$4:$C$1001,2,FALSE)),"",VLOOKUP(D378,ConstDLCIds!$B$4:$C$1001,2,FALSE))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IF(ISNA(VLOOKUP(D379,ConstDLCIds!$B$4:$C$1001,2,FALSE)),"",VLOOKUP(D379,ConstDLCIds!$B$4:$C$1001,2,FALSE))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IF(ISNA(VLOOKUP(D380,ConstDLCIds!$B$4:$C$1001,2,FALSE)),"",VLOOKUP(D380,ConstDLCIds!$B$4:$C$1001,2,FALSE))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IF(ISNA(VLOOKUP(D381,ConstDLCIds!$B$4:$C$1001,2,FALSE)),"",VLOOKUP(D381,ConstDLCIds!$B$4:$C$1001,2,FALSE))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IF(ISNA(VLOOKUP(D382,ConstDLCIds!$B$4:$C$1001,2,FALSE)),"",VLOOKUP(D382,ConstDLCIds!$B$4:$C$1001,2,FALSE))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IF(ISNA(VLOOKUP(D383,ConstDLCIds!$B$4:$C$1001,2,FALSE)),"",VLOOKUP(D383,ConstDLCIds!$B$4:$C$1001,2,FALSE))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IF(ISNA(VLOOKUP(D384,ConstDLCIds!$B$4:$C$1001,2,FALSE)),"",VLOOKUP(D384,ConstDLCIds!$B$4:$C$1001,2,FALSE))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IF(ISNA(VLOOKUP(D385,ConstDLCIds!$B$4:$C$1001,2,FALSE)),"",VLOOKUP(D385,ConstDLCIds!$B$4:$C$1001,2,FALSE))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IF(ISNA(VLOOKUP(D386,ConstDLCIds!$B$4:$C$1001,2,FALSE)),"",VLOOKUP(D386,ConstDLCIds!$B$4:$C$1001,2,FALSE))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IF(ISNA(VLOOKUP(D387,ConstDLCIds!$B$4:$C$1001,2,FALSE)),"",VLOOKUP(D387,ConstDLCIds!$B$4:$C$1001,2,FALSE))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IF(ISNA(VLOOKUP(D388,ConstDLCIds!$B$4:$C$1001,2,FALSE)),"",VLOOKUP(D388,ConstDLCIds!$B$4:$C$1001,2,FALSE))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IF(ISNA(VLOOKUP(D389,ConstDLCIds!$B$4:$C$1001,2,FALSE)),"",VLOOKUP(D389,ConstDLCIds!$B$4:$C$1001,2,FALSE))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IF(ISNA(VLOOKUP(D390,ConstDLCIds!$B$4:$C$1001,2,FALSE)),"",VLOOKUP(D390,ConstDLCIds!$B$4:$C$1001,2,FALSE))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IF(ISNA(VLOOKUP(D391,ConstDLCIds!$B$4:$C$1001,2,FALSE)),"",VLOOKUP(D391,ConstDLCIds!$B$4:$C$1001,2,FALSE))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IF(ISNA(VLOOKUP(D392,ConstDLCIds!$B$4:$C$1001,2,FALSE)),"",VLOOKUP(D392,ConstDLCIds!$B$4:$C$1001,2,FALSE))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IF(ISNA(VLOOKUP(D393,ConstDLCIds!$B$4:$C$1001,2,FALSE)),"",VLOOKUP(D393,ConstDLCIds!$B$4:$C$1001,2,FALSE))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IF(ISNA(VLOOKUP(D394,ConstDLCIds!$B$4:$C$1001,2,FALSE)),"",VLOOKUP(D394,ConstDLCIds!$B$4:$C$1001,2,FALSE))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IF(ISNA(VLOOKUP(D395,ConstDLCIds!$B$4:$C$1001,2,FALSE)),"",VLOOKUP(D395,ConstDLCIds!$B$4:$C$1001,2,FALSE))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IF(ISNA(VLOOKUP(D396,ConstDLCIds!$B$4:$C$1001,2,FALSE)),"",VLOOKUP(D396,ConstDLCIds!$B$4:$C$1001,2,FALSE))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IF(ISNA(VLOOKUP(D397,ConstDLCIds!$B$4:$C$1001,2,FALSE)),"",VLOOKUP(D397,ConstDLCIds!$B$4:$C$1001,2,FALSE))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IF(ISNA(VLOOKUP(D398,ConstDLCIds!$B$4:$C$1001,2,FALSE)),"",VLOOKUP(D398,ConstDLCIds!$B$4:$C$1001,2,FALSE))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IF(ISNA(VLOOKUP(D399,ConstDLCIds!$B$4:$C$1001,2,FALSE)),"",VLOOKUP(D399,ConstDLCIds!$B$4:$C$1001,2,FALSE))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IF(ISNA(VLOOKUP(D400,ConstDLCIds!$B$4:$C$1001,2,FALSE)),"",VLOOKUP(D400,ConstDLCIds!$B$4:$C$1001,2,FALSE))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IF(ISNA(VLOOKUP(D401,ConstDLCIds!$B$4:$C$1001,2,FALSE)),"",VLOOKUP(D401,ConstDLCIds!$B$4:$C$1001,2,FALSE))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IF(ISNA(VLOOKUP(D402,ConstDLCIds!$B$4:$C$1001,2,FALSE)),"",VLOOKUP(D402,ConstDLCIds!$B$4:$C$1001,2,FALSE))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IF(ISNA(VLOOKUP(D403,ConstDLCIds!$B$4:$C$1001,2,FALSE)),"",VLOOKUP(D403,ConstDLCIds!$B$4:$C$1001,2,FALSE))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IF(ISNA(VLOOKUP(D404,ConstDLCIds!$B$4:$C$1001,2,FALSE)),"",VLOOKUP(D404,ConstDLCIds!$B$4:$C$1001,2,FALSE))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IF(ISNA(VLOOKUP(D405,ConstDLCIds!$B$4:$C$1001,2,FALSE)),"",VLOOKUP(D405,ConstDLCIds!$B$4:$C$1001,2,FALSE))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IF(ISNA(VLOOKUP(D406,ConstDLCIds!$B$4:$C$1001,2,FALSE)),"",VLOOKUP(D406,ConstDLCIds!$B$4:$C$1001,2,FALSE))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IF(ISNA(VLOOKUP(D407,ConstDLCIds!$B$4:$C$1001,2,FALSE)),"",VLOOKUP(D407,ConstDLCIds!$B$4:$C$1001,2,FALSE))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IF(ISNA(VLOOKUP(D408,ConstDLCIds!$B$4:$C$1001,2,FALSE)),"",VLOOKUP(D408,ConstDLCIds!$B$4:$C$1001,2,FALSE))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IF(ISNA(VLOOKUP(D409,ConstDLCIds!$B$4:$C$1001,2,FALSE)),"",VLOOKUP(D409,ConstDLCIds!$B$4:$C$1001,2,FALSE))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IF(ISNA(VLOOKUP(D410,ConstDLCIds!$B$4:$C$1001,2,FALSE)),"",VLOOKUP(D410,ConstDLCIds!$B$4:$C$1001,2,FALSE))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IF(ISNA(VLOOKUP(D411,ConstDLCIds!$B$4:$C$1001,2,FALSE)),"",VLOOKUP(D411,ConstDLCIds!$B$4:$C$1001,2,FALSE))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IF(ISNA(VLOOKUP(D412,ConstDLCIds!$B$4:$C$1001,2,FALSE)),"",VLOOKUP(D412,ConstDLCIds!$B$4:$C$1001,2,FALSE))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IF(ISNA(VLOOKUP(D413,ConstDLCIds!$B$4:$C$1001,2,FALSE)),"",VLOOKUP(D413,ConstDLCIds!$B$4:$C$1001,2,FALSE))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IF(ISNA(VLOOKUP(D414,ConstDLCIds!$B$4:$C$1001,2,FALSE)),"",VLOOKUP(D414,ConstDLCIds!$B$4:$C$1001,2,FALSE))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IF(ISNA(VLOOKUP(D415,ConstDLCIds!$B$4:$C$1001,2,FALSE)),"",VLOOKUP(D415,ConstDLCIds!$B$4:$C$1001,2,FALSE))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IF(ISNA(VLOOKUP(D416,ConstDLCIds!$B$4:$C$1001,2,FALSE)),"",VLOOKUP(D416,ConstDLCIds!$B$4:$C$1001,2,FALSE))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IF(ISNA(VLOOKUP(D417,ConstDLCIds!$B$4:$C$1001,2,FALSE)),"",VLOOKUP(D417,ConstDLCIds!$B$4:$C$1001,2,FALSE))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IF(ISNA(VLOOKUP(D418,ConstDLCIds!$B$4:$C$1001,2,FALSE)),"",VLOOKUP(D418,ConstDLCIds!$B$4:$C$1001,2,FALSE))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IF(ISNA(VLOOKUP(D419,ConstDLCIds!$B$4:$C$1001,2,FALSE)),"",VLOOKUP(D419,ConstDLCIds!$B$4:$C$1001,2,FALSE))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IF(ISNA(VLOOKUP(D420,ConstDLCIds!$B$4:$C$1001,2,FALSE)),"",VLOOKUP(D420,ConstDLCIds!$B$4:$C$1001,2,FALSE))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IF(ISNA(VLOOKUP(D421,ConstDLCIds!$B$4:$C$1001,2,FALSE)),"",VLOOKUP(D421,ConstDLCIds!$B$4:$C$1001,2,FALSE))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IF(ISNA(VLOOKUP(D422,ConstDLCIds!$B$4:$C$1001,2,FALSE)),"",VLOOKUP(D422,ConstDLCIds!$B$4:$C$1001,2,FALSE))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IF(ISNA(VLOOKUP(D423,ConstDLCIds!$B$4:$C$1001,2,FALSE)),"",VLOOKUP(D423,ConstDLCIds!$B$4:$C$1001,2,FALSE))</f>
        <v/>
      </c>
      <c r="F423" t="s">
        <v>2126</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IF(ISNA(VLOOKUP(D424,ConstDLCIds!$B$4:$C$1001,2,FALSE)),"",VLOOKUP(D424,ConstDLCIds!$B$4:$C$1001,2,FALSE))</f>
        <v/>
      </c>
      <c r="F424" t="s">
        <v>2126</v>
      </c>
    </row>
    <row r="425" spans="1:6" x14ac:dyDescent="0.25">
      <c r="A425" s="82">
        <v>485</v>
      </c>
      <c r="B425" s="37" t="str">
        <f>VLOOKUP(A425,'Sets (lua data)'!$A$3:$C$9838,3,FALSE)</f>
        <v>Template_Drop_Tank</v>
      </c>
      <c r="C425" s="37" t="str">
        <f>VLOOKUP(A425,'Sets (lua data)'!$A$3:$C$9838,2,FALSE)</f>
        <v>Template_Drop_Tank</v>
      </c>
      <c r="E425" s="3" t="str">
        <f>IF(ISNA(VLOOKUP(D425,ConstDLCIds!$B$4:$C$1001,2,FALSE)),"",VLOOKUP(D425,ConstDLCIds!$B$4:$C$1001,2,FALSE))</f>
        <v/>
      </c>
      <c r="F425" t="s">
        <v>2126</v>
      </c>
    </row>
    <row r="426" spans="1:6" x14ac:dyDescent="0.25">
      <c r="A426" s="82">
        <v>486</v>
      </c>
      <c r="B426" s="37" t="str">
        <f>VLOOKUP(A426,'Sets (lua data)'!$A$3:$C$9838,3,FALSE)</f>
        <v>Template_Drop_Healer</v>
      </c>
      <c r="C426" s="37" t="str">
        <f>VLOOKUP(A426,'Sets (lua data)'!$A$3:$C$9838,2,FALSE)</f>
        <v>Template_Drop_Healer</v>
      </c>
      <c r="E426" s="3" t="str">
        <f>IF(ISNA(VLOOKUP(D426,ConstDLCIds!$B$4:$C$1001,2,FALSE)),"",VLOOKUP(D426,ConstDLCIds!$B$4:$C$1001,2,FALSE))</f>
        <v/>
      </c>
      <c r="F426" t="s">
        <v>2126</v>
      </c>
    </row>
    <row r="427" spans="1:6" x14ac:dyDescent="0.25">
      <c r="A427" s="1">
        <v>487</v>
      </c>
      <c r="B427" s="9" t="str">
        <f>VLOOKUP(A427,'Sets (lua data)'!$A$3:$C$9838,3,FALSE)</f>
        <v>Winter\'s Respite</v>
      </c>
      <c r="C427" s="9" t="str">
        <f>VLOOKUP(A427,'Sets (lua data)'!$A$3:$C$9838,2,FALSE)</f>
        <v>Winterruhe</v>
      </c>
      <c r="D427" t="s">
        <v>61</v>
      </c>
      <c r="E427" s="3" t="str">
        <f>IF(ISNA(VLOOKUP(D427,ConstDLCIds!$B$4:$C$1001,2,FALSE)),"",VLOOKUP(D427,ConstDLCIds!$B$4:$C$1001,2,FALSE))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IF(ISNA(VLOOKUP(D428,ConstDLCIds!$B$4:$C$1001,2,FALSE)),"",VLOOKUP(D428,ConstDLCIds!$B$4:$C$1001,2,FALSE))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IF(ISNA(VLOOKUP(D429,ConstDLCIds!$B$4:$C$1001,2,FALSE)),"",VLOOKUP(D429,ConstDLCIds!$B$4:$C$1001,2,FALSE))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IF(ISNA(VLOOKUP(D430,ConstDLCIds!$B$4:$C$1001,2,FALSE)),"",VLOOKUP(D430,ConstDLCIds!$B$4:$C$1001,2,FALSE))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IF(ISNA(VLOOKUP(D431,ConstDLCIds!$B$4:$C$1001,2,FALSE)),"",VLOOKUP(D431,ConstDLCIds!$B$4:$C$1001,2,FALSE))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IF(ISNA(VLOOKUP(D432,ConstDLCIds!$B$4:$C$1001,2,FALSE)),"",VLOOKUP(D432,ConstDLCIds!$B$4:$C$1001,2,FALSE))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IF(ISNA(VLOOKUP(D433,ConstDLCIds!$B$4:$C$1001,2,FALSE)),"",VLOOKUP(D433,ConstDLCIds!$B$4:$C$1001,2,FALSE))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IF(ISNA(VLOOKUP(D434,ConstDLCIds!$B$4:$C$1001,2,FALSE)),"",VLOOKUP(D434,ConstDLCIds!$B$4:$C$1001,2,FALSE))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IF(ISNA(VLOOKUP(D435,ConstDLCIds!$B$4:$C$1001,2,FALSE)),"",VLOOKUP(D435,ConstDLCIds!$B$4:$C$1001,2,FALSE))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IF(ISNA(VLOOKUP(D436,ConstDLCIds!$B$4:$C$1001,2,FALSE)),"",VLOOKUP(D436,ConstDLCIds!$B$4:$C$1001,2,FALSE))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IF(ISNA(VLOOKUP(D437,ConstDLCIds!$B$4:$C$1001,2,FALSE)),"",VLOOKUP(D437,ConstDLCIds!$B$4:$C$1001,2,FALSE))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IF(ISNA(VLOOKUP(D438,ConstDLCIds!$B$4:$C$1001,2,FALSE)),"",VLOOKUP(D438,ConstDLCIds!$B$4:$C$1001,2,FALSE))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IF(ISNA(VLOOKUP(D439,ConstDLCIds!$B$4:$C$1001,2,FALSE)),"",VLOOKUP(D439,ConstDLCIds!$B$4:$C$1001,2,FALSE))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IF(ISNA(VLOOKUP(D440,ConstDLCIds!$B$4:$C$1001,2,FALSE)),"",VLOOKUP(D440,ConstDLCIds!$B$4:$C$1001,2,FALSE))</f>
        <v>Greymoor</v>
      </c>
      <c r="F440" t="s">
        <v>2127</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IF(ISNA(VLOOKUP(D441,ConstDLCIds!$B$4:$C$1001,2,FALSE)),"",VLOOKUP(D441,ConstDLCIds!$B$4:$C$1001,2,FALSE))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IF(ISNA(VLOOKUP(D442,ConstDLCIds!$B$4:$C$1001,2,FALSE)),"",VLOOKUP(D442,ConstDLCIds!$B$4:$C$1001,2,FALSE))</f>
        <v>Greymoor</v>
      </c>
      <c r="F442" t="s">
        <v>2128</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IF(ISNA(VLOOKUP(D443,ConstDLCIds!$B$4:$C$1001,2,FALSE)),"",VLOOKUP(D443,ConstDLCIds!$B$4:$C$1001,2,FALSE))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IF(ISNA(VLOOKUP(D444,ConstDLCIds!$B$4:$C$1001,2,FALSE)),"",VLOOKUP(D444,ConstDLCIds!$B$4:$C$1001,2,FALSE))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IF(ISNA(VLOOKUP(D445,ConstDLCIds!$B$4:$C$1001,2,FALSE)),"",VLOOKUP(D445,ConstDLCIds!$B$4:$C$1001,2,FALSE))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IF(ISNA(VLOOKUP(D446,ConstDLCIds!$B$4:$C$1001,2,FALSE)),"",VLOOKUP(D446,ConstDLCIds!$B$4:$C$1001,2,FALSE))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IF(ISNA(VLOOKUP(D447,ConstDLCIds!$B$4:$C$1001,2,FALSE)),"",VLOOKUP(D447,ConstDLCIds!$B$4:$C$1001,2,FALSE))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IF(ISNA(VLOOKUP(D448,ConstDLCIds!$B$4:$C$1001,2,FALSE)),"",VLOOKUP(D448,ConstDLCIds!$B$4:$C$1001,2,FALSE))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IF(ISNA(VLOOKUP(D449,ConstDLCIds!$B$4:$C$1001,2,FALSE)),"",VLOOKUP(D449,ConstDLCIds!$B$4:$C$1001,2,FALSE))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IF(ISNA(VLOOKUP(D450,ConstDLCIds!$B$4:$C$1001,2,FALSE)),"",VLOOKUP(D450,ConstDLCIds!$B$4:$C$1001,2,FALSE))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IF(ISNA(VLOOKUP(D451,ConstDLCIds!$B$4:$C$1001,2,FALSE)),"",VLOOKUP(D451,ConstDLCIds!$B$4:$C$1001,2,FALSE))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IF(ISNA(VLOOKUP(D452,ConstDLCIds!$B$4:$C$1001,2,FALSE)),"",VLOOKUP(D452,ConstDLCIds!$B$4:$C$1001,2,FALSE))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IF(ISNA(VLOOKUP(D453,ConstDLCIds!$B$4:$C$1001,2,FALSE)),"",VLOOKUP(D453,ConstDLCIds!$B$4:$C$1001,2,FALSE))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IF(ISNA(VLOOKUP(D454,ConstDLCIds!$B$4:$C$1001,2,FALSE)),"",VLOOKUP(D454,ConstDLCIds!$B$4:$C$1001,2,FALSE))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IF(ISNA(VLOOKUP(D455,ConstDLCIds!$B$4:$C$1001,2,FALSE)),"",VLOOKUP(D455,ConstDLCIds!$B$4:$C$1001,2,FALSE))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IF(ISNA(VLOOKUP(D456,ConstDLCIds!$B$4:$C$1001,2,FALSE)),"",VLOOKUP(D456,ConstDLCIds!$B$4:$C$1001,2,FALSE))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IF(ISNA(VLOOKUP(D457,ConstDLCIds!$B$4:$C$1001,2,FALSE)),"",VLOOKUP(D457,ConstDLCIds!$B$4:$C$1001,2,FALSE))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IF(ISNA(VLOOKUP(D458,ConstDLCIds!$B$4:$C$1001,2,FALSE)),"",VLOOKUP(D458,ConstDLCIds!$B$4:$C$1001,2,FALSE))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IF(ISNA(VLOOKUP(D459,ConstDLCIds!$B$4:$C$1001,2,FALSE)),"",VLOOKUP(D459,ConstDLCIds!$B$4:$C$1001,2,FALSE))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IF(ISNA(VLOOKUP(D460,ConstDLCIds!$B$4:$C$1001,2,FALSE)),"",VLOOKUP(D460,ConstDLCIds!$B$4:$C$1001,2,FALSE))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IF(ISNA(VLOOKUP(D461,ConstDLCIds!$B$4:$C$1001,2,FALSE)),"",VLOOKUP(D461,ConstDLCIds!$B$4:$C$1001,2,FALSE))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IF(ISNA(VLOOKUP(D462,ConstDLCIds!$B$4:$C$1001,2,FALSE)),"",VLOOKUP(D462,ConstDLCIds!$B$4:$C$1001,2,FALSE))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IF(ISNA(VLOOKUP(D463,ConstDLCIds!$B$4:$C$1001,2,FALSE)),"",VLOOKUP(D463,ConstDLCIds!$B$4:$C$1001,2,FALSE))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IF(ISNA(VLOOKUP(D464,ConstDLCIds!$B$4:$C$1001,2,FALSE)),"",VLOOKUP(D464,ConstDLCIds!$B$4:$C$1001,2,FALSE))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IF(ISNA(VLOOKUP(D465,ConstDLCIds!$B$4:$C$1001,2,FALSE)),"",VLOOKUP(D465,ConstDLCIds!$B$4:$C$1001,2,FALSE))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IF(ISNA(VLOOKUP(D466,ConstDLCIds!$B$4:$C$1001,2,FALSE)),"",VLOOKUP(D466,ConstDLCIds!$B$4:$C$1001,2,FALSE))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IF(ISNA(VLOOKUP(D467,ConstDLCIds!$B$4:$C$1001,2,FALSE)),"",VLOOKUP(D467,ConstDLCIds!$B$4:$C$1001,2,FALSE))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IF(ISNA(VLOOKUP(D468,ConstDLCIds!$B$4:$C$1001,2,FALSE)),"",VLOOKUP(D468,ConstDLCIds!$B$4:$C$1001,2,FALSE))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IF(ISNA(VLOOKUP(D469,ConstDLCIds!$B$4:$C$1001,2,FALSE)),"",VLOOKUP(D469,ConstDLCIds!$B$4:$C$1001,2,FALSE))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IF(ISNA(VLOOKUP(D470,ConstDLCIds!$B$4:$C$1001,2,FALSE)),"",VLOOKUP(D470,ConstDLCIds!$B$4:$C$1001,2,FALSE))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IF(ISNA(VLOOKUP(D471,ConstDLCIds!$B$4:$C$1001,2,FALSE)),"",VLOOKUP(D471,ConstDLCIds!$B$4:$C$1001,2,FALSE))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IF(ISNA(VLOOKUP(D472,ConstDLCIds!$B$4:$C$1001,2,FALSE)),"",VLOOKUP(D472,ConstDLCIds!$B$4:$C$1001,2,FALSE))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IF(ISNA(VLOOKUP(D473,ConstDLCIds!$B$4:$C$1001,2,FALSE)),"",VLOOKUP(D473,ConstDLCIds!$B$4:$C$1001,2,FALSE))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IF(ISNA(VLOOKUP(D474,ConstDLCIds!$B$4:$C$1001,2,FALSE)),"",VLOOKUP(D474,ConstDLCIds!$B$4:$C$1001,2,FALSE))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IF(ISNA(VLOOKUP(D475,ConstDLCIds!$B$4:$C$1001,2,FALSE)),"",VLOOKUP(D475,ConstDLCIds!$B$4:$C$1001,2,FALSE))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IF(ISNA(VLOOKUP(D476,ConstDLCIds!$B$4:$C$1001,2,FALSE)),"",VLOOKUP(D476,ConstDLCIds!$B$4:$C$1001,2,FALSE))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IF(ISNA(VLOOKUP(D477,ConstDLCIds!$B$4:$C$1001,2,FALSE)),"",VLOOKUP(D477,ConstDLCIds!$B$4:$C$1001,2,FALSE))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IF(ISNA(VLOOKUP(D478,ConstDLCIds!$B$4:$C$1001,2,FALSE)),"",VLOOKUP(D478,ConstDLCIds!$B$4:$C$1001,2,FALSE))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IF(ISNA(VLOOKUP(D479,ConstDLCIds!$B$4:$C$1001,2,FALSE)),"",VLOOKUP(D479,ConstDLCIds!$B$4:$C$1001,2,FALSE))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IF(ISNA(VLOOKUP(D480,ConstDLCIds!$B$4:$C$1001,2,FALSE)),"",VLOOKUP(D480,ConstDLCIds!$B$4:$C$1001,2,FALSE))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IF(ISNA(VLOOKUP(D481,ConstDLCIds!$B$4:$C$1001,2,FALSE)),"",VLOOKUP(D481,ConstDLCIds!$B$4:$C$1001,2,FALSE))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IF(ISNA(VLOOKUP(D482,ConstDLCIds!$B$4:$C$1001,2,FALSE)),"",VLOOKUP(D482,ConstDLCIds!$B$4:$C$1001,2,FALSE))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IF(ISNA(VLOOKUP(D483,ConstDLCIds!$B$4:$C$1001,2,FALSE)),"",VLOOKUP(D483,ConstDLCIds!$B$4:$C$1001,2,FALSE))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IF(ISNA(VLOOKUP(D484,ConstDLCIds!$B$4:$C$1001,2,FALSE)),"",VLOOKUP(D484,ConstDLCIds!$B$4:$C$1001,2,FALSE))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IF(ISNA(VLOOKUP(D485,ConstDLCIds!$B$4:$C$1001,2,FALSE)),"",VLOOKUP(D485,ConstDLCIds!$B$4:$C$1001,2,FALSE))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IF(ISNA(VLOOKUP(D486,ConstDLCIds!$B$4:$C$1001,2,FALSE)),"",VLOOKUP(D486,ConstDLCIds!$B$4:$C$1001,2,FALSE))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IF(ISNA(VLOOKUP(D487,ConstDLCIds!$B$4:$C$1001,2,FALSE)),"",VLOOKUP(D487,ConstDLCIds!$B$4:$C$1001,2,FALSE))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IF(ISNA(VLOOKUP(D488,ConstDLCIds!$B$4:$C$1001,2,FALSE)),"",VLOOKUP(D488,ConstDLCIds!$B$4:$C$1001,2,FALSE))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IF(ISNA(VLOOKUP(D489,ConstDLCIds!$B$4:$C$1001,2,FALSE)),"",VLOOKUP(D489,ConstDLCIds!$B$4:$C$1001,2,FALSE))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IF(ISNA(VLOOKUP(D490,ConstDLCIds!$B$4:$C$1001,2,FALSE)),"",VLOOKUP(D490,ConstDLCIds!$B$4:$C$1001,2,FALSE))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IF(ISNA(VLOOKUP(D491,ConstDLCIds!$B$4:$C$1001,2,FALSE)),"",VLOOKUP(D491,ConstDLCIds!$B$4:$C$1001,2,FALSE))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IF(ISNA(VLOOKUP(D492,ConstDLCIds!$B$4:$C$1001,2,FALSE)),"",VLOOKUP(D492,ConstDLCIds!$B$4:$C$1001,2,FALSE))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IF(ISNA(VLOOKUP(D493,ConstDLCIds!$B$4:$C$1001,2,FALSE)),"",VLOOKUP(D493,ConstDLCIds!$B$4:$C$1001,2,FALSE))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IF(ISNA(VLOOKUP(D494,ConstDLCIds!$B$4:$C$1001,2,FALSE)),"",VLOOKUP(D494,ConstDLCIds!$B$4:$C$1001,2,FALSE))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IF(ISNA(VLOOKUP(D495,ConstDLCIds!$B$4:$C$1001,2,FALSE)),"",VLOOKUP(D495,ConstDLCIds!$B$4:$C$1001,2,FALSE))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IF(ISNA(VLOOKUP(D496,ConstDLCIds!$B$4:$C$1001,2,FALSE)),"",VLOOKUP(D496,ConstDLCIds!$B$4:$C$1001,2,FALSE))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IF(ISNA(VLOOKUP(D497,ConstDLCIds!$B$4:$C$1001,2,FALSE)),"",VLOOKUP(D497,ConstDLCIds!$B$4:$C$1001,2,FALSE))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IF(ISNA(VLOOKUP(D498,ConstDLCIds!$B$4:$C$1001,2,FALSE)),"",VLOOKUP(D498,ConstDLCIds!$B$4:$C$1001,2,FALSE))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IF(ISNA(VLOOKUP(D499,ConstDLCIds!$B$4:$C$1001,2,FALSE)),"",VLOOKUP(D499,ConstDLCIds!$B$4:$C$1001,2,FALSE))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IF(ISNA(VLOOKUP(D500,ConstDLCIds!$B$4:$C$1001,2,FALSE)),"",VLOOKUP(D500,ConstDLCIds!$B$4:$C$1001,2,FALSE))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IF(ISNA(VLOOKUP(D501,ConstDLCIds!$B$4:$C$1001,2,FALSE)),"",VLOOKUP(D501,ConstDLCIds!$B$4:$C$1001,2,FALSE))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IF(ISNA(VLOOKUP(D502,ConstDLCIds!$B$4:$C$1001,2,FALSE)),"",VLOOKUP(D502,ConstDLCIds!$B$4:$C$1001,2,FALSE))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IF(ISNA(VLOOKUP(D503,ConstDLCIds!$B$4:$C$1001,2,FALSE)),"",VLOOKUP(D503,ConstDLCIds!$B$4:$C$1001,2,FALSE))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IF(ISNA(VLOOKUP(D504,ConstDLCIds!$B$4:$C$1001,2,FALSE)),"",VLOOKUP(D504,ConstDLCIds!$B$4:$C$1001,2,FALSE))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IF(ISNA(VLOOKUP(D505,ConstDLCIds!$B$4:$C$1001,2,FALSE)),"",VLOOKUP(D505,ConstDLCIds!$B$4:$C$1001,2,FALSE))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IF(ISNA(VLOOKUP(D506,ConstDLCIds!$B$4:$C$1001,2,FALSE)),"",VLOOKUP(D506,ConstDLCIds!$B$4:$C$1001,2,FALSE))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IF(ISNA(VLOOKUP(D507,ConstDLCIds!$B$4:$C$1001,2,FALSE)),"",VLOOKUP(D507,ConstDLCIds!$B$4:$C$1001,2,FALSE))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IF(ISNA(VLOOKUP(D508,ConstDLCIds!$B$4:$C$1001,2,FALSE)),"",VLOOKUP(D508,ConstDLCIds!$B$4:$C$1001,2,FALSE))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IF(ISNA(VLOOKUP(D509,ConstDLCIds!$B$4:$C$1001,2,FALSE)),"",VLOOKUP(D509,ConstDLCIds!$B$4:$C$1001,2,FALSE))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IF(ISNA(VLOOKUP(D510,ConstDLCIds!$B$4:$C$1001,2,FALSE)),"",VLOOKUP(D510,ConstDLCIds!$B$4:$C$1001,2,FALSE))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IF(ISNA(VLOOKUP(D511,ConstDLCIds!$B$4:$C$1001,2,FALSE)),"",VLOOKUP(D511,ConstDLCIds!$B$4:$C$1001,2,FALSE))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IF(ISNA(VLOOKUP(D512,ConstDLCIds!$B$4:$C$1001,2,FALSE)),"",VLOOKUP(D512,ConstDLCIds!$B$4:$C$1001,2,FALSE))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IF(ISNA(VLOOKUP(D513,ConstDLCIds!$B$4:$C$1001,2,FALSE)),"",VLOOKUP(D513,ConstDLCIds!$B$4:$C$1001,2,FALSE))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IF(ISNA(VLOOKUP(D514,ConstDLCIds!$B$4:$C$1001,2,FALSE)),"",VLOOKUP(D514,ConstDLCIds!$B$4:$C$1001,2,FALSE))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IF(ISNA(VLOOKUP(D515,ConstDLCIds!$B$4:$C$1001,2,FALSE)),"",VLOOKUP(D515,ConstDLCIds!$B$4:$C$1001,2,FALSE))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IF(ISNA(VLOOKUP(D516,ConstDLCIds!$B$4:$C$1001,2,FALSE)),"",VLOOKUP(D516,ConstDLCIds!$B$4:$C$1001,2,FALSE))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IF(ISNA(VLOOKUP(D517,ConstDLCIds!$B$4:$C$1001,2,FALSE)),"",VLOOKUP(D517,ConstDLCIds!$B$4:$C$1001,2,FALSE))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IF(ISNA(VLOOKUP(D518,ConstDLCIds!$B$4:$C$1001,2,FALSE)),"",VLOOKUP(D518,ConstDLCIds!$B$4:$C$1001,2,FALSE))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IF(ISNA(VLOOKUP(D519,ConstDLCIds!$B$4:$C$1001,2,FALSE)),"",VLOOKUP(D519,ConstDLCIds!$B$4:$C$1001,2,FALSE))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IF(ISNA(VLOOKUP(D520,ConstDLCIds!$B$4:$C$1001,2,FALSE)),"",VLOOKUP(D520,ConstDLCIds!$B$4:$C$1001,2,FALSE))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IF(ISNA(VLOOKUP(D521,ConstDLCIds!$B$4:$C$1001,2,FALSE)),"",VLOOKUP(D521,ConstDLCIds!$B$4:$C$1001,2,FALSE))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IF(ISNA(VLOOKUP(D522,ConstDLCIds!$B$4:$C$1001,2,FALSE)),"",VLOOKUP(D522,ConstDLCIds!$B$4:$C$1001,2,FALSE))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IF(ISNA(VLOOKUP(D523,ConstDLCIds!$B$4:$C$1001,2,FALSE)),"",VLOOKUP(D523,ConstDLCIds!$B$4:$C$1001,2,FALSE))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IF(ISNA(VLOOKUP(D524,ConstDLCIds!$B$4:$C$1001,2,FALSE)),"",VLOOKUP(D524,ConstDLCIds!$B$4:$C$1001,2,FALSE))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IF(ISNA(VLOOKUP(D525,ConstDLCIds!$B$4:$C$1001,2,FALSE)),"",VLOOKUP(D525,ConstDLCIds!$B$4:$C$1001,2,FALSE))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IF(ISNA(VLOOKUP(D526,ConstDLCIds!$B$4:$C$1001,2,FALSE)),"",VLOOKUP(D526,ConstDLCIds!$B$4:$C$1001,2,FALSE))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IF(ISNA(VLOOKUP(D527,ConstDLCIds!$B$4:$C$1001,2,FALSE)),"",VLOOKUP(D527,ConstDLCIds!$B$4:$C$1001,2,FALSE))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IF(ISNA(VLOOKUP(D528,ConstDLCIds!$B$4:$C$1001,2,FALSE)),"",VLOOKUP(D528,ConstDLCIds!$B$4:$C$1001,2,FALSE))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IF(ISNA(VLOOKUP(D529,ConstDLCIds!$B$4:$C$1001,2,FALSE)),"",VLOOKUP(D529,ConstDLCIds!$B$4:$C$1001,2,FALSE))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IF(ISNA(VLOOKUP(D530,ConstDLCIds!$B$4:$C$1001,2,FALSE)),"",VLOOKUP(D530,ConstDLCIds!$B$4:$C$1001,2,FALSE))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IF(ISNA(VLOOKUP(D531,ConstDLCIds!$B$4:$C$1001,2,FALSE)),"",VLOOKUP(D531,ConstDLCIds!$B$4:$C$1001,2,FALSE))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IF(ISNA(VLOOKUP(D532,ConstDLCIds!$B$4:$C$1001,2,FALSE)),"",VLOOKUP(D532,ConstDLCIds!$B$4:$C$1001,2,FALSE))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IF(ISNA(VLOOKUP(D533,ConstDLCIds!$B$4:$C$1001,2,FALSE)),"",VLOOKUP(D533,ConstDLCIds!$B$4:$C$1001,2,FALSE))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IF(ISNA(VLOOKUP(D534,ConstDLCIds!$B$4:$C$1001,2,FALSE)),"",VLOOKUP(D534,ConstDLCIds!$B$4:$C$1001,2,FALSE))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IF(ISNA(VLOOKUP(D535,ConstDLCIds!$B$4:$C$1001,2,FALSE)),"",VLOOKUP(D535,ConstDLCIds!$B$4:$C$1001,2,FALSE))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IF(ISNA(VLOOKUP(D536,ConstDLCIds!$B$4:$C$1001,2,FALSE)),"",VLOOKUP(D536,ConstDLCIds!$B$4:$C$1001,2,FALSE))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IF(ISNA(VLOOKUP(D537,ConstDLCIds!$B$4:$C$1001,2,FALSE)),"",VLOOKUP(D537,ConstDLCIds!$B$4:$C$1001,2,FALSE))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IF(ISNA(VLOOKUP(D538,ConstDLCIds!$B$4:$C$1001,2,FALSE)),"",VLOOKUP(D538,ConstDLCIds!$B$4:$C$1001,2,FALSE))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IF(ISNA(VLOOKUP(D539,ConstDLCIds!$B$4:$C$1001,2,FALSE)),"",VLOOKUP(D539,ConstDLCIds!$B$4:$C$1001,2,FALSE))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IF(ISNA(VLOOKUP(D540,ConstDLCIds!$B$4:$C$1001,2,FALSE)),"",VLOOKUP(D540,ConstDLCIds!$B$4:$C$1001,2,FALSE))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IF(ISNA(VLOOKUP(D541,ConstDLCIds!$B$4:$C$1001,2,FALSE)),"",VLOOKUP(D541,ConstDLCIds!$B$4:$C$1001,2,FALSE))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IF(ISNA(VLOOKUP(D542,ConstDLCIds!$B$4:$C$1001,2,FALSE)),"",VLOOKUP(D542,ConstDLCIds!$B$4:$C$1001,2,FALSE))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IF(ISNA(VLOOKUP(D543,ConstDLCIds!$B$4:$C$1001,2,FALSE)),"",VLOOKUP(D543,ConstDLCIds!$B$4:$C$1001,2,FALSE))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IF(ISNA(VLOOKUP(D544,ConstDLCIds!$B$4:$C$1001,2,FALSE)),"",VLOOKUP(D544,ConstDLCIds!$B$4:$C$1001,2,FALSE))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IF(ISNA(VLOOKUP(D545,ConstDLCIds!$B$4:$C$1001,2,FALSE)),"",VLOOKUP(D545,ConstDLCIds!$B$4:$C$1001,2,FALSE))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IF(ISNA(VLOOKUP(D546,ConstDLCIds!$B$4:$C$1001,2,FALSE)),"",VLOOKUP(D546,ConstDLCIds!$B$4:$C$1001,2,FALSE))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IF(ISNA(VLOOKUP(D547,ConstDLCIds!$B$4:$C$1001,2,FALSE)),"",VLOOKUP(D547,ConstDLCIds!$B$4:$C$1001,2,FALSE))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IF(ISNA(VLOOKUP(D548,ConstDLCIds!$B$4:$C$1001,2,FALSE)),"",VLOOKUP(D548,ConstDLCIds!$B$4:$C$1001,2,FALSE))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IF(ISNA(VLOOKUP(D549,ConstDLCIds!$B$4:$C$1001,2,FALSE)),"",VLOOKUP(D549,ConstDLCIds!$B$4:$C$1001,2,FALSE))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IF(ISNA(VLOOKUP(D550,ConstDLCIds!$B$4:$C$1001,2,FALSE)),"",VLOOKUP(D550,ConstDLCIds!$B$4:$C$1001,2,FALSE))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IF(ISNA(VLOOKUP(D551,ConstDLCIds!$B$4:$C$1001,2,FALSE)),"",VLOOKUP(D551,ConstDLCIds!$B$4:$C$1001,2,FALSE))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IF(ISNA(VLOOKUP(D552,ConstDLCIds!$B$4:$C$1001,2,FALSE)),"",VLOOKUP(D552,ConstDLCIds!$B$4:$C$1001,2,FALSE))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IF(ISNA(VLOOKUP(D553,ConstDLCIds!$B$4:$C$1001,2,FALSE)),"",VLOOKUP(D553,ConstDLCIds!$B$4:$C$1001,2,FALSE))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IF(ISNA(VLOOKUP(D554,ConstDLCIds!$B$4:$C$1001,2,FALSE)),"",VLOOKUP(D554,ConstDLCIds!$B$4:$C$1001,2,FALSE))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IF(ISNA(VLOOKUP(D555,ConstDLCIds!$B$4:$C$1001,2,FALSE)),"",VLOOKUP(D555,ConstDLCIds!$B$4:$C$1001,2,FALSE))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IF(ISNA(VLOOKUP(D556,ConstDLCIds!$B$4:$C$1001,2,FALSE)),"",VLOOKUP(D556,ConstDLCIds!$B$4:$C$1001,2,FALSE))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IF(ISNA(VLOOKUP(D557,ConstDLCIds!$B$4:$C$1001,2,FALSE)),"",VLOOKUP(D557,ConstDLCIds!$B$4:$C$1001,2,FALSE))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IF(ISNA(VLOOKUP(D558,ConstDLCIds!$B$4:$C$1001,2,FALSE)),"",VLOOKUP(D558,ConstDLCIds!$B$4:$C$1001,2,FALSE))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IF(ISNA(VLOOKUP(D559,ConstDLCIds!$B$4:$C$1001,2,FALSE)),"",VLOOKUP(D559,ConstDLCIds!$B$4:$C$1001,2,FALSE))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IF(ISNA(VLOOKUP(D560,ConstDLCIds!$B$4:$C$1001,2,FALSE)),"",VLOOKUP(D560,ConstDLCIds!$B$4:$C$1001,2,FALSE))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IF(ISNA(VLOOKUP(D561,ConstDLCIds!$B$4:$C$1001,2,FALSE)),"",VLOOKUP(D561,ConstDLCIds!$B$4:$C$1001,2,FALSE))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IF(ISNA(VLOOKUP(D562,ConstDLCIds!$B$4:$C$1001,2,FALSE)),"",VLOOKUP(D562,ConstDLCIds!$B$4:$C$1001,2,FALSE))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IF(ISNA(VLOOKUP(D563,ConstDLCIds!$B$4:$C$1001,2,FALSE)),"",VLOOKUP(D563,ConstDLCIds!$B$4:$C$1001,2,FALSE))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IF(ISNA(VLOOKUP(D564,ConstDLCIds!$B$4:$C$1001,2,FALSE)),"",VLOOKUP(D564,ConstDLCIds!$B$4:$C$1001,2,FALSE))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IF(ISNA(VLOOKUP(D565,ConstDLCIds!$B$4:$C$1001,2,FALSE)),"",VLOOKUP(D565,ConstDLCIds!$B$4:$C$1001,2,FALSE))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IF(ISNA(VLOOKUP(D566,ConstDLCIds!$B$4:$C$1001,2,FALSE)),"",VLOOKUP(D566,ConstDLCIds!$B$4:$C$1001,2,FALSE))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IF(ISNA(VLOOKUP(D567,ConstDLCIds!$B$4:$C$1001,2,FALSE)),"",VLOOKUP(D567,ConstDLCIds!$B$4:$C$1001,2,FALSE))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IF(ISNA(VLOOKUP(D568,ConstDLCIds!$B$4:$C$1001,2,FALSE)),"",VLOOKUP(D568,ConstDLCIds!$B$4:$C$1001,2,FALSE))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IF(ISNA(VLOOKUP(D569,ConstDLCIds!$B$4:$C$1001,2,FALSE)),"",VLOOKUP(D569,ConstDLCIds!$B$4:$C$1001,2,FALSE))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IF(ISNA(VLOOKUP(D570,ConstDLCIds!$B$4:$C$1001,2,FALSE)),"",VLOOKUP(D570,ConstDLCIds!$B$4:$C$1001,2,FALSE))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IF(ISNA(VLOOKUP(D571,ConstDLCIds!$B$4:$C$1001,2,FALSE)),"",VLOOKUP(D571,ConstDLCIds!$B$4:$C$1001,2,FALSE))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IF(ISNA(VLOOKUP(D572,ConstDLCIds!$B$4:$C$1001,2,FALSE)),"",VLOOKUP(D572,ConstDLCIds!$B$4:$C$1001,2,FALSE))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IF(ISNA(VLOOKUP(D573,ConstDLCIds!$B$4:$C$1001,2,FALSE)),"",VLOOKUP(D573,ConstDLCIds!$B$4:$C$1001,2,FALSE))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IF(ISNA(VLOOKUP(D574,ConstDLCIds!$B$4:$C$1001,2,FALSE)),"",VLOOKUP(D574,ConstDLCIds!$B$4:$C$1001,2,FALSE))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IF(ISNA(VLOOKUP(D575,ConstDLCIds!$B$4:$C$1001,2,FALSE)),"",VLOOKUP(D575,ConstDLCIds!$B$4:$C$1001,2,FALSE))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IF(ISNA(VLOOKUP(D576,ConstDLCIds!$B$4:$C$1001,2,FALSE)),"",VLOOKUP(D576,ConstDLCIds!$B$4:$C$1001,2,FALSE))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IF(ISNA(VLOOKUP(D577,ConstDLCIds!$B$4:$C$1001,2,FALSE)),"",VLOOKUP(D577,ConstDLCIds!$B$4:$C$1001,2,FALSE))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IF(ISNA(VLOOKUP(D578,ConstDLCIds!$B$4:$C$1001,2,FALSE)),"",VLOOKUP(D578,ConstDLCIds!$B$4:$C$1001,2,FALSE))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IF(ISNA(VLOOKUP(D579,ConstDLCIds!$B$4:$C$1001,2,FALSE)),"",VLOOKUP(D579,ConstDLCIds!$B$4:$C$1001,2,FALSE))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IF(ISNA(VLOOKUP(D580,ConstDLCIds!$B$4:$C$1001,2,FALSE)),"",VLOOKUP(D580,ConstDLCIds!$B$4:$C$1001,2,FALSE))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IF(ISNA(VLOOKUP(D581,ConstDLCIds!$B$4:$C$1001,2,FALSE)),"",VLOOKUP(D581,ConstDLCIds!$B$4:$C$1001,2,FALSE))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IF(ISNA(VLOOKUP(D582,ConstDLCIds!$B$4:$C$1001,2,FALSE)),"",VLOOKUP(D582,ConstDLCIds!$B$4:$C$1001,2,FALSE))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IF(ISNA(VLOOKUP(D583,ConstDLCIds!$B$4:$C$1001,2,FALSE)),"",VLOOKUP(D583,ConstDLCIds!$B$4:$C$1001,2,FALSE))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IF(ISNA(VLOOKUP(D584,ConstDLCIds!$B$4:$C$1001,2,FALSE)),"",VLOOKUP(D584,ConstDLCIds!$B$4:$C$1001,2,FALSE))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IF(ISNA(VLOOKUP(D585,ConstDLCIds!$B$4:$C$1001,2,FALSE)),"",VLOOKUP(D585,ConstDLCIds!$B$4:$C$1001,2,FALSE))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IF(ISNA(VLOOKUP(D586,ConstDLCIds!$B$4:$C$1001,2,FALSE)),"",VLOOKUP(D586,ConstDLCIds!$B$4:$C$1001,2,FALSE))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IF(ISNA(VLOOKUP(D587,ConstDLCIds!$B$4:$C$1001,2,FALSE)),"",VLOOKUP(D587,ConstDLCIds!$B$4:$C$1001,2,FALSE))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IF(ISNA(VLOOKUP(D588,ConstDLCIds!$B$4:$C$1001,2,FALSE)),"",VLOOKUP(D588,ConstDLCIds!$B$4:$C$1001,2,FALSE))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IF(ISNA(VLOOKUP(D589,ConstDLCIds!$B$4:$C$1001,2,FALSE)),"",VLOOKUP(D589,ConstDLCIds!$B$4:$C$1001,2,FALSE))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IF(ISNA(VLOOKUP(D590,ConstDLCIds!$B$4:$C$1001,2,FALSE)),"",VLOOKUP(D590,ConstDLCIds!$B$4:$C$1001,2,FALSE))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IF(ISNA(VLOOKUP(D591,ConstDLCIds!$B$4:$C$1001,2,FALSE)),"",VLOOKUP(D591,ConstDLCIds!$B$4:$C$1001,2,FALSE))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IF(ISNA(VLOOKUP(D592,ConstDLCIds!$B$4:$C$1001,2,FALSE)),"",VLOOKUP(D592,ConstDLCIds!$B$4:$C$1001,2,FALSE))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IF(ISNA(VLOOKUP(D593,ConstDLCIds!$B$4:$C$1001,2,FALSE)),"",VLOOKUP(D593,ConstDLCIds!$B$4:$C$1001,2,FALSE))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IF(ISNA(VLOOKUP(D594,ConstDLCIds!$B$4:$C$1001,2,FALSE)),"",VLOOKUP(D594,ConstDLCIds!$B$4:$C$1001,2,FALSE))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IF(ISNA(VLOOKUP(D595,ConstDLCIds!$B$4:$C$1001,2,FALSE)),"",VLOOKUP(D595,ConstDLCIds!$B$4:$C$1001,2,FALSE))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IF(ISNA(VLOOKUP(D596,ConstDLCIds!$B$4:$C$1001,2,FALSE)),"",VLOOKUP(D596,ConstDLCIds!$B$4:$C$1001,2,FALSE))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IF(ISNA(VLOOKUP(D597,ConstDLCIds!$B$4:$C$1001,2,FALSE)),"",VLOOKUP(D597,ConstDLCIds!$B$4:$C$1001,2,FALSE))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IF(ISNA(VLOOKUP(D598,ConstDLCIds!$B$4:$C$1001,2,FALSE)),"",VLOOKUP(D598,ConstDLCIds!$B$4:$C$1001,2,FALSE))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IF(ISNA(VLOOKUP(D599,ConstDLCIds!$B$4:$C$1001,2,FALSE)),"",VLOOKUP(D599,ConstDLCIds!$B$4:$C$1001,2,FALSE))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IF(ISNA(VLOOKUP(D600,ConstDLCIds!$B$4:$C$1001,2,FALSE)),"",VLOOKUP(D600,ConstDLCIds!$B$4:$C$1001,2,FALSE))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IF(ISNA(VLOOKUP(D601,ConstDLCIds!$B$4:$C$1001,2,FALSE)),"",VLOOKUP(D601,ConstDLCIds!$B$4:$C$1001,2,FALSE))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IF(ISNA(VLOOKUP(D602,ConstDLCIds!$B$4:$C$1001,2,FALSE)),"",VLOOKUP(D602,ConstDLCIds!$B$4:$C$1001,2,FALSE))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IF(ISNA(VLOOKUP(D603,ConstDLCIds!$B$4:$C$1001,2,FALSE)),"",VLOOKUP(D603,ConstDLCIds!$B$4:$C$1001,2,FALSE))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IF(ISNA(VLOOKUP(D604,ConstDLCIds!$B$4:$C$1001,2,FALSE)),"",VLOOKUP(D604,ConstDLCIds!$B$4:$C$1001,2,FALSE))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IF(ISNA(VLOOKUP(D605,ConstDLCIds!$B$4:$C$1001,2,FALSE)),"",VLOOKUP(D605,ConstDLCIds!$B$4:$C$1001,2,FALSE))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IF(ISNA(VLOOKUP(D606,ConstDLCIds!$B$4:$C$1001,2,FALSE)),"",VLOOKUP(D606,ConstDLCIds!$B$4:$C$1001,2,FALSE))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IF(ISNA(VLOOKUP(D607,ConstDLCIds!$B$4:$C$1001,2,FALSE)),"",VLOOKUP(D607,ConstDLCIds!$B$4:$C$1001,2,FALSE))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IF(ISNA(VLOOKUP(D608,ConstDLCIds!$B$4:$C$1001,2,FALSE)),"",VLOOKUP(D608,ConstDLCIds!$B$4:$C$1001,2,FALSE))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IF(ISNA(VLOOKUP(D609,ConstDLCIds!$B$4:$C$1001,2,FALSE)),"",VLOOKUP(D609,ConstDLCIds!$B$4:$C$1001,2,FALSE))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IF(ISNA(VLOOKUP(D610,ConstDLCIds!$B$4:$C$1001,2,FALSE)),"",VLOOKUP(D610,ConstDLCIds!$B$4:$C$1001,2,FALSE))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IF(ISNA(VLOOKUP(D611,ConstDLCIds!$B$4:$C$1001,2,FALSE)),"",VLOOKUP(D611,ConstDLCIds!$B$4:$C$1001,2,FALSE))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IF(ISNA(VLOOKUP(D612,ConstDLCIds!$B$4:$C$1001,2,FALSE)),"",VLOOKUP(D612,ConstDLCIds!$B$4:$C$1001,2,FALSE))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IF(ISNA(VLOOKUP(D613,ConstDLCIds!$B$4:$C$1001,2,FALSE)),"",VLOOKUP(D613,ConstDLCIds!$B$4:$C$1001,2,FALSE))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IF(ISNA(VLOOKUP(D614,ConstDLCIds!$B$4:$C$1001,2,FALSE)),"",VLOOKUP(D614,ConstDLCIds!$B$4:$C$1001,2,FALSE))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IF(ISNA(VLOOKUP(D615,ConstDLCIds!$B$4:$C$1001,2,FALSE)),"",VLOOKUP(D615,ConstDLCIds!$B$4:$C$1001,2,FALSE))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IF(ISNA(VLOOKUP(D616,ConstDLCIds!$B$4:$C$1001,2,FALSE)),"",VLOOKUP(D616,ConstDLCIds!$B$4:$C$1001,2,FALSE))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IF(ISNA(VLOOKUP(D617,ConstDLCIds!$B$4:$C$1001,2,FALSE)),"",VLOOKUP(D617,ConstDLCIds!$B$4:$C$1001,2,FALSE))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IF(ISNA(VLOOKUP(D618,ConstDLCIds!$B$4:$C$1001,2,FALSE)),"",VLOOKUP(D618,ConstDLCIds!$B$4:$C$1001,2,FALSE))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IF(ISNA(VLOOKUP(D619,ConstDLCIds!$B$4:$C$1001,2,FALSE)),"",VLOOKUP(D619,ConstDLCIds!$B$4:$C$1001,2,FALSE))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IF(ISNA(VLOOKUP(D620,ConstDLCIds!$B$4:$C$1001,2,FALSE)),"",VLOOKUP(D620,ConstDLCIds!$B$4:$C$1001,2,FALSE))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IF(ISNA(VLOOKUP(D621,ConstDLCIds!$B$4:$C$1001,2,FALSE)),"",VLOOKUP(D621,ConstDLCIds!$B$4:$C$1001,2,FALSE))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IF(ISNA(VLOOKUP(D622,ConstDLCIds!$B$4:$C$1001,2,FALSE)),"",VLOOKUP(D622,ConstDLCIds!$B$4:$C$1001,2,FALSE))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IF(ISNA(VLOOKUP(D623,ConstDLCIds!$B$4:$C$1001,2,FALSE)),"",VLOOKUP(D623,ConstDLCIds!$B$4:$C$1001,2,FALSE))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IF(ISNA(VLOOKUP(D624,ConstDLCIds!$B$4:$C$1001,2,FALSE)),"",VLOOKUP(D624,ConstDLCIds!$B$4:$C$1001,2,FALSE))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IF(ISNA(VLOOKUP(D625,ConstDLCIds!$B$4:$C$1001,2,FALSE)),"",VLOOKUP(D625,ConstDLCIds!$B$4:$C$1001,2,FALSE))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IF(ISNA(VLOOKUP(D626,ConstDLCIds!$B$4:$C$1001,2,FALSE)),"",VLOOKUP(D626,ConstDLCIds!$B$4:$C$1001,2,FALSE))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IF(ISNA(VLOOKUP(D627,ConstDLCIds!$B$4:$C$1001,2,FALSE)),"",VLOOKUP(D627,ConstDLCIds!$B$4:$C$1001,2,FALSE))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IF(ISNA(VLOOKUP(D628,ConstDLCIds!$B$4:$C$1001,2,FALSE)),"",VLOOKUP(D628,ConstDLCIds!$B$4:$C$1001,2,FALSE))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IF(ISNA(VLOOKUP(D629,ConstDLCIds!$B$4:$C$1001,2,FALSE)),"",VLOOKUP(D629,ConstDLCIds!$B$4:$C$1001,2,FALSE))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IF(ISNA(VLOOKUP(D630,ConstDLCIds!$B$4:$C$1001,2,FALSE)),"",VLOOKUP(D630,ConstDLCIds!$B$4:$C$1001,2,FALSE))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IF(ISNA(VLOOKUP(D631,ConstDLCIds!$B$4:$C$1001,2,FALSE)),"",VLOOKUP(D631,ConstDLCIds!$B$4:$C$1001,2,FALSE))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IF(ISNA(VLOOKUP(D632,ConstDLCIds!$B$4:$C$1001,2,FALSE)),"",VLOOKUP(D632,ConstDLCIds!$B$4:$C$1001,2,FALSE))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IF(ISNA(VLOOKUP(D633,ConstDLCIds!$B$4:$C$1001,2,FALSE)),"",VLOOKUP(D633,ConstDLCIds!$B$4:$C$1001,2,FALSE))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IF(ISNA(VLOOKUP(D634,ConstDLCIds!$B$4:$C$1001,2,FALSE)),"",VLOOKUP(D634,ConstDLCIds!$B$4:$C$1001,2,FALSE))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IF(ISNA(VLOOKUP(D635,ConstDLCIds!$B$4:$C$1001,2,FALSE)),"",VLOOKUP(D635,ConstDLCIds!$B$4:$C$1001,2,FALSE))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IF(ISNA(VLOOKUP(D636,ConstDLCIds!$B$4:$C$1001,2,FALSE)),"",VLOOKUP(D636,ConstDLCIds!$B$4:$C$1001,2,FALSE))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IF(ISNA(VLOOKUP(D637,ConstDLCIds!$B$4:$C$1001,2,FALSE)),"",VLOOKUP(D637,ConstDLCIds!$B$4:$C$1001,2,FALSE))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IF(ISNA(VLOOKUP(D638,ConstDLCIds!$B$4:$C$1001,2,FALSE)),"",VLOOKUP(D638,ConstDLCIds!$B$4:$C$1001,2,FALSE))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IF(ISNA(VLOOKUP(D639,ConstDLCIds!$B$4:$C$1001,2,FALSE)),"",VLOOKUP(D639,ConstDLCIds!$B$4:$C$1001,2,FALSE))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IF(ISNA(VLOOKUP(D640,ConstDLCIds!$B$4:$C$1001,2,FALSE)),"",VLOOKUP(D640,ConstDLCIds!$B$4:$C$1001,2,FALSE))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IF(ISNA(VLOOKUP(D641,ConstDLCIds!$B$4:$C$1001,2,FALSE)),"",VLOOKUP(D641,ConstDLCIds!$B$4:$C$1001,2,FALSE))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IF(ISNA(VLOOKUP(D642,ConstDLCIds!$B$4:$C$1001,2,FALSE)),"",VLOOKUP(D642,ConstDLCIds!$B$4:$C$1001,2,FALSE))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IF(ISNA(VLOOKUP(D643,ConstDLCIds!$B$4:$C$1001,2,FALSE)),"",VLOOKUP(D643,ConstDLCIds!$B$4:$C$1001,2,FALSE))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IF(ISNA(VLOOKUP(D644,ConstDLCIds!$B$4:$C$1001,2,FALSE)),"",VLOOKUP(D644,ConstDLCIds!$B$4:$C$1001,2,FALSE))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IF(ISNA(VLOOKUP(D645,ConstDLCIds!$B$4:$C$1001,2,FALSE)),"",VLOOKUP(D645,ConstDLCIds!$B$4:$C$1001,2,FALSE))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IF(ISNA(VLOOKUP(D646,ConstDLCIds!$B$4:$C$1001,2,FALSE)),"",VLOOKUP(D646,ConstDLCIds!$B$4:$C$1001,2,FALSE))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IF(ISNA(VLOOKUP(D647,ConstDLCIds!$B$4:$C$1001,2,FALSE)),"",VLOOKUP(D647,ConstDLCIds!$B$4:$C$1001,2,FALSE))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IF(ISNA(VLOOKUP(D648,ConstDLCIds!$B$4:$C$1001,2,FALSE)),"",VLOOKUP(D648,ConstDLCIds!$B$4:$C$1001,2,FALSE))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IF(ISNA(VLOOKUP(D649,ConstDLCIds!$B$4:$C$1001,2,FALSE)),"",VLOOKUP(D649,ConstDLCIds!$B$4:$C$1001,2,FALSE))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IF(ISNA(VLOOKUP(D650,ConstDLCIds!$B$4:$C$1001,2,FALSE)),"",VLOOKUP(D650,ConstDLCIds!$B$4:$C$1001,2,FALSE))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IF(ISNA(VLOOKUP(D651,ConstDLCIds!$B$4:$C$1001,2,FALSE)),"",VLOOKUP(D651,ConstDLCIds!$B$4:$C$1001,2,FALSE))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IF(ISNA(VLOOKUP(D652,ConstDLCIds!$B$4:$C$1001,2,FALSE)),"",VLOOKUP(D652,ConstDLCIds!$B$4:$C$1001,2,FALSE))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IF(ISNA(VLOOKUP(D653,ConstDLCIds!$B$4:$C$1001,2,FALSE)),"",VLOOKUP(D653,ConstDLCIds!$B$4:$C$1001,2,FALSE))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IF(ISNA(VLOOKUP(D654,ConstDLCIds!$B$4:$C$1001,2,FALSE)),"",VLOOKUP(D654,ConstDLCIds!$B$4:$C$1001,2,FALSE))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IF(ISNA(VLOOKUP(D655,ConstDLCIds!$B$4:$C$1001,2,FALSE)),"",VLOOKUP(D655,ConstDLCIds!$B$4:$C$1001,2,FALSE))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IF(ISNA(VLOOKUP(D656,ConstDLCIds!$B$4:$C$1001,2,FALSE)),"",VLOOKUP(D656,ConstDLCIds!$B$4:$C$1001,2,FALSE))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IF(ISNA(VLOOKUP(D657,ConstDLCIds!$B$4:$C$1001,2,FALSE)),"",VLOOKUP(D657,ConstDLCIds!$B$4:$C$1001,2,FALSE))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IF(ISNA(VLOOKUP(D658,ConstDLCIds!$B$4:$C$1001,2,FALSE)),"",VLOOKUP(D658,ConstDLCIds!$B$4:$C$1001,2,FALSE))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IF(ISNA(VLOOKUP(D659,ConstDLCIds!$B$4:$C$1001,2,FALSE)),"",VLOOKUP(D659,ConstDLCIds!$B$4:$C$1001,2,FALSE))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IF(ISNA(VLOOKUP(D660,ConstDLCIds!$B$4:$C$1001,2,FALSE)),"",VLOOKUP(D660,ConstDLCIds!$B$4:$C$1001,2,FALSE))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IF(ISNA(VLOOKUP(D661,ConstDLCIds!$B$4:$C$1001,2,FALSE)),"",VLOOKUP(D661,ConstDLCIds!$B$4:$C$1001,2,FALSE))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IF(ISNA(VLOOKUP(D662,ConstDLCIds!$B$4:$C$1001,2,FALSE)),"",VLOOKUP(D662,ConstDLCIds!$B$4:$C$1001,2,FALSE))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IF(ISNA(VLOOKUP(D663,ConstDLCIds!$B$4:$C$1001,2,FALSE)),"",VLOOKUP(D663,ConstDLCIds!$B$4:$C$1001,2,FALSE))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IF(ISNA(VLOOKUP(D664,ConstDLCIds!$B$4:$C$1001,2,FALSE)),"",VLOOKUP(D664,ConstDLCIds!$B$4:$C$1001,2,FALSE))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IF(ISNA(VLOOKUP(D665,ConstDLCIds!$B$4:$C$1001,2,FALSE)),"",VLOOKUP(D665,ConstDLCIds!$B$4:$C$1001,2,FALSE))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IF(ISNA(VLOOKUP(D666,ConstDLCIds!$B$4:$C$1001,2,FALSE)),"",VLOOKUP(D666,ConstDLCIds!$B$4:$C$1001,2,FALSE))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IF(ISNA(VLOOKUP(D667,ConstDLCIds!$B$4:$C$1001,2,FALSE)),"",VLOOKUP(D667,ConstDLCIds!$B$4:$C$1001,2,FALSE))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IF(ISNA(VLOOKUP(D668,ConstDLCIds!$B$4:$C$1001,2,FALSE)),"",VLOOKUP(D668,ConstDLCIds!$B$4:$C$1001,2,FALSE))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IF(ISNA(VLOOKUP(D669,ConstDLCIds!$B$4:$C$1001,2,FALSE)),"",VLOOKUP(D669,ConstDLCIds!$B$4:$C$1001,2,FALSE))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IF(ISNA(VLOOKUP(D670,ConstDLCIds!$B$4:$C$1001,2,FALSE)),"",VLOOKUP(D670,ConstDLCIds!$B$4:$C$1001,2,FALSE))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IF(ISNA(VLOOKUP(D671,ConstDLCIds!$B$4:$C$1001,2,FALSE)),"",VLOOKUP(D671,ConstDLCIds!$B$4:$C$1001,2,FALSE))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IF(ISNA(VLOOKUP(D672,ConstDLCIds!$B$4:$C$1001,2,FALSE)),"",VLOOKUP(D672,ConstDLCIds!$B$4:$C$1001,2,FALSE))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IF(ISNA(VLOOKUP(D673,ConstDLCIds!$B$4:$C$1001,2,FALSE)),"",VLOOKUP(D673,ConstDLCIds!$B$4:$C$1001,2,FALSE))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IF(ISNA(VLOOKUP(D674,ConstDLCIds!$B$4:$C$1001,2,FALSE)),"",VLOOKUP(D674,ConstDLCIds!$B$4:$C$1001,2,FALSE))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IF(ISNA(VLOOKUP(D675,ConstDLCIds!$B$4:$C$1001,2,FALSE)),"",VLOOKUP(D675,ConstDLCIds!$B$4:$C$1001,2,FALSE))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IF(ISNA(VLOOKUP(D676,ConstDLCIds!$B$4:$C$1001,2,FALSE)),"",VLOOKUP(D676,ConstDLCIds!$B$4:$C$1001,2,FALSE))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IF(ISNA(VLOOKUP(D677,ConstDLCIds!$B$4:$C$1001,2,FALSE)),"",VLOOKUP(D677,ConstDLCIds!$B$4:$C$1001,2,FALSE))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IF(ISNA(VLOOKUP(D678,ConstDLCIds!$B$4:$C$1001,2,FALSE)),"",VLOOKUP(D678,ConstDLCIds!$B$4:$C$1001,2,FALSE))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IF(ISNA(VLOOKUP(D679,ConstDLCIds!$B$4:$C$1001,2,FALSE)),"",VLOOKUP(D679,ConstDLCIds!$B$4:$C$1001,2,FALSE))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IF(ISNA(VLOOKUP(D680,ConstDLCIds!$B$4:$C$1001,2,FALSE)),"",VLOOKUP(D680,ConstDLCIds!$B$4:$C$1001,2,FALSE))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IF(ISNA(VLOOKUP(D681,ConstDLCIds!$B$4:$C$1001,2,FALSE)),"",VLOOKUP(D681,ConstDLCIds!$B$4:$C$1001,2,FALSE))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IF(ISNA(VLOOKUP(D682,ConstDLCIds!$B$4:$C$1001,2,FALSE)),"",VLOOKUP(D682,ConstDLCIds!$B$4:$C$1001,2,FALSE))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IF(ISNA(VLOOKUP(D683,ConstDLCIds!$B$4:$C$1001,2,FALSE)),"",VLOOKUP(D683,ConstDLCIds!$B$4:$C$1001,2,FALSE))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IF(ISNA(VLOOKUP(D684,ConstDLCIds!$B$4:$C$1001,2,FALSE)),"",VLOOKUP(D684,ConstDLCIds!$B$4:$C$1001,2,FALSE))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IF(ISNA(VLOOKUP(D685,ConstDLCIds!$B$4:$C$1001,2,FALSE)),"",VLOOKUP(D685,ConstDLCIds!$B$4:$C$1001,2,FALSE))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IF(ISNA(VLOOKUP(D686,ConstDLCIds!$B$4:$C$1001,2,FALSE)),"",VLOOKUP(D686,ConstDLCIds!$B$4:$C$1001,2,FALSE))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IF(ISNA(VLOOKUP(D687,ConstDLCIds!$B$4:$C$1001,2,FALSE)),"",VLOOKUP(D687,ConstDLCIds!$B$4:$C$1001,2,FALSE))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IF(ISNA(VLOOKUP(D688,ConstDLCIds!$B$4:$C$1001,2,FALSE)),"",VLOOKUP(D688,ConstDLCIds!$B$4:$C$1001,2,FALSE))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IF(ISNA(VLOOKUP(D689,ConstDLCIds!$B$4:$C$1001,2,FALSE)),"",VLOOKUP(D689,ConstDLCIds!$B$4:$C$1001,2,FALSE))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IF(ISNA(VLOOKUP(D690,ConstDLCIds!$B$4:$C$1001,2,FALSE)),"",VLOOKUP(D690,ConstDLCIds!$B$4:$C$1001,2,FALSE))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IF(ISNA(VLOOKUP(D691,ConstDLCIds!$B$4:$C$1001,2,FALSE)),"",VLOOKUP(D691,ConstDLCIds!$B$4:$C$1001,2,FALSE))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IF(ISNA(VLOOKUP(D692,ConstDLCIds!$B$4:$C$1001,2,FALSE)),"",VLOOKUP(D692,ConstDLCIds!$B$4:$C$1001,2,FALSE))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IF(ISNA(VLOOKUP(D693,ConstDLCIds!$B$4:$C$1001,2,FALSE)),"",VLOOKUP(D693,ConstDLCIds!$B$4:$C$1001,2,FALSE))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IF(ISNA(VLOOKUP(D694,ConstDLCIds!$B$4:$C$1001,2,FALSE)),"",VLOOKUP(D694,ConstDLCIds!$B$4:$C$1001,2,FALSE))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IF(ISNA(VLOOKUP(D695,ConstDLCIds!$B$4:$C$1001,2,FALSE)),"",VLOOKUP(D695,ConstDLCIds!$B$4:$C$1001,2,FALSE))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IF(ISNA(VLOOKUP(D696,ConstDLCIds!$B$4:$C$1001,2,FALSE)),"",VLOOKUP(D696,ConstDLCIds!$B$4:$C$1001,2,FALSE))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IF(ISNA(VLOOKUP(D697,ConstDLCIds!$B$4:$C$1001,2,FALSE)),"",VLOOKUP(D697,ConstDLCIds!$B$4:$C$1001,2,FALSE))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IF(ISNA(VLOOKUP(D698,ConstDLCIds!$B$4:$C$1001,2,FALSE)),"",VLOOKUP(D698,ConstDLCIds!$B$4:$C$1001,2,FALSE))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IF(ISNA(VLOOKUP(D699,ConstDLCIds!$B$4:$C$1001,2,FALSE)),"",VLOOKUP(D699,ConstDLCIds!$B$4:$C$1001,2,FALSE))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IF(ISNA(VLOOKUP(D700,ConstDLCIds!$B$4:$C$1001,2,FALSE)),"",VLOOKUP(D700,ConstDLCIds!$B$4:$C$1001,2,FALSE))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IF(ISNA(VLOOKUP(D701,ConstDLCIds!$B$4:$C$1001,2,FALSE)),"",VLOOKUP(D701,ConstDLCIds!$B$4:$C$1001,2,FALSE))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IF(ISNA(VLOOKUP(D702,ConstDLCIds!$B$4:$C$1001,2,FALSE)),"",VLOOKUP(D702,ConstDLCIds!$B$4:$C$1001,2,FALSE))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IF(ISNA(VLOOKUP(D703,ConstDLCIds!$B$4:$C$1001,2,FALSE)),"",VLOOKUP(D703,ConstDLCIds!$B$4:$C$1001,2,FALSE))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IF(ISNA(VLOOKUP(D704,ConstDLCIds!$B$4:$C$1001,2,FALSE)),"",VLOOKUP(D704,ConstDLCIds!$B$4:$C$1001,2,FALSE))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IF(ISNA(VLOOKUP(D705,ConstDLCIds!$B$4:$C$1001,2,FALSE)),"",VLOOKUP(D705,ConstDLCIds!$B$4:$C$1001,2,FALSE))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IF(ISNA(VLOOKUP(D706,ConstDLCIds!$B$4:$C$1001,2,FALSE)),"",VLOOKUP(D706,ConstDLCIds!$B$4:$C$1001,2,FALSE))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IF(ISNA(VLOOKUP(D707,ConstDLCIds!$B$4:$C$1001,2,FALSE)),"",VLOOKUP(D707,ConstDLCIds!$B$4:$C$1001,2,FALSE))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IF(ISNA(VLOOKUP(D708,ConstDLCIds!$B$4:$C$1001,2,FALSE)),"",VLOOKUP(D708,ConstDLCIds!$B$4:$C$1001,2,FALSE))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IF(ISNA(VLOOKUP(D709,ConstDLCIds!$B$4:$C$1001,2,FALSE)),"",VLOOKUP(D709,ConstDLCIds!$B$4:$C$1001,2,FALSE))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IF(ISNA(VLOOKUP(D710,ConstDLCIds!$B$4:$C$1001,2,FALSE)),"",VLOOKUP(D710,ConstDLCIds!$B$4:$C$1001,2,FALSE))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IF(ISNA(VLOOKUP(D711,ConstDLCIds!$B$4:$C$1001,2,FALSE)),"",VLOOKUP(D711,ConstDLCIds!$B$4:$C$1001,2,FALSE))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IF(ISNA(VLOOKUP(D712,ConstDLCIds!$B$4:$C$1001,2,FALSE)),"",VLOOKUP(D712,ConstDLCIds!$B$4:$C$1001,2,FALSE))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IF(ISNA(VLOOKUP(D713,ConstDLCIds!$B$4:$C$1001,2,FALSE)),"",VLOOKUP(D713,ConstDLCIds!$B$4:$C$1001,2,FALSE))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IF(ISNA(VLOOKUP(D714,ConstDLCIds!$B$4:$C$1001,2,FALSE)),"",VLOOKUP(D714,ConstDLCIds!$B$4:$C$1001,2,FALSE))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IF(ISNA(VLOOKUP(D715,ConstDLCIds!$B$4:$C$1001,2,FALSE)),"",VLOOKUP(D715,ConstDLCIds!$B$4:$C$1001,2,FALSE))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IF(ISNA(VLOOKUP(D716,ConstDLCIds!$B$4:$C$1001,2,FALSE)),"",VLOOKUP(D716,ConstDLCIds!$B$4:$C$1001,2,FALSE))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IF(ISNA(VLOOKUP(D717,ConstDLCIds!$B$4:$C$1001,2,FALSE)),"",VLOOKUP(D717,ConstDLCIds!$B$4:$C$1001,2,FALSE))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IF(ISNA(VLOOKUP(D718,ConstDLCIds!$B$4:$C$1001,2,FALSE)),"",VLOOKUP(D718,ConstDLCIds!$B$4:$C$1001,2,FALSE))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IF(ISNA(VLOOKUP(D719,ConstDLCIds!$B$4:$C$1001,2,FALSE)),"",VLOOKUP(D719,ConstDLCIds!$B$4:$C$1001,2,FALSE))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IF(ISNA(VLOOKUP(D720,ConstDLCIds!$B$4:$C$1001,2,FALSE)),"",VLOOKUP(D720,ConstDLCIds!$B$4:$C$1001,2,FALSE))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IF(ISNA(VLOOKUP(D721,ConstDLCIds!$B$4:$C$1001,2,FALSE)),"",VLOOKUP(D721,ConstDLCIds!$B$4:$C$1001,2,FALSE))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IF(ISNA(VLOOKUP(D722,ConstDLCIds!$B$4:$C$1001,2,FALSE)),"",VLOOKUP(D722,ConstDLCIds!$B$4:$C$1001,2,FALSE))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IF(ISNA(VLOOKUP(D723,ConstDLCIds!$B$4:$C$1001,2,FALSE)),"",VLOOKUP(D723,ConstDLCIds!$B$4:$C$1001,2,FALSE))</f>
        <v>Season 0</v>
      </c>
    </row>
    <row r="724" spans="1:5" x14ac:dyDescent="0.25">
      <c r="A724" s="1">
        <v>855</v>
      </c>
      <c r="B724" s="9" t="str">
        <f>VLOOKUP(A724,'Sets (lua data)'!$A$3:$C$9838,3,FALSE)</f>
        <v>Gorethief</v>
      </c>
      <c r="C724" s="9" t="str">
        <f>VLOOKUP(A724,'Sets (lua data)'!$A$3:$C$9838,2,FALSE)</f>
        <v>Blutdieb</v>
      </c>
      <c r="D724" t="s">
        <v>126</v>
      </c>
      <c r="E724" s="3" t="str">
        <f>IF(ISNA(VLOOKUP(D724,ConstDLCIds!$B$4:$C$1001,2,FALSE)),"",VLOOKUP(D724,ConstDLCIds!$B$4:$C$1001,2,FALSE))</f>
        <v>Season 0</v>
      </c>
    </row>
    <row r="725" spans="1:5" x14ac:dyDescent="0.25">
      <c r="A725" s="1">
        <v>854</v>
      </c>
      <c r="B725" s="9" t="str">
        <f>VLOOKUP(A725,'Sets (lua data)'!$A$3:$C$9838,3,FALSE)</f>
        <v>The Prowler\'s Talisman</v>
      </c>
      <c r="C725" s="9" t="str">
        <f>VLOOKUP(A725,'Sets (lua data)'!$A$3:$C$9838,2,FALSE)</f>
        <v>Vagabundentalisman</v>
      </c>
      <c r="D725" t="s">
        <v>129</v>
      </c>
      <c r="E725" s="3" t="str">
        <f>IF(ISNA(VLOOKUP(D725,ConstDLCIds!$B$4:$C$1001,2,FALSE)),"",VLOOKUP(D725,ConstDLCIds!$B$4:$C$1001,2,FALSE))</f>
        <v>Season 0 - Part 2</v>
      </c>
    </row>
    <row r="726" spans="1:5" x14ac:dyDescent="0.25">
      <c r="A726" s="99">
        <v>876</v>
      </c>
      <c r="B726" s="9" t="str">
        <f>VLOOKUP(A726,'Sets (lua data)'!$A$3:$C$9838,3,FALSE)</f>
        <v>Tarcyr</v>
      </c>
      <c r="C726" s="9" t="str">
        <f>VLOOKUP(A726,'Sets (lua data)'!$A$3:$C$9838,2,FALSE)</f>
        <v>Tarcyr</v>
      </c>
      <c r="D726" t="s">
        <v>4310</v>
      </c>
      <c r="E726" s="3" t="str">
        <f>IF(ISNA(VLOOKUP(D726,ConstDLCIds!$B$4:$C$1001,2,FALSE)),"",VLOOKUP(D726,ConstDLCIds!$B$4:$C$1001,2,FALSE))</f>
        <v>Season 2 - Part 0</v>
      </c>
    </row>
    <row r="727" spans="1:5" x14ac:dyDescent="0.25">
      <c r="A727" s="99">
        <v>877</v>
      </c>
      <c r="B727" s="9" t="str">
        <f>VLOOKUP(A727,'Sets (lua data)'!$A$3:$C$9838,3,FALSE)</f>
        <v>Mylenne Moon-Caller</v>
      </c>
      <c r="C727" s="9" t="str">
        <f>VLOOKUP(A727,'Sets (lua data)'!$A$3:$C$9838,2,FALSE)</f>
        <v>Mylenne Mondruferin</v>
      </c>
      <c r="D727" t="s">
        <v>4310</v>
      </c>
      <c r="E727" s="3" t="str">
        <f>IF(ISNA(VLOOKUP(D727,ConstDLCIds!$B$4:$C$1001,2,FALSE)),"",VLOOKUP(D727,ConstDLCIds!$B$4:$C$1001,2,FALSE))</f>
        <v>Season 2 - Part 0</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33" activePane="bottomRight" state="frozen"/>
      <selection pane="topRight"/>
      <selection pane="bottomLeft"/>
      <selection pane="bottomRight" activeCell="F46" sqref="F46"/>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7" t="s">
        <v>2129</v>
      </c>
      <c r="B1" s="107"/>
      <c r="C1" s="107"/>
      <c r="D1" s="107"/>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2130</v>
      </c>
      <c r="B2" s="6" t="s">
        <v>2131</v>
      </c>
      <c r="C2" s="25" t="s">
        <v>2132</v>
      </c>
      <c r="D2" s="3" t="s">
        <v>2133</v>
      </c>
      <c r="E2" s="13" t="s">
        <v>2134</v>
      </c>
      <c r="F2" s="3" t="s">
        <v>2135</v>
      </c>
      <c r="G2" s="13" t="s">
        <v>2136</v>
      </c>
      <c r="H2" s="3" t="s">
        <v>2137</v>
      </c>
      <c r="I2" s="13" t="s">
        <v>2138</v>
      </c>
      <c r="J2" s="13" t="s">
        <v>2139</v>
      </c>
      <c r="K2" s="13" t="s">
        <v>2140</v>
      </c>
      <c r="L2" s="13" t="s">
        <v>2141</v>
      </c>
      <c r="M2" s="13" t="s">
        <v>2142</v>
      </c>
      <c r="N2" s="13" t="s">
        <v>2143</v>
      </c>
      <c r="O2" s="13" t="s">
        <v>2144</v>
      </c>
      <c r="P2" s="13" t="s">
        <v>2145</v>
      </c>
      <c r="Q2" s="13" t="s">
        <v>2146</v>
      </c>
      <c r="R2" s="13" t="s">
        <v>2147</v>
      </c>
      <c r="S2" s="18" t="s">
        <v>2148</v>
      </c>
    </row>
    <row r="3" spans="1:60" x14ac:dyDescent="0.25">
      <c r="A3" s="7" t="s">
        <v>669</v>
      </c>
      <c r="B3" t="s">
        <v>1120</v>
      </c>
      <c r="C3" s="4" t="s">
        <v>7</v>
      </c>
      <c r="D3" s="3" t="str">
        <f>VLOOKUP(C3,ConstDLCIds!$B$3:$C$1000,2,FALSE)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VLOOKUP(C4,ConstDLCIds!$B$3:$C$1000,2,FALSE)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VLOOKUP(C5,ConstDLCIds!$B$3:$C$1000,2,FALSE)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VLOOKUP(C6,ConstDLCIds!$B$3:$C$1000,2,FALSE)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VLOOKUP(C7,ConstDLCIds!$B$3:$C$1000,2,FALSE)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VLOOKUP(C8,ConstDLCIds!$B$3:$C$1000,2,FALSE)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VLOOKUP(C9,ConstDLCIds!$B$3:$C$1000,2,FALSE)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VLOOKUP(C10,ConstDLCIds!$B$3:$C$1000,2,FALSE)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VLOOKUP(C11,ConstDLCIds!$B$3:$C$1000,2,FALSE)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VLOOKUP(C12,ConstDLCIds!$B$3:$C$1000,2,FALSE)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VLOOKUP(C13,ConstDLCIds!$B$3:$C$1000,2,FALSE)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VLOOKUP(C14,ConstDLCIds!$B$3:$C$1000,2,FALSE)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VLOOKUP(C15,ConstDLCIds!$B$3:$C$1000,2,FALSE)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VLOOKUP(C16,ConstDLCIds!$B$3:$C$1000,2,FALSE)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VLOOKUP(C17,ConstDLCIds!$B$3:$C$1000,2,FALSE)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VLOOKUP(C18,ConstDLCIds!$B$3:$C$1000,2,FALSE)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VLOOKUP(C19,ConstDLCIds!$B$3:$C$1000,2,FALSE)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VLOOKUP(C20,ConstDLCIds!$B$3:$C$1000,2,FALSE)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VLOOKUP(C21,ConstDLCIds!$B$3:$C$1000,2,FALSE)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VLOOKUP(C22,ConstDLCIds!$B$3:$C$1000,2,FALSE)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VLOOKUP(C23,ConstDLCIds!$B$3:$C$1000,2,FALSE)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VLOOKUP(C24,ConstDLCIds!$B$3:$C$1000,2,FALSE)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VLOOKUP(C25,ConstDLCIds!$B$3:$C$1000,2,FALSE)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VLOOKUP(C26,ConstDLCIds!$B$3:$C$1000,2,FALSE)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VLOOKUP(C27,ConstDLCIds!$B$3:$C$1000,2,FALSE)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VLOOKUP(C28,ConstDLCIds!$B$3:$C$1000,2,FALSE)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VLOOKUP(C29,ConstDLCIds!$B$3:$C$1000,2,FALSE)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VLOOKUP(C30,ConstDLCIds!$B$3:$C$1000,2,FALSE)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2149</v>
      </c>
      <c r="B31" t="s">
        <v>401</v>
      </c>
      <c r="C31" s="4" t="s">
        <v>114</v>
      </c>
      <c r="D31" s="3" t="str">
        <f>VLOOKUP(C31,ConstDLCIds!$B$3:$C$1000,2,FALSE)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VLOOKUP(C32,ConstDLCIds!$B$3:$C$1000,2,FALSE)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VLOOKUP(C33,ConstDLCIds!$B$3:$C$1000,2,FALSE)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VLOOKUP(C34,ConstDLCIds!$B$3:$C$1000,2,FALSE)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VLOOKUP(C35,ConstDLCIds!$B$3:$C$1000,2,FALSE)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VLOOKUP(C36,ConstDLCIds!$B$3:$C$1000,2,FALSE)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VLOOKUP(C37,ConstDLCIds!$B$3:$C$1000,2,FALSE)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VLOOKUP(C38,ConstDLCIds!$B$3:$C$1000,2,FALSE)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VLOOKUP(C39,ConstDLCIds!$B$3:$C$1000,2,FALSE)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VLOOKUP(C40,ConstDLCIds!$B$3:$C$1000,2,FALSE)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VLOOKUP(C41,ConstDLCIds!$B$3:$C$1000,2,FALSE)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VLOOKUP(C42,ConstDLCIds!$B$3:$C$1000,2,FALSE)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VLOOKUP(C43,ConstDLCIds!$B$3:$C$1000,2,FALSE)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2150</v>
      </c>
      <c r="B44" t="s">
        <v>401</v>
      </c>
      <c r="C44" s="4" t="s">
        <v>114</v>
      </c>
      <c r="D44" s="3" t="str">
        <f>VLOOKUP(C44,ConstDLCIds!$B$3:$C$1000,2,FALSE)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VLOOKUP(C45,ConstDLCIds!$B$3:$C$1000,2,FALSE)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VLOOKUP(C46,ConstDLCIds!$B$3:$C$1000,2,FALSE)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VLOOKUP(C47,ConstDLCIds!$B$3:$C$1000,2,FALSE)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VLOOKUP(C48,ConstDLCIds!$B$3:$C$1000,2,FALSE)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VLOOKUP(C49,ConstDLCIds!$B$3:$C$1000,2,FALSE)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VLOOKUP(C50,ConstDLCIds!$B$3:$C$1000,2,FALSE)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VLOOKUP(C51,ConstDLCIds!$B$3:$C$1000,2,FALSE)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VLOOKUP(C52,ConstDLCIds!$B$3:$C$1000,2,FALSE)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VLOOKUP(C53,ConstDLCIds!$B$3:$C$1000,2,FALSE)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VLOOKUP(C54,ConstDLCIds!$B$3:$C$1000,2,FALSE)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VLOOKUP(C55,ConstDLCIds!$B$3:$C$1000,2,FALSE)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VLOOKUP(C56,ConstDLCIds!$B$3:$C$1000,2,FALSE)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VLOOKUP(C57,ConstDLCIds!$B$3:$C$1000,2,FALSE)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VLOOKUP(C58,ConstDLCIds!$B$3:$C$1000,2,FALSE)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VLOOKUP(C59,ConstDLCIds!$B$3:$C$1000,2,FALSE)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VLOOKUP(C60,ConstDLCIds!$B$3:$C$1000,2,FALSE)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VLOOKUP(C61,ConstDLCIds!$B$3:$C$1000,2,FALSE)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VLOOKUP(C62,ConstDLCIds!$B$3:$C$1000,2,FALSE)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VLOOKUP(C63,ConstDLCIds!$B$3:$C$1000,2,FALSE)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VLOOKUP(C64,ConstDLCIds!$B$3:$C$1000,2,FALSE)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VLOOKUP(C65,ConstDLCIds!$B$3:$C$1000,2,FALSE)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VLOOKUP(C66,ConstDLCIds!$B$3:$C$1000,2,FALSE)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VLOOKUP(C67,ConstDLCIds!$B$3:$C$1000,2,FALSE)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VLOOKUP(C68,ConstDLCIds!$B$3:$C$1000,2,FALSE)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VLOOKUP(C69,ConstDLCIds!$B$3:$C$1000,2,FALSE)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VLOOKUP(C70,ConstDLCIds!$B$3:$C$1000,2,FALSE)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VLOOKUP(C71,ConstDLCIds!$B$3:$C$1000,2,FALSE)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VLOOKUP(C72,ConstDLCIds!$B$3:$C$1000,2,FALSE)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VLOOKUP(C73,ConstDLCIds!$B$3:$C$1000,2,FALSE)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VLOOKUP(C74,ConstDLCIds!$B$3:$C$1000,2,FALSE)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0" t="s">
        <v>126</v>
      </c>
      <c r="D75" s="3" t="str">
        <f>VLOOKUP(C75,ConstDLCIds!$B$3:$C$1000,2,FALSE)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2151</v>
      </c>
      <c r="B1" s="11" t="s">
        <v>2152</v>
      </c>
      <c r="C1" s="11" t="s">
        <v>2153</v>
      </c>
      <c r="D1" s="11" t="s">
        <v>2154</v>
      </c>
      <c r="E1" s="11" t="s">
        <v>2155</v>
      </c>
      <c r="F1" s="11" t="s">
        <v>2156</v>
      </c>
      <c r="G1" s="11" t="s">
        <v>2157</v>
      </c>
      <c r="H1" s="11" t="s">
        <v>2158</v>
      </c>
      <c r="I1" s="11" t="s">
        <v>2159</v>
      </c>
      <c r="J1" s="11" t="s">
        <v>2160</v>
      </c>
      <c r="K1" s="11" t="s">
        <v>2161</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2149</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2150</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2162</v>
      </c>
      <c r="C61" t="s">
        <v>2162</v>
      </c>
      <c r="D61" t="s">
        <v>2162</v>
      </c>
      <c r="E61" t="s">
        <v>2162</v>
      </c>
      <c r="F61" t="s">
        <v>2162</v>
      </c>
      <c r="G61" t="s">
        <v>2162</v>
      </c>
      <c r="H61" t="s">
        <v>2162</v>
      </c>
      <c r="I61" t="s">
        <v>2162</v>
      </c>
      <c r="J61" t="s">
        <v>2162</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8" t="s">
        <v>2163</v>
      </c>
      <c r="B1" s="108"/>
      <c r="C1" s="108"/>
      <c r="D1" s="108"/>
      <c r="E1" s="108"/>
    </row>
    <row r="2" spans="1:11" s="6" customFormat="1" x14ac:dyDescent="0.25">
      <c r="A2" s="6" t="s">
        <v>2164</v>
      </c>
      <c r="B2" s="6" t="s">
        <v>2165</v>
      </c>
      <c r="C2" s="6" t="s">
        <v>2166</v>
      </c>
      <c r="D2" s="6" t="s">
        <v>2167</v>
      </c>
      <c r="E2" s="6" t="s">
        <v>2168</v>
      </c>
      <c r="F2" s="6" t="s">
        <v>2169</v>
      </c>
      <c r="G2" s="6" t="s">
        <v>2170</v>
      </c>
      <c r="H2" s="6" t="s">
        <v>2171</v>
      </c>
      <c r="I2" s="6" t="s">
        <v>2172</v>
      </c>
      <c r="J2" s="6" t="s">
        <v>2173</v>
      </c>
      <c r="K2" s="18" t="s">
        <v>2148</v>
      </c>
    </row>
    <row r="3" spans="1:11" x14ac:dyDescent="0.25">
      <c r="A3">
        <v>124</v>
      </c>
      <c r="B3">
        <v>20</v>
      </c>
      <c r="C3">
        <v>383</v>
      </c>
      <c r="D3" t="s">
        <v>2174</v>
      </c>
      <c r="E3" t="s">
        <v>451</v>
      </c>
      <c r="F3">
        <v>124</v>
      </c>
      <c r="G3">
        <v>383</v>
      </c>
      <c r="H3">
        <v>0</v>
      </c>
      <c r="I3" t="str">
        <f>VLOOKUP(H3,ConstDLCIds!$A$4:$B$1000,2,FALSE)</f>
        <v>DLC_BASE_GAME</v>
      </c>
      <c r="J3" t="str">
        <f>VLOOKUP(H3,ConstDLCIds!$A$4:$C$1000,3,FALSE)</f>
        <v>Included in base game</v>
      </c>
      <c r="K3" s="18" t="str">
        <f t="shared" ref="K3:K38" si="0">"["&amp;A3&amp;"]={parentZoneId="&amp;C3&amp;", DLCID="&amp;I3&amp;"},   --"&amp;D3</f>
        <v>[124]={parentZoneId=383, DLCID=DLC_BASE_GAME},   --Root Sunder Ruins</v>
      </c>
    </row>
    <row r="4" spans="1:11" x14ac:dyDescent="0.25">
      <c r="A4">
        <v>134</v>
      </c>
      <c r="B4">
        <v>24</v>
      </c>
      <c r="C4">
        <v>117</v>
      </c>
      <c r="D4" t="s">
        <v>2175</v>
      </c>
      <c r="E4" t="s">
        <v>506</v>
      </c>
      <c r="F4">
        <v>134</v>
      </c>
      <c r="G4">
        <v>117</v>
      </c>
      <c r="H4">
        <v>0</v>
      </c>
      <c r="I4" t="str">
        <f>VLOOKUP(H4,ConstDLCIds!$A$4:$B$1000,2,FALSE)</f>
        <v>DLC_BASE_GAME</v>
      </c>
      <c r="J4" t="str">
        <f>VLOOKUP(H4,ConstDLCIds!$A$4:$C$1000,3,FALSE)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VLOOKUP(H5,ConstDLCIds!$A$4:$B$1000,2,FALSE)</f>
        <v>DLC_BASE_GAME</v>
      </c>
      <c r="J5" t="str">
        <f>VLOOKUP(H5,ConstDLCIds!$A$4:$C$1000,3,FALSE)</f>
        <v>Included in base game</v>
      </c>
      <c r="K5" s="18" t="str">
        <f t="shared" si="0"/>
        <v>[137]={parentZoneId=108, DLCID=DLC_BASE_GAME},   --Rulanyil's Fall</v>
      </c>
    </row>
    <row r="6" spans="1:11" x14ac:dyDescent="0.25">
      <c r="A6">
        <v>138</v>
      </c>
      <c r="B6">
        <v>26</v>
      </c>
      <c r="C6">
        <v>58</v>
      </c>
      <c r="D6" t="s">
        <v>2176</v>
      </c>
      <c r="E6" t="s">
        <v>429</v>
      </c>
      <c r="F6">
        <v>138</v>
      </c>
      <c r="G6">
        <v>58</v>
      </c>
      <c r="H6">
        <v>0</v>
      </c>
      <c r="I6" t="str">
        <f>VLOOKUP(H6,ConstDLCIds!$A$4:$B$1000,2,FALSE)</f>
        <v>DLC_BASE_GAME</v>
      </c>
      <c r="J6" t="str">
        <f>VLOOKUP(H6,ConstDLCIds!$A$4:$C$1000,3,FALSE)</f>
        <v>Included in base game</v>
      </c>
      <c r="K6" s="18" t="str">
        <f t="shared" si="0"/>
        <v>[138]={parentZoneId=58, DLCID=DLC_BASE_GAME},   --Crimson Cove</v>
      </c>
    </row>
    <row r="7" spans="1:11" x14ac:dyDescent="0.25">
      <c r="A7">
        <v>142</v>
      </c>
      <c r="B7">
        <v>27</v>
      </c>
      <c r="C7">
        <v>19</v>
      </c>
      <c r="D7" t="s">
        <v>2177</v>
      </c>
      <c r="E7" t="s">
        <v>413</v>
      </c>
      <c r="F7">
        <v>142</v>
      </c>
      <c r="G7">
        <v>19</v>
      </c>
      <c r="H7">
        <v>0</v>
      </c>
      <c r="I7" t="str">
        <f>VLOOKUP(H7,ConstDLCIds!$A$4:$B$1000,2,FALSE)</f>
        <v>DLC_BASE_GAME</v>
      </c>
      <c r="J7" t="str">
        <f>VLOOKUP(H7,ConstDLCIds!$A$4:$C$1000,3,FALSE)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VLOOKUP(H8,ConstDLCIds!$A$4:$B$1000,2,FALSE)</f>
        <v>DLC_BASE_GAME</v>
      </c>
      <c r="J8" t="str">
        <f>VLOOKUP(H8,ConstDLCIds!$A$4:$C$1000,3,FALSE)</f>
        <v>Included in base game</v>
      </c>
      <c r="K8" s="18" t="str">
        <f t="shared" si="0"/>
        <v>[162]={parentZoneId=20, DLCID=DLC_BASE_GAME},   --Obsidian Scar</v>
      </c>
    </row>
    <row r="9" spans="1:11" x14ac:dyDescent="0.25">
      <c r="A9">
        <v>169</v>
      </c>
      <c r="B9">
        <v>35</v>
      </c>
      <c r="C9">
        <v>92</v>
      </c>
      <c r="D9" t="s">
        <v>2178</v>
      </c>
      <c r="E9" t="s">
        <v>524</v>
      </c>
      <c r="F9">
        <v>169</v>
      </c>
      <c r="G9">
        <v>92</v>
      </c>
      <c r="H9">
        <v>0</v>
      </c>
      <c r="I9" t="str">
        <f>VLOOKUP(H9,ConstDLCIds!$A$4:$B$1000,2,FALSE)</f>
        <v>DLC_BASE_GAME</v>
      </c>
      <c r="J9" t="str">
        <f>VLOOKUP(H9,ConstDLCIds!$A$4:$C$1000,3,FALSE)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VLOOKUP(H10,ConstDLCIds!$A$4:$B$1000,2,FALSE)</f>
        <v>DLC_BASE_GAME</v>
      </c>
      <c r="J10" t="str">
        <f>VLOOKUP(H10,ConstDLCIds!$A$4:$C$1000,3,FALSE)</f>
        <v>Included in base game</v>
      </c>
      <c r="K10" s="18" t="str">
        <f t="shared" si="0"/>
        <v>[216]={parentZoneId=41, DLCID=DLC_BASE_GAME},   --Crow's Wood</v>
      </c>
    </row>
    <row r="11" spans="1:11" x14ac:dyDescent="0.25">
      <c r="A11">
        <v>284</v>
      </c>
      <c r="B11">
        <v>112</v>
      </c>
      <c r="C11">
        <v>3</v>
      </c>
      <c r="D11" t="s">
        <v>2179</v>
      </c>
      <c r="E11" t="s">
        <v>496</v>
      </c>
      <c r="F11">
        <v>284</v>
      </c>
      <c r="G11">
        <v>3</v>
      </c>
      <c r="H11">
        <v>0</v>
      </c>
      <c r="I11" t="str">
        <f>VLOOKUP(H11,ConstDLCIds!$A$4:$B$1000,2,FALSE)</f>
        <v>DLC_BASE_GAME</v>
      </c>
      <c r="J11" t="str">
        <f>VLOOKUP(H11,ConstDLCIds!$A$4:$C$1000,3,FALSE)</f>
        <v>Included in base game</v>
      </c>
      <c r="K11" s="18" t="str">
        <f t="shared" si="0"/>
        <v>[284]={parentZoneId=3, DLCID=DLC_BASE_GAME},   --Bad Man's Hallows</v>
      </c>
    </row>
    <row r="12" spans="1:11" x14ac:dyDescent="0.25">
      <c r="A12">
        <v>306</v>
      </c>
      <c r="B12">
        <v>119</v>
      </c>
      <c r="C12">
        <v>57</v>
      </c>
      <c r="D12" t="s">
        <v>2180</v>
      </c>
      <c r="E12" t="s">
        <v>436</v>
      </c>
      <c r="F12">
        <v>306</v>
      </c>
      <c r="G12">
        <v>57</v>
      </c>
      <c r="H12">
        <v>0</v>
      </c>
      <c r="I12" t="str">
        <f>VLOOKUP(H12,ConstDLCIds!$A$4:$B$1000,2,FALSE)</f>
        <v>DLC_BASE_GAME</v>
      </c>
      <c r="J12" t="str">
        <f>VLOOKUP(H12,ConstDLCIds!$A$4:$C$1000,3,FALSE)</f>
        <v>Included in base game</v>
      </c>
      <c r="K12" s="18" t="str">
        <f t="shared" si="0"/>
        <v>[306]={parentZoneId=57, DLCID=DLC_BASE_GAME},   --Forgotten Crypts</v>
      </c>
    </row>
    <row r="13" spans="1:11" x14ac:dyDescent="0.25">
      <c r="A13">
        <v>308</v>
      </c>
      <c r="B13">
        <v>120</v>
      </c>
      <c r="C13">
        <v>104</v>
      </c>
      <c r="D13" t="s">
        <v>2181</v>
      </c>
      <c r="E13" t="s">
        <v>442</v>
      </c>
      <c r="F13">
        <v>308</v>
      </c>
      <c r="G13">
        <v>104</v>
      </c>
      <c r="H13">
        <v>0</v>
      </c>
      <c r="I13" t="str">
        <f>VLOOKUP(H13,ConstDLCIds!$A$4:$B$1000,2,FALSE)</f>
        <v>DLC_BASE_GAME</v>
      </c>
      <c r="J13" t="str">
        <f>VLOOKUP(H13,ConstDLCIds!$A$4:$C$1000,3,FALSE)</f>
        <v>Included in base game</v>
      </c>
      <c r="K13" s="18" t="str">
        <f t="shared" si="0"/>
        <v>[308]={parentZoneId=104, DLCID=DLC_BASE_GAME},   --Lost City of the Na-Totambu</v>
      </c>
    </row>
    <row r="14" spans="1:11" x14ac:dyDescent="0.25">
      <c r="A14">
        <v>339</v>
      </c>
      <c r="B14">
        <v>151</v>
      </c>
      <c r="C14">
        <v>101</v>
      </c>
      <c r="D14" t="s">
        <v>2182</v>
      </c>
      <c r="E14" t="s">
        <v>409</v>
      </c>
      <c r="F14">
        <v>339</v>
      </c>
      <c r="G14">
        <v>101</v>
      </c>
      <c r="H14">
        <v>0</v>
      </c>
      <c r="I14" t="str">
        <f>VLOOKUP(H14,ConstDLCIds!$A$4:$B$1000,2,FALSE)</f>
        <v>DLC_BASE_GAME</v>
      </c>
      <c r="J14" t="str">
        <f>VLOOKUP(H14,ConstDLCIds!$A$4:$C$1000,3,FALSE)</f>
        <v>Included in base game</v>
      </c>
      <c r="K14" s="18" t="str">
        <f t="shared" si="0"/>
        <v>[339]={parentZoneId=101, DLCID=DLC_BASE_GAME},   --Hall of the Dead</v>
      </c>
    </row>
    <row r="15" spans="1:11" x14ac:dyDescent="0.25">
      <c r="A15">
        <v>341</v>
      </c>
      <c r="B15">
        <v>152</v>
      </c>
      <c r="C15">
        <v>103</v>
      </c>
      <c r="D15" t="s">
        <v>2183</v>
      </c>
      <c r="E15" t="s">
        <v>406</v>
      </c>
      <c r="F15">
        <v>341</v>
      </c>
      <c r="G15">
        <v>103</v>
      </c>
      <c r="H15">
        <v>0</v>
      </c>
      <c r="I15" t="str">
        <f>VLOOKUP(H15,ConstDLCIds!$A$4:$B$1000,2,FALSE)</f>
        <v>DLC_BASE_GAME</v>
      </c>
      <c r="J15" t="str">
        <f>VLOOKUP(H15,ConstDLCIds!$A$4:$C$1000,3,FALSE)</f>
        <v>Included in base game</v>
      </c>
      <c r="K15" s="18" t="str">
        <f t="shared" si="0"/>
        <v>[341]={parentZoneId=103, DLCID=DLC_BASE_GAME},   --The Lion's Den</v>
      </c>
    </row>
    <row r="16" spans="1:11" x14ac:dyDescent="0.25">
      <c r="A16">
        <v>486</v>
      </c>
      <c r="B16">
        <v>267</v>
      </c>
      <c r="C16">
        <v>381</v>
      </c>
      <c r="D16" t="s">
        <v>2184</v>
      </c>
      <c r="E16" t="s">
        <v>439</v>
      </c>
      <c r="F16">
        <v>486</v>
      </c>
      <c r="G16">
        <v>381</v>
      </c>
      <c r="H16">
        <v>0</v>
      </c>
      <c r="I16" t="str">
        <f>VLOOKUP(H16,ConstDLCIds!$A$4:$B$1000,2,FALSE)</f>
        <v>DLC_BASE_GAME</v>
      </c>
      <c r="J16" t="str">
        <f>VLOOKUP(H16,ConstDLCIds!$A$4:$C$1000,3,FALSE)</f>
        <v>Included in base game</v>
      </c>
      <c r="K16" s="18" t="str">
        <f t="shared" si="0"/>
        <v>[486]={parentZoneId=381, DLCID=DLC_BASE_GAME},   --Toothmaul Gully</v>
      </c>
    </row>
    <row r="17" spans="1:11" x14ac:dyDescent="0.25">
      <c r="A17">
        <v>487</v>
      </c>
      <c r="B17">
        <v>268</v>
      </c>
      <c r="C17">
        <v>382</v>
      </c>
      <c r="D17" t="s">
        <v>2185</v>
      </c>
      <c r="E17" t="s">
        <v>568</v>
      </c>
      <c r="F17">
        <v>487</v>
      </c>
      <c r="G17">
        <v>382</v>
      </c>
      <c r="H17">
        <v>0</v>
      </c>
      <c r="I17" t="str">
        <f>VLOOKUP(H17,ConstDLCIds!$A$4:$B$1000,2,FALSE)</f>
        <v>DLC_BASE_GAME</v>
      </c>
      <c r="J17" t="str">
        <f>VLOOKUP(H17,ConstDLCIds!$A$4:$C$1000,3,FALSE)</f>
        <v>Included in base game</v>
      </c>
      <c r="K17" s="18" t="str">
        <f t="shared" si="0"/>
        <v>[487]={parentZoneId=382, DLCID=DLC_BASE_GAME},   --The Vile Manse</v>
      </c>
    </row>
    <row r="18" spans="1:11" x14ac:dyDescent="0.25">
      <c r="A18">
        <v>557</v>
      </c>
      <c r="B18">
        <v>323</v>
      </c>
      <c r="C18">
        <v>347</v>
      </c>
      <c r="D18" t="s">
        <v>2186</v>
      </c>
      <c r="E18" t="s">
        <v>423</v>
      </c>
      <c r="F18">
        <v>557</v>
      </c>
      <c r="G18">
        <v>347</v>
      </c>
      <c r="H18">
        <v>0</v>
      </c>
      <c r="I18" t="str">
        <f>VLOOKUP(H18,ConstDLCIds!$A$4:$B$1000,2,FALSE)</f>
        <v>DLC_BASE_GAME</v>
      </c>
      <c r="J18" t="str">
        <f>VLOOKUP(H18,ConstDLCIds!$A$4:$C$1000,3,FALSE)</f>
        <v>Included in base game</v>
      </c>
      <c r="K18" s="18" t="str">
        <f t="shared" si="0"/>
        <v>[557]={parentZoneId=347, DLCID=DLC_BASE_GAME},   --Village of the Lost</v>
      </c>
    </row>
    <row r="19" spans="1:11" x14ac:dyDescent="0.25">
      <c r="A19">
        <v>705</v>
      </c>
      <c r="B19">
        <v>395</v>
      </c>
      <c r="C19">
        <v>684</v>
      </c>
      <c r="D19" t="s">
        <v>2187</v>
      </c>
      <c r="E19" t="s">
        <v>816</v>
      </c>
      <c r="F19">
        <v>705</v>
      </c>
      <c r="G19">
        <v>684</v>
      </c>
      <c r="H19">
        <v>2</v>
      </c>
      <c r="I19" t="str">
        <f ca="1">VLOOKUP(H19,ConstDLCIds!$A$4:$B$1000,2,FALSE)</f>
        <v>DLC_ORSINIUM</v>
      </c>
      <c r="J19" t="str">
        <f ca="1">VLOOKUP(H19,ConstDLCIds!$A$4:$C$1000,3,FALSE)</f>
        <v>Orsinium</v>
      </c>
      <c r="K19" s="18" t="str">
        <f t="shared" ca="1" si="0"/>
        <v>[705]={parentZoneId=684, DLCID=DLC_ORSINIUM},   --Rkindaleft</v>
      </c>
    </row>
    <row r="20" spans="1:11" x14ac:dyDescent="0.25">
      <c r="A20">
        <v>706</v>
      </c>
      <c r="B20">
        <v>396</v>
      </c>
      <c r="C20">
        <v>684</v>
      </c>
      <c r="D20" t="s">
        <v>2188</v>
      </c>
      <c r="E20" t="s">
        <v>816</v>
      </c>
      <c r="F20">
        <v>706</v>
      </c>
      <c r="G20">
        <v>684</v>
      </c>
      <c r="H20">
        <v>2</v>
      </c>
      <c r="I20" t="str">
        <f ca="1">VLOOKUP(H20,ConstDLCIds!$A$4:$B$1000,2,FALSE)</f>
        <v>DLC_ORSINIUM</v>
      </c>
      <c r="J20" t="str">
        <f ca="1">VLOOKUP(H20,ConstDLCIds!$A$4:$C$1000,3,FALSE)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VLOOKUP(H21,ConstDLCIds!$A$4:$B$1000,2,FALSE)</f>
        <v>DLC_MORROWIND</v>
      </c>
      <c r="J21" t="str">
        <f ca="1">VLOOKUP(H21,ConstDLCIds!$A$4:$C$1000,3,FALSE)</f>
        <v>Morrowind</v>
      </c>
      <c r="K21" s="18" t="str">
        <f t="shared" ca="1" si="0"/>
        <v>[918]={parentZoneId=849, DLCID=DLC_MORROWIND},   --Nchuleftingth</v>
      </c>
    </row>
    <row r="22" spans="1:11" x14ac:dyDescent="0.25">
      <c r="A22">
        <v>919</v>
      </c>
      <c r="B22">
        <v>530</v>
      </c>
      <c r="C22">
        <v>849</v>
      </c>
      <c r="D22" t="s">
        <v>2189</v>
      </c>
      <c r="E22" t="s">
        <v>1037</v>
      </c>
      <c r="F22">
        <v>919</v>
      </c>
      <c r="G22">
        <v>849</v>
      </c>
      <c r="H22">
        <v>6</v>
      </c>
      <c r="I22" t="str">
        <f ca="1">VLOOKUP(H22,ConstDLCIds!$A$4:$B$1000,2,FALSE)</f>
        <v>DLC_MORROWIND</v>
      </c>
      <c r="J22" t="str">
        <f ca="1">VLOOKUP(H22,ConstDLCIds!$A$4:$C$1000,3,FALSE)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VLOOKUP(H23,ConstDLCIds!$A$4:$B$1000,2,FALSE)</f>
        <v>DLC_SUMMERSET</v>
      </c>
      <c r="J23" t="str">
        <f ca="1">VLOOKUP(H23,ConstDLCIds!$A$4:$C$1000,3,FALSE)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VLOOKUP(H24,ConstDLCIds!$A$4:$B$1000,2,FALSE)</f>
        <v>DLC_SUMMERSET</v>
      </c>
      <c r="J24" t="str">
        <f ca="1">VLOOKUP(H24,ConstDLCIds!$A$4:$C$1000,3,FALSE)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VLOOKUP(H25,ConstDLCIds!$A$4:$B$1000,2,FALSE)</f>
        <v>DLC_ELSWEYR</v>
      </c>
      <c r="J25" t="str">
        <f ca="1">VLOOKUP(H25,ConstDLCIds!$A$4:$C$1000,3,FALSE)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VLOOKUP(H26,ConstDLCIds!$A$4:$B$1000,2,FALSE)</f>
        <v>DLC_ELSWEYR</v>
      </c>
      <c r="J26" t="str">
        <f ca="1">VLOOKUP(H26,ConstDLCIds!$A$4:$C$1000,3,FALSE)</f>
        <v>Elsweyr</v>
      </c>
      <c r="K26" s="18" t="str">
        <f t="shared" ca="1" si="0"/>
        <v>[1090]={parentZoneId=1086, DLCID=DLC_ELSWEYR},   --Orcrest</v>
      </c>
    </row>
    <row r="27" spans="1:11" x14ac:dyDescent="0.25">
      <c r="A27">
        <v>1186</v>
      </c>
      <c r="B27">
        <v>766</v>
      </c>
      <c r="C27">
        <v>1160</v>
      </c>
      <c r="D27" t="s">
        <v>2190</v>
      </c>
      <c r="E27" t="s">
        <v>1372</v>
      </c>
      <c r="F27">
        <v>1186</v>
      </c>
      <c r="G27">
        <v>1160</v>
      </c>
      <c r="H27">
        <v>18</v>
      </c>
      <c r="I27" t="str">
        <f ca="1">VLOOKUP(H27,ConstDLCIds!$A$4:$B$1000,2,FALSE)</f>
        <v>DLC_GREYMOOR</v>
      </c>
      <c r="J27" t="str">
        <f ca="1">VLOOKUP(H27,ConstDLCIds!$A$4:$C$1000,3,FALSE)</f>
        <v>Greymoor</v>
      </c>
      <c r="K27" s="18" t="str">
        <f t="shared" ca="1" si="0"/>
        <v>[1186]={parentZoneId=1160, DLCID=DLC_GREYMOOR},   --Labyrinthian</v>
      </c>
    </row>
    <row r="28" spans="1:11" x14ac:dyDescent="0.25">
      <c r="A28">
        <v>1187</v>
      </c>
      <c r="B28">
        <v>767</v>
      </c>
      <c r="C28">
        <v>1161</v>
      </c>
      <c r="D28" t="s">
        <v>2191</v>
      </c>
      <c r="E28" t="s">
        <v>2192</v>
      </c>
      <c r="F28">
        <v>1187</v>
      </c>
      <c r="G28">
        <v>1161</v>
      </c>
      <c r="H28">
        <v>18</v>
      </c>
      <c r="I28" t="str">
        <f ca="1">VLOOKUP(H28,ConstDLCIds!$A$4:$B$1000,2,FALSE)</f>
        <v>DLC_GREYMOOR</v>
      </c>
      <c r="J28" t="str">
        <f ca="1">VLOOKUP(H28,ConstDLCIds!$A$4:$C$1000,3,FALSE)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VLOOKUP(H29,ConstDLCIds!$A$4:$B$1000,2,FALSE)</f>
        <v>DLC_BLACKWOOD</v>
      </c>
      <c r="J29" t="str">
        <f ca="1">VLOOKUP(H29,ConstDLCIds!$A$4:$C$1000,3,FALSE)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VLOOKUP(H30,ConstDLCIds!$A$4:$B$1000,2,FALSE)</f>
        <v>DLC_BLACKWOOD</v>
      </c>
      <c r="J30" t="str">
        <f ca="1">VLOOKUP(H30,ConstDLCIds!$A$4:$C$1000,3,FALSE)</f>
        <v>Blackwood</v>
      </c>
      <c r="K30" s="18" t="str">
        <f t="shared" ca="1" si="0"/>
        <v>[1260]={parentZoneId=1261, DLCID=DLC_BLACKWOOD},   --The Silent Halls</v>
      </c>
    </row>
    <row r="31" spans="1:11" x14ac:dyDescent="0.25">
      <c r="A31" s="32">
        <v>1310</v>
      </c>
      <c r="B31" s="32">
        <v>876</v>
      </c>
      <c r="C31" s="32">
        <v>1286</v>
      </c>
      <c r="D31" s="32" t="s">
        <v>2193</v>
      </c>
      <c r="E31" s="32" t="s">
        <v>80</v>
      </c>
      <c r="F31">
        <v>1310</v>
      </c>
      <c r="G31">
        <v>1286</v>
      </c>
      <c r="H31">
        <v>24</v>
      </c>
      <c r="I31" t="str">
        <f ca="1">VLOOKUP(H31,ConstDLCIds!$A$4:$B$1000,2,FALSE)</f>
        <v>DLC_DEADLANDS</v>
      </c>
      <c r="J31" t="str">
        <f ca="1">VLOOKUP(H31,ConstDLCIds!$A$4:$C$1000,3,FALSE)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VLOOKUP(H32,ConstDLCIds!$A$4:$B$1000,2,FALSE)</f>
        <v>DLC_HIGH_ISLE</v>
      </c>
      <c r="J32" t="str">
        <f ca="1">VLOOKUP(H32,ConstDLCIds!$A$4:$C$1000,3,FALSE)</f>
        <v>High Isle</v>
      </c>
      <c r="K32" s="18" t="str">
        <f t="shared" ca="1" si="0"/>
        <v>[1337]={parentZoneId=1318, DLCID=DLC_HIGH_ISLE},   --Spire of the Crimson Coin</v>
      </c>
    </row>
    <row r="33" spans="1:11" x14ac:dyDescent="0.25">
      <c r="A33">
        <v>1338</v>
      </c>
      <c r="B33">
        <v>901</v>
      </c>
      <c r="C33">
        <v>1318</v>
      </c>
      <c r="D33" t="s">
        <v>2194</v>
      </c>
      <c r="E33" t="s">
        <v>86</v>
      </c>
      <c r="F33">
        <v>1338</v>
      </c>
      <c r="G33">
        <v>1318</v>
      </c>
      <c r="H33">
        <v>26</v>
      </c>
      <c r="I33" t="str">
        <f ca="1">VLOOKUP(H33,ConstDLCIds!$A$4:$B$1000,2,FALSE)</f>
        <v>DLC_HIGH_ISLE</v>
      </c>
      <c r="J33" t="str">
        <f ca="1">VLOOKUP(H33,ConstDLCIds!$A$4:$C$1000,3,FALSE)</f>
        <v>High Isle</v>
      </c>
      <c r="K33" s="18" t="str">
        <f t="shared" ca="1" si="0"/>
        <v>[1338]={parentZoneId=1318, DLCID=DLC_HIGH_ISLE},   --Ghost Haven Bay</v>
      </c>
    </row>
    <row r="34" spans="1:11" x14ac:dyDescent="0.25">
      <c r="A34">
        <v>1415</v>
      </c>
      <c r="B34">
        <v>959</v>
      </c>
      <c r="C34">
        <v>1414</v>
      </c>
      <c r="D34" t="s">
        <v>2195</v>
      </c>
      <c r="E34" t="s">
        <v>1881</v>
      </c>
      <c r="F34">
        <v>1415</v>
      </c>
      <c r="G34">
        <v>1414</v>
      </c>
      <c r="H34">
        <v>30</v>
      </c>
      <c r="I34" t="str">
        <f ca="1">VLOOKUP(H34,ConstDLCIds!$A$4:$B$1000,2,FALSE)</f>
        <v>DLC_NECROM</v>
      </c>
      <c r="J34" t="str">
        <f ca="1">VLOOKUP(H34,ConstDLCIds!$A$4:$C$1000,3,FALSE)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VLOOKUP(H35,ConstDLCIds!$A$4:$B$1000,2,FALSE)</f>
        <v>DLC_NECROM</v>
      </c>
      <c r="J35" t="str">
        <f ca="1">VLOOKUP(H35,ConstDLCIds!$A$4:$C$1000,3,FALSE)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VLOOKUP(H36,ConstDLCIds!$A$4:$B$1000,2,FALSE)</f>
        <v>DLC_GOLD_ROAD</v>
      </c>
      <c r="J36" t="str">
        <f ca="1">VLOOKUP(H36,ConstDLCIds!$A$4:$C$1000,3,FALSE)</f>
        <v>Gold Road</v>
      </c>
      <c r="K36" s="18" t="str">
        <f t="shared" ca="1" si="0"/>
        <v>[1466]={parentZoneId=1443, DLCID=DLC_GOLD_ROAD},   --Leftwheal Trading Post</v>
      </c>
    </row>
    <row r="37" spans="1:11" x14ac:dyDescent="0.25">
      <c r="A37">
        <v>1467</v>
      </c>
      <c r="B37">
        <v>1006</v>
      </c>
      <c r="C37">
        <v>1443</v>
      </c>
      <c r="D37" t="s">
        <v>2196</v>
      </c>
      <c r="E37" t="s">
        <v>1971</v>
      </c>
      <c r="F37">
        <v>1467</v>
      </c>
      <c r="G37">
        <v>1443</v>
      </c>
      <c r="H37">
        <v>34</v>
      </c>
      <c r="I37" t="str">
        <f ca="1">VLOOKUP(H37,ConstDLCIds!$A$4:$B$1000,2,FALSE)</f>
        <v>DLC_GOLD_ROAD</v>
      </c>
      <c r="J37" t="str">
        <f ca="1">VLOOKUP(H37,ConstDLCIds!$A$4:$C$1000,3,FALSE)</f>
        <v>Gold Road</v>
      </c>
      <c r="K37" s="18" t="str">
        <f t="shared" ca="1" si="0"/>
        <v>[1467]={parentZoneId=1443, DLCID=DLC_GOLD_ROAD},   --Silorn</v>
      </c>
    </row>
    <row r="38" spans="1:11" x14ac:dyDescent="0.25">
      <c r="A38">
        <v>1530</v>
      </c>
      <c r="B38">
        <v>1059</v>
      </c>
      <c r="C38">
        <v>1502</v>
      </c>
      <c r="D38" t="s">
        <v>2197</v>
      </c>
      <c r="E38" t="s">
        <v>2036</v>
      </c>
      <c r="F38">
        <v>1530</v>
      </c>
      <c r="G38">
        <v>1502</v>
      </c>
      <c r="H38">
        <v>40</v>
      </c>
      <c r="I38" t="str">
        <f ca="1">VLOOKUP(H38,ConstDLCIds!$A$4:$B$1000,2,FALSE)</f>
        <v>DLC_SEASONS_OF_THE_WORMCULT2</v>
      </c>
      <c r="J38" t="str">
        <f ca="1">VLOOKUP(H38,ConstDLCIds!$A$4:$C$1000,3,FALSE)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098"/>
  <sheetViews>
    <sheetView zoomScale="85" workbookViewId="0">
      <pane xSplit="3" ySplit="2" topLeftCell="D1068" activePane="bottomRight" state="frozen"/>
      <selection pane="topRight"/>
      <selection pane="bottomLeft"/>
      <selection pane="bottomRight" activeCell="G1091" sqref="G1091"/>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09" t="s">
        <v>4306</v>
      </c>
      <c r="B1" s="109"/>
      <c r="C1" s="109"/>
      <c r="D1" s="109"/>
      <c r="E1" s="109"/>
      <c r="F1" s="109"/>
      <c r="G1" s="109"/>
      <c r="H1" s="109"/>
      <c r="I1" s="109"/>
      <c r="J1" s="109"/>
      <c r="K1" s="109"/>
      <c r="L1" s="110"/>
    </row>
    <row r="2" spans="1:13" ht="90" x14ac:dyDescent="0.25">
      <c r="A2" s="1" t="s">
        <v>2164</v>
      </c>
      <c r="B2" s="1" t="s">
        <v>2165</v>
      </c>
      <c r="C2" s="1" t="s">
        <v>2166</v>
      </c>
      <c r="D2" s="3" t="s">
        <v>2167</v>
      </c>
      <c r="E2" s="3" t="s">
        <v>2198</v>
      </c>
      <c r="F2" s="3" t="s">
        <v>2199</v>
      </c>
      <c r="G2" s="3" t="s">
        <v>2168</v>
      </c>
      <c r="H2" s="13" t="s">
        <v>2169</v>
      </c>
      <c r="I2" s="13" t="s">
        <v>2170</v>
      </c>
      <c r="J2" s="6" t="s">
        <v>2171</v>
      </c>
      <c r="K2" s="3" t="s">
        <v>2172</v>
      </c>
      <c r="L2" s="3" t="s">
        <v>2173</v>
      </c>
    </row>
    <row r="3" spans="1:13" x14ac:dyDescent="0.25">
      <c r="A3" s="94">
        <v>-99</v>
      </c>
      <c r="B3" s="97" t="s">
        <v>4307</v>
      </c>
      <c r="C3" s="69"/>
      <c r="D3" s="65" t="s">
        <v>2200</v>
      </c>
      <c r="E3" s="65"/>
      <c r="F3" s="65" t="s">
        <v>1122</v>
      </c>
      <c r="G3" s="65" t="s">
        <v>2200</v>
      </c>
      <c r="H3" s="66">
        <v>-99</v>
      </c>
      <c r="I3" s="66">
        <v>-99</v>
      </c>
      <c r="J3" s="65">
        <v>0</v>
      </c>
      <c r="K3" s="36" t="str">
        <f>VLOOKUP(J3,ConstDLCIds!$A$4:$B$1000,2,FALSE)</f>
        <v>DLC_BASE_GAME</v>
      </c>
      <c r="L3" s="36" t="str">
        <f>VLOOKUP(J3,ConstDLCIds!$A$4:$C$1000,3,FALSE)</f>
        <v>Included in base game</v>
      </c>
      <c r="M3" s="98" t="s">
        <v>4308</v>
      </c>
    </row>
    <row r="4" spans="1:13" x14ac:dyDescent="0.25">
      <c r="A4" s="96">
        <v>-98</v>
      </c>
      <c r="B4" s="97" t="s">
        <v>4307</v>
      </c>
      <c r="C4" s="71"/>
      <c r="D4" s="72" t="s">
        <v>2201</v>
      </c>
      <c r="E4" s="72"/>
      <c r="F4" s="72" t="s">
        <v>1122</v>
      </c>
      <c r="G4" s="72" t="s">
        <v>2202</v>
      </c>
      <c r="H4" s="73">
        <v>-98</v>
      </c>
      <c r="I4" s="73">
        <v>-98</v>
      </c>
      <c r="J4" s="72">
        <v>0</v>
      </c>
      <c r="K4" s="36" t="str">
        <f>VLOOKUP(J4,ConstDLCIds!$A$4:$B$1000,2,FALSE)</f>
        <v>DLC_BASE_GAME</v>
      </c>
      <c r="L4" s="36" t="str">
        <f>VLOOKUP(J4,ConstDLCIds!$A$4:$C$1000,3,FALSE)</f>
        <v>Included in base game</v>
      </c>
      <c r="M4" s="98" t="s">
        <v>4308</v>
      </c>
    </row>
    <row r="5" spans="1:13" x14ac:dyDescent="0.25">
      <c r="A5" s="95">
        <v>0</v>
      </c>
      <c r="B5" s="95">
        <v>4294967296</v>
      </c>
      <c r="C5" s="74">
        <v>0</v>
      </c>
      <c r="D5" s="75" t="s">
        <v>1684</v>
      </c>
      <c r="E5" s="76"/>
      <c r="F5" s="75" t="str">
        <f t="shared" ref="F5:F68" si="0">IF(EXACT(A5,C5),"X","")</f>
        <v>X</v>
      </c>
      <c r="G5" s="75" t="s">
        <v>1684</v>
      </c>
      <c r="H5" s="75">
        <f t="shared" ref="H5:H68" si="1">A5</f>
        <v>0</v>
      </c>
      <c r="I5" s="75">
        <f t="shared" ref="I5:I68" si="2">C5</f>
        <v>0</v>
      </c>
      <c r="J5" s="77">
        <v>0</v>
      </c>
      <c r="K5" s="36" t="str">
        <f>VLOOKUP(J5,ConstDLCIds!$A$4:$B$1000,2,FALSE)</f>
        <v>DLC_BASE_GAME</v>
      </c>
      <c r="L5" s="36" t="str">
        <f>VLOOKUP(J5,ConstDLCIds!$A$4:$C$1000,3,FALSE)</f>
        <v>Included in base game</v>
      </c>
      <c r="M5" s="98" t="s">
        <v>4308</v>
      </c>
    </row>
    <row r="6" spans="1:13" x14ac:dyDescent="0.25">
      <c r="A6">
        <v>2</v>
      </c>
      <c r="B6">
        <v>1</v>
      </c>
      <c r="C6">
        <v>2</v>
      </c>
      <c r="D6" t="s">
        <v>2203</v>
      </c>
      <c r="E6" t="str">
        <f>IF(NOT(ISERROR(VLOOKUP(D6,'ESO DungeonFinder'!$A$2:$A$999,1,FALSE))),"X","")</f>
        <v/>
      </c>
      <c r="F6" s="70" t="str">
        <f t="shared" si="0"/>
        <v>X</v>
      </c>
      <c r="G6" s="70" t="str">
        <f t="shared" ref="G6:G69" si="3">IF(A6&lt;&gt;C6,VLOOKUP(C6,$A$5:$D$9956,4,FALSE),"")</f>
        <v/>
      </c>
      <c r="H6" s="70">
        <f t="shared" si="1"/>
        <v>2</v>
      </c>
      <c r="I6" s="70">
        <f t="shared" si="2"/>
        <v>2</v>
      </c>
      <c r="J6">
        <v>0</v>
      </c>
      <c r="K6" s="3" t="str">
        <f>VLOOKUP(J6,ConstDLCIds!$A$4:$B$1000,2,FALSE)</f>
        <v>DLC_BASE_GAME</v>
      </c>
      <c r="L6" s="3" t="str">
        <f>VLOOKUP(J6,ConstDLCIds!$A$4:$C$1000,3,FALSE)</f>
        <v>Included in base game</v>
      </c>
    </row>
    <row r="7" spans="1:13" x14ac:dyDescent="0.25">
      <c r="A7">
        <v>3</v>
      </c>
      <c r="B7">
        <v>2</v>
      </c>
      <c r="C7">
        <v>3</v>
      </c>
      <c r="D7" t="s">
        <v>496</v>
      </c>
      <c r="E7" t="str">
        <f>IF(NOT(ISERROR(VLOOKUP(D7,'ESO DungeonFinder'!$A$2:$A$999,1,FALSE))),"X","")</f>
        <v/>
      </c>
      <c r="F7" s="70" t="str">
        <f t="shared" si="0"/>
        <v>X</v>
      </c>
      <c r="G7" s="70" t="str">
        <f t="shared" si="3"/>
        <v/>
      </c>
      <c r="H7" s="70">
        <f t="shared" si="1"/>
        <v>3</v>
      </c>
      <c r="I7" s="70">
        <f t="shared" si="2"/>
        <v>3</v>
      </c>
      <c r="J7">
        <v>0</v>
      </c>
      <c r="K7" s="3" t="str">
        <f>VLOOKUP(J7,ConstDLCIds!$A$4:$B$1000,2,FALSE)</f>
        <v>DLC_BASE_GAME</v>
      </c>
      <c r="L7" s="3" t="str">
        <f>VLOOKUP(J7,ConstDLCIds!$A$4:$C$1000,3,FALSE)</f>
        <v>Included in base game</v>
      </c>
    </row>
    <row r="8" spans="1:13" x14ac:dyDescent="0.25">
      <c r="A8">
        <v>11</v>
      </c>
      <c r="B8">
        <v>3</v>
      </c>
      <c r="C8">
        <v>347</v>
      </c>
      <c r="D8" t="s">
        <v>571</v>
      </c>
      <c r="E8" t="str">
        <f>IF(NOT(ISERROR(VLOOKUP(D8,'ESO DungeonFinder'!$A$2:$A$999,1,FALSE))),"X","")</f>
        <v>X</v>
      </c>
      <c r="F8" s="70" t="str">
        <f t="shared" si="0"/>
        <v/>
      </c>
      <c r="G8" s="70" t="str">
        <f t="shared" si="3"/>
        <v>Coldharbour</v>
      </c>
      <c r="H8" s="70">
        <f t="shared" si="1"/>
        <v>11</v>
      </c>
      <c r="I8" s="70">
        <f t="shared" si="2"/>
        <v>347</v>
      </c>
      <c r="J8">
        <v>0</v>
      </c>
      <c r="K8" s="3" t="str">
        <f>VLOOKUP(J8,ConstDLCIds!$A$4:$B$1000,2,FALSE)</f>
        <v>DLC_BASE_GAME</v>
      </c>
      <c r="L8" s="3" t="str">
        <f>VLOOKUP(J8,ConstDLCIds!$A$4:$C$1000,3,FALSE)</f>
        <v>Included in base game</v>
      </c>
    </row>
    <row r="9" spans="1:13" x14ac:dyDescent="0.25">
      <c r="A9">
        <v>19</v>
      </c>
      <c r="B9">
        <v>4</v>
      </c>
      <c r="C9">
        <v>19</v>
      </c>
      <c r="D9" t="s">
        <v>413</v>
      </c>
      <c r="E9" t="str">
        <f>IF(NOT(ISERROR(VLOOKUP(D9,'ESO DungeonFinder'!$A$2:$A$999,1,FALSE))),"X","")</f>
        <v/>
      </c>
      <c r="F9" s="70" t="str">
        <f t="shared" si="0"/>
        <v>X</v>
      </c>
      <c r="G9" s="70" t="str">
        <f t="shared" si="3"/>
        <v/>
      </c>
      <c r="H9" s="70">
        <f t="shared" si="1"/>
        <v>19</v>
      </c>
      <c r="I9" s="70">
        <f t="shared" si="2"/>
        <v>19</v>
      </c>
      <c r="J9">
        <v>0</v>
      </c>
      <c r="K9" s="3" t="str">
        <f>VLOOKUP(J9,ConstDLCIds!$A$4:$B$1000,2,FALSE)</f>
        <v>DLC_BASE_GAME</v>
      </c>
      <c r="L9" s="3" t="str">
        <f>VLOOKUP(J9,ConstDLCIds!$A$4:$C$1000,3,FALSE)</f>
        <v>Included in base game</v>
      </c>
    </row>
    <row r="10" spans="1:13" x14ac:dyDescent="0.25">
      <c r="A10">
        <v>20</v>
      </c>
      <c r="B10">
        <v>5</v>
      </c>
      <c r="C10">
        <v>20</v>
      </c>
      <c r="D10" t="s">
        <v>501</v>
      </c>
      <c r="E10" t="str">
        <f>IF(NOT(ISERROR(VLOOKUP(D10,'ESO DungeonFinder'!$A$2:$A$999,1,FALSE))),"X","")</f>
        <v/>
      </c>
      <c r="F10" s="70" t="str">
        <f t="shared" si="0"/>
        <v>X</v>
      </c>
      <c r="G10" s="70" t="str">
        <f t="shared" si="3"/>
        <v/>
      </c>
      <c r="H10" s="70">
        <f t="shared" si="1"/>
        <v>20</v>
      </c>
      <c r="I10" s="70">
        <f t="shared" si="2"/>
        <v>20</v>
      </c>
      <c r="J10">
        <v>0</v>
      </c>
      <c r="K10" s="3" t="str">
        <f>VLOOKUP(J10,ConstDLCIds!$A$4:$B$1000,2,FALSE)</f>
        <v>DLC_BASE_GAME</v>
      </c>
      <c r="L10" s="3" t="str">
        <f>VLOOKUP(J10,ConstDLCIds!$A$4:$C$1000,3,FALSE)</f>
        <v>Included in base game</v>
      </c>
    </row>
    <row r="11" spans="1:13" x14ac:dyDescent="0.25">
      <c r="A11">
        <v>22</v>
      </c>
      <c r="B11">
        <v>6</v>
      </c>
      <c r="C11">
        <v>104</v>
      </c>
      <c r="D11" t="s">
        <v>539</v>
      </c>
      <c r="E11" t="str">
        <f>IF(NOT(ISERROR(VLOOKUP(D11,'ESO DungeonFinder'!$A$2:$A$999,1,FALSE))),"X","")</f>
        <v>X</v>
      </c>
      <c r="F11" s="70" t="str">
        <f t="shared" si="0"/>
        <v/>
      </c>
      <c r="G11" s="70" t="str">
        <f t="shared" si="3"/>
        <v>Alik'r Desert</v>
      </c>
      <c r="H11" s="70">
        <f t="shared" si="1"/>
        <v>22</v>
      </c>
      <c r="I11" s="70">
        <f t="shared" si="2"/>
        <v>104</v>
      </c>
      <c r="J11">
        <v>0</v>
      </c>
      <c r="K11" s="3" t="str">
        <f>VLOOKUP(J11,ConstDLCIds!$A$4:$B$1000,2,FALSE)</f>
        <v>DLC_BASE_GAME</v>
      </c>
      <c r="L11" s="3" t="str">
        <f>VLOOKUP(J11,ConstDLCIds!$A$4:$C$1000,3,FALSE)</f>
        <v>Included in base game</v>
      </c>
    </row>
    <row r="12" spans="1:13" x14ac:dyDescent="0.25">
      <c r="A12">
        <v>31</v>
      </c>
      <c r="B12">
        <v>7</v>
      </c>
      <c r="C12">
        <v>382</v>
      </c>
      <c r="D12" t="s">
        <v>402</v>
      </c>
      <c r="E12" t="str">
        <f>IF(NOT(ISERROR(VLOOKUP(D12,'ESO DungeonFinder'!$A$2:$A$999,1,FALSE))),"X","")</f>
        <v>X</v>
      </c>
      <c r="F12" s="70" t="str">
        <f t="shared" si="0"/>
        <v/>
      </c>
      <c r="G12" s="70" t="str">
        <f t="shared" si="3"/>
        <v>Reaper's March</v>
      </c>
      <c r="H12" s="70">
        <f t="shared" si="1"/>
        <v>31</v>
      </c>
      <c r="I12" s="70">
        <f t="shared" si="2"/>
        <v>382</v>
      </c>
      <c r="J12">
        <v>0</v>
      </c>
      <c r="K12" s="3" t="str">
        <f>VLOOKUP(J12,ConstDLCIds!$A$4:$B$1000,2,FALSE)</f>
        <v>DLC_BASE_GAME</v>
      </c>
      <c r="L12" s="3" t="str">
        <f>VLOOKUP(J12,ConstDLCIds!$A$4:$C$1000,3,FALSE)</f>
        <v>Included in base game</v>
      </c>
    </row>
    <row r="13" spans="1:13" x14ac:dyDescent="0.25">
      <c r="A13">
        <v>38</v>
      </c>
      <c r="B13">
        <v>8</v>
      </c>
      <c r="C13">
        <v>92</v>
      </c>
      <c r="D13" t="s">
        <v>700</v>
      </c>
      <c r="E13" t="str">
        <f>IF(NOT(ISERROR(VLOOKUP(D13,'ESO DungeonFinder'!$A$2:$A$999,1,FALSE))),"X","")</f>
        <v>X</v>
      </c>
      <c r="F13" s="70" t="str">
        <f t="shared" si="0"/>
        <v/>
      </c>
      <c r="G13" s="70" t="str">
        <f t="shared" si="3"/>
        <v>Bangkorai</v>
      </c>
      <c r="H13" s="70">
        <f t="shared" si="1"/>
        <v>38</v>
      </c>
      <c r="I13" s="70">
        <f t="shared" si="2"/>
        <v>92</v>
      </c>
      <c r="J13">
        <v>0</v>
      </c>
      <c r="K13" s="3" t="str">
        <f>VLOOKUP(J13,ConstDLCIds!$A$4:$B$1000,2,FALSE)</f>
        <v>DLC_BASE_GAME</v>
      </c>
      <c r="L13" s="3" t="str">
        <f>VLOOKUP(J13,ConstDLCIds!$A$4:$C$1000,3,FALSE)</f>
        <v>Included in base game</v>
      </c>
    </row>
    <row r="14" spans="1:13" x14ac:dyDescent="0.25">
      <c r="A14">
        <v>41</v>
      </c>
      <c r="B14">
        <v>9</v>
      </c>
      <c r="C14">
        <v>41</v>
      </c>
      <c r="D14" t="s">
        <v>433</v>
      </c>
      <c r="E14" t="str">
        <f>IF(NOT(ISERROR(VLOOKUP(D14,'ESO DungeonFinder'!$A$2:$A$999,1,FALSE))),"X","")</f>
        <v/>
      </c>
      <c r="F14" s="70" t="str">
        <f t="shared" si="0"/>
        <v>X</v>
      </c>
      <c r="G14" s="70" t="str">
        <f t="shared" si="3"/>
        <v/>
      </c>
      <c r="H14" s="70">
        <f t="shared" si="1"/>
        <v>41</v>
      </c>
      <c r="I14" s="70">
        <f t="shared" si="2"/>
        <v>41</v>
      </c>
      <c r="J14">
        <v>0</v>
      </c>
      <c r="K14" s="3" t="str">
        <f>VLOOKUP(J14,ConstDLCIds!$A$4:$B$1000,2,FALSE)</f>
        <v>DLC_BASE_GAME</v>
      </c>
      <c r="L14" s="3" t="str">
        <f>VLOOKUP(J14,ConstDLCIds!$A$4:$C$1000,3,FALSE)</f>
        <v>Included in base game</v>
      </c>
    </row>
    <row r="15" spans="1:13" x14ac:dyDescent="0.25">
      <c r="A15">
        <v>57</v>
      </c>
      <c r="B15">
        <v>10</v>
      </c>
      <c r="C15">
        <v>57</v>
      </c>
      <c r="D15" t="s">
        <v>436</v>
      </c>
      <c r="E15" t="str">
        <f>IF(NOT(ISERROR(VLOOKUP(D15,'ESO DungeonFinder'!$A$2:$A$999,1,FALSE))),"X","")</f>
        <v/>
      </c>
      <c r="F15" s="70" t="str">
        <f t="shared" si="0"/>
        <v>X</v>
      </c>
      <c r="G15" s="70" t="str">
        <f t="shared" si="3"/>
        <v/>
      </c>
      <c r="H15" s="70">
        <f t="shared" si="1"/>
        <v>57</v>
      </c>
      <c r="I15" s="70">
        <f t="shared" si="2"/>
        <v>57</v>
      </c>
      <c r="J15">
        <v>0</v>
      </c>
      <c r="K15" s="3" t="str">
        <f>VLOOKUP(J15,ConstDLCIds!$A$4:$B$1000,2,FALSE)</f>
        <v>DLC_BASE_GAME</v>
      </c>
      <c r="L15" s="3" t="str">
        <f>VLOOKUP(J15,ConstDLCIds!$A$4:$C$1000,3,FALSE)</f>
        <v>Included in base game</v>
      </c>
    </row>
    <row r="16" spans="1:13" x14ac:dyDescent="0.25">
      <c r="A16">
        <v>58</v>
      </c>
      <c r="B16">
        <v>11</v>
      </c>
      <c r="C16">
        <v>58</v>
      </c>
      <c r="D16" t="s">
        <v>429</v>
      </c>
      <c r="E16" t="str">
        <f>IF(NOT(ISERROR(VLOOKUP(D16,'ESO DungeonFinder'!$A$2:$A$999,1,FALSE))),"X","")</f>
        <v/>
      </c>
      <c r="F16" s="70" t="str">
        <f t="shared" si="0"/>
        <v>X</v>
      </c>
      <c r="G16" s="70" t="str">
        <f t="shared" si="3"/>
        <v/>
      </c>
      <c r="H16" s="70">
        <f t="shared" si="1"/>
        <v>58</v>
      </c>
      <c r="I16" s="70">
        <f t="shared" si="2"/>
        <v>58</v>
      </c>
      <c r="J16">
        <v>0</v>
      </c>
      <c r="K16" s="3" t="str">
        <f>VLOOKUP(J16,ConstDLCIds!$A$4:$B$1000,2,FALSE)</f>
        <v>DLC_BASE_GAME</v>
      </c>
      <c r="L16" s="3" t="str">
        <f>VLOOKUP(J16,ConstDLCIds!$A$4:$C$1000,3,FALSE)</f>
        <v>Included in base game</v>
      </c>
    </row>
    <row r="17" spans="1:12" x14ac:dyDescent="0.25">
      <c r="A17">
        <v>63</v>
      </c>
      <c r="B17">
        <v>12</v>
      </c>
      <c r="C17">
        <v>57</v>
      </c>
      <c r="D17" t="s">
        <v>582</v>
      </c>
      <c r="E17" t="str">
        <f>IF(NOT(ISERROR(VLOOKUP(D17,'ESO DungeonFinder'!$A$2:$A$999,1,FALSE))),"X","")</f>
        <v>X</v>
      </c>
      <c r="F17" s="70" t="str">
        <f t="shared" si="0"/>
        <v/>
      </c>
      <c r="G17" s="70" t="str">
        <f t="shared" si="3"/>
        <v>Deshaan</v>
      </c>
      <c r="H17" s="70">
        <f t="shared" si="1"/>
        <v>63</v>
      </c>
      <c r="I17" s="70">
        <f t="shared" si="2"/>
        <v>57</v>
      </c>
      <c r="J17">
        <v>0</v>
      </c>
      <c r="K17" s="3" t="str">
        <f>VLOOKUP(J17,ConstDLCIds!$A$4:$B$1000,2,FALSE)</f>
        <v>DLC_BASE_GAME</v>
      </c>
      <c r="L17" s="3" t="str">
        <f>VLOOKUP(J17,ConstDLCIds!$A$4:$C$1000,3,FALSE)</f>
        <v>Included in base game</v>
      </c>
    </row>
    <row r="18" spans="1:12" x14ac:dyDescent="0.25">
      <c r="A18">
        <v>64</v>
      </c>
      <c r="B18">
        <v>13</v>
      </c>
      <c r="C18">
        <v>103</v>
      </c>
      <c r="D18" t="s">
        <v>470</v>
      </c>
      <c r="E18" t="str">
        <f>IF(NOT(ISERROR(VLOOKUP(D18,'ESO DungeonFinder'!$A$2:$A$999,1,FALSE))),"X","")</f>
        <v>X</v>
      </c>
      <c r="F18" s="70" t="str">
        <f t="shared" si="0"/>
        <v/>
      </c>
      <c r="G18" s="70" t="str">
        <f t="shared" si="3"/>
        <v>The Rift</v>
      </c>
      <c r="H18" s="70">
        <f t="shared" si="1"/>
        <v>64</v>
      </c>
      <c r="I18" s="70">
        <f t="shared" si="2"/>
        <v>103</v>
      </c>
      <c r="J18">
        <v>0</v>
      </c>
      <c r="K18" s="3" t="str">
        <f>VLOOKUP(J18,ConstDLCIds!$A$4:$B$1000,2,FALSE)</f>
        <v>DLC_BASE_GAME</v>
      </c>
      <c r="L18" s="3" t="str">
        <f>VLOOKUP(J18,ConstDLCIds!$A$4:$C$1000,3,FALSE)</f>
        <v>Included in base game</v>
      </c>
    </row>
    <row r="19" spans="1:12" x14ac:dyDescent="0.25">
      <c r="A19">
        <v>92</v>
      </c>
      <c r="B19">
        <v>14</v>
      </c>
      <c r="C19">
        <v>92</v>
      </c>
      <c r="D19" t="s">
        <v>524</v>
      </c>
      <c r="E19" t="str">
        <f>IF(NOT(ISERROR(VLOOKUP(D19,'ESO DungeonFinder'!$A$2:$A$999,1,FALSE))),"X","")</f>
        <v/>
      </c>
      <c r="F19" s="70" t="str">
        <f t="shared" si="0"/>
        <v>X</v>
      </c>
      <c r="G19" s="70" t="str">
        <f t="shared" si="3"/>
        <v/>
      </c>
      <c r="H19" s="70">
        <f t="shared" si="1"/>
        <v>92</v>
      </c>
      <c r="I19" s="70">
        <f t="shared" si="2"/>
        <v>92</v>
      </c>
      <c r="J19">
        <v>0</v>
      </c>
      <c r="K19" s="3" t="str">
        <f>VLOOKUP(J19,ConstDLCIds!$A$4:$B$1000,2,FALSE)</f>
        <v>DLC_BASE_GAME</v>
      </c>
      <c r="L19" s="3" t="str">
        <f>VLOOKUP(J19,ConstDLCIds!$A$4:$C$1000,3,FALSE)</f>
        <v>Included in base game</v>
      </c>
    </row>
    <row r="20" spans="1:12" x14ac:dyDescent="0.25">
      <c r="A20">
        <v>101</v>
      </c>
      <c r="B20">
        <v>15</v>
      </c>
      <c r="C20">
        <v>101</v>
      </c>
      <c r="D20" t="s">
        <v>409</v>
      </c>
      <c r="E20" t="str">
        <f>IF(NOT(ISERROR(VLOOKUP(D20,'ESO DungeonFinder'!$A$2:$A$999,1,FALSE))),"X","")</f>
        <v/>
      </c>
      <c r="F20" s="70" t="str">
        <f t="shared" si="0"/>
        <v>X</v>
      </c>
      <c r="G20" s="70" t="str">
        <f t="shared" si="3"/>
        <v/>
      </c>
      <c r="H20" s="70">
        <f t="shared" si="1"/>
        <v>101</v>
      </c>
      <c r="I20" s="70">
        <f t="shared" si="2"/>
        <v>101</v>
      </c>
      <c r="J20">
        <v>0</v>
      </c>
      <c r="K20" s="3" t="str">
        <f>VLOOKUP(J20,ConstDLCIds!$A$4:$B$1000,2,FALSE)</f>
        <v>DLC_BASE_GAME</v>
      </c>
      <c r="L20" s="3" t="str">
        <f>VLOOKUP(J20,ConstDLCIds!$A$4:$C$1000,3,FALSE)</f>
        <v>Included in base game</v>
      </c>
    </row>
    <row r="21" spans="1:12" x14ac:dyDescent="0.25">
      <c r="A21">
        <v>103</v>
      </c>
      <c r="B21">
        <v>16</v>
      </c>
      <c r="C21">
        <v>103</v>
      </c>
      <c r="D21" t="s">
        <v>406</v>
      </c>
      <c r="E21" t="str">
        <f>IF(NOT(ISERROR(VLOOKUP(D21,'ESO DungeonFinder'!$A$2:$A$999,1,FALSE))),"X","")</f>
        <v/>
      </c>
      <c r="F21" s="70" t="str">
        <f t="shared" si="0"/>
        <v>X</v>
      </c>
      <c r="G21" s="70" t="str">
        <f t="shared" si="3"/>
        <v/>
      </c>
      <c r="H21" s="70">
        <f t="shared" si="1"/>
        <v>103</v>
      </c>
      <c r="I21" s="70">
        <f t="shared" si="2"/>
        <v>103</v>
      </c>
      <c r="J21">
        <v>0</v>
      </c>
      <c r="K21" s="3" t="str">
        <f>VLOOKUP(J21,ConstDLCIds!$A$4:$B$1000,2,FALSE)</f>
        <v>DLC_BASE_GAME</v>
      </c>
      <c r="L21" s="3" t="str">
        <f>VLOOKUP(J21,ConstDLCIds!$A$4:$C$1000,3,FALSE)</f>
        <v>Included in base game</v>
      </c>
    </row>
    <row r="22" spans="1:12" x14ac:dyDescent="0.25">
      <c r="A22">
        <v>104</v>
      </c>
      <c r="B22">
        <v>17</v>
      </c>
      <c r="C22">
        <v>104</v>
      </c>
      <c r="D22" t="s">
        <v>442</v>
      </c>
      <c r="E22" t="str">
        <f>IF(NOT(ISERROR(VLOOKUP(D22,'ESO DungeonFinder'!$A$2:$A$999,1,FALSE))),"X","")</f>
        <v/>
      </c>
      <c r="F22" s="70" t="str">
        <f t="shared" si="0"/>
        <v>X</v>
      </c>
      <c r="G22" s="70" t="str">
        <f t="shared" si="3"/>
        <v/>
      </c>
      <c r="H22" s="70">
        <f t="shared" si="1"/>
        <v>104</v>
      </c>
      <c r="I22" s="70">
        <f t="shared" si="2"/>
        <v>104</v>
      </c>
      <c r="J22">
        <v>0</v>
      </c>
      <c r="K22" s="3" t="str">
        <f>VLOOKUP(J22,ConstDLCIds!$A$4:$B$1000,2,FALSE)</f>
        <v>DLC_BASE_GAME</v>
      </c>
      <c r="L22" s="3" t="str">
        <f>VLOOKUP(J22,ConstDLCIds!$A$4:$C$1000,3,FALSE)</f>
        <v>Included in base game</v>
      </c>
    </row>
    <row r="23" spans="1:12" x14ac:dyDescent="0.25">
      <c r="A23">
        <v>108</v>
      </c>
      <c r="B23">
        <v>18</v>
      </c>
      <c r="C23">
        <v>108</v>
      </c>
      <c r="D23" t="s">
        <v>511</v>
      </c>
      <c r="E23" t="str">
        <f>IF(NOT(ISERROR(VLOOKUP(D23,'ESO DungeonFinder'!$A$2:$A$999,1,FALSE))),"X","")</f>
        <v/>
      </c>
      <c r="F23" s="70" t="str">
        <f t="shared" si="0"/>
        <v>X</v>
      </c>
      <c r="G23" s="70" t="str">
        <f t="shared" si="3"/>
        <v/>
      </c>
      <c r="H23" s="70">
        <f t="shared" si="1"/>
        <v>108</v>
      </c>
      <c r="I23" s="70">
        <f t="shared" si="2"/>
        <v>108</v>
      </c>
      <c r="J23">
        <v>0</v>
      </c>
      <c r="K23" s="3" t="str">
        <f>VLOOKUP(J23,ConstDLCIds!$A$4:$B$1000,2,FALSE)</f>
        <v>DLC_BASE_GAME</v>
      </c>
      <c r="L23" s="3" t="str">
        <f>VLOOKUP(J23,ConstDLCIds!$A$4:$C$1000,3,FALSE)</f>
        <v>Included in base game</v>
      </c>
    </row>
    <row r="24" spans="1:12" x14ac:dyDescent="0.25">
      <c r="A24">
        <v>117</v>
      </c>
      <c r="B24">
        <v>19</v>
      </c>
      <c r="C24">
        <v>117</v>
      </c>
      <c r="D24" t="s">
        <v>506</v>
      </c>
      <c r="E24" t="str">
        <f>IF(NOT(ISERROR(VLOOKUP(D24,'ESO DungeonFinder'!$A$2:$A$999,1,FALSE))),"X","")</f>
        <v/>
      </c>
      <c r="F24" s="70" t="str">
        <f t="shared" si="0"/>
        <v>X</v>
      </c>
      <c r="G24" s="70" t="str">
        <f t="shared" si="3"/>
        <v/>
      </c>
      <c r="H24" s="70">
        <f t="shared" si="1"/>
        <v>117</v>
      </c>
      <c r="I24" s="70">
        <f t="shared" si="2"/>
        <v>117</v>
      </c>
      <c r="J24">
        <v>0</v>
      </c>
      <c r="K24" s="3" t="str">
        <f>VLOOKUP(J24,ConstDLCIds!$A$4:$B$1000,2,FALSE)</f>
        <v>DLC_BASE_GAME</v>
      </c>
      <c r="L24" s="3" t="str">
        <f>VLOOKUP(J24,ConstDLCIds!$A$4:$C$1000,3,FALSE)</f>
        <v>Included in base game</v>
      </c>
    </row>
    <row r="25" spans="1:12" x14ac:dyDescent="0.25">
      <c r="A25">
        <v>124</v>
      </c>
      <c r="B25">
        <v>20</v>
      </c>
      <c r="C25">
        <v>383</v>
      </c>
      <c r="D25" t="s">
        <v>2174</v>
      </c>
      <c r="E25" t="str">
        <f>IF(NOT(ISERROR(VLOOKUP(D25,'ESO DungeonFinder'!$A$2:$A$999,1,FALSE))),"X","")</f>
        <v/>
      </c>
      <c r="F25" s="70" t="str">
        <f t="shared" si="0"/>
        <v/>
      </c>
      <c r="G25" s="70" t="str">
        <f t="shared" si="3"/>
        <v>Grahtwood</v>
      </c>
      <c r="H25" s="70">
        <f t="shared" si="1"/>
        <v>124</v>
      </c>
      <c r="I25" s="70">
        <f t="shared" si="2"/>
        <v>383</v>
      </c>
      <c r="J25">
        <v>0</v>
      </c>
      <c r="K25" s="3" t="str">
        <f>VLOOKUP(J25,ConstDLCIds!$A$4:$B$1000,2,FALSE)</f>
        <v>DLC_BASE_GAME</v>
      </c>
      <c r="L25" s="3" t="str">
        <f>VLOOKUP(J25,ConstDLCIds!$A$4:$C$1000,3,FALSE)</f>
        <v>Included in base game</v>
      </c>
    </row>
    <row r="26" spans="1:12" x14ac:dyDescent="0.25">
      <c r="A26">
        <v>126</v>
      </c>
      <c r="B26">
        <v>21</v>
      </c>
      <c r="C26">
        <v>383</v>
      </c>
      <c r="D26" t="s">
        <v>428</v>
      </c>
      <c r="E26" t="str">
        <f>IF(NOT(ISERROR(VLOOKUP(D26,'ESO DungeonFinder'!$A$2:$A$999,1,FALSE))),"X","")</f>
        <v>X</v>
      </c>
      <c r="F26" s="70" t="str">
        <f t="shared" si="0"/>
        <v/>
      </c>
      <c r="G26" s="70" t="str">
        <f t="shared" si="3"/>
        <v>Grahtwood</v>
      </c>
      <c r="H26" s="70">
        <f t="shared" si="1"/>
        <v>126</v>
      </c>
      <c r="I26" s="70">
        <f t="shared" si="2"/>
        <v>383</v>
      </c>
      <c r="J26">
        <v>0</v>
      </c>
      <c r="K26" s="3" t="str">
        <f>VLOOKUP(J26,ConstDLCIds!$A$4:$B$1000,2,FALSE)</f>
        <v>DLC_BASE_GAME</v>
      </c>
      <c r="L26" s="3" t="str">
        <f>VLOOKUP(J26,ConstDLCIds!$A$4:$C$1000,3,FALSE)</f>
        <v>Included in base game</v>
      </c>
    </row>
    <row r="27" spans="1:12" x14ac:dyDescent="0.25">
      <c r="A27">
        <v>130</v>
      </c>
      <c r="B27">
        <v>22</v>
      </c>
      <c r="C27">
        <v>20</v>
      </c>
      <c r="D27" t="s">
        <v>634</v>
      </c>
      <c r="E27" t="str">
        <f>IF(NOT(ISERROR(VLOOKUP(D27,'ESO DungeonFinder'!$A$2:$A$999,1,FALSE))),"X","")</f>
        <v>X</v>
      </c>
      <c r="F27" s="70" t="str">
        <f t="shared" si="0"/>
        <v/>
      </c>
      <c r="G27" s="70" t="str">
        <f t="shared" si="3"/>
        <v>Rivenspire</v>
      </c>
      <c r="H27" s="70">
        <f t="shared" si="1"/>
        <v>130</v>
      </c>
      <c r="I27" s="70">
        <f t="shared" si="2"/>
        <v>20</v>
      </c>
      <c r="J27">
        <v>0</v>
      </c>
      <c r="K27" s="3" t="str">
        <f>VLOOKUP(J27,ConstDLCIds!$A$4:$B$1000,2,FALSE)</f>
        <v>DLC_BASE_GAME</v>
      </c>
      <c r="L27" s="3" t="str">
        <f>VLOOKUP(J27,ConstDLCIds!$A$4:$C$1000,3,FALSE)</f>
        <v>Included in base game</v>
      </c>
    </row>
    <row r="28" spans="1:12" x14ac:dyDescent="0.25">
      <c r="A28">
        <v>131</v>
      </c>
      <c r="B28">
        <v>23</v>
      </c>
      <c r="C28">
        <v>58</v>
      </c>
      <c r="D28" t="s">
        <v>777</v>
      </c>
      <c r="E28" t="str">
        <f>IF(NOT(ISERROR(VLOOKUP(D28,'ESO DungeonFinder'!$A$2:$A$999,1,FALSE))),"X","")</f>
        <v>X</v>
      </c>
      <c r="F28" s="70" t="str">
        <f t="shared" si="0"/>
        <v/>
      </c>
      <c r="G28" s="70" t="str">
        <f t="shared" si="3"/>
        <v>Malabal Tor</v>
      </c>
      <c r="H28" s="70">
        <f t="shared" si="1"/>
        <v>131</v>
      </c>
      <c r="I28" s="70">
        <f t="shared" si="2"/>
        <v>58</v>
      </c>
      <c r="J28">
        <v>0</v>
      </c>
      <c r="K28" s="3" t="str">
        <f>VLOOKUP(J28,ConstDLCIds!$A$4:$B$1000,2,FALSE)</f>
        <v>DLC_BASE_GAME</v>
      </c>
      <c r="L28" s="3" t="str">
        <f>VLOOKUP(J28,ConstDLCIds!$A$4:$C$1000,3,FALSE)</f>
        <v>Included in base game</v>
      </c>
    </row>
    <row r="29" spans="1:12" x14ac:dyDescent="0.25">
      <c r="A29">
        <v>134</v>
      </c>
      <c r="B29">
        <v>24</v>
      </c>
      <c r="C29">
        <v>117</v>
      </c>
      <c r="D29" t="s">
        <v>2175</v>
      </c>
      <c r="E29" t="str">
        <f>IF(NOT(ISERROR(VLOOKUP(D29,'ESO DungeonFinder'!$A$2:$A$999,1,FALSE))),"X","")</f>
        <v/>
      </c>
      <c r="F29" s="70" t="str">
        <f t="shared" si="0"/>
        <v/>
      </c>
      <c r="G29" s="70" t="str">
        <f t="shared" si="3"/>
        <v>Shadowfen</v>
      </c>
      <c r="H29" s="70">
        <f t="shared" si="1"/>
        <v>134</v>
      </c>
      <c r="I29" s="70">
        <f t="shared" si="2"/>
        <v>117</v>
      </c>
      <c r="J29">
        <v>0</v>
      </c>
      <c r="K29" s="3" t="str">
        <f>VLOOKUP(J29,ConstDLCIds!$A$4:$B$1000,2,FALSE)</f>
        <v>DLC_BASE_GAME</v>
      </c>
      <c r="L29" s="3" t="str">
        <f>VLOOKUP(J29,ConstDLCIds!$A$4:$C$1000,3,FALSE)</f>
        <v>Included in base game</v>
      </c>
    </row>
    <row r="30" spans="1:12" x14ac:dyDescent="0.25">
      <c r="A30">
        <v>137</v>
      </c>
      <c r="B30">
        <v>25</v>
      </c>
      <c r="C30">
        <v>108</v>
      </c>
      <c r="D30" t="s">
        <v>2060</v>
      </c>
      <c r="E30" t="str">
        <f>IF(NOT(ISERROR(VLOOKUP(D30,'ESO DungeonFinder'!$A$2:$A$999,1,FALSE))),"X","")</f>
        <v/>
      </c>
      <c r="F30" s="70" t="str">
        <f t="shared" si="0"/>
        <v/>
      </c>
      <c r="G30" s="70" t="str">
        <f t="shared" si="3"/>
        <v>Greenshade</v>
      </c>
      <c r="H30" s="70">
        <f t="shared" si="1"/>
        <v>137</v>
      </c>
      <c r="I30" s="70">
        <f t="shared" si="2"/>
        <v>108</v>
      </c>
      <c r="J30">
        <v>0</v>
      </c>
      <c r="K30" s="3" t="str">
        <f>VLOOKUP(J30,ConstDLCIds!$A$4:$B$1000,2,FALSE)</f>
        <v>DLC_BASE_GAME</v>
      </c>
      <c r="L30" s="3" t="str">
        <f>VLOOKUP(J30,ConstDLCIds!$A$4:$C$1000,3,FALSE)</f>
        <v>Included in base game</v>
      </c>
    </row>
    <row r="31" spans="1:12" x14ac:dyDescent="0.25">
      <c r="A31">
        <v>138</v>
      </c>
      <c r="B31">
        <v>26</v>
      </c>
      <c r="C31">
        <v>58</v>
      </c>
      <c r="D31" t="s">
        <v>2176</v>
      </c>
      <c r="E31" t="str">
        <f>IF(NOT(ISERROR(VLOOKUP(D31,'ESO DungeonFinder'!$A$2:$A$999,1,FALSE))),"X","")</f>
        <v/>
      </c>
      <c r="F31" s="70" t="str">
        <f t="shared" si="0"/>
        <v/>
      </c>
      <c r="G31" s="70" t="str">
        <f t="shared" si="3"/>
        <v>Malabal Tor</v>
      </c>
      <c r="H31" s="70">
        <f t="shared" si="1"/>
        <v>138</v>
      </c>
      <c r="I31" s="70">
        <f t="shared" si="2"/>
        <v>58</v>
      </c>
      <c r="J31">
        <v>0</v>
      </c>
      <c r="K31" s="3" t="str">
        <f>VLOOKUP(J31,ConstDLCIds!$A$4:$B$1000,2,FALSE)</f>
        <v>DLC_BASE_GAME</v>
      </c>
      <c r="L31" s="3" t="str">
        <f>VLOOKUP(J31,ConstDLCIds!$A$4:$C$1000,3,FALSE)</f>
        <v>Included in base game</v>
      </c>
    </row>
    <row r="32" spans="1:12" x14ac:dyDescent="0.25">
      <c r="A32">
        <v>142</v>
      </c>
      <c r="B32">
        <v>27</v>
      </c>
      <c r="C32">
        <v>19</v>
      </c>
      <c r="D32" t="s">
        <v>2177</v>
      </c>
      <c r="E32" t="str">
        <f>IF(NOT(ISERROR(VLOOKUP(D32,'ESO DungeonFinder'!$A$2:$A$999,1,FALSE))),"X","")</f>
        <v/>
      </c>
      <c r="F32" s="70" t="str">
        <f t="shared" si="0"/>
        <v/>
      </c>
      <c r="G32" s="70" t="str">
        <f t="shared" si="3"/>
        <v>Stormhaven</v>
      </c>
      <c r="H32" s="70">
        <f t="shared" si="1"/>
        <v>142</v>
      </c>
      <c r="I32" s="70">
        <f t="shared" si="2"/>
        <v>19</v>
      </c>
      <c r="J32">
        <v>0</v>
      </c>
      <c r="K32" s="3" t="str">
        <f>VLOOKUP(J32,ConstDLCIds!$A$4:$B$1000,2,FALSE)</f>
        <v>DLC_BASE_GAME</v>
      </c>
      <c r="L32" s="3" t="str">
        <f>VLOOKUP(J32,ConstDLCIds!$A$4:$C$1000,3,FALSE)</f>
        <v>Included in base game</v>
      </c>
    </row>
    <row r="33" spans="1:12" x14ac:dyDescent="0.25">
      <c r="A33">
        <v>144</v>
      </c>
      <c r="B33">
        <v>28</v>
      </c>
      <c r="C33">
        <v>3</v>
      </c>
      <c r="D33" t="s">
        <v>450</v>
      </c>
      <c r="E33" t="str">
        <f>IF(NOT(ISERROR(VLOOKUP(D33,'ESO DungeonFinder'!$A$2:$A$999,1,FALSE))),"X","")</f>
        <v>X</v>
      </c>
      <c r="F33" s="70" t="str">
        <f t="shared" si="0"/>
        <v/>
      </c>
      <c r="G33" s="70" t="str">
        <f t="shared" si="3"/>
        <v>Glenumbra</v>
      </c>
      <c r="H33" s="70">
        <f t="shared" si="1"/>
        <v>144</v>
      </c>
      <c r="I33" s="70">
        <f t="shared" si="2"/>
        <v>3</v>
      </c>
      <c r="J33">
        <v>0</v>
      </c>
      <c r="K33" s="3" t="str">
        <f>VLOOKUP(J33,ConstDLCIds!$A$4:$B$1000,2,FALSE)</f>
        <v>DLC_BASE_GAME</v>
      </c>
      <c r="L33" s="3" t="str">
        <f>VLOOKUP(J33,ConstDLCIds!$A$4:$C$1000,3,FALSE)</f>
        <v>Included in base game</v>
      </c>
    </row>
    <row r="34" spans="1:12" x14ac:dyDescent="0.25">
      <c r="A34">
        <v>146</v>
      </c>
      <c r="B34">
        <v>29</v>
      </c>
      <c r="C34">
        <v>19</v>
      </c>
      <c r="D34" t="s">
        <v>432</v>
      </c>
      <c r="E34" t="str">
        <f>IF(NOT(ISERROR(VLOOKUP(D34,'ESO DungeonFinder'!$A$2:$A$999,1,FALSE))),"X","")</f>
        <v>X</v>
      </c>
      <c r="F34" s="70" t="str">
        <f t="shared" si="0"/>
        <v/>
      </c>
      <c r="G34" s="70" t="str">
        <f t="shared" si="3"/>
        <v>Stormhaven</v>
      </c>
      <c r="H34" s="70">
        <f t="shared" si="1"/>
        <v>146</v>
      </c>
      <c r="I34" s="70">
        <f t="shared" si="2"/>
        <v>19</v>
      </c>
      <c r="J34">
        <v>0</v>
      </c>
      <c r="K34" s="3" t="str">
        <f>VLOOKUP(J34,ConstDLCIds!$A$4:$B$1000,2,FALSE)</f>
        <v>DLC_BASE_GAME</v>
      </c>
      <c r="L34" s="3" t="str">
        <f>VLOOKUP(J34,ConstDLCIds!$A$4:$C$1000,3,FALSE)</f>
        <v>Included in base game</v>
      </c>
    </row>
    <row r="35" spans="1:12" x14ac:dyDescent="0.25">
      <c r="A35">
        <v>148</v>
      </c>
      <c r="B35">
        <v>30</v>
      </c>
      <c r="C35">
        <v>117</v>
      </c>
      <c r="D35" t="s">
        <v>697</v>
      </c>
      <c r="E35" t="str">
        <f>IF(NOT(ISERROR(VLOOKUP(D35,'ESO DungeonFinder'!$A$2:$A$999,1,FALSE))),"X","")</f>
        <v>X</v>
      </c>
      <c r="F35" s="70" t="str">
        <f t="shared" si="0"/>
        <v/>
      </c>
      <c r="G35" s="70" t="str">
        <f t="shared" si="3"/>
        <v>Shadowfen</v>
      </c>
      <c r="H35" s="70">
        <f t="shared" si="1"/>
        <v>148</v>
      </c>
      <c r="I35" s="70">
        <f t="shared" si="2"/>
        <v>117</v>
      </c>
      <c r="J35">
        <v>0</v>
      </c>
      <c r="K35" s="3" t="str">
        <f>VLOOKUP(J35,ConstDLCIds!$A$4:$B$1000,2,FALSE)</f>
        <v>DLC_BASE_GAME</v>
      </c>
      <c r="L35" s="3" t="str">
        <f>VLOOKUP(J35,ConstDLCIds!$A$4:$C$1000,3,FALSE)</f>
        <v>Included in base game</v>
      </c>
    </row>
    <row r="36" spans="1:12" x14ac:dyDescent="0.25">
      <c r="A36">
        <v>159</v>
      </c>
      <c r="B36">
        <v>31</v>
      </c>
      <c r="C36">
        <v>19</v>
      </c>
      <c r="D36" t="s">
        <v>2204</v>
      </c>
      <c r="E36" t="str">
        <f>IF(NOT(ISERROR(VLOOKUP(D36,'ESO DungeonFinder'!$A$2:$A$999,1,FALSE))),"X","")</f>
        <v/>
      </c>
      <c r="F36" s="70" t="str">
        <f t="shared" si="0"/>
        <v/>
      </c>
      <c r="G36" s="70" t="str">
        <f t="shared" si="3"/>
        <v>Stormhaven</v>
      </c>
      <c r="H36" s="70">
        <f t="shared" si="1"/>
        <v>159</v>
      </c>
      <c r="I36" s="70">
        <f t="shared" si="2"/>
        <v>19</v>
      </c>
      <c r="J36">
        <v>0</v>
      </c>
      <c r="K36" s="3" t="str">
        <f>VLOOKUP(J36,ConstDLCIds!$A$4:$B$1000,2,FALSE)</f>
        <v>DLC_BASE_GAME</v>
      </c>
      <c r="L36" s="3" t="str">
        <f>VLOOKUP(J36,ConstDLCIds!$A$4:$C$1000,3,FALSE)</f>
        <v>Included in base game</v>
      </c>
    </row>
    <row r="37" spans="1:12" x14ac:dyDescent="0.25">
      <c r="A37">
        <v>162</v>
      </c>
      <c r="B37">
        <v>32</v>
      </c>
      <c r="C37">
        <v>20</v>
      </c>
      <c r="D37" t="s">
        <v>1825</v>
      </c>
      <c r="E37" t="str">
        <f>IF(NOT(ISERROR(VLOOKUP(D37,'ESO DungeonFinder'!$A$2:$A$999,1,FALSE))),"X","")</f>
        <v/>
      </c>
      <c r="F37" s="70" t="str">
        <f t="shared" si="0"/>
        <v/>
      </c>
      <c r="G37" s="70" t="str">
        <f t="shared" si="3"/>
        <v>Rivenspire</v>
      </c>
      <c r="H37" s="70">
        <f t="shared" si="1"/>
        <v>162</v>
      </c>
      <c r="I37" s="70">
        <f t="shared" si="2"/>
        <v>20</v>
      </c>
      <c r="J37">
        <v>0</v>
      </c>
      <c r="K37" s="3" t="str">
        <f>VLOOKUP(J37,ConstDLCIds!$A$4:$B$1000,2,FALSE)</f>
        <v>DLC_BASE_GAME</v>
      </c>
      <c r="L37" s="3" t="str">
        <f>VLOOKUP(J37,ConstDLCIds!$A$4:$C$1000,3,FALSE)</f>
        <v>Included in base game</v>
      </c>
    </row>
    <row r="38" spans="1:12" x14ac:dyDescent="0.25">
      <c r="A38">
        <v>166</v>
      </c>
      <c r="B38">
        <v>33</v>
      </c>
      <c r="C38">
        <v>3</v>
      </c>
      <c r="D38" t="s">
        <v>2205</v>
      </c>
      <c r="E38" t="str">
        <f>IF(NOT(ISERROR(VLOOKUP(D38,'ESO DungeonFinder'!$A$2:$A$999,1,FALSE))),"X","")</f>
        <v/>
      </c>
      <c r="F38" s="70" t="str">
        <f t="shared" si="0"/>
        <v/>
      </c>
      <c r="G38" s="70" t="str">
        <f t="shared" si="3"/>
        <v>Glenumbra</v>
      </c>
      <c r="H38" s="70">
        <f t="shared" si="1"/>
        <v>166</v>
      </c>
      <c r="I38" s="70">
        <f t="shared" si="2"/>
        <v>3</v>
      </c>
      <c r="J38">
        <v>0</v>
      </c>
      <c r="K38" s="3" t="str">
        <f>VLOOKUP(J38,ConstDLCIds!$A$4:$B$1000,2,FALSE)</f>
        <v>DLC_BASE_GAME</v>
      </c>
      <c r="L38" s="3" t="str">
        <f>VLOOKUP(J38,ConstDLCIds!$A$4:$C$1000,3,FALSE)</f>
        <v>Included in base game</v>
      </c>
    </row>
    <row r="39" spans="1:12" x14ac:dyDescent="0.25">
      <c r="A39">
        <v>168</v>
      </c>
      <c r="B39">
        <v>34</v>
      </c>
      <c r="C39">
        <v>92</v>
      </c>
      <c r="D39" t="s">
        <v>2206</v>
      </c>
      <c r="E39" t="str">
        <f>IF(NOT(ISERROR(VLOOKUP(D39,'ESO DungeonFinder'!$A$2:$A$999,1,FALSE))),"X","")</f>
        <v/>
      </c>
      <c r="F39" s="70" t="str">
        <f t="shared" si="0"/>
        <v/>
      </c>
      <c r="G39" s="70" t="str">
        <f t="shared" si="3"/>
        <v>Bangkorai</v>
      </c>
      <c r="H39" s="70">
        <f t="shared" si="1"/>
        <v>168</v>
      </c>
      <c r="I39" s="70">
        <f t="shared" si="2"/>
        <v>92</v>
      </c>
      <c r="J39">
        <v>0</v>
      </c>
      <c r="K39" s="3" t="str">
        <f>VLOOKUP(J39,ConstDLCIds!$A$4:$B$1000,2,FALSE)</f>
        <v>DLC_BASE_GAME</v>
      </c>
      <c r="L39" s="3" t="str">
        <f>VLOOKUP(J39,ConstDLCIds!$A$4:$C$1000,3,FALSE)</f>
        <v>Included in base game</v>
      </c>
    </row>
    <row r="40" spans="1:12" x14ac:dyDescent="0.25">
      <c r="A40">
        <v>169</v>
      </c>
      <c r="B40">
        <v>35</v>
      </c>
      <c r="C40">
        <v>92</v>
      </c>
      <c r="D40" t="s">
        <v>2178</v>
      </c>
      <c r="E40" t="str">
        <f>IF(NOT(ISERROR(VLOOKUP(D40,'ESO DungeonFinder'!$A$2:$A$999,1,FALSE))),"X","")</f>
        <v/>
      </c>
      <c r="F40" s="70" t="str">
        <f t="shared" si="0"/>
        <v/>
      </c>
      <c r="G40" s="70" t="str">
        <f t="shared" si="3"/>
        <v>Bangkorai</v>
      </c>
      <c r="H40" s="70">
        <f t="shared" si="1"/>
        <v>169</v>
      </c>
      <c r="I40" s="70">
        <f t="shared" si="2"/>
        <v>92</v>
      </c>
      <c r="J40">
        <v>0</v>
      </c>
      <c r="K40" s="3" t="str">
        <f>VLOOKUP(J40,ConstDLCIds!$A$4:$B$1000,2,FALSE)</f>
        <v>DLC_BASE_GAME</v>
      </c>
      <c r="L40" s="3" t="str">
        <f>VLOOKUP(J40,ConstDLCIds!$A$4:$C$1000,3,FALSE)</f>
        <v>Included in base game</v>
      </c>
    </row>
    <row r="41" spans="1:12" x14ac:dyDescent="0.25">
      <c r="A41">
        <v>174</v>
      </c>
      <c r="B41">
        <v>36</v>
      </c>
      <c r="C41">
        <v>174</v>
      </c>
      <c r="D41" t="s">
        <v>2207</v>
      </c>
      <c r="E41" t="str">
        <f>IF(NOT(ISERROR(VLOOKUP(D41,'ESO DungeonFinder'!$A$2:$A$999,1,FALSE))),"X","")</f>
        <v/>
      </c>
      <c r="F41" s="70" t="str">
        <f t="shared" si="0"/>
        <v>X</v>
      </c>
      <c r="G41" s="70" t="str">
        <f t="shared" si="3"/>
        <v/>
      </c>
      <c r="H41" s="70">
        <f t="shared" si="1"/>
        <v>174</v>
      </c>
      <c r="I41" s="70">
        <f t="shared" si="2"/>
        <v>174</v>
      </c>
      <c r="J41">
        <v>0</v>
      </c>
      <c r="K41" s="3" t="str">
        <f>VLOOKUP(J41,ConstDLCIds!$A$4:$B$1000,2,FALSE)</f>
        <v>DLC_BASE_GAME</v>
      </c>
      <c r="L41" s="3" t="str">
        <f>VLOOKUP(J41,ConstDLCIds!$A$4:$C$1000,3,FALSE)</f>
        <v>Included in base game</v>
      </c>
    </row>
    <row r="42" spans="1:12" x14ac:dyDescent="0.25">
      <c r="A42">
        <v>176</v>
      </c>
      <c r="B42">
        <v>37</v>
      </c>
      <c r="C42">
        <v>108</v>
      </c>
      <c r="D42" t="s">
        <v>703</v>
      </c>
      <c r="E42" t="str">
        <f>IF(NOT(ISERROR(VLOOKUP(D42,'ESO DungeonFinder'!$A$2:$A$999,1,FALSE))),"X","")</f>
        <v>X</v>
      </c>
      <c r="F42" s="70" t="str">
        <f t="shared" si="0"/>
        <v/>
      </c>
      <c r="G42" s="70" t="str">
        <f t="shared" si="3"/>
        <v>Greenshade</v>
      </c>
      <c r="H42" s="70">
        <f t="shared" si="1"/>
        <v>176</v>
      </c>
      <c r="I42" s="70">
        <f t="shared" si="2"/>
        <v>108</v>
      </c>
      <c r="J42">
        <v>0</v>
      </c>
      <c r="K42" s="3" t="str">
        <f>VLOOKUP(J42,ConstDLCIds!$A$4:$B$1000,2,FALSE)</f>
        <v>DLC_BASE_GAME</v>
      </c>
      <c r="L42" s="3" t="str">
        <f>VLOOKUP(J42,ConstDLCIds!$A$4:$C$1000,3,FALSE)</f>
        <v>Included in base game</v>
      </c>
    </row>
    <row r="43" spans="1:12" x14ac:dyDescent="0.25">
      <c r="A43">
        <v>181</v>
      </c>
      <c r="B43">
        <v>38</v>
      </c>
      <c r="C43">
        <v>181</v>
      </c>
      <c r="D43" t="s">
        <v>166</v>
      </c>
      <c r="E43" t="str">
        <f>IF(NOT(ISERROR(VLOOKUP(D43,'ESO DungeonFinder'!$A$2:$A$999,1,FALSE))),"X","")</f>
        <v/>
      </c>
      <c r="F43" s="70" t="str">
        <f t="shared" si="0"/>
        <v>X</v>
      </c>
      <c r="G43" s="70" t="str">
        <f t="shared" si="3"/>
        <v/>
      </c>
      <c r="H43" s="70">
        <f t="shared" si="1"/>
        <v>181</v>
      </c>
      <c r="I43" s="70">
        <f t="shared" si="2"/>
        <v>181</v>
      </c>
      <c r="J43">
        <v>0</v>
      </c>
      <c r="K43" s="3" t="str">
        <f>VLOOKUP(J43,ConstDLCIds!$A$4:$B$1000,2,FALSE)</f>
        <v>DLC_BASE_GAME</v>
      </c>
      <c r="L43" s="3" t="str">
        <f>VLOOKUP(J43,ConstDLCIds!$A$4:$C$1000,3,FALSE)</f>
        <v>Included in base game</v>
      </c>
    </row>
    <row r="44" spans="1:12" x14ac:dyDescent="0.25">
      <c r="A44">
        <v>187</v>
      </c>
      <c r="B44">
        <v>39</v>
      </c>
      <c r="C44">
        <v>117</v>
      </c>
      <c r="D44" t="s">
        <v>2208</v>
      </c>
      <c r="E44" t="str">
        <f>IF(NOT(ISERROR(VLOOKUP(D44,'ESO DungeonFinder'!$A$2:$A$999,1,FALSE))),"X","")</f>
        <v/>
      </c>
      <c r="F44" s="70" t="str">
        <f t="shared" si="0"/>
        <v/>
      </c>
      <c r="G44" s="70" t="str">
        <f t="shared" si="3"/>
        <v>Shadowfen</v>
      </c>
      <c r="H44" s="70">
        <f t="shared" si="1"/>
        <v>187</v>
      </c>
      <c r="I44" s="70">
        <f t="shared" si="2"/>
        <v>117</v>
      </c>
      <c r="J44">
        <v>0</v>
      </c>
      <c r="K44" s="3" t="str">
        <f>VLOOKUP(J44,ConstDLCIds!$A$4:$B$1000,2,FALSE)</f>
        <v>DLC_BASE_GAME</v>
      </c>
      <c r="L44" s="3" t="str">
        <f>VLOOKUP(J44,ConstDLCIds!$A$4:$C$1000,3,FALSE)</f>
        <v>Included in base game</v>
      </c>
    </row>
    <row r="45" spans="1:12" x14ac:dyDescent="0.25">
      <c r="A45">
        <v>188</v>
      </c>
      <c r="B45">
        <v>40</v>
      </c>
      <c r="C45">
        <v>57</v>
      </c>
      <c r="D45" t="s">
        <v>2209</v>
      </c>
      <c r="E45" t="str">
        <f>IF(NOT(ISERROR(VLOOKUP(D45,'ESO DungeonFinder'!$A$2:$A$999,1,FALSE))),"X","")</f>
        <v/>
      </c>
      <c r="F45" s="70" t="str">
        <f t="shared" si="0"/>
        <v/>
      </c>
      <c r="G45" s="70" t="str">
        <f t="shared" si="3"/>
        <v>Deshaan</v>
      </c>
      <c r="H45" s="70">
        <f t="shared" si="1"/>
        <v>188</v>
      </c>
      <c r="I45" s="70">
        <f t="shared" si="2"/>
        <v>57</v>
      </c>
      <c r="J45">
        <v>0</v>
      </c>
      <c r="K45" s="3" t="str">
        <f>VLOOKUP(J45,ConstDLCIds!$A$4:$B$1000,2,FALSE)</f>
        <v>DLC_BASE_GAME</v>
      </c>
      <c r="L45" s="3" t="str">
        <f>VLOOKUP(J45,ConstDLCIds!$A$4:$C$1000,3,FALSE)</f>
        <v>Included in base game</v>
      </c>
    </row>
    <row r="46" spans="1:12" x14ac:dyDescent="0.25">
      <c r="A46">
        <v>189</v>
      </c>
      <c r="B46">
        <v>41</v>
      </c>
      <c r="C46">
        <v>57</v>
      </c>
      <c r="D46" t="s">
        <v>2210</v>
      </c>
      <c r="E46" t="str">
        <f>IF(NOT(ISERROR(VLOOKUP(D46,'ESO DungeonFinder'!$A$2:$A$999,1,FALSE))),"X","")</f>
        <v/>
      </c>
      <c r="F46" s="70" t="str">
        <f t="shared" si="0"/>
        <v/>
      </c>
      <c r="G46" s="70" t="str">
        <f t="shared" si="3"/>
        <v>Deshaan</v>
      </c>
      <c r="H46" s="70">
        <f t="shared" si="1"/>
        <v>189</v>
      </c>
      <c r="I46" s="70">
        <f t="shared" si="2"/>
        <v>57</v>
      </c>
      <c r="J46">
        <v>0</v>
      </c>
      <c r="K46" s="3" t="str">
        <f>VLOOKUP(J46,ConstDLCIds!$A$4:$B$1000,2,FALSE)</f>
        <v>DLC_BASE_GAME</v>
      </c>
      <c r="L46" s="3" t="str">
        <f>VLOOKUP(J46,ConstDLCIds!$A$4:$C$1000,3,FALSE)</f>
        <v>Included in base game</v>
      </c>
    </row>
    <row r="47" spans="1:12" x14ac:dyDescent="0.25">
      <c r="A47">
        <v>190</v>
      </c>
      <c r="B47">
        <v>42</v>
      </c>
      <c r="C47">
        <v>57</v>
      </c>
      <c r="D47" t="s">
        <v>2211</v>
      </c>
      <c r="E47" t="str">
        <f>IF(NOT(ISERROR(VLOOKUP(D47,'ESO DungeonFinder'!$A$2:$A$999,1,FALSE))),"X","")</f>
        <v/>
      </c>
      <c r="F47" s="70" t="str">
        <f t="shared" si="0"/>
        <v/>
      </c>
      <c r="G47" s="70" t="str">
        <f t="shared" si="3"/>
        <v>Deshaan</v>
      </c>
      <c r="H47" s="70">
        <f t="shared" si="1"/>
        <v>190</v>
      </c>
      <c r="I47" s="70">
        <f t="shared" si="2"/>
        <v>57</v>
      </c>
      <c r="J47">
        <v>0</v>
      </c>
      <c r="K47" s="3" t="str">
        <f>VLOOKUP(J47,ConstDLCIds!$A$4:$B$1000,2,FALSE)</f>
        <v>DLC_BASE_GAME</v>
      </c>
      <c r="L47" s="3" t="str">
        <f>VLOOKUP(J47,ConstDLCIds!$A$4:$C$1000,3,FALSE)</f>
        <v>Included in base game</v>
      </c>
    </row>
    <row r="48" spans="1:12" x14ac:dyDescent="0.25">
      <c r="A48">
        <v>191</v>
      </c>
      <c r="B48">
        <v>43</v>
      </c>
      <c r="C48">
        <v>41</v>
      </c>
      <c r="D48" t="s">
        <v>2212</v>
      </c>
      <c r="E48" t="str">
        <f>IF(NOT(ISERROR(VLOOKUP(D48,'ESO DungeonFinder'!$A$2:$A$999,1,FALSE))),"X","")</f>
        <v/>
      </c>
      <c r="F48" s="70" t="str">
        <f t="shared" si="0"/>
        <v/>
      </c>
      <c r="G48" s="70" t="str">
        <f t="shared" si="3"/>
        <v>Stonefalls</v>
      </c>
      <c r="H48" s="70">
        <f t="shared" si="1"/>
        <v>191</v>
      </c>
      <c r="I48" s="70">
        <f t="shared" si="2"/>
        <v>41</v>
      </c>
      <c r="J48">
        <v>0</v>
      </c>
      <c r="K48" s="3" t="str">
        <f>VLOOKUP(J48,ConstDLCIds!$A$4:$B$1000,2,FALSE)</f>
        <v>DLC_BASE_GAME</v>
      </c>
      <c r="L48" s="3" t="str">
        <f>VLOOKUP(J48,ConstDLCIds!$A$4:$C$1000,3,FALSE)</f>
        <v>Included in base game</v>
      </c>
    </row>
    <row r="49" spans="1:12" x14ac:dyDescent="0.25">
      <c r="A49">
        <v>192</v>
      </c>
      <c r="B49">
        <v>44</v>
      </c>
      <c r="C49">
        <v>41</v>
      </c>
      <c r="D49" t="s">
        <v>2213</v>
      </c>
      <c r="E49" t="str">
        <f>IF(NOT(ISERROR(VLOOKUP(D49,'ESO DungeonFinder'!$A$2:$A$999,1,FALSE))),"X","")</f>
        <v/>
      </c>
      <c r="F49" s="70" t="str">
        <f t="shared" si="0"/>
        <v/>
      </c>
      <c r="G49" s="70" t="str">
        <f t="shared" si="3"/>
        <v>Stonefalls</v>
      </c>
      <c r="H49" s="70">
        <f t="shared" si="1"/>
        <v>192</v>
      </c>
      <c r="I49" s="70">
        <f t="shared" si="2"/>
        <v>41</v>
      </c>
      <c r="J49">
        <v>0</v>
      </c>
      <c r="K49" s="3" t="str">
        <f>VLOOKUP(J49,ConstDLCIds!$A$4:$B$1000,2,FALSE)</f>
        <v>DLC_BASE_GAME</v>
      </c>
      <c r="L49" s="3" t="str">
        <f>VLOOKUP(J49,ConstDLCIds!$A$4:$C$1000,3,FALSE)</f>
        <v>Included in base game</v>
      </c>
    </row>
    <row r="50" spans="1:12" x14ac:dyDescent="0.25">
      <c r="A50">
        <v>193</v>
      </c>
      <c r="B50">
        <v>45</v>
      </c>
      <c r="C50">
        <v>41</v>
      </c>
      <c r="D50" t="s">
        <v>2214</v>
      </c>
      <c r="E50" t="str">
        <f>IF(NOT(ISERROR(VLOOKUP(D50,'ESO DungeonFinder'!$A$2:$A$999,1,FALSE))),"X","")</f>
        <v/>
      </c>
      <c r="F50" s="70" t="str">
        <f t="shared" si="0"/>
        <v/>
      </c>
      <c r="G50" s="70" t="str">
        <f t="shared" si="3"/>
        <v>Stonefalls</v>
      </c>
      <c r="H50" s="70">
        <f t="shared" si="1"/>
        <v>193</v>
      </c>
      <c r="I50" s="70">
        <f t="shared" si="2"/>
        <v>41</v>
      </c>
      <c r="J50">
        <v>0</v>
      </c>
      <c r="K50" s="3" t="str">
        <f>VLOOKUP(J50,ConstDLCIds!$A$4:$B$1000,2,FALSE)</f>
        <v>DLC_BASE_GAME</v>
      </c>
      <c r="L50" s="3" t="str">
        <f>VLOOKUP(J50,ConstDLCIds!$A$4:$C$1000,3,FALSE)</f>
        <v>Included in base game</v>
      </c>
    </row>
    <row r="51" spans="1:12" x14ac:dyDescent="0.25">
      <c r="A51">
        <v>200</v>
      </c>
      <c r="B51">
        <v>46</v>
      </c>
      <c r="C51">
        <v>0</v>
      </c>
      <c r="D51" t="s">
        <v>2215</v>
      </c>
      <c r="E51" t="str">
        <f>IF(NOT(ISERROR(VLOOKUP(D51,'ESO DungeonFinder'!$A$2:$A$999,1,FALSE))),"X","")</f>
        <v/>
      </c>
      <c r="F51" s="70" t="str">
        <f t="shared" si="0"/>
        <v/>
      </c>
      <c r="G51" s="70" t="str">
        <f t="shared" si="3"/>
        <v>Tamriel Map</v>
      </c>
      <c r="H51" s="70">
        <f t="shared" si="1"/>
        <v>200</v>
      </c>
      <c r="I51" s="70">
        <f t="shared" si="2"/>
        <v>0</v>
      </c>
      <c r="J51">
        <v>0</v>
      </c>
      <c r="K51" s="3" t="str">
        <f>VLOOKUP(J51,ConstDLCIds!$A$4:$B$1000,2,FALSE)</f>
        <v>DLC_BASE_GAME</v>
      </c>
      <c r="L51" s="3" t="str">
        <f>VLOOKUP(J51,ConstDLCIds!$A$4:$C$1000,3,FALSE)</f>
        <v>Included in base game</v>
      </c>
    </row>
    <row r="52" spans="1:12" x14ac:dyDescent="0.25">
      <c r="A52">
        <v>201</v>
      </c>
      <c r="B52">
        <v>47</v>
      </c>
      <c r="C52">
        <v>0</v>
      </c>
      <c r="D52" t="s">
        <v>2216</v>
      </c>
      <c r="E52" t="str">
        <f>IF(NOT(ISERROR(VLOOKUP(D52,'ESO DungeonFinder'!$A$2:$A$999,1,FALSE))),"X","")</f>
        <v/>
      </c>
      <c r="F52" s="70" t="str">
        <f t="shared" si="0"/>
        <v/>
      </c>
      <c r="G52" s="70" t="str">
        <f t="shared" si="3"/>
        <v>Tamriel Map</v>
      </c>
      <c r="H52" s="70">
        <f t="shared" si="1"/>
        <v>201</v>
      </c>
      <c r="I52" s="70">
        <f t="shared" si="2"/>
        <v>0</v>
      </c>
      <c r="J52">
        <v>0</v>
      </c>
      <c r="K52" s="3" t="str">
        <f>VLOOKUP(J52,ConstDLCIds!$A$4:$B$1000,2,FALSE)</f>
        <v>DLC_BASE_GAME</v>
      </c>
      <c r="L52" s="3" t="str">
        <f>VLOOKUP(J52,ConstDLCIds!$A$4:$C$1000,3,FALSE)</f>
        <v>Included in base game</v>
      </c>
    </row>
    <row r="53" spans="1:12" x14ac:dyDescent="0.25">
      <c r="A53">
        <v>203</v>
      </c>
      <c r="B53">
        <v>48</v>
      </c>
      <c r="C53">
        <v>267</v>
      </c>
      <c r="D53" t="s">
        <v>2217</v>
      </c>
      <c r="E53" t="str">
        <f>IF(NOT(ISERROR(VLOOKUP(D53,'ESO DungeonFinder'!$A$2:$A$999,1,FALSE))),"X","")</f>
        <v/>
      </c>
      <c r="F53" s="70" t="str">
        <f t="shared" si="0"/>
        <v/>
      </c>
      <c r="G53" s="70" t="str">
        <f t="shared" si="3"/>
        <v>Eyevea</v>
      </c>
      <c r="H53" s="70">
        <f t="shared" si="1"/>
        <v>203</v>
      </c>
      <c r="I53" s="70">
        <f t="shared" si="2"/>
        <v>267</v>
      </c>
      <c r="J53">
        <v>0</v>
      </c>
      <c r="K53" s="3" t="str">
        <f>VLOOKUP(J53,ConstDLCIds!$A$4:$B$1000,2,FALSE)</f>
        <v>DLC_BASE_GAME</v>
      </c>
      <c r="L53" s="3" t="str">
        <f>VLOOKUP(J53,ConstDLCIds!$A$4:$C$1000,3,FALSE)</f>
        <v>Included in base game</v>
      </c>
    </row>
    <row r="54" spans="1:12" x14ac:dyDescent="0.25">
      <c r="A54">
        <v>207</v>
      </c>
      <c r="B54">
        <v>49</v>
      </c>
      <c r="C54">
        <v>208</v>
      </c>
      <c r="D54" t="s">
        <v>2218</v>
      </c>
      <c r="E54" t="str">
        <f>IF(NOT(ISERROR(VLOOKUP(D54,'ESO DungeonFinder'!$A$2:$A$999,1,FALSE))),"X","")</f>
        <v/>
      </c>
      <c r="F54" s="70" t="str">
        <f t="shared" si="0"/>
        <v/>
      </c>
      <c r="G54" s="70" t="str">
        <f t="shared" si="3"/>
        <v>The Earth Forge</v>
      </c>
      <c r="H54" s="70">
        <f t="shared" si="1"/>
        <v>207</v>
      </c>
      <c r="I54" s="70">
        <f t="shared" si="2"/>
        <v>208</v>
      </c>
      <c r="J54">
        <v>0</v>
      </c>
      <c r="K54" s="3" t="str">
        <f>VLOOKUP(J54,ConstDLCIds!$A$4:$B$1000,2,FALSE)</f>
        <v>DLC_BASE_GAME</v>
      </c>
      <c r="L54" s="3" t="str">
        <f>VLOOKUP(J54,ConstDLCIds!$A$4:$C$1000,3,FALSE)</f>
        <v>Included in base game</v>
      </c>
    </row>
    <row r="55" spans="1:12" x14ac:dyDescent="0.25">
      <c r="A55">
        <v>208</v>
      </c>
      <c r="B55">
        <v>50</v>
      </c>
      <c r="C55">
        <v>208</v>
      </c>
      <c r="D55" t="s">
        <v>554</v>
      </c>
      <c r="E55" t="str">
        <f>IF(NOT(ISERROR(VLOOKUP(D55,'ESO DungeonFinder'!$A$2:$A$999,1,FALSE))),"X","")</f>
        <v/>
      </c>
      <c r="F55" s="70" t="str">
        <f t="shared" si="0"/>
        <v>X</v>
      </c>
      <c r="G55" s="70" t="str">
        <f t="shared" si="3"/>
        <v/>
      </c>
      <c r="H55" s="70">
        <f t="shared" si="1"/>
        <v>208</v>
      </c>
      <c r="I55" s="70">
        <f t="shared" si="2"/>
        <v>208</v>
      </c>
      <c r="J55">
        <v>0</v>
      </c>
      <c r="K55" s="3" t="str">
        <f>VLOOKUP(J55,ConstDLCIds!$A$4:$B$1000,2,FALSE)</f>
        <v>DLC_BASE_GAME</v>
      </c>
      <c r="L55" s="3" t="str">
        <f>VLOOKUP(J55,ConstDLCIds!$A$4:$C$1000,3,FALSE)</f>
        <v>Included in base game</v>
      </c>
    </row>
    <row r="56" spans="1:12" x14ac:dyDescent="0.25">
      <c r="A56">
        <v>209</v>
      </c>
      <c r="B56">
        <v>51</v>
      </c>
      <c r="C56">
        <v>208</v>
      </c>
      <c r="D56" t="s">
        <v>2219</v>
      </c>
      <c r="E56" t="str">
        <f>IF(NOT(ISERROR(VLOOKUP(D56,'ESO DungeonFinder'!$A$2:$A$999,1,FALSE))),"X","")</f>
        <v/>
      </c>
      <c r="F56" s="70" t="str">
        <f t="shared" si="0"/>
        <v/>
      </c>
      <c r="G56" s="70" t="str">
        <f t="shared" si="3"/>
        <v>The Earth Forge</v>
      </c>
      <c r="H56" s="70">
        <f t="shared" si="1"/>
        <v>209</v>
      </c>
      <c r="I56" s="70">
        <f t="shared" si="2"/>
        <v>208</v>
      </c>
      <c r="J56">
        <v>0</v>
      </c>
      <c r="K56" s="3" t="str">
        <f>VLOOKUP(J56,ConstDLCIds!$A$4:$B$1000,2,FALSE)</f>
        <v>DLC_BASE_GAME</v>
      </c>
      <c r="L56" s="3" t="str">
        <f>VLOOKUP(J56,ConstDLCIds!$A$4:$C$1000,3,FALSE)</f>
        <v>Included in base game</v>
      </c>
    </row>
    <row r="57" spans="1:12" x14ac:dyDescent="0.25">
      <c r="A57">
        <v>212</v>
      </c>
      <c r="B57">
        <v>52</v>
      </c>
      <c r="C57">
        <v>57</v>
      </c>
      <c r="D57" t="s">
        <v>2220</v>
      </c>
      <c r="E57" t="str">
        <f>IF(NOT(ISERROR(VLOOKUP(D57,'ESO DungeonFinder'!$A$2:$A$999,1,FALSE))),"X","")</f>
        <v/>
      </c>
      <c r="F57" s="70" t="str">
        <f t="shared" si="0"/>
        <v/>
      </c>
      <c r="G57" s="70" t="str">
        <f t="shared" si="3"/>
        <v>Deshaan</v>
      </c>
      <c r="H57" s="70">
        <f t="shared" si="1"/>
        <v>212</v>
      </c>
      <c r="I57" s="70">
        <f t="shared" si="2"/>
        <v>57</v>
      </c>
      <c r="J57">
        <v>0</v>
      </c>
      <c r="K57" s="3" t="str">
        <f>VLOOKUP(J57,ConstDLCIds!$A$4:$B$1000,2,FALSE)</f>
        <v>DLC_BASE_GAME</v>
      </c>
      <c r="L57" s="3" t="str">
        <f>VLOOKUP(J57,ConstDLCIds!$A$4:$C$1000,3,FALSE)</f>
        <v>Included in base game</v>
      </c>
    </row>
    <row r="58" spans="1:12" x14ac:dyDescent="0.25">
      <c r="A58">
        <v>213</v>
      </c>
      <c r="B58">
        <v>53</v>
      </c>
      <c r="C58">
        <v>117</v>
      </c>
      <c r="D58" t="s">
        <v>2221</v>
      </c>
      <c r="E58" t="str">
        <f>IF(NOT(ISERROR(VLOOKUP(D58,'ESO DungeonFinder'!$A$2:$A$999,1,FALSE))),"X","")</f>
        <v/>
      </c>
      <c r="F58" s="70" t="str">
        <f t="shared" si="0"/>
        <v/>
      </c>
      <c r="G58" s="70" t="str">
        <f t="shared" si="3"/>
        <v>Shadowfen</v>
      </c>
      <c r="H58" s="70">
        <f t="shared" si="1"/>
        <v>213</v>
      </c>
      <c r="I58" s="70">
        <f t="shared" si="2"/>
        <v>117</v>
      </c>
      <c r="J58">
        <v>0</v>
      </c>
      <c r="K58" s="3" t="str">
        <f>VLOOKUP(J58,ConstDLCIds!$A$4:$B$1000,2,FALSE)</f>
        <v>DLC_BASE_GAME</v>
      </c>
      <c r="L58" s="3" t="str">
        <f>VLOOKUP(J58,ConstDLCIds!$A$4:$C$1000,3,FALSE)</f>
        <v>Included in base game</v>
      </c>
    </row>
    <row r="59" spans="1:12" x14ac:dyDescent="0.25">
      <c r="A59">
        <v>214</v>
      </c>
      <c r="B59">
        <v>54</v>
      </c>
      <c r="C59">
        <v>117</v>
      </c>
      <c r="D59" t="s">
        <v>2222</v>
      </c>
      <c r="E59" t="str">
        <f>IF(NOT(ISERROR(VLOOKUP(D59,'ESO DungeonFinder'!$A$2:$A$999,1,FALSE))),"X","")</f>
        <v/>
      </c>
      <c r="F59" s="70" t="str">
        <f t="shared" si="0"/>
        <v/>
      </c>
      <c r="G59" s="70" t="str">
        <f t="shared" si="3"/>
        <v>Shadowfen</v>
      </c>
      <c r="H59" s="70">
        <f t="shared" si="1"/>
        <v>214</v>
      </c>
      <c r="I59" s="70">
        <f t="shared" si="2"/>
        <v>117</v>
      </c>
      <c r="J59">
        <v>0</v>
      </c>
      <c r="K59" s="3" t="str">
        <f>VLOOKUP(J59,ConstDLCIds!$A$4:$B$1000,2,FALSE)</f>
        <v>DLC_BASE_GAME</v>
      </c>
      <c r="L59" s="3" t="str">
        <f>VLOOKUP(J59,ConstDLCIds!$A$4:$C$1000,3,FALSE)</f>
        <v>Included in base game</v>
      </c>
    </row>
    <row r="60" spans="1:12" x14ac:dyDescent="0.25">
      <c r="A60">
        <v>215</v>
      </c>
      <c r="B60">
        <v>55</v>
      </c>
      <c r="C60">
        <v>117</v>
      </c>
      <c r="D60" t="s">
        <v>2223</v>
      </c>
      <c r="E60" t="str">
        <f>IF(NOT(ISERROR(VLOOKUP(D60,'ESO DungeonFinder'!$A$2:$A$999,1,FALSE))),"X","")</f>
        <v/>
      </c>
      <c r="F60" s="70" t="str">
        <f t="shared" si="0"/>
        <v/>
      </c>
      <c r="G60" s="70" t="str">
        <f t="shared" si="3"/>
        <v>Shadowfen</v>
      </c>
      <c r="H60" s="70">
        <f t="shared" si="1"/>
        <v>215</v>
      </c>
      <c r="I60" s="70">
        <f t="shared" si="2"/>
        <v>117</v>
      </c>
      <c r="J60">
        <v>0</v>
      </c>
      <c r="K60" s="3" t="str">
        <f>VLOOKUP(J60,ConstDLCIds!$A$4:$B$1000,2,FALSE)</f>
        <v>DLC_BASE_GAME</v>
      </c>
      <c r="L60" s="3" t="str">
        <f>VLOOKUP(J60,ConstDLCIds!$A$4:$C$1000,3,FALSE)</f>
        <v>Included in base game</v>
      </c>
    </row>
    <row r="61" spans="1:12" x14ac:dyDescent="0.25">
      <c r="A61">
        <v>216</v>
      </c>
      <c r="B61">
        <v>56</v>
      </c>
      <c r="C61">
        <v>41</v>
      </c>
      <c r="D61" t="s">
        <v>1419</v>
      </c>
      <c r="E61" t="str">
        <f>IF(NOT(ISERROR(VLOOKUP(D61,'ESO DungeonFinder'!$A$2:$A$999,1,FALSE))),"X","")</f>
        <v/>
      </c>
      <c r="F61" s="70" t="str">
        <f t="shared" si="0"/>
        <v/>
      </c>
      <c r="G61" s="70" t="str">
        <f t="shared" si="3"/>
        <v>Stonefalls</v>
      </c>
      <c r="H61" s="70">
        <f t="shared" si="1"/>
        <v>216</v>
      </c>
      <c r="I61" s="70">
        <f t="shared" si="2"/>
        <v>41</v>
      </c>
      <c r="J61">
        <v>0</v>
      </c>
      <c r="K61" s="3" t="str">
        <f>VLOOKUP(J61,ConstDLCIds!$A$4:$B$1000,2,FALSE)</f>
        <v>DLC_BASE_GAME</v>
      </c>
      <c r="L61" s="3" t="str">
        <f>VLOOKUP(J61,ConstDLCIds!$A$4:$C$1000,3,FALSE)</f>
        <v>Included in base game</v>
      </c>
    </row>
    <row r="62" spans="1:12" x14ac:dyDescent="0.25">
      <c r="A62">
        <v>217</v>
      </c>
      <c r="B62">
        <v>57</v>
      </c>
      <c r="C62">
        <v>0</v>
      </c>
      <c r="D62" t="s">
        <v>2224</v>
      </c>
      <c r="E62" t="str">
        <f>IF(NOT(ISERROR(VLOOKUP(D62,'ESO DungeonFinder'!$A$2:$A$999,1,FALSE))),"X","")</f>
        <v/>
      </c>
      <c r="F62" s="70" t="str">
        <f t="shared" si="0"/>
        <v/>
      </c>
      <c r="G62" s="70" t="str">
        <f t="shared" si="3"/>
        <v>Tamriel Map</v>
      </c>
      <c r="H62" s="70">
        <f t="shared" si="1"/>
        <v>217</v>
      </c>
      <c r="I62" s="70">
        <f t="shared" si="2"/>
        <v>0</v>
      </c>
      <c r="J62">
        <v>0</v>
      </c>
      <c r="K62" s="3" t="str">
        <f>VLOOKUP(J62,ConstDLCIds!$A$4:$B$1000,2,FALSE)</f>
        <v>DLC_BASE_GAME</v>
      </c>
      <c r="L62" s="3" t="str">
        <f>VLOOKUP(J62,ConstDLCIds!$A$4:$C$1000,3,FALSE)</f>
        <v>Included in base game</v>
      </c>
    </row>
    <row r="63" spans="1:12" x14ac:dyDescent="0.25">
      <c r="A63">
        <v>218</v>
      </c>
      <c r="B63">
        <v>58</v>
      </c>
      <c r="C63">
        <v>267</v>
      </c>
      <c r="D63" t="s">
        <v>2225</v>
      </c>
      <c r="E63" t="str">
        <f>IF(NOT(ISERROR(VLOOKUP(D63,'ESO DungeonFinder'!$A$2:$A$999,1,FALSE))),"X","")</f>
        <v/>
      </c>
      <c r="F63" s="70" t="str">
        <f t="shared" si="0"/>
        <v/>
      </c>
      <c r="G63" s="70" t="str">
        <f t="shared" si="3"/>
        <v>Eyevea</v>
      </c>
      <c r="H63" s="70">
        <f t="shared" si="1"/>
        <v>218</v>
      </c>
      <c r="I63" s="70">
        <f t="shared" si="2"/>
        <v>267</v>
      </c>
      <c r="J63">
        <v>0</v>
      </c>
      <c r="K63" s="3" t="str">
        <f>VLOOKUP(J63,ConstDLCIds!$A$4:$B$1000,2,FALSE)</f>
        <v>DLC_BASE_GAME</v>
      </c>
      <c r="L63" s="3" t="str">
        <f>VLOOKUP(J63,ConstDLCIds!$A$4:$C$1000,3,FALSE)</f>
        <v>Included in base game</v>
      </c>
    </row>
    <row r="64" spans="1:12" x14ac:dyDescent="0.25">
      <c r="A64">
        <v>219</v>
      </c>
      <c r="B64">
        <v>59</v>
      </c>
      <c r="C64">
        <v>267</v>
      </c>
      <c r="D64" t="s">
        <v>2226</v>
      </c>
      <c r="E64" t="str">
        <f>IF(NOT(ISERROR(VLOOKUP(D64,'ESO DungeonFinder'!$A$2:$A$999,1,FALSE))),"X","")</f>
        <v/>
      </c>
      <c r="F64" s="70" t="str">
        <f t="shared" si="0"/>
        <v/>
      </c>
      <c r="G64" s="70" t="str">
        <f t="shared" si="3"/>
        <v>Eyevea</v>
      </c>
      <c r="H64" s="70">
        <f t="shared" si="1"/>
        <v>219</v>
      </c>
      <c r="I64" s="70">
        <f t="shared" si="2"/>
        <v>267</v>
      </c>
      <c r="J64">
        <v>0</v>
      </c>
      <c r="K64" s="3" t="str">
        <f>VLOOKUP(J64,ConstDLCIds!$A$4:$B$1000,2,FALSE)</f>
        <v>DLC_BASE_GAME</v>
      </c>
      <c r="L64" s="3" t="str">
        <f>VLOOKUP(J64,ConstDLCIds!$A$4:$C$1000,3,FALSE)</f>
        <v>Included in base game</v>
      </c>
    </row>
    <row r="65" spans="1:12" x14ac:dyDescent="0.25">
      <c r="A65">
        <v>222</v>
      </c>
      <c r="B65">
        <v>60</v>
      </c>
      <c r="C65">
        <v>3</v>
      </c>
      <c r="D65" t="s">
        <v>2227</v>
      </c>
      <c r="E65" t="str">
        <f>IF(NOT(ISERROR(VLOOKUP(D65,'ESO DungeonFinder'!$A$2:$A$999,1,FALSE))),"X","")</f>
        <v/>
      </c>
      <c r="F65" s="70" t="str">
        <f t="shared" si="0"/>
        <v/>
      </c>
      <c r="G65" s="70" t="str">
        <f t="shared" si="3"/>
        <v>Glenumbra</v>
      </c>
      <c r="H65" s="70">
        <f t="shared" si="1"/>
        <v>222</v>
      </c>
      <c r="I65" s="70">
        <f t="shared" si="2"/>
        <v>3</v>
      </c>
      <c r="J65">
        <v>0</v>
      </c>
      <c r="K65" s="3" t="str">
        <f>VLOOKUP(J65,ConstDLCIds!$A$4:$B$1000,2,FALSE)</f>
        <v>DLC_BASE_GAME</v>
      </c>
      <c r="L65" s="3" t="str">
        <f>VLOOKUP(J65,ConstDLCIds!$A$4:$C$1000,3,FALSE)</f>
        <v>Included in base game</v>
      </c>
    </row>
    <row r="66" spans="1:12" x14ac:dyDescent="0.25">
      <c r="A66">
        <v>223</v>
      </c>
      <c r="B66">
        <v>61</v>
      </c>
      <c r="C66">
        <v>3</v>
      </c>
      <c r="D66" t="s">
        <v>2228</v>
      </c>
      <c r="E66" t="str">
        <f>IF(NOT(ISERROR(VLOOKUP(D66,'ESO DungeonFinder'!$A$2:$A$999,1,FALSE))),"X","")</f>
        <v/>
      </c>
      <c r="F66" s="70" t="str">
        <f t="shared" si="0"/>
        <v/>
      </c>
      <c r="G66" s="70" t="str">
        <f t="shared" si="3"/>
        <v>Glenumbra</v>
      </c>
      <c r="H66" s="70">
        <f t="shared" si="1"/>
        <v>223</v>
      </c>
      <c r="I66" s="70">
        <f t="shared" si="2"/>
        <v>3</v>
      </c>
      <c r="J66">
        <v>0</v>
      </c>
      <c r="K66" s="3" t="str">
        <f>VLOOKUP(J66,ConstDLCIds!$A$4:$B$1000,2,FALSE)</f>
        <v>DLC_BASE_GAME</v>
      </c>
      <c r="L66" s="3" t="str">
        <f>VLOOKUP(J66,ConstDLCIds!$A$4:$C$1000,3,FALSE)</f>
        <v>Included in base game</v>
      </c>
    </row>
    <row r="67" spans="1:12" x14ac:dyDescent="0.25">
      <c r="A67">
        <v>224</v>
      </c>
      <c r="B67">
        <v>62</v>
      </c>
      <c r="C67">
        <v>20</v>
      </c>
      <c r="D67" t="s">
        <v>2229</v>
      </c>
      <c r="E67" t="str">
        <f>IF(NOT(ISERROR(VLOOKUP(D67,'ESO DungeonFinder'!$A$2:$A$999,1,FALSE))),"X","")</f>
        <v/>
      </c>
      <c r="F67" s="70" t="str">
        <f t="shared" si="0"/>
        <v/>
      </c>
      <c r="G67" s="70" t="str">
        <f t="shared" si="3"/>
        <v>Rivenspire</v>
      </c>
      <c r="H67" s="70">
        <f t="shared" si="1"/>
        <v>224</v>
      </c>
      <c r="I67" s="70">
        <f t="shared" si="2"/>
        <v>20</v>
      </c>
      <c r="J67">
        <v>0</v>
      </c>
      <c r="K67" s="3" t="str">
        <f>VLOOKUP(J67,ConstDLCIds!$A$4:$B$1000,2,FALSE)</f>
        <v>DLC_BASE_GAME</v>
      </c>
      <c r="L67" s="3" t="str">
        <f>VLOOKUP(J67,ConstDLCIds!$A$4:$C$1000,3,FALSE)</f>
        <v>Included in base game</v>
      </c>
    </row>
    <row r="68" spans="1:12" x14ac:dyDescent="0.25">
      <c r="A68">
        <v>227</v>
      </c>
      <c r="B68">
        <v>63</v>
      </c>
      <c r="C68">
        <v>92</v>
      </c>
      <c r="D68" t="s">
        <v>2230</v>
      </c>
      <c r="E68" t="str">
        <f>IF(NOT(ISERROR(VLOOKUP(D68,'ESO DungeonFinder'!$A$2:$A$999,1,FALSE))),"X","")</f>
        <v/>
      </c>
      <c r="F68" s="70" t="str">
        <f t="shared" si="0"/>
        <v/>
      </c>
      <c r="G68" s="70" t="str">
        <f t="shared" si="3"/>
        <v>Bangkorai</v>
      </c>
      <c r="H68" s="70">
        <f t="shared" si="1"/>
        <v>227</v>
      </c>
      <c r="I68" s="70">
        <f t="shared" si="2"/>
        <v>92</v>
      </c>
      <c r="J68">
        <v>0</v>
      </c>
      <c r="K68" s="3" t="str">
        <f>VLOOKUP(J68,ConstDLCIds!$A$4:$B$1000,2,FALSE)</f>
        <v>DLC_BASE_GAME</v>
      </c>
      <c r="L68" s="3" t="str">
        <f>VLOOKUP(J68,ConstDLCIds!$A$4:$C$1000,3,FALSE)</f>
        <v>Included in base game</v>
      </c>
    </row>
    <row r="69" spans="1:12" x14ac:dyDescent="0.25">
      <c r="A69">
        <v>228</v>
      </c>
      <c r="B69">
        <v>64</v>
      </c>
      <c r="C69">
        <v>92</v>
      </c>
      <c r="D69" t="s">
        <v>2231</v>
      </c>
      <c r="E69" t="str">
        <f>IF(NOT(ISERROR(VLOOKUP(D69,'ESO DungeonFinder'!$A$2:$A$999,1,FALSE))),"X","")</f>
        <v/>
      </c>
      <c r="F69" s="70" t="str">
        <f t="shared" ref="F69:F132" si="4">IF(EXACT(A69,C69),"X","")</f>
        <v/>
      </c>
      <c r="G69" s="70" t="str">
        <f t="shared" si="3"/>
        <v>Bangkorai</v>
      </c>
      <c r="H69" s="70">
        <f t="shared" ref="H69:H132" si="5">A69</f>
        <v>228</v>
      </c>
      <c r="I69" s="70">
        <f t="shared" ref="I69:I132" si="6">C69</f>
        <v>92</v>
      </c>
      <c r="J69">
        <v>0</v>
      </c>
      <c r="K69" s="3" t="str">
        <f>VLOOKUP(J69,ConstDLCIds!$A$4:$B$1000,2,FALSE)</f>
        <v>DLC_BASE_GAME</v>
      </c>
      <c r="L69" s="3" t="str">
        <f>VLOOKUP(J69,ConstDLCIds!$A$4:$C$1000,3,FALSE)</f>
        <v>Included in base game</v>
      </c>
    </row>
    <row r="70" spans="1:12" x14ac:dyDescent="0.25">
      <c r="A70">
        <v>229</v>
      </c>
      <c r="B70">
        <v>65</v>
      </c>
      <c r="C70">
        <v>92</v>
      </c>
      <c r="D70" t="s">
        <v>2232</v>
      </c>
      <c r="E70" t="str">
        <f>IF(NOT(ISERROR(VLOOKUP(D70,'ESO DungeonFinder'!$A$2:$A$999,1,FALSE))),"X","")</f>
        <v/>
      </c>
      <c r="F70" s="70" t="str">
        <f t="shared" si="4"/>
        <v/>
      </c>
      <c r="G70" s="70" t="str">
        <f t="shared" ref="G70:G133" si="7">IF(A70&lt;&gt;C70,VLOOKUP(C70,$A$5:$D$9956,4,FALSE),"")</f>
        <v>Bangkorai</v>
      </c>
      <c r="H70" s="70">
        <f t="shared" si="5"/>
        <v>229</v>
      </c>
      <c r="I70" s="70">
        <f t="shared" si="6"/>
        <v>92</v>
      </c>
      <c r="J70">
        <v>0</v>
      </c>
      <c r="K70" s="3" t="str">
        <f>VLOOKUP(J70,ConstDLCIds!$A$4:$B$1000,2,FALSE)</f>
        <v>DLC_BASE_GAME</v>
      </c>
      <c r="L70" s="3" t="str">
        <f>VLOOKUP(J70,ConstDLCIds!$A$4:$C$1000,3,FALSE)</f>
        <v>Included in base game</v>
      </c>
    </row>
    <row r="71" spans="1:12" x14ac:dyDescent="0.25">
      <c r="A71">
        <v>231</v>
      </c>
      <c r="B71">
        <v>66</v>
      </c>
      <c r="C71">
        <v>92</v>
      </c>
      <c r="D71" t="s">
        <v>2233</v>
      </c>
      <c r="E71" t="str">
        <f>IF(NOT(ISERROR(VLOOKUP(D71,'ESO DungeonFinder'!$A$2:$A$999,1,FALSE))),"X","")</f>
        <v/>
      </c>
      <c r="F71" s="70" t="str">
        <f t="shared" si="4"/>
        <v/>
      </c>
      <c r="G71" s="70" t="str">
        <f t="shared" si="7"/>
        <v>Bangkorai</v>
      </c>
      <c r="H71" s="70">
        <f t="shared" si="5"/>
        <v>231</v>
      </c>
      <c r="I71" s="70">
        <f t="shared" si="6"/>
        <v>92</v>
      </c>
      <c r="J71">
        <v>0</v>
      </c>
      <c r="K71" s="3" t="str">
        <f>VLOOKUP(J71,ConstDLCIds!$A$4:$B$1000,2,FALSE)</f>
        <v>DLC_BASE_GAME</v>
      </c>
      <c r="L71" s="3" t="str">
        <f>VLOOKUP(J71,ConstDLCIds!$A$4:$C$1000,3,FALSE)</f>
        <v>Included in base game</v>
      </c>
    </row>
    <row r="72" spans="1:12" x14ac:dyDescent="0.25">
      <c r="A72">
        <v>232</v>
      </c>
      <c r="B72">
        <v>67</v>
      </c>
      <c r="C72">
        <v>117</v>
      </c>
      <c r="D72" t="s">
        <v>2234</v>
      </c>
      <c r="E72" t="str">
        <f>IF(NOT(ISERROR(VLOOKUP(D72,'ESO DungeonFinder'!$A$2:$A$999,1,FALSE))),"X","")</f>
        <v/>
      </c>
      <c r="F72" s="70" t="str">
        <f t="shared" si="4"/>
        <v/>
      </c>
      <c r="G72" s="70" t="str">
        <f t="shared" si="7"/>
        <v>Shadowfen</v>
      </c>
      <c r="H72" s="70">
        <f t="shared" si="5"/>
        <v>232</v>
      </c>
      <c r="I72" s="70">
        <f t="shared" si="6"/>
        <v>117</v>
      </c>
      <c r="J72">
        <v>0</v>
      </c>
      <c r="K72" s="3" t="str">
        <f>VLOOKUP(J72,ConstDLCIds!$A$4:$B$1000,2,FALSE)</f>
        <v>DLC_BASE_GAME</v>
      </c>
      <c r="L72" s="3" t="str">
        <f>VLOOKUP(J72,ConstDLCIds!$A$4:$C$1000,3,FALSE)</f>
        <v>Included in base game</v>
      </c>
    </row>
    <row r="73" spans="1:12" x14ac:dyDescent="0.25">
      <c r="A73">
        <v>233</v>
      </c>
      <c r="B73">
        <v>68</v>
      </c>
      <c r="C73">
        <v>117</v>
      </c>
      <c r="D73" t="s">
        <v>2235</v>
      </c>
      <c r="E73" t="str">
        <f>IF(NOT(ISERROR(VLOOKUP(D73,'ESO DungeonFinder'!$A$2:$A$999,1,FALSE))),"X","")</f>
        <v/>
      </c>
      <c r="F73" s="70" t="str">
        <f t="shared" si="4"/>
        <v/>
      </c>
      <c r="G73" s="70" t="str">
        <f t="shared" si="7"/>
        <v>Shadowfen</v>
      </c>
      <c r="H73" s="70">
        <f t="shared" si="5"/>
        <v>233</v>
      </c>
      <c r="I73" s="70">
        <f t="shared" si="6"/>
        <v>117</v>
      </c>
      <c r="J73">
        <v>0</v>
      </c>
      <c r="K73" s="3" t="str">
        <f>VLOOKUP(J73,ConstDLCIds!$A$4:$B$1000,2,FALSE)</f>
        <v>DLC_BASE_GAME</v>
      </c>
      <c r="L73" s="3" t="str">
        <f>VLOOKUP(J73,ConstDLCIds!$A$4:$C$1000,3,FALSE)</f>
        <v>Included in base game</v>
      </c>
    </row>
    <row r="74" spans="1:12" x14ac:dyDescent="0.25">
      <c r="A74">
        <v>234</v>
      </c>
      <c r="B74">
        <v>69</v>
      </c>
      <c r="C74">
        <v>117</v>
      </c>
      <c r="D74" t="s">
        <v>2236</v>
      </c>
      <c r="E74" t="str">
        <f>IF(NOT(ISERROR(VLOOKUP(D74,'ESO DungeonFinder'!$A$2:$A$999,1,FALSE))),"X","")</f>
        <v/>
      </c>
      <c r="F74" s="70" t="str">
        <f t="shared" si="4"/>
        <v/>
      </c>
      <c r="G74" s="70" t="str">
        <f t="shared" si="7"/>
        <v>Shadowfen</v>
      </c>
      <c r="H74" s="70">
        <f t="shared" si="5"/>
        <v>234</v>
      </c>
      <c r="I74" s="70">
        <f t="shared" si="6"/>
        <v>117</v>
      </c>
      <c r="J74">
        <v>0</v>
      </c>
      <c r="K74" s="3" t="str">
        <f>VLOOKUP(J74,ConstDLCIds!$A$4:$B$1000,2,FALSE)</f>
        <v>DLC_BASE_GAME</v>
      </c>
      <c r="L74" s="3" t="str">
        <f>VLOOKUP(J74,ConstDLCIds!$A$4:$C$1000,3,FALSE)</f>
        <v>Included in base game</v>
      </c>
    </row>
    <row r="75" spans="1:12" x14ac:dyDescent="0.25">
      <c r="A75">
        <v>235</v>
      </c>
      <c r="B75">
        <v>70</v>
      </c>
      <c r="C75">
        <v>117</v>
      </c>
      <c r="D75" t="s">
        <v>2237</v>
      </c>
      <c r="E75" t="str">
        <f>IF(NOT(ISERROR(VLOOKUP(D75,'ESO DungeonFinder'!$A$2:$A$999,1,FALSE))),"X","")</f>
        <v/>
      </c>
      <c r="F75" s="70" t="str">
        <f t="shared" si="4"/>
        <v/>
      </c>
      <c r="G75" s="70" t="str">
        <f t="shared" si="7"/>
        <v>Shadowfen</v>
      </c>
      <c r="H75" s="70">
        <f t="shared" si="5"/>
        <v>235</v>
      </c>
      <c r="I75" s="70">
        <f t="shared" si="6"/>
        <v>117</v>
      </c>
      <c r="J75">
        <v>0</v>
      </c>
      <c r="K75" s="3" t="str">
        <f>VLOOKUP(J75,ConstDLCIds!$A$4:$B$1000,2,FALSE)</f>
        <v>DLC_BASE_GAME</v>
      </c>
      <c r="L75" s="3" t="str">
        <f>VLOOKUP(J75,ConstDLCIds!$A$4:$C$1000,3,FALSE)</f>
        <v>Included in base game</v>
      </c>
    </row>
    <row r="76" spans="1:12" x14ac:dyDescent="0.25">
      <c r="A76">
        <v>236</v>
      </c>
      <c r="B76">
        <v>71</v>
      </c>
      <c r="C76">
        <v>117</v>
      </c>
      <c r="D76" t="s">
        <v>2238</v>
      </c>
      <c r="E76" t="str">
        <f>IF(NOT(ISERROR(VLOOKUP(D76,'ESO DungeonFinder'!$A$2:$A$999,1,FALSE))),"X","")</f>
        <v/>
      </c>
      <c r="F76" s="70" t="str">
        <f t="shared" si="4"/>
        <v/>
      </c>
      <c r="G76" s="70" t="str">
        <f t="shared" si="7"/>
        <v>Shadowfen</v>
      </c>
      <c r="H76" s="70">
        <f t="shared" si="5"/>
        <v>236</v>
      </c>
      <c r="I76" s="70">
        <f t="shared" si="6"/>
        <v>117</v>
      </c>
      <c r="J76">
        <v>0</v>
      </c>
      <c r="K76" s="3" t="str">
        <f>VLOOKUP(J76,ConstDLCIds!$A$4:$B$1000,2,FALSE)</f>
        <v>DLC_BASE_GAME</v>
      </c>
      <c r="L76" s="3" t="str">
        <f>VLOOKUP(J76,ConstDLCIds!$A$4:$C$1000,3,FALSE)</f>
        <v>Included in base game</v>
      </c>
    </row>
    <row r="77" spans="1:12" x14ac:dyDescent="0.25">
      <c r="A77">
        <v>237</v>
      </c>
      <c r="B77">
        <v>72</v>
      </c>
      <c r="C77">
        <v>104</v>
      </c>
      <c r="D77" t="s">
        <v>2239</v>
      </c>
      <c r="E77" t="str">
        <f>IF(NOT(ISERROR(VLOOKUP(D77,'ESO DungeonFinder'!$A$2:$A$999,1,FALSE))),"X","")</f>
        <v/>
      </c>
      <c r="F77" s="70" t="str">
        <f t="shared" si="4"/>
        <v/>
      </c>
      <c r="G77" s="70" t="str">
        <f t="shared" si="7"/>
        <v>Alik'r Desert</v>
      </c>
      <c r="H77" s="70">
        <f t="shared" si="5"/>
        <v>237</v>
      </c>
      <c r="I77" s="70">
        <f t="shared" si="6"/>
        <v>104</v>
      </c>
      <c r="J77">
        <v>0</v>
      </c>
      <c r="K77" s="3" t="str">
        <f>VLOOKUP(J77,ConstDLCIds!$A$4:$B$1000,2,FALSE)</f>
        <v>DLC_BASE_GAME</v>
      </c>
      <c r="L77" s="3" t="str">
        <f>VLOOKUP(J77,ConstDLCIds!$A$4:$C$1000,3,FALSE)</f>
        <v>Included in base game</v>
      </c>
    </row>
    <row r="78" spans="1:12" x14ac:dyDescent="0.25">
      <c r="A78">
        <v>238</v>
      </c>
      <c r="B78">
        <v>73</v>
      </c>
      <c r="C78">
        <v>104</v>
      </c>
      <c r="D78" t="s">
        <v>2240</v>
      </c>
      <c r="E78" t="str">
        <f>IF(NOT(ISERROR(VLOOKUP(D78,'ESO DungeonFinder'!$A$2:$A$999,1,FALSE))),"X","")</f>
        <v/>
      </c>
      <c r="F78" s="70" t="str">
        <f t="shared" si="4"/>
        <v/>
      </c>
      <c r="G78" s="70" t="str">
        <f t="shared" si="7"/>
        <v>Alik'r Desert</v>
      </c>
      <c r="H78" s="70">
        <f t="shared" si="5"/>
        <v>238</v>
      </c>
      <c r="I78" s="70">
        <f t="shared" si="6"/>
        <v>104</v>
      </c>
      <c r="J78">
        <v>0</v>
      </c>
      <c r="K78" s="3" t="str">
        <f>VLOOKUP(J78,ConstDLCIds!$A$4:$B$1000,2,FALSE)</f>
        <v>DLC_BASE_GAME</v>
      </c>
      <c r="L78" s="3" t="str">
        <f>VLOOKUP(J78,ConstDLCIds!$A$4:$C$1000,3,FALSE)</f>
        <v>Included in base game</v>
      </c>
    </row>
    <row r="79" spans="1:12" x14ac:dyDescent="0.25">
      <c r="A79">
        <v>239</v>
      </c>
      <c r="B79">
        <v>74</v>
      </c>
      <c r="C79">
        <v>104</v>
      </c>
      <c r="D79" t="s">
        <v>2241</v>
      </c>
      <c r="E79" t="str">
        <f>IF(NOT(ISERROR(VLOOKUP(D79,'ESO DungeonFinder'!$A$2:$A$999,1,FALSE))),"X","")</f>
        <v/>
      </c>
      <c r="F79" s="70" t="str">
        <f t="shared" si="4"/>
        <v/>
      </c>
      <c r="G79" s="70" t="str">
        <f t="shared" si="7"/>
        <v>Alik'r Desert</v>
      </c>
      <c r="H79" s="70">
        <f t="shared" si="5"/>
        <v>239</v>
      </c>
      <c r="I79" s="70">
        <f t="shared" si="6"/>
        <v>104</v>
      </c>
      <c r="J79">
        <v>0</v>
      </c>
      <c r="K79" s="3" t="str">
        <f>VLOOKUP(J79,ConstDLCIds!$A$4:$B$1000,2,FALSE)</f>
        <v>DLC_BASE_GAME</v>
      </c>
      <c r="L79" s="3" t="str">
        <f>VLOOKUP(J79,ConstDLCIds!$A$4:$C$1000,3,FALSE)</f>
        <v>Included in base game</v>
      </c>
    </row>
    <row r="80" spans="1:12" x14ac:dyDescent="0.25">
      <c r="A80">
        <v>241</v>
      </c>
      <c r="B80">
        <v>75</v>
      </c>
      <c r="C80">
        <v>41</v>
      </c>
      <c r="D80" t="s">
        <v>2242</v>
      </c>
      <c r="E80" t="str">
        <f>IF(NOT(ISERROR(VLOOKUP(D80,'ESO DungeonFinder'!$A$2:$A$999,1,FALSE))),"X","")</f>
        <v/>
      </c>
      <c r="F80" s="70" t="str">
        <f t="shared" si="4"/>
        <v/>
      </c>
      <c r="G80" s="70" t="str">
        <f t="shared" si="7"/>
        <v>Stonefalls</v>
      </c>
      <c r="H80" s="70">
        <f t="shared" si="5"/>
        <v>241</v>
      </c>
      <c r="I80" s="70">
        <f t="shared" si="6"/>
        <v>41</v>
      </c>
      <c r="J80">
        <v>0</v>
      </c>
      <c r="K80" s="3" t="str">
        <f>VLOOKUP(J80,ConstDLCIds!$A$4:$B$1000,2,FALSE)</f>
        <v>DLC_BASE_GAME</v>
      </c>
      <c r="L80" s="3" t="str">
        <f>VLOOKUP(J80,ConstDLCIds!$A$4:$C$1000,3,FALSE)</f>
        <v>Included in base game</v>
      </c>
    </row>
    <row r="81" spans="1:12" x14ac:dyDescent="0.25">
      <c r="A81">
        <v>242</v>
      </c>
      <c r="B81">
        <v>76</v>
      </c>
      <c r="C81">
        <v>41</v>
      </c>
      <c r="D81" t="s">
        <v>2243</v>
      </c>
      <c r="E81" t="str">
        <f>IF(NOT(ISERROR(VLOOKUP(D81,'ESO DungeonFinder'!$A$2:$A$999,1,FALSE))),"X","")</f>
        <v/>
      </c>
      <c r="F81" s="70" t="str">
        <f t="shared" si="4"/>
        <v/>
      </c>
      <c r="G81" s="70" t="str">
        <f t="shared" si="7"/>
        <v>Stonefalls</v>
      </c>
      <c r="H81" s="70">
        <f t="shared" si="5"/>
        <v>242</v>
      </c>
      <c r="I81" s="70">
        <f t="shared" si="6"/>
        <v>41</v>
      </c>
      <c r="J81">
        <v>0</v>
      </c>
      <c r="K81" s="3" t="str">
        <f>VLOOKUP(J81,ConstDLCIds!$A$4:$B$1000,2,FALSE)</f>
        <v>DLC_BASE_GAME</v>
      </c>
      <c r="L81" s="3" t="str">
        <f>VLOOKUP(J81,ConstDLCIds!$A$4:$C$1000,3,FALSE)</f>
        <v>Included in base game</v>
      </c>
    </row>
    <row r="82" spans="1:12" x14ac:dyDescent="0.25">
      <c r="A82">
        <v>243</v>
      </c>
      <c r="B82">
        <v>77</v>
      </c>
      <c r="C82">
        <v>41</v>
      </c>
      <c r="D82" t="s">
        <v>2244</v>
      </c>
      <c r="E82" t="str">
        <f>IF(NOT(ISERROR(VLOOKUP(D82,'ESO DungeonFinder'!$A$2:$A$999,1,FALSE))),"X","")</f>
        <v/>
      </c>
      <c r="F82" s="70" t="str">
        <f t="shared" si="4"/>
        <v/>
      </c>
      <c r="G82" s="70" t="str">
        <f t="shared" si="7"/>
        <v>Stonefalls</v>
      </c>
      <c r="H82" s="70">
        <f t="shared" si="5"/>
        <v>243</v>
      </c>
      <c r="I82" s="70">
        <f t="shared" si="6"/>
        <v>41</v>
      </c>
      <c r="J82">
        <v>0</v>
      </c>
      <c r="K82" s="3" t="str">
        <f>VLOOKUP(J82,ConstDLCIds!$A$4:$B$1000,2,FALSE)</f>
        <v>DLC_BASE_GAME</v>
      </c>
      <c r="L82" s="3" t="str">
        <f>VLOOKUP(J82,ConstDLCIds!$A$4:$C$1000,3,FALSE)</f>
        <v>Included in base game</v>
      </c>
    </row>
    <row r="83" spans="1:12" x14ac:dyDescent="0.25">
      <c r="A83">
        <v>245</v>
      </c>
      <c r="B83">
        <v>78</v>
      </c>
      <c r="C83">
        <v>41</v>
      </c>
      <c r="D83" t="s">
        <v>2245</v>
      </c>
      <c r="E83" t="str">
        <f>IF(NOT(ISERROR(VLOOKUP(D83,'ESO DungeonFinder'!$A$2:$A$999,1,FALSE))),"X","")</f>
        <v/>
      </c>
      <c r="F83" s="70" t="str">
        <f t="shared" si="4"/>
        <v/>
      </c>
      <c r="G83" s="70" t="str">
        <f t="shared" si="7"/>
        <v>Stonefalls</v>
      </c>
      <c r="H83" s="70">
        <f t="shared" si="5"/>
        <v>245</v>
      </c>
      <c r="I83" s="70">
        <f t="shared" si="6"/>
        <v>41</v>
      </c>
      <c r="J83">
        <v>0</v>
      </c>
      <c r="K83" s="3" t="str">
        <f>VLOOKUP(J83,ConstDLCIds!$A$4:$B$1000,2,FALSE)</f>
        <v>DLC_BASE_GAME</v>
      </c>
      <c r="L83" s="3" t="str">
        <f>VLOOKUP(J83,ConstDLCIds!$A$4:$C$1000,3,FALSE)</f>
        <v>Included in base game</v>
      </c>
    </row>
    <row r="84" spans="1:12" x14ac:dyDescent="0.25">
      <c r="A84">
        <v>246</v>
      </c>
      <c r="B84">
        <v>79</v>
      </c>
      <c r="C84">
        <v>41</v>
      </c>
      <c r="D84" t="s">
        <v>2246</v>
      </c>
      <c r="E84" t="str">
        <f>IF(NOT(ISERROR(VLOOKUP(D84,'ESO DungeonFinder'!$A$2:$A$999,1,FALSE))),"X","")</f>
        <v/>
      </c>
      <c r="F84" s="70" t="str">
        <f t="shared" si="4"/>
        <v/>
      </c>
      <c r="G84" s="70" t="str">
        <f t="shared" si="7"/>
        <v>Stonefalls</v>
      </c>
      <c r="H84" s="70">
        <f t="shared" si="5"/>
        <v>246</v>
      </c>
      <c r="I84" s="70">
        <f t="shared" si="6"/>
        <v>41</v>
      </c>
      <c r="J84">
        <v>0</v>
      </c>
      <c r="K84" s="3" t="str">
        <f>VLOOKUP(J84,ConstDLCIds!$A$4:$B$1000,2,FALSE)</f>
        <v>DLC_BASE_GAME</v>
      </c>
      <c r="L84" s="3" t="str">
        <f>VLOOKUP(J84,ConstDLCIds!$A$4:$C$1000,3,FALSE)</f>
        <v>Included in base game</v>
      </c>
    </row>
    <row r="85" spans="1:12" x14ac:dyDescent="0.25">
      <c r="A85">
        <v>247</v>
      </c>
      <c r="B85">
        <v>80</v>
      </c>
      <c r="C85">
        <v>41</v>
      </c>
      <c r="D85" t="s">
        <v>2247</v>
      </c>
      <c r="E85" t="str">
        <f>IF(NOT(ISERROR(VLOOKUP(D85,'ESO DungeonFinder'!$A$2:$A$999,1,FALSE))),"X","")</f>
        <v/>
      </c>
      <c r="F85" s="70" t="str">
        <f t="shared" si="4"/>
        <v/>
      </c>
      <c r="G85" s="70" t="str">
        <f t="shared" si="7"/>
        <v>Stonefalls</v>
      </c>
      <c r="H85" s="70">
        <f t="shared" si="5"/>
        <v>247</v>
      </c>
      <c r="I85" s="70">
        <f t="shared" si="6"/>
        <v>41</v>
      </c>
      <c r="J85">
        <v>0</v>
      </c>
      <c r="K85" s="3" t="str">
        <f>VLOOKUP(J85,ConstDLCIds!$A$4:$B$1000,2,FALSE)</f>
        <v>DLC_BASE_GAME</v>
      </c>
      <c r="L85" s="3" t="str">
        <f>VLOOKUP(J85,ConstDLCIds!$A$4:$C$1000,3,FALSE)</f>
        <v>Included in base game</v>
      </c>
    </row>
    <row r="86" spans="1:12" x14ac:dyDescent="0.25">
      <c r="A86">
        <v>248</v>
      </c>
      <c r="B86">
        <v>81</v>
      </c>
      <c r="C86">
        <v>57</v>
      </c>
      <c r="D86" t="s">
        <v>2248</v>
      </c>
      <c r="E86" t="str">
        <f>IF(NOT(ISERROR(VLOOKUP(D86,'ESO DungeonFinder'!$A$2:$A$999,1,FALSE))),"X","")</f>
        <v/>
      </c>
      <c r="F86" s="70" t="str">
        <f t="shared" si="4"/>
        <v/>
      </c>
      <c r="G86" s="70" t="str">
        <f t="shared" si="7"/>
        <v>Deshaan</v>
      </c>
      <c r="H86" s="70">
        <f t="shared" si="5"/>
        <v>248</v>
      </c>
      <c r="I86" s="70">
        <f t="shared" si="6"/>
        <v>57</v>
      </c>
      <c r="J86">
        <v>0</v>
      </c>
      <c r="K86" s="3" t="str">
        <f>VLOOKUP(J86,ConstDLCIds!$A$4:$B$1000,2,FALSE)</f>
        <v>DLC_BASE_GAME</v>
      </c>
      <c r="L86" s="3" t="str">
        <f>VLOOKUP(J86,ConstDLCIds!$A$4:$C$1000,3,FALSE)</f>
        <v>Included in base game</v>
      </c>
    </row>
    <row r="87" spans="1:12" x14ac:dyDescent="0.25">
      <c r="A87">
        <v>249</v>
      </c>
      <c r="B87">
        <v>82</v>
      </c>
      <c r="C87">
        <v>57</v>
      </c>
      <c r="D87" t="s">
        <v>2249</v>
      </c>
      <c r="E87" t="str">
        <f>IF(NOT(ISERROR(VLOOKUP(D87,'ESO DungeonFinder'!$A$2:$A$999,1,FALSE))),"X","")</f>
        <v/>
      </c>
      <c r="F87" s="70" t="str">
        <f t="shared" si="4"/>
        <v/>
      </c>
      <c r="G87" s="70" t="str">
        <f t="shared" si="7"/>
        <v>Deshaan</v>
      </c>
      <c r="H87" s="70">
        <f t="shared" si="5"/>
        <v>249</v>
      </c>
      <c r="I87" s="70">
        <f t="shared" si="6"/>
        <v>57</v>
      </c>
      <c r="J87">
        <v>0</v>
      </c>
      <c r="K87" s="3" t="str">
        <f>VLOOKUP(J87,ConstDLCIds!$A$4:$B$1000,2,FALSE)</f>
        <v>DLC_BASE_GAME</v>
      </c>
      <c r="L87" s="3" t="str">
        <f>VLOOKUP(J87,ConstDLCIds!$A$4:$C$1000,3,FALSE)</f>
        <v>Included in base game</v>
      </c>
    </row>
    <row r="88" spans="1:12" x14ac:dyDescent="0.25">
      <c r="A88">
        <v>250</v>
      </c>
      <c r="B88">
        <v>83</v>
      </c>
      <c r="C88">
        <v>57</v>
      </c>
      <c r="D88" t="s">
        <v>2250</v>
      </c>
      <c r="E88" t="str">
        <f>IF(NOT(ISERROR(VLOOKUP(D88,'ESO DungeonFinder'!$A$2:$A$999,1,FALSE))),"X","")</f>
        <v/>
      </c>
      <c r="F88" s="70" t="str">
        <f t="shared" si="4"/>
        <v/>
      </c>
      <c r="G88" s="70" t="str">
        <f t="shared" si="7"/>
        <v>Deshaan</v>
      </c>
      <c r="H88" s="70">
        <f t="shared" si="5"/>
        <v>250</v>
      </c>
      <c r="I88" s="70">
        <f t="shared" si="6"/>
        <v>57</v>
      </c>
      <c r="J88">
        <v>0</v>
      </c>
      <c r="K88" s="3" t="str">
        <f>VLOOKUP(J88,ConstDLCIds!$A$4:$B$1000,2,FALSE)</f>
        <v>DLC_BASE_GAME</v>
      </c>
      <c r="L88" s="3" t="str">
        <f>VLOOKUP(J88,ConstDLCIds!$A$4:$C$1000,3,FALSE)</f>
        <v>Included in base game</v>
      </c>
    </row>
    <row r="89" spans="1:12" x14ac:dyDescent="0.25">
      <c r="A89">
        <v>252</v>
      </c>
      <c r="B89">
        <v>84</v>
      </c>
      <c r="C89">
        <v>57</v>
      </c>
      <c r="D89" t="s">
        <v>2251</v>
      </c>
      <c r="E89" t="str">
        <f>IF(NOT(ISERROR(VLOOKUP(D89,'ESO DungeonFinder'!$A$2:$A$999,1,FALSE))),"X","")</f>
        <v/>
      </c>
      <c r="F89" s="70" t="str">
        <f t="shared" si="4"/>
        <v/>
      </c>
      <c r="G89" s="70" t="str">
        <f t="shared" si="7"/>
        <v>Deshaan</v>
      </c>
      <c r="H89" s="70">
        <f t="shared" si="5"/>
        <v>252</v>
      </c>
      <c r="I89" s="70">
        <f t="shared" si="6"/>
        <v>57</v>
      </c>
      <c r="J89">
        <v>0</v>
      </c>
      <c r="K89" s="3" t="str">
        <f>VLOOKUP(J89,ConstDLCIds!$A$4:$B$1000,2,FALSE)</f>
        <v>DLC_BASE_GAME</v>
      </c>
      <c r="L89" s="3" t="str">
        <f>VLOOKUP(J89,ConstDLCIds!$A$4:$C$1000,3,FALSE)</f>
        <v>Included in base game</v>
      </c>
    </row>
    <row r="90" spans="1:12" x14ac:dyDescent="0.25">
      <c r="A90">
        <v>253</v>
      </c>
      <c r="B90">
        <v>85</v>
      </c>
      <c r="C90">
        <v>57</v>
      </c>
      <c r="D90" t="s">
        <v>2252</v>
      </c>
      <c r="E90" t="str">
        <f>IF(NOT(ISERROR(VLOOKUP(D90,'ESO DungeonFinder'!$A$2:$A$999,1,FALSE))),"X","")</f>
        <v/>
      </c>
      <c r="F90" s="70" t="str">
        <f t="shared" si="4"/>
        <v/>
      </c>
      <c r="G90" s="70" t="str">
        <f t="shared" si="7"/>
        <v>Deshaan</v>
      </c>
      <c r="H90" s="70">
        <f t="shared" si="5"/>
        <v>253</v>
      </c>
      <c r="I90" s="70">
        <f t="shared" si="6"/>
        <v>57</v>
      </c>
      <c r="J90">
        <v>0</v>
      </c>
      <c r="K90" s="3" t="str">
        <f>VLOOKUP(J90,ConstDLCIds!$A$4:$B$1000,2,FALSE)</f>
        <v>DLC_BASE_GAME</v>
      </c>
      <c r="L90" s="3" t="str">
        <f>VLOOKUP(J90,ConstDLCIds!$A$4:$C$1000,3,FALSE)</f>
        <v>Included in base game</v>
      </c>
    </row>
    <row r="91" spans="1:12" x14ac:dyDescent="0.25">
      <c r="A91">
        <v>254</v>
      </c>
      <c r="B91">
        <v>86</v>
      </c>
      <c r="C91">
        <v>57</v>
      </c>
      <c r="D91" t="s">
        <v>2253</v>
      </c>
      <c r="E91" t="str">
        <f>IF(NOT(ISERROR(VLOOKUP(D91,'ESO DungeonFinder'!$A$2:$A$999,1,FALSE))),"X","")</f>
        <v/>
      </c>
      <c r="F91" s="70" t="str">
        <f t="shared" si="4"/>
        <v/>
      </c>
      <c r="G91" s="70" t="str">
        <f t="shared" si="7"/>
        <v>Deshaan</v>
      </c>
      <c r="H91" s="70">
        <f t="shared" si="5"/>
        <v>254</v>
      </c>
      <c r="I91" s="70">
        <f t="shared" si="6"/>
        <v>57</v>
      </c>
      <c r="J91">
        <v>0</v>
      </c>
      <c r="K91" s="3" t="str">
        <f>VLOOKUP(J91,ConstDLCIds!$A$4:$B$1000,2,FALSE)</f>
        <v>DLC_BASE_GAME</v>
      </c>
      <c r="L91" s="3" t="str">
        <f>VLOOKUP(J91,ConstDLCIds!$A$4:$C$1000,3,FALSE)</f>
        <v>Included in base game</v>
      </c>
    </row>
    <row r="92" spans="1:12" x14ac:dyDescent="0.25">
      <c r="A92">
        <v>255</v>
      </c>
      <c r="B92">
        <v>87</v>
      </c>
      <c r="C92">
        <v>57</v>
      </c>
      <c r="D92" t="s">
        <v>2254</v>
      </c>
      <c r="E92" t="str">
        <f>IF(NOT(ISERROR(VLOOKUP(D92,'ESO DungeonFinder'!$A$2:$A$999,1,FALSE))),"X","")</f>
        <v/>
      </c>
      <c r="F92" s="70" t="str">
        <f t="shared" si="4"/>
        <v/>
      </c>
      <c r="G92" s="70" t="str">
        <f t="shared" si="7"/>
        <v>Deshaan</v>
      </c>
      <c r="H92" s="70">
        <f t="shared" si="5"/>
        <v>255</v>
      </c>
      <c r="I92" s="70">
        <f t="shared" si="6"/>
        <v>57</v>
      </c>
      <c r="J92">
        <v>0</v>
      </c>
      <c r="K92" s="3" t="str">
        <f>VLOOKUP(J92,ConstDLCIds!$A$4:$B$1000,2,FALSE)</f>
        <v>DLC_BASE_GAME</v>
      </c>
      <c r="L92" s="3" t="str">
        <f>VLOOKUP(J92,ConstDLCIds!$A$4:$C$1000,3,FALSE)</f>
        <v>Included in base game</v>
      </c>
    </row>
    <row r="93" spans="1:12" x14ac:dyDescent="0.25">
      <c r="A93">
        <v>256</v>
      </c>
      <c r="B93">
        <v>88</v>
      </c>
      <c r="C93">
        <v>3</v>
      </c>
      <c r="D93" t="s">
        <v>2255</v>
      </c>
      <c r="E93" t="str">
        <f>IF(NOT(ISERROR(VLOOKUP(D93,'ESO DungeonFinder'!$A$2:$A$999,1,FALSE))),"X","")</f>
        <v/>
      </c>
      <c r="F93" s="70" t="str">
        <f t="shared" si="4"/>
        <v/>
      </c>
      <c r="G93" s="70" t="str">
        <f t="shared" si="7"/>
        <v>Glenumbra</v>
      </c>
      <c r="H93" s="70">
        <f t="shared" si="5"/>
        <v>256</v>
      </c>
      <c r="I93" s="70">
        <f t="shared" si="6"/>
        <v>3</v>
      </c>
      <c r="J93">
        <v>0</v>
      </c>
      <c r="K93" s="3" t="str">
        <f>VLOOKUP(J93,ConstDLCIds!$A$4:$B$1000,2,FALSE)</f>
        <v>DLC_BASE_GAME</v>
      </c>
      <c r="L93" s="3" t="str">
        <f>VLOOKUP(J93,ConstDLCIds!$A$4:$C$1000,3,FALSE)</f>
        <v>Included in base game</v>
      </c>
    </row>
    <row r="94" spans="1:12" x14ac:dyDescent="0.25">
      <c r="A94">
        <v>257</v>
      </c>
      <c r="B94">
        <v>89</v>
      </c>
      <c r="C94">
        <v>103</v>
      </c>
      <c r="D94" t="s">
        <v>2256</v>
      </c>
      <c r="E94" t="str">
        <f>IF(NOT(ISERROR(VLOOKUP(D94,'ESO DungeonFinder'!$A$2:$A$999,1,FALSE))),"X","")</f>
        <v/>
      </c>
      <c r="F94" s="70" t="str">
        <f t="shared" si="4"/>
        <v/>
      </c>
      <c r="G94" s="70" t="str">
        <f t="shared" si="7"/>
        <v>The Rift</v>
      </c>
      <c r="H94" s="70">
        <f t="shared" si="5"/>
        <v>257</v>
      </c>
      <c r="I94" s="70">
        <f t="shared" si="6"/>
        <v>103</v>
      </c>
      <c r="J94">
        <v>0</v>
      </c>
      <c r="K94" s="3" t="str">
        <f>VLOOKUP(J94,ConstDLCIds!$A$4:$B$1000,2,FALSE)</f>
        <v>DLC_BASE_GAME</v>
      </c>
      <c r="L94" s="3" t="str">
        <f>VLOOKUP(J94,ConstDLCIds!$A$4:$C$1000,3,FALSE)</f>
        <v>Included in base game</v>
      </c>
    </row>
    <row r="95" spans="1:12" x14ac:dyDescent="0.25">
      <c r="A95">
        <v>258</v>
      </c>
      <c r="B95">
        <v>90</v>
      </c>
      <c r="C95">
        <v>103</v>
      </c>
      <c r="D95" t="s">
        <v>2257</v>
      </c>
      <c r="E95" t="str">
        <f>IF(NOT(ISERROR(VLOOKUP(D95,'ESO DungeonFinder'!$A$2:$A$999,1,FALSE))),"X","")</f>
        <v/>
      </c>
      <c r="F95" s="70" t="str">
        <f t="shared" si="4"/>
        <v/>
      </c>
      <c r="G95" s="70" t="str">
        <f t="shared" si="7"/>
        <v>The Rift</v>
      </c>
      <c r="H95" s="70">
        <f t="shared" si="5"/>
        <v>258</v>
      </c>
      <c r="I95" s="70">
        <f t="shared" si="6"/>
        <v>103</v>
      </c>
      <c r="J95">
        <v>0</v>
      </c>
      <c r="K95" s="3" t="str">
        <f>VLOOKUP(J95,ConstDLCIds!$A$4:$B$1000,2,FALSE)</f>
        <v>DLC_BASE_GAME</v>
      </c>
      <c r="L95" s="3" t="str">
        <f>VLOOKUP(J95,ConstDLCIds!$A$4:$C$1000,3,FALSE)</f>
        <v>Included in base game</v>
      </c>
    </row>
    <row r="96" spans="1:12" x14ac:dyDescent="0.25">
      <c r="A96">
        <v>259</v>
      </c>
      <c r="B96">
        <v>91</v>
      </c>
      <c r="C96">
        <v>103</v>
      </c>
      <c r="D96" t="s">
        <v>2258</v>
      </c>
      <c r="E96" t="str">
        <f>IF(NOT(ISERROR(VLOOKUP(D96,'ESO DungeonFinder'!$A$2:$A$999,1,FALSE))),"X","")</f>
        <v/>
      </c>
      <c r="F96" s="70" t="str">
        <f t="shared" si="4"/>
        <v/>
      </c>
      <c r="G96" s="70" t="str">
        <f t="shared" si="7"/>
        <v>The Rift</v>
      </c>
      <c r="H96" s="70">
        <f t="shared" si="5"/>
        <v>259</v>
      </c>
      <c r="I96" s="70">
        <f t="shared" si="6"/>
        <v>103</v>
      </c>
      <c r="J96">
        <v>0</v>
      </c>
      <c r="K96" s="3" t="str">
        <f>VLOOKUP(J96,ConstDLCIds!$A$4:$B$1000,2,FALSE)</f>
        <v>DLC_BASE_GAME</v>
      </c>
      <c r="L96" s="3" t="str">
        <f>VLOOKUP(J96,ConstDLCIds!$A$4:$C$1000,3,FALSE)</f>
        <v>Included in base game</v>
      </c>
    </row>
    <row r="97" spans="1:12" x14ac:dyDescent="0.25">
      <c r="A97">
        <v>260</v>
      </c>
      <c r="B97">
        <v>92</v>
      </c>
      <c r="C97">
        <v>101</v>
      </c>
      <c r="D97" t="s">
        <v>2259</v>
      </c>
      <c r="E97" t="str">
        <f>IF(NOT(ISERROR(VLOOKUP(D97,'ESO DungeonFinder'!$A$2:$A$999,1,FALSE))),"X","")</f>
        <v/>
      </c>
      <c r="F97" s="70" t="str">
        <f t="shared" si="4"/>
        <v/>
      </c>
      <c r="G97" s="70" t="str">
        <f t="shared" si="7"/>
        <v>Eastmarch</v>
      </c>
      <c r="H97" s="70">
        <f t="shared" si="5"/>
        <v>260</v>
      </c>
      <c r="I97" s="70">
        <f t="shared" si="6"/>
        <v>101</v>
      </c>
      <c r="J97">
        <v>0</v>
      </c>
      <c r="K97" s="3" t="str">
        <f>VLOOKUP(J97,ConstDLCIds!$A$4:$B$1000,2,FALSE)</f>
        <v>DLC_BASE_GAME</v>
      </c>
      <c r="L97" s="3" t="str">
        <f>VLOOKUP(J97,ConstDLCIds!$A$4:$C$1000,3,FALSE)</f>
        <v>Included in base game</v>
      </c>
    </row>
    <row r="98" spans="1:12" x14ac:dyDescent="0.25">
      <c r="A98">
        <v>261</v>
      </c>
      <c r="B98">
        <v>93</v>
      </c>
      <c r="C98">
        <v>101</v>
      </c>
      <c r="D98" t="s">
        <v>2260</v>
      </c>
      <c r="E98" t="str">
        <f>IF(NOT(ISERROR(VLOOKUP(D98,'ESO DungeonFinder'!$A$2:$A$999,1,FALSE))),"X","")</f>
        <v/>
      </c>
      <c r="F98" s="70" t="str">
        <f t="shared" si="4"/>
        <v/>
      </c>
      <c r="G98" s="70" t="str">
        <f t="shared" si="7"/>
        <v>Eastmarch</v>
      </c>
      <c r="H98" s="70">
        <f t="shared" si="5"/>
        <v>261</v>
      </c>
      <c r="I98" s="70">
        <f t="shared" si="6"/>
        <v>101</v>
      </c>
      <c r="J98">
        <v>0</v>
      </c>
      <c r="K98" s="3" t="str">
        <f>VLOOKUP(J98,ConstDLCIds!$A$4:$B$1000,2,FALSE)</f>
        <v>DLC_BASE_GAME</v>
      </c>
      <c r="L98" s="3" t="str">
        <f>VLOOKUP(J98,ConstDLCIds!$A$4:$C$1000,3,FALSE)</f>
        <v>Included in base game</v>
      </c>
    </row>
    <row r="99" spans="1:12" x14ac:dyDescent="0.25">
      <c r="A99">
        <v>262</v>
      </c>
      <c r="B99">
        <v>94</v>
      </c>
      <c r="C99">
        <v>101</v>
      </c>
      <c r="D99" t="s">
        <v>2261</v>
      </c>
      <c r="E99" t="str">
        <f>IF(NOT(ISERROR(VLOOKUP(D99,'ESO DungeonFinder'!$A$2:$A$999,1,FALSE))),"X","")</f>
        <v/>
      </c>
      <c r="F99" s="70" t="str">
        <f t="shared" si="4"/>
        <v/>
      </c>
      <c r="G99" s="70" t="str">
        <f t="shared" si="7"/>
        <v>Eastmarch</v>
      </c>
      <c r="H99" s="70">
        <f t="shared" si="5"/>
        <v>262</v>
      </c>
      <c r="I99" s="70">
        <f t="shared" si="6"/>
        <v>101</v>
      </c>
      <c r="J99">
        <v>0</v>
      </c>
      <c r="K99" s="3" t="str">
        <f>VLOOKUP(J99,ConstDLCIds!$A$4:$B$1000,2,FALSE)</f>
        <v>DLC_BASE_GAME</v>
      </c>
      <c r="L99" s="3" t="str">
        <f>VLOOKUP(J99,ConstDLCIds!$A$4:$C$1000,3,FALSE)</f>
        <v>Included in base game</v>
      </c>
    </row>
    <row r="100" spans="1:12" x14ac:dyDescent="0.25">
      <c r="A100">
        <v>263</v>
      </c>
      <c r="B100">
        <v>95</v>
      </c>
      <c r="C100">
        <v>101</v>
      </c>
      <c r="D100" t="s">
        <v>2262</v>
      </c>
      <c r="E100" t="str">
        <f>IF(NOT(ISERROR(VLOOKUP(D100,'ESO DungeonFinder'!$A$2:$A$999,1,FALSE))),"X","")</f>
        <v/>
      </c>
      <c r="F100" s="70" t="str">
        <f t="shared" si="4"/>
        <v/>
      </c>
      <c r="G100" s="70" t="str">
        <f t="shared" si="7"/>
        <v>Eastmarch</v>
      </c>
      <c r="H100" s="70">
        <f t="shared" si="5"/>
        <v>263</v>
      </c>
      <c r="I100" s="70">
        <f t="shared" si="6"/>
        <v>101</v>
      </c>
      <c r="J100">
        <v>0</v>
      </c>
      <c r="K100" s="3" t="str">
        <f>VLOOKUP(J100,ConstDLCIds!$A$4:$B$1000,2,FALSE)</f>
        <v>DLC_BASE_GAME</v>
      </c>
      <c r="L100" s="3" t="str">
        <f>VLOOKUP(J100,ConstDLCIds!$A$4:$C$1000,3,FALSE)</f>
        <v>Included in base game</v>
      </c>
    </row>
    <row r="101" spans="1:12" x14ac:dyDescent="0.25">
      <c r="A101">
        <v>264</v>
      </c>
      <c r="B101">
        <v>96</v>
      </c>
      <c r="C101">
        <v>101</v>
      </c>
      <c r="D101" t="s">
        <v>2263</v>
      </c>
      <c r="E101" t="str">
        <f>IF(NOT(ISERROR(VLOOKUP(D101,'ESO DungeonFinder'!$A$2:$A$999,1,FALSE))),"X","")</f>
        <v/>
      </c>
      <c r="F101" s="70" t="str">
        <f t="shared" si="4"/>
        <v/>
      </c>
      <c r="G101" s="70" t="str">
        <f t="shared" si="7"/>
        <v>Eastmarch</v>
      </c>
      <c r="H101" s="70">
        <f t="shared" si="5"/>
        <v>264</v>
      </c>
      <c r="I101" s="70">
        <f t="shared" si="6"/>
        <v>101</v>
      </c>
      <c r="J101">
        <v>0</v>
      </c>
      <c r="K101" s="3" t="str">
        <f>VLOOKUP(J101,ConstDLCIds!$A$4:$B$1000,2,FALSE)</f>
        <v>DLC_BASE_GAME</v>
      </c>
      <c r="L101" s="3" t="str">
        <f>VLOOKUP(J101,ConstDLCIds!$A$4:$C$1000,3,FALSE)</f>
        <v>Included in base game</v>
      </c>
    </row>
    <row r="102" spans="1:12" x14ac:dyDescent="0.25">
      <c r="A102">
        <v>265</v>
      </c>
      <c r="B102">
        <v>97</v>
      </c>
      <c r="C102">
        <v>101</v>
      </c>
      <c r="D102" t="s">
        <v>2264</v>
      </c>
      <c r="E102" t="str">
        <f>IF(NOT(ISERROR(VLOOKUP(D102,'ESO DungeonFinder'!$A$2:$A$999,1,FALSE))),"X","")</f>
        <v/>
      </c>
      <c r="F102" s="70" t="str">
        <f t="shared" si="4"/>
        <v/>
      </c>
      <c r="G102" s="70" t="str">
        <f t="shared" si="7"/>
        <v>Eastmarch</v>
      </c>
      <c r="H102" s="70">
        <f t="shared" si="5"/>
        <v>265</v>
      </c>
      <c r="I102" s="70">
        <f t="shared" si="6"/>
        <v>101</v>
      </c>
      <c r="J102">
        <v>0</v>
      </c>
      <c r="K102" s="3" t="str">
        <f>VLOOKUP(J102,ConstDLCIds!$A$4:$B$1000,2,FALSE)</f>
        <v>DLC_BASE_GAME</v>
      </c>
      <c r="L102" s="3" t="str">
        <f>VLOOKUP(J102,ConstDLCIds!$A$4:$C$1000,3,FALSE)</f>
        <v>Included in base game</v>
      </c>
    </row>
    <row r="103" spans="1:12" x14ac:dyDescent="0.25">
      <c r="A103">
        <v>266</v>
      </c>
      <c r="B103">
        <v>98</v>
      </c>
      <c r="C103">
        <v>101</v>
      </c>
      <c r="D103" t="s">
        <v>2265</v>
      </c>
      <c r="E103" t="str">
        <f>IF(NOT(ISERROR(VLOOKUP(D103,'ESO DungeonFinder'!$A$2:$A$999,1,FALSE))),"X","")</f>
        <v/>
      </c>
      <c r="F103" s="70" t="str">
        <f t="shared" si="4"/>
        <v/>
      </c>
      <c r="G103" s="70" t="str">
        <f t="shared" si="7"/>
        <v>Eastmarch</v>
      </c>
      <c r="H103" s="70">
        <f t="shared" si="5"/>
        <v>266</v>
      </c>
      <c r="I103" s="70">
        <f t="shared" si="6"/>
        <v>101</v>
      </c>
      <c r="J103">
        <v>0</v>
      </c>
      <c r="K103" s="3" t="str">
        <f>VLOOKUP(J103,ConstDLCIds!$A$4:$B$1000,2,FALSE)</f>
        <v>DLC_BASE_GAME</v>
      </c>
      <c r="L103" s="3" t="str">
        <f>VLOOKUP(J103,ConstDLCIds!$A$4:$C$1000,3,FALSE)</f>
        <v>Included in base game</v>
      </c>
    </row>
    <row r="104" spans="1:12" x14ac:dyDescent="0.25">
      <c r="A104">
        <v>267</v>
      </c>
      <c r="B104">
        <v>99</v>
      </c>
      <c r="C104">
        <v>267</v>
      </c>
      <c r="D104" t="s">
        <v>561</v>
      </c>
      <c r="E104" t="str">
        <f>IF(NOT(ISERROR(VLOOKUP(D104,'ESO DungeonFinder'!$A$2:$A$999,1,FALSE))),"X","")</f>
        <v/>
      </c>
      <c r="F104" s="70" t="str">
        <f t="shared" si="4"/>
        <v>X</v>
      </c>
      <c r="G104" s="70" t="str">
        <f t="shared" si="7"/>
        <v/>
      </c>
      <c r="H104" s="70">
        <f t="shared" si="5"/>
        <v>267</v>
      </c>
      <c r="I104" s="70">
        <f t="shared" si="6"/>
        <v>267</v>
      </c>
      <c r="J104">
        <v>0</v>
      </c>
      <c r="K104" s="3" t="str">
        <f>VLOOKUP(J104,ConstDLCIds!$A$4:$B$1000,2,FALSE)</f>
        <v>DLC_BASE_GAME</v>
      </c>
      <c r="L104" s="3" t="str">
        <f>VLOOKUP(J104,ConstDLCIds!$A$4:$C$1000,3,FALSE)</f>
        <v>Included in base game</v>
      </c>
    </row>
    <row r="105" spans="1:12" x14ac:dyDescent="0.25">
      <c r="A105">
        <v>268</v>
      </c>
      <c r="B105">
        <v>100</v>
      </c>
      <c r="C105">
        <v>58</v>
      </c>
      <c r="D105" t="s">
        <v>2266</v>
      </c>
      <c r="E105" t="str">
        <f>IF(NOT(ISERROR(VLOOKUP(D105,'ESO DungeonFinder'!$A$2:$A$999,1,FALSE))),"X","")</f>
        <v/>
      </c>
      <c r="F105" s="70" t="str">
        <f t="shared" si="4"/>
        <v/>
      </c>
      <c r="G105" s="70" t="str">
        <f t="shared" si="7"/>
        <v>Malabal Tor</v>
      </c>
      <c r="H105" s="70">
        <f t="shared" si="5"/>
        <v>268</v>
      </c>
      <c r="I105" s="70">
        <f t="shared" si="6"/>
        <v>58</v>
      </c>
      <c r="J105">
        <v>0</v>
      </c>
      <c r="K105" s="3" t="str">
        <f>VLOOKUP(J105,ConstDLCIds!$A$4:$B$1000,2,FALSE)</f>
        <v>DLC_BASE_GAME</v>
      </c>
      <c r="L105" s="3" t="str">
        <f>VLOOKUP(J105,ConstDLCIds!$A$4:$C$1000,3,FALSE)</f>
        <v>Included in base game</v>
      </c>
    </row>
    <row r="106" spans="1:12" x14ac:dyDescent="0.25">
      <c r="A106">
        <v>269</v>
      </c>
      <c r="B106">
        <v>101</v>
      </c>
      <c r="C106">
        <v>58</v>
      </c>
      <c r="D106" t="s">
        <v>2267</v>
      </c>
      <c r="E106" t="str">
        <f>IF(NOT(ISERROR(VLOOKUP(D106,'ESO DungeonFinder'!$A$2:$A$999,1,FALSE))),"X","")</f>
        <v/>
      </c>
      <c r="F106" s="70" t="str">
        <f t="shared" si="4"/>
        <v/>
      </c>
      <c r="G106" s="70" t="str">
        <f t="shared" si="7"/>
        <v>Malabal Tor</v>
      </c>
      <c r="H106" s="70">
        <f t="shared" si="5"/>
        <v>269</v>
      </c>
      <c r="I106" s="70">
        <f t="shared" si="6"/>
        <v>58</v>
      </c>
      <c r="J106">
        <v>0</v>
      </c>
      <c r="K106" s="3" t="str">
        <f>VLOOKUP(J106,ConstDLCIds!$A$4:$B$1000,2,FALSE)</f>
        <v>DLC_BASE_GAME</v>
      </c>
      <c r="L106" s="3" t="str">
        <f>VLOOKUP(J106,ConstDLCIds!$A$4:$C$1000,3,FALSE)</f>
        <v>Included in base game</v>
      </c>
    </row>
    <row r="107" spans="1:12" x14ac:dyDescent="0.25">
      <c r="A107">
        <v>270</v>
      </c>
      <c r="B107">
        <v>102</v>
      </c>
      <c r="C107">
        <v>117</v>
      </c>
      <c r="D107" t="s">
        <v>2268</v>
      </c>
      <c r="E107" t="str">
        <f>IF(NOT(ISERROR(VLOOKUP(D107,'ESO DungeonFinder'!$A$2:$A$999,1,FALSE))),"X","")</f>
        <v/>
      </c>
      <c r="F107" s="70" t="str">
        <f t="shared" si="4"/>
        <v/>
      </c>
      <c r="G107" s="70" t="str">
        <f t="shared" si="7"/>
        <v>Shadowfen</v>
      </c>
      <c r="H107" s="70">
        <f t="shared" si="5"/>
        <v>270</v>
      </c>
      <c r="I107" s="70">
        <f t="shared" si="6"/>
        <v>117</v>
      </c>
      <c r="J107">
        <v>0</v>
      </c>
      <c r="K107" s="3" t="str">
        <f>VLOOKUP(J107,ConstDLCIds!$A$4:$B$1000,2,FALSE)</f>
        <v>DLC_BASE_GAME</v>
      </c>
      <c r="L107" s="3" t="str">
        <f>VLOOKUP(J107,ConstDLCIds!$A$4:$C$1000,3,FALSE)</f>
        <v>Included in base game</v>
      </c>
    </row>
    <row r="108" spans="1:12" x14ac:dyDescent="0.25">
      <c r="A108">
        <v>271</v>
      </c>
      <c r="B108">
        <v>103</v>
      </c>
      <c r="C108">
        <v>117</v>
      </c>
      <c r="D108" t="s">
        <v>2269</v>
      </c>
      <c r="E108" t="str">
        <f>IF(NOT(ISERROR(VLOOKUP(D108,'ESO DungeonFinder'!$A$2:$A$999,1,FALSE))),"X","")</f>
        <v/>
      </c>
      <c r="F108" s="70" t="str">
        <f t="shared" si="4"/>
        <v/>
      </c>
      <c r="G108" s="70" t="str">
        <f t="shared" si="7"/>
        <v>Shadowfen</v>
      </c>
      <c r="H108" s="70">
        <f t="shared" si="5"/>
        <v>271</v>
      </c>
      <c r="I108" s="70">
        <f t="shared" si="6"/>
        <v>117</v>
      </c>
      <c r="J108">
        <v>0</v>
      </c>
      <c r="K108" s="3" t="str">
        <f>VLOOKUP(J108,ConstDLCIds!$A$4:$B$1000,2,FALSE)</f>
        <v>DLC_BASE_GAME</v>
      </c>
      <c r="L108" s="3" t="str">
        <f>VLOOKUP(J108,ConstDLCIds!$A$4:$C$1000,3,FALSE)</f>
        <v>Included in base game</v>
      </c>
    </row>
    <row r="109" spans="1:12" x14ac:dyDescent="0.25">
      <c r="A109">
        <v>272</v>
      </c>
      <c r="B109">
        <v>104</v>
      </c>
      <c r="C109">
        <v>117</v>
      </c>
      <c r="D109" t="s">
        <v>2270</v>
      </c>
      <c r="E109" t="str">
        <f>IF(NOT(ISERROR(VLOOKUP(D109,'ESO DungeonFinder'!$A$2:$A$999,1,FALSE))),"X","")</f>
        <v/>
      </c>
      <c r="F109" s="70" t="str">
        <f t="shared" si="4"/>
        <v/>
      </c>
      <c r="G109" s="70" t="str">
        <f t="shared" si="7"/>
        <v>Shadowfen</v>
      </c>
      <c r="H109" s="70">
        <f t="shared" si="5"/>
        <v>272</v>
      </c>
      <c r="I109" s="70">
        <f t="shared" si="6"/>
        <v>117</v>
      </c>
      <c r="J109">
        <v>0</v>
      </c>
      <c r="K109" s="3" t="str">
        <f>VLOOKUP(J109,ConstDLCIds!$A$4:$B$1000,2,FALSE)</f>
        <v>DLC_BASE_GAME</v>
      </c>
      <c r="L109" s="3" t="str">
        <f>VLOOKUP(J109,ConstDLCIds!$A$4:$C$1000,3,FALSE)</f>
        <v>Included in base game</v>
      </c>
    </row>
    <row r="110" spans="1:12" x14ac:dyDescent="0.25">
      <c r="A110">
        <v>273</v>
      </c>
      <c r="B110">
        <v>105</v>
      </c>
      <c r="C110">
        <v>117</v>
      </c>
      <c r="D110" t="s">
        <v>2271</v>
      </c>
      <c r="E110" t="str">
        <f>IF(NOT(ISERROR(VLOOKUP(D110,'ESO DungeonFinder'!$A$2:$A$999,1,FALSE))),"X","")</f>
        <v/>
      </c>
      <c r="F110" s="70" t="str">
        <f t="shared" si="4"/>
        <v/>
      </c>
      <c r="G110" s="70" t="str">
        <f t="shared" si="7"/>
        <v>Shadowfen</v>
      </c>
      <c r="H110" s="70">
        <f t="shared" si="5"/>
        <v>273</v>
      </c>
      <c r="I110" s="70">
        <f t="shared" si="6"/>
        <v>117</v>
      </c>
      <c r="J110">
        <v>0</v>
      </c>
      <c r="K110" s="3" t="str">
        <f>VLOOKUP(J110,ConstDLCIds!$A$4:$B$1000,2,FALSE)</f>
        <v>DLC_BASE_GAME</v>
      </c>
      <c r="L110" s="3" t="str">
        <f>VLOOKUP(J110,ConstDLCIds!$A$4:$C$1000,3,FALSE)</f>
        <v>Included in base game</v>
      </c>
    </row>
    <row r="111" spans="1:12" x14ac:dyDescent="0.25">
      <c r="A111">
        <v>274</v>
      </c>
      <c r="B111">
        <v>106</v>
      </c>
      <c r="C111">
        <v>117</v>
      </c>
      <c r="D111" t="s">
        <v>2272</v>
      </c>
      <c r="E111" t="str">
        <f>IF(NOT(ISERROR(VLOOKUP(D111,'ESO DungeonFinder'!$A$2:$A$999,1,FALSE))),"X","")</f>
        <v/>
      </c>
      <c r="F111" s="70" t="str">
        <f t="shared" si="4"/>
        <v/>
      </c>
      <c r="G111" s="70" t="str">
        <f t="shared" si="7"/>
        <v>Shadowfen</v>
      </c>
      <c r="H111" s="70">
        <f t="shared" si="5"/>
        <v>274</v>
      </c>
      <c r="I111" s="70">
        <f t="shared" si="6"/>
        <v>117</v>
      </c>
      <c r="J111">
        <v>0</v>
      </c>
      <c r="K111" s="3" t="str">
        <f>VLOOKUP(J111,ConstDLCIds!$A$4:$B$1000,2,FALSE)</f>
        <v>DLC_BASE_GAME</v>
      </c>
      <c r="L111" s="3" t="str">
        <f>VLOOKUP(J111,ConstDLCIds!$A$4:$C$1000,3,FALSE)</f>
        <v>Included in base game</v>
      </c>
    </row>
    <row r="112" spans="1:12" x14ac:dyDescent="0.25">
      <c r="A112">
        <v>275</v>
      </c>
      <c r="B112">
        <v>107</v>
      </c>
      <c r="C112">
        <v>117</v>
      </c>
      <c r="D112" t="s">
        <v>2273</v>
      </c>
      <c r="E112" t="str">
        <f>IF(NOT(ISERROR(VLOOKUP(D112,'ESO DungeonFinder'!$A$2:$A$999,1,FALSE))),"X","")</f>
        <v/>
      </c>
      <c r="F112" s="70" t="str">
        <f t="shared" si="4"/>
        <v/>
      </c>
      <c r="G112" s="70" t="str">
        <f t="shared" si="7"/>
        <v>Shadowfen</v>
      </c>
      <c r="H112" s="70">
        <f t="shared" si="5"/>
        <v>275</v>
      </c>
      <c r="I112" s="70">
        <f t="shared" si="6"/>
        <v>117</v>
      </c>
      <c r="J112">
        <v>0</v>
      </c>
      <c r="K112" s="3" t="str">
        <f>VLOOKUP(J112,ConstDLCIds!$A$4:$B$1000,2,FALSE)</f>
        <v>DLC_BASE_GAME</v>
      </c>
      <c r="L112" s="3" t="str">
        <f>VLOOKUP(J112,ConstDLCIds!$A$4:$C$1000,3,FALSE)</f>
        <v>Included in base game</v>
      </c>
    </row>
    <row r="113" spans="1:12" x14ac:dyDescent="0.25">
      <c r="A113">
        <v>279</v>
      </c>
      <c r="B113">
        <v>108</v>
      </c>
      <c r="C113">
        <v>279</v>
      </c>
      <c r="D113" t="s">
        <v>2274</v>
      </c>
      <c r="E113" t="str">
        <f>IF(NOT(ISERROR(VLOOKUP(D113,'ESO DungeonFinder'!$A$2:$A$999,1,FALSE))),"X","")</f>
        <v/>
      </c>
      <c r="F113" s="70" t="str">
        <f t="shared" si="4"/>
        <v>X</v>
      </c>
      <c r="G113" s="70" t="str">
        <f t="shared" si="7"/>
        <v/>
      </c>
      <c r="H113" s="70">
        <f t="shared" si="5"/>
        <v>279</v>
      </c>
      <c r="I113" s="70">
        <f t="shared" si="6"/>
        <v>279</v>
      </c>
      <c r="J113">
        <v>0</v>
      </c>
      <c r="K113" s="3" t="str">
        <f>VLOOKUP(J113,ConstDLCIds!$A$4:$B$1000,2,FALSE)</f>
        <v>DLC_BASE_GAME</v>
      </c>
      <c r="L113" s="3" t="str">
        <f>VLOOKUP(J113,ConstDLCIds!$A$4:$C$1000,3,FALSE)</f>
        <v>Included in base game</v>
      </c>
    </row>
    <row r="114" spans="1:12" x14ac:dyDescent="0.25">
      <c r="A114">
        <v>280</v>
      </c>
      <c r="B114">
        <v>109</v>
      </c>
      <c r="C114">
        <v>280</v>
      </c>
      <c r="D114" t="s">
        <v>964</v>
      </c>
      <c r="E114" t="str">
        <f>IF(NOT(ISERROR(VLOOKUP(D114,'ESO DungeonFinder'!$A$2:$A$999,1,FALSE))),"X","")</f>
        <v/>
      </c>
      <c r="F114" s="70" t="str">
        <f t="shared" si="4"/>
        <v>X</v>
      </c>
      <c r="G114" s="70" t="str">
        <f t="shared" si="7"/>
        <v/>
      </c>
      <c r="H114" s="70">
        <f t="shared" si="5"/>
        <v>280</v>
      </c>
      <c r="I114" s="70">
        <f t="shared" si="6"/>
        <v>280</v>
      </c>
      <c r="J114">
        <v>0</v>
      </c>
      <c r="K114" s="3" t="str">
        <f>VLOOKUP(J114,ConstDLCIds!$A$4:$B$1000,2,FALSE)</f>
        <v>DLC_BASE_GAME</v>
      </c>
      <c r="L114" s="3" t="str">
        <f>VLOOKUP(J114,ConstDLCIds!$A$4:$C$1000,3,FALSE)</f>
        <v>Included in base game</v>
      </c>
    </row>
    <row r="115" spans="1:12" x14ac:dyDescent="0.25">
      <c r="A115">
        <v>281</v>
      </c>
      <c r="B115">
        <v>110</v>
      </c>
      <c r="C115">
        <v>281</v>
      </c>
      <c r="D115" t="s">
        <v>965</v>
      </c>
      <c r="E115" t="str">
        <f>IF(NOT(ISERROR(VLOOKUP(D115,'ESO DungeonFinder'!$A$2:$A$999,1,FALSE))),"X","")</f>
        <v/>
      </c>
      <c r="F115" s="70" t="str">
        <f t="shared" si="4"/>
        <v>X</v>
      </c>
      <c r="G115" s="70" t="str">
        <f t="shared" si="7"/>
        <v/>
      </c>
      <c r="H115" s="70">
        <f t="shared" si="5"/>
        <v>281</v>
      </c>
      <c r="I115" s="70">
        <f t="shared" si="6"/>
        <v>281</v>
      </c>
      <c r="J115">
        <v>0</v>
      </c>
      <c r="K115" s="3" t="str">
        <f>VLOOKUP(J115,ConstDLCIds!$A$4:$B$1000,2,FALSE)</f>
        <v>DLC_BASE_GAME</v>
      </c>
      <c r="L115" s="3" t="str">
        <f>VLOOKUP(J115,ConstDLCIds!$A$4:$C$1000,3,FALSE)</f>
        <v>Included in base game</v>
      </c>
    </row>
    <row r="116" spans="1:12" x14ac:dyDescent="0.25">
      <c r="A116">
        <v>283</v>
      </c>
      <c r="B116">
        <v>111</v>
      </c>
      <c r="C116">
        <v>41</v>
      </c>
      <c r="D116" t="s">
        <v>445</v>
      </c>
      <c r="E116" t="str">
        <f>IF(NOT(ISERROR(VLOOKUP(D116,'ESO DungeonFinder'!$A$2:$A$999,1,FALSE))),"X","")</f>
        <v>X</v>
      </c>
      <c r="F116" s="70" t="str">
        <f t="shared" si="4"/>
        <v/>
      </c>
      <c r="G116" s="70" t="str">
        <f t="shared" si="7"/>
        <v>Stonefalls</v>
      </c>
      <c r="H116" s="70">
        <f t="shared" si="5"/>
        <v>283</v>
      </c>
      <c r="I116" s="70">
        <f t="shared" si="6"/>
        <v>41</v>
      </c>
      <c r="J116">
        <v>0</v>
      </c>
      <c r="K116" s="3" t="str">
        <f>VLOOKUP(J116,ConstDLCIds!$A$4:$B$1000,2,FALSE)</f>
        <v>DLC_BASE_GAME</v>
      </c>
      <c r="L116" s="3" t="str">
        <f>VLOOKUP(J116,ConstDLCIds!$A$4:$C$1000,3,FALSE)</f>
        <v>Included in base game</v>
      </c>
    </row>
    <row r="117" spans="1:12" x14ac:dyDescent="0.25">
      <c r="A117">
        <v>284</v>
      </c>
      <c r="B117">
        <v>112</v>
      </c>
      <c r="C117">
        <v>3</v>
      </c>
      <c r="D117" t="s">
        <v>2179</v>
      </c>
      <c r="E117" t="str">
        <f>IF(NOT(ISERROR(VLOOKUP(D117,'ESO DungeonFinder'!$A$2:$A$999,1,FALSE))),"X","")</f>
        <v/>
      </c>
      <c r="F117" s="70" t="str">
        <f t="shared" si="4"/>
        <v/>
      </c>
      <c r="G117" s="70" t="str">
        <f t="shared" si="7"/>
        <v>Glenumbra</v>
      </c>
      <c r="H117" s="70">
        <f t="shared" si="5"/>
        <v>284</v>
      </c>
      <c r="I117" s="70">
        <f t="shared" si="6"/>
        <v>3</v>
      </c>
      <c r="J117">
        <v>0</v>
      </c>
      <c r="K117" s="3" t="str">
        <f>VLOOKUP(J117,ConstDLCIds!$A$4:$B$1000,2,FALSE)</f>
        <v>DLC_BASE_GAME</v>
      </c>
      <c r="L117" s="3" t="str">
        <f>VLOOKUP(J117,ConstDLCIds!$A$4:$C$1000,3,FALSE)</f>
        <v>Included in base game</v>
      </c>
    </row>
    <row r="118" spans="1:12" x14ac:dyDescent="0.25">
      <c r="A118">
        <v>287</v>
      </c>
      <c r="B118">
        <v>113</v>
      </c>
      <c r="C118">
        <v>41</v>
      </c>
      <c r="D118" t="s">
        <v>2275</v>
      </c>
      <c r="E118" t="str">
        <f>IF(NOT(ISERROR(VLOOKUP(D118,'ESO DungeonFinder'!$A$2:$A$999,1,FALSE))),"X","")</f>
        <v/>
      </c>
      <c r="F118" s="70" t="str">
        <f t="shared" si="4"/>
        <v/>
      </c>
      <c r="G118" s="70" t="str">
        <f t="shared" si="7"/>
        <v>Stonefalls</v>
      </c>
      <c r="H118" s="70">
        <f t="shared" si="5"/>
        <v>287</v>
      </c>
      <c r="I118" s="70">
        <f t="shared" si="6"/>
        <v>41</v>
      </c>
      <c r="J118">
        <v>0</v>
      </c>
      <c r="K118" s="3" t="str">
        <f>VLOOKUP(J118,ConstDLCIds!$A$4:$B$1000,2,FALSE)</f>
        <v>DLC_BASE_GAME</v>
      </c>
      <c r="L118" s="3" t="str">
        <f>VLOOKUP(J118,ConstDLCIds!$A$4:$C$1000,3,FALSE)</f>
        <v>Included in base game</v>
      </c>
    </row>
    <row r="119" spans="1:12" x14ac:dyDescent="0.25">
      <c r="A119">
        <v>288</v>
      </c>
      <c r="B119">
        <v>114</v>
      </c>
      <c r="C119">
        <v>41</v>
      </c>
      <c r="D119" t="s">
        <v>2276</v>
      </c>
      <c r="E119" t="str">
        <f>IF(NOT(ISERROR(VLOOKUP(D119,'ESO DungeonFinder'!$A$2:$A$999,1,FALSE))),"X","")</f>
        <v/>
      </c>
      <c r="F119" s="70" t="str">
        <f t="shared" si="4"/>
        <v/>
      </c>
      <c r="G119" s="70" t="str">
        <f t="shared" si="7"/>
        <v>Stonefalls</v>
      </c>
      <c r="H119" s="70">
        <f t="shared" si="5"/>
        <v>288</v>
      </c>
      <c r="I119" s="70">
        <f t="shared" si="6"/>
        <v>41</v>
      </c>
      <c r="J119">
        <v>0</v>
      </c>
      <c r="K119" s="3" t="str">
        <f>VLOOKUP(J119,ConstDLCIds!$A$4:$B$1000,2,FALSE)</f>
        <v>DLC_BASE_GAME</v>
      </c>
      <c r="L119" s="3" t="str">
        <f>VLOOKUP(J119,ConstDLCIds!$A$4:$C$1000,3,FALSE)</f>
        <v>Included in base game</v>
      </c>
    </row>
    <row r="120" spans="1:12" x14ac:dyDescent="0.25">
      <c r="A120">
        <v>289</v>
      </c>
      <c r="B120">
        <v>115</v>
      </c>
      <c r="C120">
        <v>41</v>
      </c>
      <c r="D120" t="s">
        <v>2277</v>
      </c>
      <c r="E120" t="str">
        <f>IF(NOT(ISERROR(VLOOKUP(D120,'ESO DungeonFinder'!$A$2:$A$999,1,FALSE))),"X","")</f>
        <v/>
      </c>
      <c r="F120" s="70" t="str">
        <f t="shared" si="4"/>
        <v/>
      </c>
      <c r="G120" s="70" t="str">
        <f t="shared" si="7"/>
        <v>Stonefalls</v>
      </c>
      <c r="H120" s="70">
        <f t="shared" si="5"/>
        <v>289</v>
      </c>
      <c r="I120" s="70">
        <f t="shared" si="6"/>
        <v>41</v>
      </c>
      <c r="J120">
        <v>0</v>
      </c>
      <c r="K120" s="3" t="str">
        <f>VLOOKUP(J120,ConstDLCIds!$A$4:$B$1000,2,FALSE)</f>
        <v>DLC_BASE_GAME</v>
      </c>
      <c r="L120" s="3" t="str">
        <f>VLOOKUP(J120,ConstDLCIds!$A$4:$C$1000,3,FALSE)</f>
        <v>Included in base game</v>
      </c>
    </row>
    <row r="121" spans="1:12" x14ac:dyDescent="0.25">
      <c r="A121">
        <v>290</v>
      </c>
      <c r="B121">
        <v>116</v>
      </c>
      <c r="C121">
        <v>41</v>
      </c>
      <c r="D121" t="s">
        <v>2278</v>
      </c>
      <c r="E121" t="str">
        <f>IF(NOT(ISERROR(VLOOKUP(D121,'ESO DungeonFinder'!$A$2:$A$999,1,FALSE))),"X","")</f>
        <v/>
      </c>
      <c r="F121" s="70" t="str">
        <f t="shared" si="4"/>
        <v/>
      </c>
      <c r="G121" s="70" t="str">
        <f t="shared" si="7"/>
        <v>Stonefalls</v>
      </c>
      <c r="H121" s="70">
        <f t="shared" si="5"/>
        <v>290</v>
      </c>
      <c r="I121" s="70">
        <f t="shared" si="6"/>
        <v>41</v>
      </c>
      <c r="J121">
        <v>0</v>
      </c>
      <c r="K121" s="3" t="str">
        <f>VLOOKUP(J121,ConstDLCIds!$A$4:$B$1000,2,FALSE)</f>
        <v>DLC_BASE_GAME</v>
      </c>
      <c r="L121" s="3" t="str">
        <f>VLOOKUP(J121,ConstDLCIds!$A$4:$C$1000,3,FALSE)</f>
        <v>Included in base game</v>
      </c>
    </row>
    <row r="122" spans="1:12" x14ac:dyDescent="0.25">
      <c r="A122">
        <v>291</v>
      </c>
      <c r="B122">
        <v>117</v>
      </c>
      <c r="C122">
        <v>41</v>
      </c>
      <c r="D122" t="s">
        <v>2279</v>
      </c>
      <c r="E122" t="str">
        <f>IF(NOT(ISERROR(VLOOKUP(D122,'ESO DungeonFinder'!$A$2:$A$999,1,FALSE))),"X","")</f>
        <v/>
      </c>
      <c r="F122" s="70" t="str">
        <f t="shared" si="4"/>
        <v/>
      </c>
      <c r="G122" s="70" t="str">
        <f t="shared" si="7"/>
        <v>Stonefalls</v>
      </c>
      <c r="H122" s="70">
        <f t="shared" si="5"/>
        <v>291</v>
      </c>
      <c r="I122" s="70">
        <f t="shared" si="6"/>
        <v>41</v>
      </c>
      <c r="J122">
        <v>0</v>
      </c>
      <c r="K122" s="3" t="str">
        <f>VLOOKUP(J122,ConstDLCIds!$A$4:$B$1000,2,FALSE)</f>
        <v>DLC_BASE_GAME</v>
      </c>
      <c r="L122" s="3" t="str">
        <f>VLOOKUP(J122,ConstDLCIds!$A$4:$C$1000,3,FALSE)</f>
        <v>Included in base game</v>
      </c>
    </row>
    <row r="123" spans="1:12" x14ac:dyDescent="0.25">
      <c r="A123">
        <v>296</v>
      </c>
      <c r="B123">
        <v>118</v>
      </c>
      <c r="C123">
        <v>41</v>
      </c>
      <c r="D123" t="s">
        <v>2280</v>
      </c>
      <c r="E123" t="str">
        <f>IF(NOT(ISERROR(VLOOKUP(D123,'ESO DungeonFinder'!$A$2:$A$999,1,FALSE))),"X","")</f>
        <v/>
      </c>
      <c r="F123" s="70" t="str">
        <f t="shared" si="4"/>
        <v/>
      </c>
      <c r="G123" s="70" t="str">
        <f t="shared" si="7"/>
        <v>Stonefalls</v>
      </c>
      <c r="H123" s="70">
        <f t="shared" si="5"/>
        <v>296</v>
      </c>
      <c r="I123" s="70">
        <f t="shared" si="6"/>
        <v>41</v>
      </c>
      <c r="J123">
        <v>0</v>
      </c>
      <c r="K123" s="3" t="str">
        <f>VLOOKUP(J123,ConstDLCIds!$A$4:$B$1000,2,FALSE)</f>
        <v>DLC_BASE_GAME</v>
      </c>
      <c r="L123" s="3" t="str">
        <f>VLOOKUP(J123,ConstDLCIds!$A$4:$C$1000,3,FALSE)</f>
        <v>Included in base game</v>
      </c>
    </row>
    <row r="124" spans="1:12" x14ac:dyDescent="0.25">
      <c r="A124">
        <v>306</v>
      </c>
      <c r="B124">
        <v>119</v>
      </c>
      <c r="C124">
        <v>57</v>
      </c>
      <c r="D124" t="s">
        <v>2180</v>
      </c>
      <c r="E124" t="str">
        <f>IF(NOT(ISERROR(VLOOKUP(D124,'ESO DungeonFinder'!$A$2:$A$999,1,FALSE))),"X","")</f>
        <v/>
      </c>
      <c r="F124" s="70" t="str">
        <f t="shared" si="4"/>
        <v/>
      </c>
      <c r="G124" s="70" t="str">
        <f t="shared" si="7"/>
        <v>Deshaan</v>
      </c>
      <c r="H124" s="70">
        <f t="shared" si="5"/>
        <v>306</v>
      </c>
      <c r="I124" s="70">
        <f t="shared" si="6"/>
        <v>57</v>
      </c>
      <c r="J124">
        <v>0</v>
      </c>
      <c r="K124" s="3" t="str">
        <f>VLOOKUP(J124,ConstDLCIds!$A$4:$B$1000,2,FALSE)</f>
        <v>DLC_BASE_GAME</v>
      </c>
      <c r="L124" s="3" t="str">
        <f>VLOOKUP(J124,ConstDLCIds!$A$4:$C$1000,3,FALSE)</f>
        <v>Included in base game</v>
      </c>
    </row>
    <row r="125" spans="1:12" x14ac:dyDescent="0.25">
      <c r="A125">
        <v>308</v>
      </c>
      <c r="B125">
        <v>120</v>
      </c>
      <c r="C125">
        <v>104</v>
      </c>
      <c r="D125" t="s">
        <v>2181</v>
      </c>
      <c r="E125" t="str">
        <f>IF(NOT(ISERROR(VLOOKUP(D125,'ESO DungeonFinder'!$A$2:$A$999,1,FALSE))),"X","")</f>
        <v/>
      </c>
      <c r="F125" s="70" t="str">
        <f t="shared" si="4"/>
        <v/>
      </c>
      <c r="G125" s="70" t="str">
        <f t="shared" si="7"/>
        <v>Alik'r Desert</v>
      </c>
      <c r="H125" s="70">
        <f t="shared" si="5"/>
        <v>308</v>
      </c>
      <c r="I125" s="70">
        <f t="shared" si="6"/>
        <v>104</v>
      </c>
      <c r="J125">
        <v>0</v>
      </c>
      <c r="K125" s="3" t="str">
        <f>VLOOKUP(J125,ConstDLCIds!$A$4:$B$1000,2,FALSE)</f>
        <v>DLC_BASE_GAME</v>
      </c>
      <c r="L125" s="3" t="str">
        <f>VLOOKUP(J125,ConstDLCIds!$A$4:$C$1000,3,FALSE)</f>
        <v>Included in base game</v>
      </c>
    </row>
    <row r="126" spans="1:12" x14ac:dyDescent="0.25">
      <c r="A126">
        <v>309</v>
      </c>
      <c r="B126">
        <v>121</v>
      </c>
      <c r="C126">
        <v>3</v>
      </c>
      <c r="D126" t="s">
        <v>2281</v>
      </c>
      <c r="E126" t="str">
        <f>IF(NOT(ISERROR(VLOOKUP(D126,'ESO DungeonFinder'!$A$2:$A$999,1,FALSE))),"X","")</f>
        <v/>
      </c>
      <c r="F126" s="70" t="str">
        <f t="shared" si="4"/>
        <v/>
      </c>
      <c r="G126" s="70" t="str">
        <f t="shared" si="7"/>
        <v>Glenumbra</v>
      </c>
      <c r="H126" s="70">
        <f t="shared" si="5"/>
        <v>309</v>
      </c>
      <c r="I126" s="70">
        <f t="shared" si="6"/>
        <v>3</v>
      </c>
      <c r="J126">
        <v>0</v>
      </c>
      <c r="K126" s="3" t="str">
        <f>VLOOKUP(J126,ConstDLCIds!$A$4:$B$1000,2,FALSE)</f>
        <v>DLC_BASE_GAME</v>
      </c>
      <c r="L126" s="3" t="str">
        <f>VLOOKUP(J126,ConstDLCIds!$A$4:$C$1000,3,FALSE)</f>
        <v>Included in base game</v>
      </c>
    </row>
    <row r="127" spans="1:12" x14ac:dyDescent="0.25">
      <c r="A127">
        <v>310</v>
      </c>
      <c r="B127">
        <v>122</v>
      </c>
      <c r="C127">
        <v>3</v>
      </c>
      <c r="D127" t="s">
        <v>2282</v>
      </c>
      <c r="E127" t="str">
        <f>IF(NOT(ISERROR(VLOOKUP(D127,'ESO DungeonFinder'!$A$2:$A$999,1,FALSE))),"X","")</f>
        <v/>
      </c>
      <c r="F127" s="70" t="str">
        <f t="shared" si="4"/>
        <v/>
      </c>
      <c r="G127" s="70" t="str">
        <f t="shared" si="7"/>
        <v>Glenumbra</v>
      </c>
      <c r="H127" s="70">
        <f t="shared" si="5"/>
        <v>310</v>
      </c>
      <c r="I127" s="70">
        <f t="shared" si="6"/>
        <v>3</v>
      </c>
      <c r="J127">
        <v>0</v>
      </c>
      <c r="K127" s="3" t="str">
        <f>VLOOKUP(J127,ConstDLCIds!$A$4:$B$1000,2,FALSE)</f>
        <v>DLC_BASE_GAME</v>
      </c>
      <c r="L127" s="3" t="str">
        <f>VLOOKUP(J127,ConstDLCIds!$A$4:$C$1000,3,FALSE)</f>
        <v>Included in base game</v>
      </c>
    </row>
    <row r="128" spans="1:12" x14ac:dyDescent="0.25">
      <c r="A128">
        <v>311</v>
      </c>
      <c r="B128">
        <v>123</v>
      </c>
      <c r="C128">
        <v>3</v>
      </c>
      <c r="D128" t="s">
        <v>2283</v>
      </c>
      <c r="E128" t="str">
        <f>IF(NOT(ISERROR(VLOOKUP(D128,'ESO DungeonFinder'!$A$2:$A$999,1,FALSE))),"X","")</f>
        <v/>
      </c>
      <c r="F128" s="70" t="str">
        <f t="shared" si="4"/>
        <v/>
      </c>
      <c r="G128" s="70" t="str">
        <f t="shared" si="7"/>
        <v>Glenumbra</v>
      </c>
      <c r="H128" s="70">
        <f t="shared" si="5"/>
        <v>311</v>
      </c>
      <c r="I128" s="70">
        <f t="shared" si="6"/>
        <v>3</v>
      </c>
      <c r="J128">
        <v>0</v>
      </c>
      <c r="K128" s="3" t="str">
        <f>VLOOKUP(J128,ConstDLCIds!$A$4:$B$1000,2,FALSE)</f>
        <v>DLC_BASE_GAME</v>
      </c>
      <c r="L128" s="3" t="str">
        <f>VLOOKUP(J128,ConstDLCIds!$A$4:$C$1000,3,FALSE)</f>
        <v>Included in base game</v>
      </c>
    </row>
    <row r="129" spans="1:12" x14ac:dyDescent="0.25">
      <c r="A129">
        <v>312</v>
      </c>
      <c r="B129">
        <v>124</v>
      </c>
      <c r="C129">
        <v>3</v>
      </c>
      <c r="D129" t="s">
        <v>2284</v>
      </c>
      <c r="E129" t="str">
        <f>IF(NOT(ISERROR(VLOOKUP(D129,'ESO DungeonFinder'!$A$2:$A$999,1,FALSE))),"X","")</f>
        <v/>
      </c>
      <c r="F129" s="70" t="str">
        <f t="shared" si="4"/>
        <v/>
      </c>
      <c r="G129" s="70" t="str">
        <f t="shared" si="7"/>
        <v>Glenumbra</v>
      </c>
      <c r="H129" s="70">
        <f t="shared" si="5"/>
        <v>312</v>
      </c>
      <c r="I129" s="70">
        <f t="shared" si="6"/>
        <v>3</v>
      </c>
      <c r="J129">
        <v>0</v>
      </c>
      <c r="K129" s="3" t="str">
        <f>VLOOKUP(J129,ConstDLCIds!$A$4:$B$1000,2,FALSE)</f>
        <v>DLC_BASE_GAME</v>
      </c>
      <c r="L129" s="3" t="str">
        <f>VLOOKUP(J129,ConstDLCIds!$A$4:$C$1000,3,FALSE)</f>
        <v>Included in base game</v>
      </c>
    </row>
    <row r="130" spans="1:12" x14ac:dyDescent="0.25">
      <c r="A130">
        <v>313</v>
      </c>
      <c r="B130">
        <v>125</v>
      </c>
      <c r="C130">
        <v>3</v>
      </c>
      <c r="D130" t="s">
        <v>2285</v>
      </c>
      <c r="E130" t="str">
        <f>IF(NOT(ISERROR(VLOOKUP(D130,'ESO DungeonFinder'!$A$2:$A$999,1,FALSE))),"X","")</f>
        <v/>
      </c>
      <c r="F130" s="70" t="str">
        <f t="shared" si="4"/>
        <v/>
      </c>
      <c r="G130" s="70" t="str">
        <f t="shared" si="7"/>
        <v>Glenumbra</v>
      </c>
      <c r="H130" s="70">
        <f t="shared" si="5"/>
        <v>313</v>
      </c>
      <c r="I130" s="70">
        <f t="shared" si="6"/>
        <v>3</v>
      </c>
      <c r="J130">
        <v>0</v>
      </c>
      <c r="K130" s="3" t="str">
        <f>VLOOKUP(J130,ConstDLCIds!$A$4:$B$1000,2,FALSE)</f>
        <v>DLC_BASE_GAME</v>
      </c>
      <c r="L130" s="3" t="str">
        <f>VLOOKUP(J130,ConstDLCIds!$A$4:$C$1000,3,FALSE)</f>
        <v>Included in base game</v>
      </c>
    </row>
    <row r="131" spans="1:12" x14ac:dyDescent="0.25">
      <c r="A131">
        <v>314</v>
      </c>
      <c r="B131">
        <v>126</v>
      </c>
      <c r="C131">
        <v>3</v>
      </c>
      <c r="D131" t="s">
        <v>2286</v>
      </c>
      <c r="E131" t="str">
        <f>IF(NOT(ISERROR(VLOOKUP(D131,'ESO DungeonFinder'!$A$2:$A$999,1,FALSE))),"X","")</f>
        <v/>
      </c>
      <c r="F131" s="70" t="str">
        <f t="shared" si="4"/>
        <v/>
      </c>
      <c r="G131" s="70" t="str">
        <f t="shared" si="7"/>
        <v>Glenumbra</v>
      </c>
      <c r="H131" s="70">
        <f t="shared" si="5"/>
        <v>314</v>
      </c>
      <c r="I131" s="70">
        <f t="shared" si="6"/>
        <v>3</v>
      </c>
      <c r="J131">
        <v>0</v>
      </c>
      <c r="K131" s="3" t="str">
        <f>VLOOKUP(J131,ConstDLCIds!$A$4:$B$1000,2,FALSE)</f>
        <v>DLC_BASE_GAME</v>
      </c>
      <c r="L131" s="3" t="str">
        <f>VLOOKUP(J131,ConstDLCIds!$A$4:$C$1000,3,FALSE)</f>
        <v>Included in base game</v>
      </c>
    </row>
    <row r="132" spans="1:12" x14ac:dyDescent="0.25">
      <c r="A132">
        <v>315</v>
      </c>
      <c r="B132">
        <v>127</v>
      </c>
      <c r="C132">
        <v>19</v>
      </c>
      <c r="D132" t="s">
        <v>2287</v>
      </c>
      <c r="E132" t="str">
        <f>IF(NOT(ISERROR(VLOOKUP(D132,'ESO DungeonFinder'!$A$2:$A$999,1,FALSE))),"X","")</f>
        <v/>
      </c>
      <c r="F132" s="70" t="str">
        <f t="shared" si="4"/>
        <v/>
      </c>
      <c r="G132" s="70" t="str">
        <f t="shared" si="7"/>
        <v>Stormhaven</v>
      </c>
      <c r="H132" s="70">
        <f t="shared" si="5"/>
        <v>315</v>
      </c>
      <c r="I132" s="70">
        <f t="shared" si="6"/>
        <v>19</v>
      </c>
      <c r="J132">
        <v>0</v>
      </c>
      <c r="K132" s="3" t="str">
        <f>VLOOKUP(J132,ConstDLCIds!$A$4:$B$1000,2,FALSE)</f>
        <v>DLC_BASE_GAME</v>
      </c>
      <c r="L132" s="3" t="str">
        <f>VLOOKUP(J132,ConstDLCIds!$A$4:$C$1000,3,FALSE)</f>
        <v>Included in base game</v>
      </c>
    </row>
    <row r="133" spans="1:12" x14ac:dyDescent="0.25">
      <c r="A133">
        <v>316</v>
      </c>
      <c r="B133">
        <v>128</v>
      </c>
      <c r="C133">
        <v>19</v>
      </c>
      <c r="D133" t="s">
        <v>2288</v>
      </c>
      <c r="E133" t="str">
        <f>IF(NOT(ISERROR(VLOOKUP(D133,'ESO DungeonFinder'!$A$2:$A$999,1,FALSE))),"X","")</f>
        <v/>
      </c>
      <c r="F133" s="70" t="str">
        <f t="shared" ref="F133:F196" si="8">IF(EXACT(A133,C133),"X","")</f>
        <v/>
      </c>
      <c r="G133" s="70" t="str">
        <f t="shared" si="7"/>
        <v>Stormhaven</v>
      </c>
      <c r="H133" s="70">
        <f t="shared" ref="H133:H196" si="9">A133</f>
        <v>316</v>
      </c>
      <c r="I133" s="70">
        <f t="shared" ref="I133:I196" si="10">C133</f>
        <v>19</v>
      </c>
      <c r="J133">
        <v>0</v>
      </c>
      <c r="K133" s="3" t="str">
        <f>VLOOKUP(J133,ConstDLCIds!$A$4:$B$1000,2,FALSE)</f>
        <v>DLC_BASE_GAME</v>
      </c>
      <c r="L133" s="3" t="str">
        <f>VLOOKUP(J133,ConstDLCIds!$A$4:$C$1000,3,FALSE)</f>
        <v>Included in base game</v>
      </c>
    </row>
    <row r="134" spans="1:12" x14ac:dyDescent="0.25">
      <c r="A134">
        <v>317</v>
      </c>
      <c r="B134">
        <v>129</v>
      </c>
      <c r="C134">
        <v>19</v>
      </c>
      <c r="D134" t="s">
        <v>2289</v>
      </c>
      <c r="E134" t="str">
        <f>IF(NOT(ISERROR(VLOOKUP(D134,'ESO DungeonFinder'!$A$2:$A$999,1,FALSE))),"X","")</f>
        <v/>
      </c>
      <c r="F134" s="70" t="str">
        <f t="shared" si="8"/>
        <v/>
      </c>
      <c r="G134" s="70" t="str">
        <f t="shared" ref="G134:G197" si="11">IF(A134&lt;&gt;C134,VLOOKUP(C134,$A$5:$D$9956,4,FALSE),"")</f>
        <v>Stormhaven</v>
      </c>
      <c r="H134" s="70">
        <f t="shared" si="9"/>
        <v>317</v>
      </c>
      <c r="I134" s="70">
        <f t="shared" si="10"/>
        <v>19</v>
      </c>
      <c r="J134">
        <v>0</v>
      </c>
      <c r="K134" s="3" t="str">
        <f>VLOOKUP(J134,ConstDLCIds!$A$4:$B$1000,2,FALSE)</f>
        <v>DLC_BASE_GAME</v>
      </c>
      <c r="L134" s="3" t="str">
        <f>VLOOKUP(J134,ConstDLCIds!$A$4:$C$1000,3,FALSE)</f>
        <v>Included in base game</v>
      </c>
    </row>
    <row r="135" spans="1:12" x14ac:dyDescent="0.25">
      <c r="A135">
        <v>318</v>
      </c>
      <c r="B135">
        <v>130</v>
      </c>
      <c r="C135">
        <v>19</v>
      </c>
      <c r="D135" t="s">
        <v>2290</v>
      </c>
      <c r="E135" t="str">
        <f>IF(NOT(ISERROR(VLOOKUP(D135,'ESO DungeonFinder'!$A$2:$A$999,1,FALSE))),"X","")</f>
        <v/>
      </c>
      <c r="F135" s="70" t="str">
        <f t="shared" si="8"/>
        <v/>
      </c>
      <c r="G135" s="70" t="str">
        <f t="shared" si="11"/>
        <v>Stormhaven</v>
      </c>
      <c r="H135" s="70">
        <f t="shared" si="9"/>
        <v>318</v>
      </c>
      <c r="I135" s="70">
        <f t="shared" si="10"/>
        <v>19</v>
      </c>
      <c r="J135">
        <v>0</v>
      </c>
      <c r="K135" s="3" t="str">
        <f>VLOOKUP(J135,ConstDLCIds!$A$4:$B$1000,2,FALSE)</f>
        <v>DLC_BASE_GAME</v>
      </c>
      <c r="L135" s="3" t="str">
        <f>VLOOKUP(J135,ConstDLCIds!$A$4:$C$1000,3,FALSE)</f>
        <v>Included in base game</v>
      </c>
    </row>
    <row r="136" spans="1:12" x14ac:dyDescent="0.25">
      <c r="A136">
        <v>319</v>
      </c>
      <c r="B136">
        <v>131</v>
      </c>
      <c r="C136">
        <v>19</v>
      </c>
      <c r="D136" t="s">
        <v>2291</v>
      </c>
      <c r="E136" t="str">
        <f>IF(NOT(ISERROR(VLOOKUP(D136,'ESO DungeonFinder'!$A$2:$A$999,1,FALSE))),"X","")</f>
        <v/>
      </c>
      <c r="F136" s="70" t="str">
        <f t="shared" si="8"/>
        <v/>
      </c>
      <c r="G136" s="70" t="str">
        <f t="shared" si="11"/>
        <v>Stormhaven</v>
      </c>
      <c r="H136" s="70">
        <f t="shared" si="9"/>
        <v>319</v>
      </c>
      <c r="I136" s="70">
        <f t="shared" si="10"/>
        <v>19</v>
      </c>
      <c r="J136">
        <v>0</v>
      </c>
      <c r="K136" s="3" t="str">
        <f>VLOOKUP(J136,ConstDLCIds!$A$4:$B$1000,2,FALSE)</f>
        <v>DLC_BASE_GAME</v>
      </c>
      <c r="L136" s="3" t="str">
        <f>VLOOKUP(J136,ConstDLCIds!$A$4:$C$1000,3,FALSE)</f>
        <v>Included in base game</v>
      </c>
    </row>
    <row r="137" spans="1:12" x14ac:dyDescent="0.25">
      <c r="A137">
        <v>320</v>
      </c>
      <c r="B137">
        <v>132</v>
      </c>
      <c r="C137">
        <v>19</v>
      </c>
      <c r="D137" t="s">
        <v>2292</v>
      </c>
      <c r="E137" t="str">
        <f>IF(NOT(ISERROR(VLOOKUP(D137,'ESO DungeonFinder'!$A$2:$A$999,1,FALSE))),"X","")</f>
        <v/>
      </c>
      <c r="F137" s="70" t="str">
        <f t="shared" si="8"/>
        <v/>
      </c>
      <c r="G137" s="70" t="str">
        <f t="shared" si="11"/>
        <v>Stormhaven</v>
      </c>
      <c r="H137" s="70">
        <f t="shared" si="9"/>
        <v>320</v>
      </c>
      <c r="I137" s="70">
        <f t="shared" si="10"/>
        <v>19</v>
      </c>
      <c r="J137">
        <v>0</v>
      </c>
      <c r="K137" s="3" t="str">
        <f>VLOOKUP(J137,ConstDLCIds!$A$4:$B$1000,2,FALSE)</f>
        <v>DLC_BASE_GAME</v>
      </c>
      <c r="L137" s="3" t="str">
        <f>VLOOKUP(J137,ConstDLCIds!$A$4:$C$1000,3,FALSE)</f>
        <v>Included in base game</v>
      </c>
    </row>
    <row r="138" spans="1:12" x14ac:dyDescent="0.25">
      <c r="A138">
        <v>321</v>
      </c>
      <c r="B138">
        <v>133</v>
      </c>
      <c r="C138">
        <v>20</v>
      </c>
      <c r="D138" t="s">
        <v>2293</v>
      </c>
      <c r="E138" t="str">
        <f>IF(NOT(ISERROR(VLOOKUP(D138,'ESO DungeonFinder'!$A$2:$A$999,1,FALSE))),"X","")</f>
        <v/>
      </c>
      <c r="F138" s="70" t="str">
        <f t="shared" si="8"/>
        <v/>
      </c>
      <c r="G138" s="70" t="str">
        <f t="shared" si="11"/>
        <v>Rivenspire</v>
      </c>
      <c r="H138" s="70">
        <f t="shared" si="9"/>
        <v>321</v>
      </c>
      <c r="I138" s="70">
        <f t="shared" si="10"/>
        <v>20</v>
      </c>
      <c r="J138">
        <v>0</v>
      </c>
      <c r="K138" s="3" t="str">
        <f>VLOOKUP(J138,ConstDLCIds!$A$4:$B$1000,2,FALSE)</f>
        <v>DLC_BASE_GAME</v>
      </c>
      <c r="L138" s="3" t="str">
        <f>VLOOKUP(J138,ConstDLCIds!$A$4:$C$1000,3,FALSE)</f>
        <v>Included in base game</v>
      </c>
    </row>
    <row r="139" spans="1:12" x14ac:dyDescent="0.25">
      <c r="A139">
        <v>322</v>
      </c>
      <c r="B139">
        <v>134</v>
      </c>
      <c r="C139">
        <v>20</v>
      </c>
      <c r="D139" t="s">
        <v>2294</v>
      </c>
      <c r="E139" t="str">
        <f>IF(NOT(ISERROR(VLOOKUP(D139,'ESO DungeonFinder'!$A$2:$A$999,1,FALSE))),"X","")</f>
        <v/>
      </c>
      <c r="F139" s="70" t="str">
        <f t="shared" si="8"/>
        <v/>
      </c>
      <c r="G139" s="70" t="str">
        <f t="shared" si="11"/>
        <v>Rivenspire</v>
      </c>
      <c r="H139" s="70">
        <f t="shared" si="9"/>
        <v>322</v>
      </c>
      <c r="I139" s="70">
        <f t="shared" si="10"/>
        <v>20</v>
      </c>
      <c r="J139">
        <v>0</v>
      </c>
      <c r="K139" s="3" t="str">
        <f>VLOOKUP(J139,ConstDLCIds!$A$4:$B$1000,2,FALSE)</f>
        <v>DLC_BASE_GAME</v>
      </c>
      <c r="L139" s="3" t="str">
        <f>VLOOKUP(J139,ConstDLCIds!$A$4:$C$1000,3,FALSE)</f>
        <v>Included in base game</v>
      </c>
    </row>
    <row r="140" spans="1:12" x14ac:dyDescent="0.25">
      <c r="A140">
        <v>323</v>
      </c>
      <c r="B140">
        <v>135</v>
      </c>
      <c r="C140">
        <v>20</v>
      </c>
      <c r="D140" t="s">
        <v>2295</v>
      </c>
      <c r="E140" t="str">
        <f>IF(NOT(ISERROR(VLOOKUP(D140,'ESO DungeonFinder'!$A$2:$A$999,1,FALSE))),"X","")</f>
        <v/>
      </c>
      <c r="F140" s="70" t="str">
        <f t="shared" si="8"/>
        <v/>
      </c>
      <c r="G140" s="70" t="str">
        <f t="shared" si="11"/>
        <v>Rivenspire</v>
      </c>
      <c r="H140" s="70">
        <f t="shared" si="9"/>
        <v>323</v>
      </c>
      <c r="I140" s="70">
        <f t="shared" si="10"/>
        <v>20</v>
      </c>
      <c r="J140">
        <v>0</v>
      </c>
      <c r="K140" s="3" t="str">
        <f>VLOOKUP(J140,ConstDLCIds!$A$4:$B$1000,2,FALSE)</f>
        <v>DLC_BASE_GAME</v>
      </c>
      <c r="L140" s="3" t="str">
        <f>VLOOKUP(J140,ConstDLCIds!$A$4:$C$1000,3,FALSE)</f>
        <v>Included in base game</v>
      </c>
    </row>
    <row r="141" spans="1:12" x14ac:dyDescent="0.25">
      <c r="A141">
        <v>324</v>
      </c>
      <c r="B141">
        <v>136</v>
      </c>
      <c r="C141">
        <v>20</v>
      </c>
      <c r="D141" t="s">
        <v>2296</v>
      </c>
      <c r="E141" t="str">
        <f>IF(NOT(ISERROR(VLOOKUP(D141,'ESO DungeonFinder'!$A$2:$A$999,1,FALSE))),"X","")</f>
        <v/>
      </c>
      <c r="F141" s="70" t="str">
        <f t="shared" si="8"/>
        <v/>
      </c>
      <c r="G141" s="70" t="str">
        <f t="shared" si="11"/>
        <v>Rivenspire</v>
      </c>
      <c r="H141" s="70">
        <f t="shared" si="9"/>
        <v>324</v>
      </c>
      <c r="I141" s="70">
        <f t="shared" si="10"/>
        <v>20</v>
      </c>
      <c r="J141">
        <v>0</v>
      </c>
      <c r="K141" s="3" t="str">
        <f>VLOOKUP(J141,ConstDLCIds!$A$4:$B$1000,2,FALSE)</f>
        <v>DLC_BASE_GAME</v>
      </c>
      <c r="L141" s="3" t="str">
        <f>VLOOKUP(J141,ConstDLCIds!$A$4:$C$1000,3,FALSE)</f>
        <v>Included in base game</v>
      </c>
    </row>
    <row r="142" spans="1:12" x14ac:dyDescent="0.25">
      <c r="A142">
        <v>325</v>
      </c>
      <c r="B142">
        <v>137</v>
      </c>
      <c r="C142">
        <v>20</v>
      </c>
      <c r="D142" t="s">
        <v>2297</v>
      </c>
      <c r="E142" t="str">
        <f>IF(NOT(ISERROR(VLOOKUP(D142,'ESO DungeonFinder'!$A$2:$A$999,1,FALSE))),"X","")</f>
        <v/>
      </c>
      <c r="F142" s="70" t="str">
        <f t="shared" si="8"/>
        <v/>
      </c>
      <c r="G142" s="70" t="str">
        <f t="shared" si="11"/>
        <v>Rivenspire</v>
      </c>
      <c r="H142" s="70">
        <f t="shared" si="9"/>
        <v>325</v>
      </c>
      <c r="I142" s="70">
        <f t="shared" si="10"/>
        <v>20</v>
      </c>
      <c r="J142">
        <v>0</v>
      </c>
      <c r="K142" s="3" t="str">
        <f>VLOOKUP(J142,ConstDLCIds!$A$4:$B$1000,2,FALSE)</f>
        <v>DLC_BASE_GAME</v>
      </c>
      <c r="L142" s="3" t="str">
        <f>VLOOKUP(J142,ConstDLCIds!$A$4:$C$1000,3,FALSE)</f>
        <v>Included in base game</v>
      </c>
    </row>
    <row r="143" spans="1:12" x14ac:dyDescent="0.25">
      <c r="A143">
        <v>326</v>
      </c>
      <c r="B143">
        <v>138</v>
      </c>
      <c r="C143">
        <v>20</v>
      </c>
      <c r="D143" t="s">
        <v>2298</v>
      </c>
      <c r="E143" t="str">
        <f>IF(NOT(ISERROR(VLOOKUP(D143,'ESO DungeonFinder'!$A$2:$A$999,1,FALSE))),"X","")</f>
        <v/>
      </c>
      <c r="F143" s="70" t="str">
        <f t="shared" si="8"/>
        <v/>
      </c>
      <c r="G143" s="70" t="str">
        <f t="shared" si="11"/>
        <v>Rivenspire</v>
      </c>
      <c r="H143" s="70">
        <f t="shared" si="9"/>
        <v>326</v>
      </c>
      <c r="I143" s="70">
        <f t="shared" si="10"/>
        <v>20</v>
      </c>
      <c r="J143">
        <v>0</v>
      </c>
      <c r="K143" s="3" t="str">
        <f>VLOOKUP(J143,ConstDLCIds!$A$4:$B$1000,2,FALSE)</f>
        <v>DLC_BASE_GAME</v>
      </c>
      <c r="L143" s="3" t="str">
        <f>VLOOKUP(J143,ConstDLCIds!$A$4:$C$1000,3,FALSE)</f>
        <v>Included in base game</v>
      </c>
    </row>
    <row r="144" spans="1:12" x14ac:dyDescent="0.25">
      <c r="A144">
        <v>327</v>
      </c>
      <c r="B144">
        <v>139</v>
      </c>
      <c r="C144">
        <v>104</v>
      </c>
      <c r="D144" t="s">
        <v>2299</v>
      </c>
      <c r="E144" t="str">
        <f>IF(NOT(ISERROR(VLOOKUP(D144,'ESO DungeonFinder'!$A$2:$A$999,1,FALSE))),"X","")</f>
        <v/>
      </c>
      <c r="F144" s="70" t="str">
        <f t="shared" si="8"/>
        <v/>
      </c>
      <c r="G144" s="70" t="str">
        <f t="shared" si="11"/>
        <v>Alik'r Desert</v>
      </c>
      <c r="H144" s="70">
        <f t="shared" si="9"/>
        <v>327</v>
      </c>
      <c r="I144" s="70">
        <f t="shared" si="10"/>
        <v>104</v>
      </c>
      <c r="J144">
        <v>0</v>
      </c>
      <c r="K144" s="3" t="str">
        <f>VLOOKUP(J144,ConstDLCIds!$A$4:$B$1000,2,FALSE)</f>
        <v>DLC_BASE_GAME</v>
      </c>
      <c r="L144" s="3" t="str">
        <f>VLOOKUP(J144,ConstDLCIds!$A$4:$C$1000,3,FALSE)</f>
        <v>Included in base game</v>
      </c>
    </row>
    <row r="145" spans="1:12" x14ac:dyDescent="0.25">
      <c r="A145">
        <v>328</v>
      </c>
      <c r="B145">
        <v>140</v>
      </c>
      <c r="C145">
        <v>104</v>
      </c>
      <c r="D145" t="s">
        <v>2300</v>
      </c>
      <c r="E145" t="str">
        <f>IF(NOT(ISERROR(VLOOKUP(D145,'ESO DungeonFinder'!$A$2:$A$999,1,FALSE))),"X","")</f>
        <v/>
      </c>
      <c r="F145" s="70" t="str">
        <f t="shared" si="8"/>
        <v/>
      </c>
      <c r="G145" s="70" t="str">
        <f t="shared" si="11"/>
        <v>Alik'r Desert</v>
      </c>
      <c r="H145" s="70">
        <f t="shared" si="9"/>
        <v>328</v>
      </c>
      <c r="I145" s="70">
        <f t="shared" si="10"/>
        <v>104</v>
      </c>
      <c r="J145">
        <v>0</v>
      </c>
      <c r="K145" s="3" t="str">
        <f>VLOOKUP(J145,ConstDLCIds!$A$4:$B$1000,2,FALSE)</f>
        <v>DLC_BASE_GAME</v>
      </c>
      <c r="L145" s="3" t="str">
        <f>VLOOKUP(J145,ConstDLCIds!$A$4:$C$1000,3,FALSE)</f>
        <v>Included in base game</v>
      </c>
    </row>
    <row r="146" spans="1:12" x14ac:dyDescent="0.25">
      <c r="A146">
        <v>329</v>
      </c>
      <c r="B146">
        <v>141</v>
      </c>
      <c r="C146">
        <v>104</v>
      </c>
      <c r="D146" t="s">
        <v>2301</v>
      </c>
      <c r="E146" t="str">
        <f>IF(NOT(ISERROR(VLOOKUP(D146,'ESO DungeonFinder'!$A$2:$A$999,1,FALSE))),"X","")</f>
        <v/>
      </c>
      <c r="F146" s="70" t="str">
        <f t="shared" si="8"/>
        <v/>
      </c>
      <c r="G146" s="70" t="str">
        <f t="shared" si="11"/>
        <v>Alik'r Desert</v>
      </c>
      <c r="H146" s="70">
        <f t="shared" si="9"/>
        <v>329</v>
      </c>
      <c r="I146" s="70">
        <f t="shared" si="10"/>
        <v>104</v>
      </c>
      <c r="J146">
        <v>0</v>
      </c>
      <c r="K146" s="3" t="str">
        <f>VLOOKUP(J146,ConstDLCIds!$A$4:$B$1000,2,FALSE)</f>
        <v>DLC_BASE_GAME</v>
      </c>
      <c r="L146" s="3" t="str">
        <f>VLOOKUP(J146,ConstDLCIds!$A$4:$C$1000,3,FALSE)</f>
        <v>Included in base game</v>
      </c>
    </row>
    <row r="147" spans="1:12" x14ac:dyDescent="0.25">
      <c r="A147">
        <v>330</v>
      </c>
      <c r="B147">
        <v>142</v>
      </c>
      <c r="C147">
        <v>104</v>
      </c>
      <c r="D147" t="s">
        <v>2302</v>
      </c>
      <c r="E147" t="str">
        <f>IF(NOT(ISERROR(VLOOKUP(D147,'ESO DungeonFinder'!$A$2:$A$999,1,FALSE))),"X","")</f>
        <v/>
      </c>
      <c r="F147" s="70" t="str">
        <f t="shared" si="8"/>
        <v/>
      </c>
      <c r="G147" s="70" t="str">
        <f t="shared" si="11"/>
        <v>Alik'r Desert</v>
      </c>
      <c r="H147" s="70">
        <f t="shared" si="9"/>
        <v>330</v>
      </c>
      <c r="I147" s="70">
        <f t="shared" si="10"/>
        <v>104</v>
      </c>
      <c r="J147">
        <v>0</v>
      </c>
      <c r="K147" s="3" t="str">
        <f>VLOOKUP(J147,ConstDLCIds!$A$4:$B$1000,2,FALSE)</f>
        <v>DLC_BASE_GAME</v>
      </c>
      <c r="L147" s="3" t="str">
        <f>VLOOKUP(J147,ConstDLCIds!$A$4:$C$1000,3,FALSE)</f>
        <v>Included in base game</v>
      </c>
    </row>
    <row r="148" spans="1:12" x14ac:dyDescent="0.25">
      <c r="A148">
        <v>331</v>
      </c>
      <c r="B148">
        <v>143</v>
      </c>
      <c r="C148">
        <v>104</v>
      </c>
      <c r="D148" t="s">
        <v>2303</v>
      </c>
      <c r="E148" t="str">
        <f>IF(NOT(ISERROR(VLOOKUP(D148,'ESO DungeonFinder'!$A$2:$A$999,1,FALSE))),"X","")</f>
        <v/>
      </c>
      <c r="F148" s="70" t="str">
        <f t="shared" si="8"/>
        <v/>
      </c>
      <c r="G148" s="70" t="str">
        <f t="shared" si="11"/>
        <v>Alik'r Desert</v>
      </c>
      <c r="H148" s="70">
        <f t="shared" si="9"/>
        <v>331</v>
      </c>
      <c r="I148" s="70">
        <f t="shared" si="10"/>
        <v>104</v>
      </c>
      <c r="J148">
        <v>0</v>
      </c>
      <c r="K148" s="3" t="str">
        <f>VLOOKUP(J148,ConstDLCIds!$A$4:$B$1000,2,FALSE)</f>
        <v>DLC_BASE_GAME</v>
      </c>
      <c r="L148" s="3" t="str">
        <f>VLOOKUP(J148,ConstDLCIds!$A$4:$C$1000,3,FALSE)</f>
        <v>Included in base game</v>
      </c>
    </row>
    <row r="149" spans="1:12" x14ac:dyDescent="0.25">
      <c r="A149">
        <v>332</v>
      </c>
      <c r="B149">
        <v>144</v>
      </c>
      <c r="C149">
        <v>104</v>
      </c>
      <c r="D149" t="s">
        <v>2304</v>
      </c>
      <c r="E149" t="str">
        <f>IF(NOT(ISERROR(VLOOKUP(D149,'ESO DungeonFinder'!$A$2:$A$999,1,FALSE))),"X","")</f>
        <v/>
      </c>
      <c r="F149" s="70" t="str">
        <f t="shared" si="8"/>
        <v/>
      </c>
      <c r="G149" s="70" t="str">
        <f t="shared" si="11"/>
        <v>Alik'r Desert</v>
      </c>
      <c r="H149" s="70">
        <f t="shared" si="9"/>
        <v>332</v>
      </c>
      <c r="I149" s="70">
        <f t="shared" si="10"/>
        <v>104</v>
      </c>
      <c r="J149">
        <v>0</v>
      </c>
      <c r="K149" s="3" t="str">
        <f>VLOOKUP(J149,ConstDLCIds!$A$4:$B$1000,2,FALSE)</f>
        <v>DLC_BASE_GAME</v>
      </c>
      <c r="L149" s="3" t="str">
        <f>VLOOKUP(J149,ConstDLCIds!$A$4:$C$1000,3,FALSE)</f>
        <v>Included in base game</v>
      </c>
    </row>
    <row r="150" spans="1:12" x14ac:dyDescent="0.25">
      <c r="A150">
        <v>333</v>
      </c>
      <c r="B150">
        <v>145</v>
      </c>
      <c r="C150">
        <v>92</v>
      </c>
      <c r="D150" t="s">
        <v>2305</v>
      </c>
      <c r="E150" t="str">
        <f>IF(NOT(ISERROR(VLOOKUP(D150,'ESO DungeonFinder'!$A$2:$A$999,1,FALSE))),"X","")</f>
        <v/>
      </c>
      <c r="F150" s="70" t="str">
        <f t="shared" si="8"/>
        <v/>
      </c>
      <c r="G150" s="70" t="str">
        <f t="shared" si="11"/>
        <v>Bangkorai</v>
      </c>
      <c r="H150" s="70">
        <f t="shared" si="9"/>
        <v>333</v>
      </c>
      <c r="I150" s="70">
        <f t="shared" si="10"/>
        <v>92</v>
      </c>
      <c r="J150">
        <v>0</v>
      </c>
      <c r="K150" s="3" t="str">
        <f>VLOOKUP(J150,ConstDLCIds!$A$4:$B$1000,2,FALSE)</f>
        <v>DLC_BASE_GAME</v>
      </c>
      <c r="L150" s="3" t="str">
        <f>VLOOKUP(J150,ConstDLCIds!$A$4:$C$1000,3,FALSE)</f>
        <v>Included in base game</v>
      </c>
    </row>
    <row r="151" spans="1:12" x14ac:dyDescent="0.25">
      <c r="A151">
        <v>334</v>
      </c>
      <c r="B151">
        <v>146</v>
      </c>
      <c r="C151">
        <v>92</v>
      </c>
      <c r="D151" t="s">
        <v>2306</v>
      </c>
      <c r="E151" t="str">
        <f>IF(NOT(ISERROR(VLOOKUP(D151,'ESO DungeonFinder'!$A$2:$A$999,1,FALSE))),"X","")</f>
        <v/>
      </c>
      <c r="F151" s="70" t="str">
        <f t="shared" si="8"/>
        <v/>
      </c>
      <c r="G151" s="70" t="str">
        <f t="shared" si="11"/>
        <v>Bangkorai</v>
      </c>
      <c r="H151" s="70">
        <f t="shared" si="9"/>
        <v>334</v>
      </c>
      <c r="I151" s="70">
        <f t="shared" si="10"/>
        <v>92</v>
      </c>
      <c r="J151">
        <v>0</v>
      </c>
      <c r="K151" s="3" t="str">
        <f>VLOOKUP(J151,ConstDLCIds!$A$4:$B$1000,2,FALSE)</f>
        <v>DLC_BASE_GAME</v>
      </c>
      <c r="L151" s="3" t="str">
        <f>VLOOKUP(J151,ConstDLCIds!$A$4:$C$1000,3,FALSE)</f>
        <v>Included in base game</v>
      </c>
    </row>
    <row r="152" spans="1:12" x14ac:dyDescent="0.25">
      <c r="A152">
        <v>335</v>
      </c>
      <c r="B152">
        <v>147</v>
      </c>
      <c r="C152">
        <v>92</v>
      </c>
      <c r="D152" t="s">
        <v>2307</v>
      </c>
      <c r="E152" t="str">
        <f>IF(NOT(ISERROR(VLOOKUP(D152,'ESO DungeonFinder'!$A$2:$A$999,1,FALSE))),"X","")</f>
        <v/>
      </c>
      <c r="F152" s="70" t="str">
        <f t="shared" si="8"/>
        <v/>
      </c>
      <c r="G152" s="70" t="str">
        <f t="shared" si="11"/>
        <v>Bangkorai</v>
      </c>
      <c r="H152" s="70">
        <f t="shared" si="9"/>
        <v>335</v>
      </c>
      <c r="I152" s="70">
        <f t="shared" si="10"/>
        <v>92</v>
      </c>
      <c r="J152">
        <v>0</v>
      </c>
      <c r="K152" s="3" t="str">
        <f>VLOOKUP(J152,ConstDLCIds!$A$4:$B$1000,2,FALSE)</f>
        <v>DLC_BASE_GAME</v>
      </c>
      <c r="L152" s="3" t="str">
        <f>VLOOKUP(J152,ConstDLCIds!$A$4:$C$1000,3,FALSE)</f>
        <v>Included in base game</v>
      </c>
    </row>
    <row r="153" spans="1:12" x14ac:dyDescent="0.25">
      <c r="A153">
        <v>336</v>
      </c>
      <c r="B153">
        <v>148</v>
      </c>
      <c r="C153">
        <v>92</v>
      </c>
      <c r="D153" t="s">
        <v>2308</v>
      </c>
      <c r="E153" t="str">
        <f>IF(NOT(ISERROR(VLOOKUP(D153,'ESO DungeonFinder'!$A$2:$A$999,1,FALSE))),"X","")</f>
        <v/>
      </c>
      <c r="F153" s="70" t="str">
        <f t="shared" si="8"/>
        <v/>
      </c>
      <c r="G153" s="70" t="str">
        <f t="shared" si="11"/>
        <v>Bangkorai</v>
      </c>
      <c r="H153" s="70">
        <f t="shared" si="9"/>
        <v>336</v>
      </c>
      <c r="I153" s="70">
        <f t="shared" si="10"/>
        <v>92</v>
      </c>
      <c r="J153">
        <v>0</v>
      </c>
      <c r="K153" s="3" t="str">
        <f>VLOOKUP(J153,ConstDLCIds!$A$4:$B$1000,2,FALSE)</f>
        <v>DLC_BASE_GAME</v>
      </c>
      <c r="L153" s="3" t="str">
        <f>VLOOKUP(J153,ConstDLCIds!$A$4:$C$1000,3,FALSE)</f>
        <v>Included in base game</v>
      </c>
    </row>
    <row r="154" spans="1:12" x14ac:dyDescent="0.25">
      <c r="A154">
        <v>337</v>
      </c>
      <c r="B154">
        <v>149</v>
      </c>
      <c r="C154">
        <v>92</v>
      </c>
      <c r="D154" t="s">
        <v>2309</v>
      </c>
      <c r="E154" t="str">
        <f>IF(NOT(ISERROR(VLOOKUP(D154,'ESO DungeonFinder'!$A$2:$A$999,1,FALSE))),"X","")</f>
        <v/>
      </c>
      <c r="F154" s="70" t="str">
        <f t="shared" si="8"/>
        <v/>
      </c>
      <c r="G154" s="70" t="str">
        <f t="shared" si="11"/>
        <v>Bangkorai</v>
      </c>
      <c r="H154" s="70">
        <f t="shared" si="9"/>
        <v>337</v>
      </c>
      <c r="I154" s="70">
        <f t="shared" si="10"/>
        <v>92</v>
      </c>
      <c r="J154">
        <v>0</v>
      </c>
      <c r="K154" s="3" t="str">
        <f>VLOOKUP(J154,ConstDLCIds!$A$4:$B$1000,2,FALSE)</f>
        <v>DLC_BASE_GAME</v>
      </c>
      <c r="L154" s="3" t="str">
        <f>VLOOKUP(J154,ConstDLCIds!$A$4:$C$1000,3,FALSE)</f>
        <v>Included in base game</v>
      </c>
    </row>
    <row r="155" spans="1:12" x14ac:dyDescent="0.25">
      <c r="A155">
        <v>338</v>
      </c>
      <c r="B155">
        <v>150</v>
      </c>
      <c r="C155">
        <v>92</v>
      </c>
      <c r="D155" t="s">
        <v>2310</v>
      </c>
      <c r="E155" t="str">
        <f>IF(NOT(ISERROR(VLOOKUP(D155,'ESO DungeonFinder'!$A$2:$A$999,1,FALSE))),"X","")</f>
        <v/>
      </c>
      <c r="F155" s="70" t="str">
        <f t="shared" si="8"/>
        <v/>
      </c>
      <c r="G155" s="70" t="str">
        <f t="shared" si="11"/>
        <v>Bangkorai</v>
      </c>
      <c r="H155" s="70">
        <f t="shared" si="9"/>
        <v>338</v>
      </c>
      <c r="I155" s="70">
        <f t="shared" si="10"/>
        <v>92</v>
      </c>
      <c r="J155">
        <v>0</v>
      </c>
      <c r="K155" s="3" t="str">
        <f>VLOOKUP(J155,ConstDLCIds!$A$4:$B$1000,2,FALSE)</f>
        <v>DLC_BASE_GAME</v>
      </c>
      <c r="L155" s="3" t="str">
        <f>VLOOKUP(J155,ConstDLCIds!$A$4:$C$1000,3,FALSE)</f>
        <v>Included in base game</v>
      </c>
    </row>
    <row r="156" spans="1:12" x14ac:dyDescent="0.25">
      <c r="A156">
        <v>339</v>
      </c>
      <c r="B156">
        <v>151</v>
      </c>
      <c r="C156">
        <v>101</v>
      </c>
      <c r="D156" t="s">
        <v>2182</v>
      </c>
      <c r="E156" t="str">
        <f>IF(NOT(ISERROR(VLOOKUP(D156,'ESO DungeonFinder'!$A$2:$A$999,1,FALSE))),"X","")</f>
        <v/>
      </c>
      <c r="F156" s="70" t="str">
        <f t="shared" si="8"/>
        <v/>
      </c>
      <c r="G156" s="70" t="str">
        <f t="shared" si="11"/>
        <v>Eastmarch</v>
      </c>
      <c r="H156" s="70">
        <f t="shared" si="9"/>
        <v>339</v>
      </c>
      <c r="I156" s="70">
        <f t="shared" si="10"/>
        <v>101</v>
      </c>
      <c r="J156">
        <v>0</v>
      </c>
      <c r="K156" s="3" t="str">
        <f>VLOOKUP(J156,ConstDLCIds!$A$4:$B$1000,2,FALSE)</f>
        <v>DLC_BASE_GAME</v>
      </c>
      <c r="L156" s="3" t="str">
        <f>VLOOKUP(J156,ConstDLCIds!$A$4:$C$1000,3,FALSE)</f>
        <v>Included in base game</v>
      </c>
    </row>
    <row r="157" spans="1:12" x14ac:dyDescent="0.25">
      <c r="A157">
        <v>341</v>
      </c>
      <c r="B157">
        <v>152</v>
      </c>
      <c r="C157">
        <v>103</v>
      </c>
      <c r="D157" t="s">
        <v>2183</v>
      </c>
      <c r="E157" t="str">
        <f>IF(NOT(ISERROR(VLOOKUP(D157,'ESO DungeonFinder'!$A$2:$A$999,1,FALSE))),"X","")</f>
        <v/>
      </c>
      <c r="F157" s="70" t="str">
        <f t="shared" si="8"/>
        <v/>
      </c>
      <c r="G157" s="70" t="str">
        <f t="shared" si="11"/>
        <v>The Rift</v>
      </c>
      <c r="H157" s="70">
        <f t="shared" si="9"/>
        <v>341</v>
      </c>
      <c r="I157" s="70">
        <f t="shared" si="10"/>
        <v>103</v>
      </c>
      <c r="J157">
        <v>0</v>
      </c>
      <c r="K157" s="3" t="str">
        <f>VLOOKUP(J157,ConstDLCIds!$A$4:$B$1000,2,FALSE)</f>
        <v>DLC_BASE_GAME</v>
      </c>
      <c r="L157" s="3" t="str">
        <f>VLOOKUP(J157,ConstDLCIds!$A$4:$C$1000,3,FALSE)</f>
        <v>Included in base game</v>
      </c>
    </row>
    <row r="158" spans="1:12" x14ac:dyDescent="0.25">
      <c r="A158">
        <v>346</v>
      </c>
      <c r="B158">
        <v>153</v>
      </c>
      <c r="C158">
        <v>101</v>
      </c>
      <c r="D158" t="s">
        <v>2311</v>
      </c>
      <c r="E158" t="str">
        <f>IF(NOT(ISERROR(VLOOKUP(D158,'ESO DungeonFinder'!$A$2:$A$999,1,FALSE))),"X","")</f>
        <v/>
      </c>
      <c r="F158" s="70" t="str">
        <f t="shared" si="8"/>
        <v/>
      </c>
      <c r="G158" s="70" t="str">
        <f t="shared" si="11"/>
        <v>Eastmarch</v>
      </c>
      <c r="H158" s="70">
        <f t="shared" si="9"/>
        <v>346</v>
      </c>
      <c r="I158" s="70">
        <f t="shared" si="10"/>
        <v>101</v>
      </c>
      <c r="J158">
        <v>0</v>
      </c>
      <c r="K158" s="3" t="str">
        <f>VLOOKUP(J158,ConstDLCIds!$A$4:$B$1000,2,FALSE)</f>
        <v>DLC_BASE_GAME</v>
      </c>
      <c r="L158" s="3" t="str">
        <f>VLOOKUP(J158,ConstDLCIds!$A$4:$C$1000,3,FALSE)</f>
        <v>Included in base game</v>
      </c>
    </row>
    <row r="159" spans="1:12" x14ac:dyDescent="0.25">
      <c r="A159">
        <v>347</v>
      </c>
      <c r="B159">
        <v>154</v>
      </c>
      <c r="C159">
        <v>347</v>
      </c>
      <c r="D159" t="s">
        <v>423</v>
      </c>
      <c r="E159" t="str">
        <f>IF(NOT(ISERROR(VLOOKUP(D159,'ESO DungeonFinder'!$A$2:$A$999,1,FALSE))),"X","")</f>
        <v/>
      </c>
      <c r="F159" s="70" t="str">
        <f t="shared" si="8"/>
        <v>X</v>
      </c>
      <c r="G159" s="70" t="str">
        <f t="shared" si="11"/>
        <v/>
      </c>
      <c r="H159" s="70">
        <f t="shared" si="9"/>
        <v>347</v>
      </c>
      <c r="I159" s="70">
        <f t="shared" si="10"/>
        <v>347</v>
      </c>
      <c r="J159">
        <v>0</v>
      </c>
      <c r="K159" s="3" t="str">
        <f>VLOOKUP(J159,ConstDLCIds!$A$4:$B$1000,2,FALSE)</f>
        <v>DLC_BASE_GAME</v>
      </c>
      <c r="L159" s="3" t="str">
        <f>VLOOKUP(J159,ConstDLCIds!$A$4:$C$1000,3,FALSE)</f>
        <v>Included in base game</v>
      </c>
    </row>
    <row r="160" spans="1:12" x14ac:dyDescent="0.25">
      <c r="A160">
        <v>353</v>
      </c>
      <c r="B160">
        <v>155</v>
      </c>
      <c r="C160">
        <v>101</v>
      </c>
      <c r="D160" t="s">
        <v>2312</v>
      </c>
      <c r="E160" t="str">
        <f>IF(NOT(ISERROR(VLOOKUP(D160,'ESO DungeonFinder'!$A$2:$A$999,1,FALSE))),"X","")</f>
        <v/>
      </c>
      <c r="F160" s="70" t="str">
        <f t="shared" si="8"/>
        <v/>
      </c>
      <c r="G160" s="70" t="str">
        <f t="shared" si="11"/>
        <v>Eastmarch</v>
      </c>
      <c r="H160" s="70">
        <f t="shared" si="9"/>
        <v>353</v>
      </c>
      <c r="I160" s="70">
        <f t="shared" si="10"/>
        <v>101</v>
      </c>
      <c r="J160">
        <v>0</v>
      </c>
      <c r="K160" s="3" t="str">
        <f>VLOOKUP(J160,ConstDLCIds!$A$4:$B$1000,2,FALSE)</f>
        <v>DLC_BASE_GAME</v>
      </c>
      <c r="L160" s="3" t="str">
        <f>VLOOKUP(J160,ConstDLCIds!$A$4:$C$1000,3,FALSE)</f>
        <v>Included in base game</v>
      </c>
    </row>
    <row r="161" spans="1:12" x14ac:dyDescent="0.25">
      <c r="A161">
        <v>354</v>
      </c>
      <c r="B161">
        <v>156</v>
      </c>
      <c r="C161">
        <v>101</v>
      </c>
      <c r="D161" t="s">
        <v>2313</v>
      </c>
      <c r="E161" t="str">
        <f>IF(NOT(ISERROR(VLOOKUP(D161,'ESO DungeonFinder'!$A$2:$A$999,1,FALSE))),"X","")</f>
        <v/>
      </c>
      <c r="F161" s="70" t="str">
        <f t="shared" si="8"/>
        <v/>
      </c>
      <c r="G161" s="70" t="str">
        <f t="shared" si="11"/>
        <v>Eastmarch</v>
      </c>
      <c r="H161" s="70">
        <f t="shared" si="9"/>
        <v>354</v>
      </c>
      <c r="I161" s="70">
        <f t="shared" si="10"/>
        <v>101</v>
      </c>
      <c r="J161">
        <v>0</v>
      </c>
      <c r="K161" s="3" t="str">
        <f>VLOOKUP(J161,ConstDLCIds!$A$4:$B$1000,2,FALSE)</f>
        <v>DLC_BASE_GAME</v>
      </c>
      <c r="L161" s="3" t="str">
        <f>VLOOKUP(J161,ConstDLCIds!$A$4:$C$1000,3,FALSE)</f>
        <v>Included in base game</v>
      </c>
    </row>
    <row r="162" spans="1:12" x14ac:dyDescent="0.25">
      <c r="A162">
        <v>359</v>
      </c>
      <c r="B162">
        <v>157</v>
      </c>
      <c r="C162">
        <v>101</v>
      </c>
      <c r="D162" t="s">
        <v>2314</v>
      </c>
      <c r="E162" t="str">
        <f>IF(NOT(ISERROR(VLOOKUP(D162,'ESO DungeonFinder'!$A$2:$A$999,1,FALSE))),"X","")</f>
        <v/>
      </c>
      <c r="F162" s="70" t="str">
        <f t="shared" si="8"/>
        <v/>
      </c>
      <c r="G162" s="70" t="str">
        <f t="shared" si="11"/>
        <v>Eastmarch</v>
      </c>
      <c r="H162" s="70">
        <f t="shared" si="9"/>
        <v>359</v>
      </c>
      <c r="I162" s="70">
        <f t="shared" si="10"/>
        <v>101</v>
      </c>
      <c r="J162">
        <v>0</v>
      </c>
      <c r="K162" s="3" t="str">
        <f>VLOOKUP(J162,ConstDLCIds!$A$4:$B$1000,2,FALSE)</f>
        <v>DLC_BASE_GAME</v>
      </c>
      <c r="L162" s="3" t="str">
        <f>VLOOKUP(J162,ConstDLCIds!$A$4:$C$1000,3,FALSE)</f>
        <v>Included in base game</v>
      </c>
    </row>
    <row r="163" spans="1:12" x14ac:dyDescent="0.25">
      <c r="A163">
        <v>360</v>
      </c>
      <c r="B163">
        <v>158</v>
      </c>
      <c r="C163">
        <v>101</v>
      </c>
      <c r="D163" t="s">
        <v>2315</v>
      </c>
      <c r="E163" t="str">
        <f>IF(NOT(ISERROR(VLOOKUP(D163,'ESO DungeonFinder'!$A$2:$A$999,1,FALSE))),"X","")</f>
        <v/>
      </c>
      <c r="F163" s="70" t="str">
        <f t="shared" si="8"/>
        <v/>
      </c>
      <c r="G163" s="70" t="str">
        <f t="shared" si="11"/>
        <v>Eastmarch</v>
      </c>
      <c r="H163" s="70">
        <f t="shared" si="9"/>
        <v>360</v>
      </c>
      <c r="I163" s="70">
        <f t="shared" si="10"/>
        <v>101</v>
      </c>
      <c r="J163">
        <v>0</v>
      </c>
      <c r="K163" s="3" t="str">
        <f>VLOOKUP(J163,ConstDLCIds!$A$4:$B$1000,2,FALSE)</f>
        <v>DLC_BASE_GAME</v>
      </c>
      <c r="L163" s="3" t="str">
        <f>VLOOKUP(J163,ConstDLCIds!$A$4:$C$1000,3,FALSE)</f>
        <v>Included in base game</v>
      </c>
    </row>
    <row r="164" spans="1:12" x14ac:dyDescent="0.25">
      <c r="A164">
        <v>361</v>
      </c>
      <c r="B164">
        <v>159</v>
      </c>
      <c r="C164">
        <v>101</v>
      </c>
      <c r="D164" t="s">
        <v>2316</v>
      </c>
      <c r="E164" t="str">
        <f>IF(NOT(ISERROR(VLOOKUP(D164,'ESO DungeonFinder'!$A$2:$A$999,1,FALSE))),"X","")</f>
        <v/>
      </c>
      <c r="F164" s="70" t="str">
        <f t="shared" si="8"/>
        <v/>
      </c>
      <c r="G164" s="70" t="str">
        <f t="shared" si="11"/>
        <v>Eastmarch</v>
      </c>
      <c r="H164" s="70">
        <f t="shared" si="9"/>
        <v>361</v>
      </c>
      <c r="I164" s="70">
        <f t="shared" si="10"/>
        <v>101</v>
      </c>
      <c r="J164">
        <v>0</v>
      </c>
      <c r="K164" s="3" t="str">
        <f>VLOOKUP(J164,ConstDLCIds!$A$4:$B$1000,2,FALSE)</f>
        <v>DLC_BASE_GAME</v>
      </c>
      <c r="L164" s="3" t="str">
        <f>VLOOKUP(J164,ConstDLCIds!$A$4:$C$1000,3,FALSE)</f>
        <v>Included in base game</v>
      </c>
    </row>
    <row r="165" spans="1:12" x14ac:dyDescent="0.25">
      <c r="A165">
        <v>362</v>
      </c>
      <c r="B165">
        <v>160</v>
      </c>
      <c r="C165">
        <v>101</v>
      </c>
      <c r="D165" t="s">
        <v>2317</v>
      </c>
      <c r="E165" t="str">
        <f>IF(NOT(ISERROR(VLOOKUP(D165,'ESO DungeonFinder'!$A$2:$A$999,1,FALSE))),"X","")</f>
        <v/>
      </c>
      <c r="F165" s="70" t="str">
        <f t="shared" si="8"/>
        <v/>
      </c>
      <c r="G165" s="70" t="str">
        <f t="shared" si="11"/>
        <v>Eastmarch</v>
      </c>
      <c r="H165" s="70">
        <f t="shared" si="9"/>
        <v>362</v>
      </c>
      <c r="I165" s="70">
        <f t="shared" si="10"/>
        <v>101</v>
      </c>
      <c r="J165">
        <v>0</v>
      </c>
      <c r="K165" s="3" t="str">
        <f>VLOOKUP(J165,ConstDLCIds!$A$4:$B$1000,2,FALSE)</f>
        <v>DLC_BASE_GAME</v>
      </c>
      <c r="L165" s="3" t="str">
        <f>VLOOKUP(J165,ConstDLCIds!$A$4:$C$1000,3,FALSE)</f>
        <v>Included in base game</v>
      </c>
    </row>
    <row r="166" spans="1:12" x14ac:dyDescent="0.25">
      <c r="A166">
        <v>363</v>
      </c>
      <c r="B166">
        <v>161</v>
      </c>
      <c r="C166">
        <v>101</v>
      </c>
      <c r="D166" t="s">
        <v>2318</v>
      </c>
      <c r="E166" t="str">
        <f>IF(NOT(ISERROR(VLOOKUP(D166,'ESO DungeonFinder'!$A$2:$A$999,1,FALSE))),"X","")</f>
        <v/>
      </c>
      <c r="F166" s="70" t="str">
        <f t="shared" si="8"/>
        <v/>
      </c>
      <c r="G166" s="70" t="str">
        <f t="shared" si="11"/>
        <v>Eastmarch</v>
      </c>
      <c r="H166" s="70">
        <f t="shared" si="9"/>
        <v>363</v>
      </c>
      <c r="I166" s="70">
        <f t="shared" si="10"/>
        <v>101</v>
      </c>
      <c r="J166">
        <v>0</v>
      </c>
      <c r="K166" s="3" t="str">
        <f>VLOOKUP(J166,ConstDLCIds!$A$4:$B$1000,2,FALSE)</f>
        <v>DLC_BASE_GAME</v>
      </c>
      <c r="L166" s="3" t="str">
        <f>VLOOKUP(J166,ConstDLCIds!$A$4:$C$1000,3,FALSE)</f>
        <v>Included in base game</v>
      </c>
    </row>
    <row r="167" spans="1:12" x14ac:dyDescent="0.25">
      <c r="A167">
        <v>364</v>
      </c>
      <c r="B167">
        <v>162</v>
      </c>
      <c r="C167">
        <v>101</v>
      </c>
      <c r="D167" t="s">
        <v>2319</v>
      </c>
      <c r="E167" t="str">
        <f>IF(NOT(ISERROR(VLOOKUP(D167,'ESO DungeonFinder'!$A$2:$A$999,1,FALSE))),"X","")</f>
        <v/>
      </c>
      <c r="F167" s="70" t="str">
        <f t="shared" si="8"/>
        <v/>
      </c>
      <c r="G167" s="70" t="str">
        <f t="shared" si="11"/>
        <v>Eastmarch</v>
      </c>
      <c r="H167" s="70">
        <f t="shared" si="9"/>
        <v>364</v>
      </c>
      <c r="I167" s="70">
        <f t="shared" si="10"/>
        <v>101</v>
      </c>
      <c r="J167">
        <v>0</v>
      </c>
      <c r="K167" s="3" t="str">
        <f>VLOOKUP(J167,ConstDLCIds!$A$4:$B$1000,2,FALSE)</f>
        <v>DLC_BASE_GAME</v>
      </c>
      <c r="L167" s="3" t="str">
        <f>VLOOKUP(J167,ConstDLCIds!$A$4:$C$1000,3,FALSE)</f>
        <v>Included in base game</v>
      </c>
    </row>
    <row r="168" spans="1:12" x14ac:dyDescent="0.25">
      <c r="A168">
        <v>365</v>
      </c>
      <c r="B168">
        <v>163</v>
      </c>
      <c r="C168">
        <v>347</v>
      </c>
      <c r="D168" t="s">
        <v>2320</v>
      </c>
      <c r="E168" t="str">
        <f>IF(NOT(ISERROR(VLOOKUP(D168,'ESO DungeonFinder'!$A$2:$A$999,1,FALSE))),"X","")</f>
        <v/>
      </c>
      <c r="F168" s="70" t="str">
        <f t="shared" si="8"/>
        <v/>
      </c>
      <c r="G168" s="70" t="str">
        <f t="shared" si="11"/>
        <v>Coldharbour</v>
      </c>
      <c r="H168" s="70">
        <f t="shared" si="9"/>
        <v>365</v>
      </c>
      <c r="I168" s="70">
        <f t="shared" si="10"/>
        <v>347</v>
      </c>
      <c r="J168">
        <v>0</v>
      </c>
      <c r="K168" s="3" t="str">
        <f>VLOOKUP(J168,ConstDLCIds!$A$4:$B$1000,2,FALSE)</f>
        <v>DLC_BASE_GAME</v>
      </c>
      <c r="L168" s="3" t="str">
        <f>VLOOKUP(J168,ConstDLCIds!$A$4:$C$1000,3,FALSE)</f>
        <v>Included in base game</v>
      </c>
    </row>
    <row r="169" spans="1:12" x14ac:dyDescent="0.25">
      <c r="A169">
        <v>366</v>
      </c>
      <c r="B169">
        <v>164</v>
      </c>
      <c r="C169">
        <v>347</v>
      </c>
      <c r="D169" t="s">
        <v>2321</v>
      </c>
      <c r="E169" t="str">
        <f>IF(NOT(ISERROR(VLOOKUP(D169,'ESO DungeonFinder'!$A$2:$A$999,1,FALSE))),"X","")</f>
        <v/>
      </c>
      <c r="F169" s="70" t="str">
        <f t="shared" si="8"/>
        <v/>
      </c>
      <c r="G169" s="70" t="str">
        <f t="shared" si="11"/>
        <v>Coldharbour</v>
      </c>
      <c r="H169" s="70">
        <f t="shared" si="9"/>
        <v>366</v>
      </c>
      <c r="I169" s="70">
        <f t="shared" si="10"/>
        <v>347</v>
      </c>
      <c r="J169">
        <v>0</v>
      </c>
      <c r="K169" s="3" t="str">
        <f>VLOOKUP(J169,ConstDLCIds!$A$4:$B$1000,2,FALSE)</f>
        <v>DLC_BASE_GAME</v>
      </c>
      <c r="L169" s="3" t="str">
        <f>VLOOKUP(J169,ConstDLCIds!$A$4:$C$1000,3,FALSE)</f>
        <v>Included in base game</v>
      </c>
    </row>
    <row r="170" spans="1:12" x14ac:dyDescent="0.25">
      <c r="A170">
        <v>367</v>
      </c>
      <c r="B170">
        <v>165</v>
      </c>
      <c r="C170">
        <v>347</v>
      </c>
      <c r="D170" t="s">
        <v>2322</v>
      </c>
      <c r="E170" t="str">
        <f>IF(NOT(ISERROR(VLOOKUP(D170,'ESO DungeonFinder'!$A$2:$A$999,1,FALSE))),"X","")</f>
        <v/>
      </c>
      <c r="F170" s="70" t="str">
        <f t="shared" si="8"/>
        <v/>
      </c>
      <c r="G170" s="70" t="str">
        <f t="shared" si="11"/>
        <v>Coldharbour</v>
      </c>
      <c r="H170" s="70">
        <f t="shared" si="9"/>
        <v>367</v>
      </c>
      <c r="I170" s="70">
        <f t="shared" si="10"/>
        <v>347</v>
      </c>
      <c r="J170">
        <v>0</v>
      </c>
      <c r="K170" s="3" t="str">
        <f>VLOOKUP(J170,ConstDLCIds!$A$4:$B$1000,2,FALSE)</f>
        <v>DLC_BASE_GAME</v>
      </c>
      <c r="L170" s="3" t="str">
        <f>VLOOKUP(J170,ConstDLCIds!$A$4:$C$1000,3,FALSE)</f>
        <v>Included in base game</v>
      </c>
    </row>
    <row r="171" spans="1:12" x14ac:dyDescent="0.25">
      <c r="A171">
        <v>368</v>
      </c>
      <c r="B171">
        <v>166</v>
      </c>
      <c r="C171">
        <v>347</v>
      </c>
      <c r="D171" t="s">
        <v>2323</v>
      </c>
      <c r="E171" t="str">
        <f>IF(NOT(ISERROR(VLOOKUP(D171,'ESO DungeonFinder'!$A$2:$A$999,1,FALSE))),"X","")</f>
        <v/>
      </c>
      <c r="F171" s="70" t="str">
        <f t="shared" si="8"/>
        <v/>
      </c>
      <c r="G171" s="70" t="str">
        <f t="shared" si="11"/>
        <v>Coldharbour</v>
      </c>
      <c r="H171" s="70">
        <f t="shared" si="9"/>
        <v>368</v>
      </c>
      <c r="I171" s="70">
        <f t="shared" si="10"/>
        <v>347</v>
      </c>
      <c r="J171">
        <v>0</v>
      </c>
      <c r="K171" s="3" t="str">
        <f>VLOOKUP(J171,ConstDLCIds!$A$4:$B$1000,2,FALSE)</f>
        <v>DLC_BASE_GAME</v>
      </c>
      <c r="L171" s="3" t="str">
        <f>VLOOKUP(J171,ConstDLCIds!$A$4:$C$1000,3,FALSE)</f>
        <v>Included in base game</v>
      </c>
    </row>
    <row r="172" spans="1:12" x14ac:dyDescent="0.25">
      <c r="A172">
        <v>369</v>
      </c>
      <c r="B172">
        <v>167</v>
      </c>
      <c r="C172">
        <v>347</v>
      </c>
      <c r="D172" t="s">
        <v>2324</v>
      </c>
      <c r="E172" t="str">
        <f>IF(NOT(ISERROR(VLOOKUP(D172,'ESO DungeonFinder'!$A$2:$A$999,1,FALSE))),"X","")</f>
        <v/>
      </c>
      <c r="F172" s="70" t="str">
        <f t="shared" si="8"/>
        <v/>
      </c>
      <c r="G172" s="70" t="str">
        <f t="shared" si="11"/>
        <v>Coldharbour</v>
      </c>
      <c r="H172" s="70">
        <f t="shared" si="9"/>
        <v>369</v>
      </c>
      <c r="I172" s="70">
        <f t="shared" si="10"/>
        <v>347</v>
      </c>
      <c r="J172">
        <v>0</v>
      </c>
      <c r="K172" s="3" t="str">
        <f>VLOOKUP(J172,ConstDLCIds!$A$4:$B$1000,2,FALSE)</f>
        <v>DLC_BASE_GAME</v>
      </c>
      <c r="L172" s="3" t="str">
        <f>VLOOKUP(J172,ConstDLCIds!$A$4:$C$1000,3,FALSE)</f>
        <v>Included in base game</v>
      </c>
    </row>
    <row r="173" spans="1:12" x14ac:dyDescent="0.25">
      <c r="A173">
        <v>370</v>
      </c>
      <c r="B173">
        <v>168</v>
      </c>
      <c r="C173">
        <v>347</v>
      </c>
      <c r="D173" t="s">
        <v>2325</v>
      </c>
      <c r="E173" t="str">
        <f>IF(NOT(ISERROR(VLOOKUP(D173,'ESO DungeonFinder'!$A$2:$A$999,1,FALSE))),"X","")</f>
        <v/>
      </c>
      <c r="F173" s="70" t="str">
        <f t="shared" si="8"/>
        <v/>
      </c>
      <c r="G173" s="70" t="str">
        <f t="shared" si="11"/>
        <v>Coldharbour</v>
      </c>
      <c r="H173" s="70">
        <f t="shared" si="9"/>
        <v>370</v>
      </c>
      <c r="I173" s="70">
        <f t="shared" si="10"/>
        <v>347</v>
      </c>
      <c r="J173">
        <v>0</v>
      </c>
      <c r="K173" s="3" t="str">
        <f>VLOOKUP(J173,ConstDLCIds!$A$4:$B$1000,2,FALSE)</f>
        <v>DLC_BASE_GAME</v>
      </c>
      <c r="L173" s="3" t="str">
        <f>VLOOKUP(J173,ConstDLCIds!$A$4:$C$1000,3,FALSE)</f>
        <v>Included in base game</v>
      </c>
    </row>
    <row r="174" spans="1:12" x14ac:dyDescent="0.25">
      <c r="A174">
        <v>371</v>
      </c>
      <c r="B174">
        <v>169</v>
      </c>
      <c r="C174">
        <v>347</v>
      </c>
      <c r="D174" t="s">
        <v>2326</v>
      </c>
      <c r="E174" t="str">
        <f>IF(NOT(ISERROR(VLOOKUP(D174,'ESO DungeonFinder'!$A$2:$A$999,1,FALSE))),"X","")</f>
        <v/>
      </c>
      <c r="F174" s="70" t="str">
        <f t="shared" si="8"/>
        <v/>
      </c>
      <c r="G174" s="70" t="str">
        <f t="shared" si="11"/>
        <v>Coldharbour</v>
      </c>
      <c r="H174" s="70">
        <f t="shared" si="9"/>
        <v>371</v>
      </c>
      <c r="I174" s="70">
        <f t="shared" si="10"/>
        <v>347</v>
      </c>
      <c r="J174">
        <v>0</v>
      </c>
      <c r="K174" s="3" t="str">
        <f>VLOOKUP(J174,ConstDLCIds!$A$4:$B$1000,2,FALSE)</f>
        <v>DLC_BASE_GAME</v>
      </c>
      <c r="L174" s="3" t="str">
        <f>VLOOKUP(J174,ConstDLCIds!$A$4:$C$1000,3,FALSE)</f>
        <v>Included in base game</v>
      </c>
    </row>
    <row r="175" spans="1:12" x14ac:dyDescent="0.25">
      <c r="A175">
        <v>372</v>
      </c>
      <c r="B175">
        <v>170</v>
      </c>
      <c r="C175">
        <v>347</v>
      </c>
      <c r="D175" t="s">
        <v>2327</v>
      </c>
      <c r="E175" t="str">
        <f>IF(NOT(ISERROR(VLOOKUP(D175,'ESO DungeonFinder'!$A$2:$A$999,1,FALSE))),"X","")</f>
        <v/>
      </c>
      <c r="F175" s="70" t="str">
        <f t="shared" si="8"/>
        <v/>
      </c>
      <c r="G175" s="70" t="str">
        <f t="shared" si="11"/>
        <v>Coldharbour</v>
      </c>
      <c r="H175" s="70">
        <f t="shared" si="9"/>
        <v>372</v>
      </c>
      <c r="I175" s="70">
        <f t="shared" si="10"/>
        <v>347</v>
      </c>
      <c r="J175">
        <v>0</v>
      </c>
      <c r="K175" s="3" t="str">
        <f>VLOOKUP(J175,ConstDLCIds!$A$4:$B$1000,2,FALSE)</f>
        <v>DLC_BASE_GAME</v>
      </c>
      <c r="L175" s="3" t="str">
        <f>VLOOKUP(J175,ConstDLCIds!$A$4:$C$1000,3,FALSE)</f>
        <v>Included in base game</v>
      </c>
    </row>
    <row r="176" spans="1:12" x14ac:dyDescent="0.25">
      <c r="A176">
        <v>374</v>
      </c>
      <c r="B176">
        <v>171</v>
      </c>
      <c r="C176">
        <v>347</v>
      </c>
      <c r="D176" t="s">
        <v>2328</v>
      </c>
      <c r="E176" t="str">
        <f>IF(NOT(ISERROR(VLOOKUP(D176,'ESO DungeonFinder'!$A$2:$A$999,1,FALSE))),"X","")</f>
        <v/>
      </c>
      <c r="F176" s="70" t="str">
        <f t="shared" si="8"/>
        <v/>
      </c>
      <c r="G176" s="70" t="str">
        <f t="shared" si="11"/>
        <v>Coldharbour</v>
      </c>
      <c r="H176" s="70">
        <f t="shared" si="9"/>
        <v>374</v>
      </c>
      <c r="I176" s="70">
        <f t="shared" si="10"/>
        <v>347</v>
      </c>
      <c r="J176">
        <v>0</v>
      </c>
      <c r="K176" s="3" t="str">
        <f>VLOOKUP(J176,ConstDLCIds!$A$4:$B$1000,2,FALSE)</f>
        <v>DLC_BASE_GAME</v>
      </c>
      <c r="L176" s="3" t="str">
        <f>VLOOKUP(J176,ConstDLCIds!$A$4:$C$1000,3,FALSE)</f>
        <v>Included in base game</v>
      </c>
    </row>
    <row r="177" spans="1:12" x14ac:dyDescent="0.25">
      <c r="A177">
        <v>375</v>
      </c>
      <c r="B177">
        <v>172</v>
      </c>
      <c r="C177">
        <v>347</v>
      </c>
      <c r="D177" t="s">
        <v>2329</v>
      </c>
      <c r="E177" t="str">
        <f>IF(NOT(ISERROR(VLOOKUP(D177,'ESO DungeonFinder'!$A$2:$A$999,1,FALSE))),"X","")</f>
        <v/>
      </c>
      <c r="F177" s="70" t="str">
        <f t="shared" si="8"/>
        <v/>
      </c>
      <c r="G177" s="70" t="str">
        <f t="shared" si="11"/>
        <v>Coldharbour</v>
      </c>
      <c r="H177" s="70">
        <f t="shared" si="9"/>
        <v>375</v>
      </c>
      <c r="I177" s="70">
        <f t="shared" si="10"/>
        <v>347</v>
      </c>
      <c r="J177">
        <v>0</v>
      </c>
      <c r="K177" s="3" t="str">
        <f>VLOOKUP(J177,ConstDLCIds!$A$4:$B$1000,2,FALSE)</f>
        <v>DLC_BASE_GAME</v>
      </c>
      <c r="L177" s="3" t="str">
        <f>VLOOKUP(J177,ConstDLCIds!$A$4:$C$1000,3,FALSE)</f>
        <v>Included in base game</v>
      </c>
    </row>
    <row r="178" spans="1:12" x14ac:dyDescent="0.25">
      <c r="A178">
        <v>376</v>
      </c>
      <c r="B178">
        <v>173</v>
      </c>
      <c r="C178">
        <v>347</v>
      </c>
      <c r="D178" t="s">
        <v>2330</v>
      </c>
      <c r="E178" t="str">
        <f>IF(NOT(ISERROR(VLOOKUP(D178,'ESO DungeonFinder'!$A$2:$A$999,1,FALSE))),"X","")</f>
        <v/>
      </c>
      <c r="F178" s="70" t="str">
        <f t="shared" si="8"/>
        <v/>
      </c>
      <c r="G178" s="70" t="str">
        <f t="shared" si="11"/>
        <v>Coldharbour</v>
      </c>
      <c r="H178" s="70">
        <f t="shared" si="9"/>
        <v>376</v>
      </c>
      <c r="I178" s="70">
        <f t="shared" si="10"/>
        <v>347</v>
      </c>
      <c r="J178">
        <v>0</v>
      </c>
      <c r="K178" s="3" t="str">
        <f>VLOOKUP(J178,ConstDLCIds!$A$4:$B$1000,2,FALSE)</f>
        <v>DLC_BASE_GAME</v>
      </c>
      <c r="L178" s="3" t="str">
        <f>VLOOKUP(J178,ConstDLCIds!$A$4:$C$1000,3,FALSE)</f>
        <v>Included in base game</v>
      </c>
    </row>
    <row r="179" spans="1:12" x14ac:dyDescent="0.25">
      <c r="A179">
        <v>377</v>
      </c>
      <c r="B179">
        <v>174</v>
      </c>
      <c r="C179">
        <v>58</v>
      </c>
      <c r="D179" t="s">
        <v>2331</v>
      </c>
      <c r="E179" t="str">
        <f>IF(NOT(ISERROR(VLOOKUP(D179,'ESO DungeonFinder'!$A$2:$A$999,1,FALSE))),"X","")</f>
        <v/>
      </c>
      <c r="F179" s="70" t="str">
        <f t="shared" si="8"/>
        <v/>
      </c>
      <c r="G179" s="70" t="str">
        <f t="shared" si="11"/>
        <v>Malabal Tor</v>
      </c>
      <c r="H179" s="70">
        <f t="shared" si="9"/>
        <v>377</v>
      </c>
      <c r="I179" s="70">
        <f t="shared" si="10"/>
        <v>58</v>
      </c>
      <c r="J179">
        <v>0</v>
      </c>
      <c r="K179" s="3" t="str">
        <f>VLOOKUP(J179,ConstDLCIds!$A$4:$B$1000,2,FALSE)</f>
        <v>DLC_BASE_GAME</v>
      </c>
      <c r="L179" s="3" t="str">
        <f>VLOOKUP(J179,ConstDLCIds!$A$4:$C$1000,3,FALSE)</f>
        <v>Included in base game</v>
      </c>
    </row>
    <row r="180" spans="1:12" x14ac:dyDescent="0.25">
      <c r="A180">
        <v>378</v>
      </c>
      <c r="B180">
        <v>175</v>
      </c>
      <c r="C180">
        <v>58</v>
      </c>
      <c r="D180" t="s">
        <v>2332</v>
      </c>
      <c r="E180" t="str">
        <f>IF(NOT(ISERROR(VLOOKUP(D180,'ESO DungeonFinder'!$A$2:$A$999,1,FALSE))),"X","")</f>
        <v/>
      </c>
      <c r="F180" s="70" t="str">
        <f t="shared" si="8"/>
        <v/>
      </c>
      <c r="G180" s="70" t="str">
        <f t="shared" si="11"/>
        <v>Malabal Tor</v>
      </c>
      <c r="H180" s="70">
        <f t="shared" si="9"/>
        <v>378</v>
      </c>
      <c r="I180" s="70">
        <f t="shared" si="10"/>
        <v>58</v>
      </c>
      <c r="J180">
        <v>0</v>
      </c>
      <c r="K180" s="3" t="str">
        <f>VLOOKUP(J180,ConstDLCIds!$A$4:$B$1000,2,FALSE)</f>
        <v>DLC_BASE_GAME</v>
      </c>
      <c r="L180" s="3" t="str">
        <f>VLOOKUP(J180,ConstDLCIds!$A$4:$C$1000,3,FALSE)</f>
        <v>Included in base game</v>
      </c>
    </row>
    <row r="181" spans="1:12" x14ac:dyDescent="0.25">
      <c r="A181">
        <v>379</v>
      </c>
      <c r="B181">
        <v>176</v>
      </c>
      <c r="C181">
        <v>58</v>
      </c>
      <c r="D181" t="s">
        <v>2333</v>
      </c>
      <c r="E181" t="str">
        <f>IF(NOT(ISERROR(VLOOKUP(D181,'ESO DungeonFinder'!$A$2:$A$999,1,FALSE))),"X","")</f>
        <v/>
      </c>
      <c r="F181" s="70" t="str">
        <f t="shared" si="8"/>
        <v/>
      </c>
      <c r="G181" s="70" t="str">
        <f t="shared" si="11"/>
        <v>Malabal Tor</v>
      </c>
      <c r="H181" s="70">
        <f t="shared" si="9"/>
        <v>379</v>
      </c>
      <c r="I181" s="70">
        <f t="shared" si="10"/>
        <v>58</v>
      </c>
      <c r="J181">
        <v>0</v>
      </c>
      <c r="K181" s="3" t="str">
        <f>VLOOKUP(J181,ConstDLCIds!$A$4:$B$1000,2,FALSE)</f>
        <v>DLC_BASE_GAME</v>
      </c>
      <c r="L181" s="3" t="str">
        <f>VLOOKUP(J181,ConstDLCIds!$A$4:$C$1000,3,FALSE)</f>
        <v>Included in base game</v>
      </c>
    </row>
    <row r="182" spans="1:12" x14ac:dyDescent="0.25">
      <c r="A182">
        <v>380</v>
      </c>
      <c r="B182">
        <v>177</v>
      </c>
      <c r="C182">
        <v>381</v>
      </c>
      <c r="D182" t="s">
        <v>611</v>
      </c>
      <c r="E182" t="str">
        <f>IF(NOT(ISERROR(VLOOKUP(D182,'ESO DungeonFinder'!$A$2:$A$999,1,FALSE))),"X","")</f>
        <v>X</v>
      </c>
      <c r="F182" s="70" t="str">
        <f t="shared" si="8"/>
        <v/>
      </c>
      <c r="G182" s="70" t="str">
        <f t="shared" si="11"/>
        <v>Auridon</v>
      </c>
      <c r="H182" s="70">
        <f t="shared" si="9"/>
        <v>380</v>
      </c>
      <c r="I182" s="70">
        <f t="shared" si="10"/>
        <v>381</v>
      </c>
      <c r="J182">
        <v>0</v>
      </c>
      <c r="K182" s="3" t="str">
        <f>VLOOKUP(J182,ConstDLCIds!$A$4:$B$1000,2,FALSE)</f>
        <v>DLC_BASE_GAME</v>
      </c>
      <c r="L182" s="3" t="str">
        <f>VLOOKUP(J182,ConstDLCIds!$A$4:$C$1000,3,FALSE)</f>
        <v>Included in base game</v>
      </c>
    </row>
    <row r="183" spans="1:12" x14ac:dyDescent="0.25">
      <c r="A183">
        <v>381</v>
      </c>
      <c r="B183">
        <v>178</v>
      </c>
      <c r="C183">
        <v>381</v>
      </c>
      <c r="D183" t="s">
        <v>439</v>
      </c>
      <c r="E183" t="str">
        <f>IF(NOT(ISERROR(VLOOKUP(D183,'ESO DungeonFinder'!$A$2:$A$999,1,FALSE))),"X","")</f>
        <v/>
      </c>
      <c r="F183" s="70" t="str">
        <f t="shared" si="8"/>
        <v>X</v>
      </c>
      <c r="G183" s="70" t="str">
        <f t="shared" si="11"/>
        <v/>
      </c>
      <c r="H183" s="70">
        <f t="shared" si="9"/>
        <v>381</v>
      </c>
      <c r="I183" s="70">
        <f t="shared" si="10"/>
        <v>381</v>
      </c>
      <c r="J183">
        <v>0</v>
      </c>
      <c r="K183" s="3" t="str">
        <f>VLOOKUP(J183,ConstDLCIds!$A$4:$B$1000,2,FALSE)</f>
        <v>DLC_BASE_GAME</v>
      </c>
      <c r="L183" s="3" t="str">
        <f>VLOOKUP(J183,ConstDLCIds!$A$4:$C$1000,3,FALSE)</f>
        <v>Included in base game</v>
      </c>
    </row>
    <row r="184" spans="1:12" x14ac:dyDescent="0.25">
      <c r="A184">
        <v>382</v>
      </c>
      <c r="B184">
        <v>179</v>
      </c>
      <c r="C184">
        <v>382</v>
      </c>
      <c r="D184" t="s">
        <v>568</v>
      </c>
      <c r="E184" t="str">
        <f>IF(NOT(ISERROR(VLOOKUP(D184,'ESO DungeonFinder'!$A$2:$A$999,1,FALSE))),"X","")</f>
        <v/>
      </c>
      <c r="F184" s="70" t="str">
        <f t="shared" si="8"/>
        <v>X</v>
      </c>
      <c r="G184" s="70" t="str">
        <f t="shared" si="11"/>
        <v/>
      </c>
      <c r="H184" s="70">
        <f t="shared" si="9"/>
        <v>382</v>
      </c>
      <c r="I184" s="70">
        <f t="shared" si="10"/>
        <v>382</v>
      </c>
      <c r="J184">
        <v>0</v>
      </c>
      <c r="K184" s="3" t="str">
        <f>VLOOKUP(J184,ConstDLCIds!$A$4:$B$1000,2,FALSE)</f>
        <v>DLC_BASE_GAME</v>
      </c>
      <c r="L184" s="3" t="str">
        <f>VLOOKUP(J184,ConstDLCIds!$A$4:$C$1000,3,FALSE)</f>
        <v>Included in base game</v>
      </c>
    </row>
    <row r="185" spans="1:12" x14ac:dyDescent="0.25">
      <c r="A185">
        <v>383</v>
      </c>
      <c r="B185">
        <v>180</v>
      </c>
      <c r="C185">
        <v>383</v>
      </c>
      <c r="D185" t="s">
        <v>451</v>
      </c>
      <c r="E185" t="str">
        <f>IF(NOT(ISERROR(VLOOKUP(D185,'ESO DungeonFinder'!$A$2:$A$999,1,FALSE))),"X","")</f>
        <v/>
      </c>
      <c r="F185" s="70" t="str">
        <f t="shared" si="8"/>
        <v>X</v>
      </c>
      <c r="G185" s="70" t="str">
        <f t="shared" si="11"/>
        <v/>
      </c>
      <c r="H185" s="70">
        <f t="shared" si="9"/>
        <v>383</v>
      </c>
      <c r="I185" s="70">
        <f t="shared" si="10"/>
        <v>383</v>
      </c>
      <c r="J185">
        <v>0</v>
      </c>
      <c r="K185" s="3" t="str">
        <f>VLOOKUP(J185,ConstDLCIds!$A$4:$B$1000,2,FALSE)</f>
        <v>DLC_BASE_GAME</v>
      </c>
      <c r="L185" s="3" t="str">
        <f>VLOOKUP(J185,ConstDLCIds!$A$4:$C$1000,3,FALSE)</f>
        <v>Included in base game</v>
      </c>
    </row>
    <row r="186" spans="1:12" x14ac:dyDescent="0.25">
      <c r="A186">
        <v>385</v>
      </c>
      <c r="B186">
        <v>181</v>
      </c>
      <c r="C186">
        <v>208</v>
      </c>
      <c r="D186" t="s">
        <v>2334</v>
      </c>
      <c r="E186" t="str">
        <f>IF(NOT(ISERROR(VLOOKUP(D186,'ESO DungeonFinder'!$A$2:$A$999,1,FALSE))),"X","")</f>
        <v/>
      </c>
      <c r="F186" s="70" t="str">
        <f t="shared" si="8"/>
        <v/>
      </c>
      <c r="G186" s="70" t="str">
        <f t="shared" si="11"/>
        <v>The Earth Forge</v>
      </c>
      <c r="H186" s="70">
        <f t="shared" si="9"/>
        <v>385</v>
      </c>
      <c r="I186" s="70">
        <f t="shared" si="10"/>
        <v>208</v>
      </c>
      <c r="J186">
        <v>0</v>
      </c>
      <c r="K186" s="3" t="str">
        <f>VLOOKUP(J186,ConstDLCIds!$A$4:$B$1000,2,FALSE)</f>
        <v>DLC_BASE_GAME</v>
      </c>
      <c r="L186" s="3" t="str">
        <f>VLOOKUP(J186,ConstDLCIds!$A$4:$C$1000,3,FALSE)</f>
        <v>Included in base game</v>
      </c>
    </row>
    <row r="187" spans="1:12" x14ac:dyDescent="0.25">
      <c r="A187">
        <v>386</v>
      </c>
      <c r="B187">
        <v>182</v>
      </c>
      <c r="C187">
        <v>41</v>
      </c>
      <c r="D187" t="s">
        <v>2335</v>
      </c>
      <c r="E187" t="str">
        <f>IF(NOT(ISERROR(VLOOKUP(D187,'ESO DungeonFinder'!$A$2:$A$999,1,FALSE))),"X","")</f>
        <v/>
      </c>
      <c r="F187" s="70" t="str">
        <f t="shared" si="8"/>
        <v/>
      </c>
      <c r="G187" s="70" t="str">
        <f t="shared" si="11"/>
        <v>Stonefalls</v>
      </c>
      <c r="H187" s="70">
        <f t="shared" si="9"/>
        <v>386</v>
      </c>
      <c r="I187" s="70">
        <f t="shared" si="10"/>
        <v>41</v>
      </c>
      <c r="J187">
        <v>0</v>
      </c>
      <c r="K187" s="3" t="str">
        <f>VLOOKUP(J187,ConstDLCIds!$A$4:$B$1000,2,FALSE)</f>
        <v>DLC_BASE_GAME</v>
      </c>
      <c r="L187" s="3" t="str">
        <f>VLOOKUP(J187,ConstDLCIds!$A$4:$C$1000,3,FALSE)</f>
        <v>Included in base game</v>
      </c>
    </row>
    <row r="188" spans="1:12" x14ac:dyDescent="0.25">
      <c r="A188">
        <v>387</v>
      </c>
      <c r="B188">
        <v>183</v>
      </c>
      <c r="C188">
        <v>381</v>
      </c>
      <c r="D188" t="s">
        <v>2336</v>
      </c>
      <c r="E188" t="str">
        <f>IF(NOT(ISERROR(VLOOKUP(D188,'ESO DungeonFinder'!$A$2:$A$999,1,FALSE))),"X","")</f>
        <v/>
      </c>
      <c r="F188" s="70" t="str">
        <f t="shared" si="8"/>
        <v/>
      </c>
      <c r="G188" s="70" t="str">
        <f t="shared" si="11"/>
        <v>Auridon</v>
      </c>
      <c r="H188" s="70">
        <f t="shared" si="9"/>
        <v>387</v>
      </c>
      <c r="I188" s="70">
        <f t="shared" si="10"/>
        <v>381</v>
      </c>
      <c r="J188">
        <v>0</v>
      </c>
      <c r="K188" s="3" t="str">
        <f>VLOOKUP(J188,ConstDLCIds!$A$4:$B$1000,2,FALSE)</f>
        <v>DLC_BASE_GAME</v>
      </c>
      <c r="L188" s="3" t="str">
        <f>VLOOKUP(J188,ConstDLCIds!$A$4:$C$1000,3,FALSE)</f>
        <v>Included in base game</v>
      </c>
    </row>
    <row r="189" spans="1:12" x14ac:dyDescent="0.25">
      <c r="A189">
        <v>388</v>
      </c>
      <c r="B189">
        <v>184</v>
      </c>
      <c r="C189">
        <v>381</v>
      </c>
      <c r="D189" t="s">
        <v>2337</v>
      </c>
      <c r="E189" t="str">
        <f>IF(NOT(ISERROR(VLOOKUP(D189,'ESO DungeonFinder'!$A$2:$A$999,1,FALSE))),"X","")</f>
        <v/>
      </c>
      <c r="F189" s="70" t="str">
        <f t="shared" si="8"/>
        <v/>
      </c>
      <c r="G189" s="70" t="str">
        <f t="shared" si="11"/>
        <v>Auridon</v>
      </c>
      <c r="H189" s="70">
        <f t="shared" si="9"/>
        <v>388</v>
      </c>
      <c r="I189" s="70">
        <f t="shared" si="10"/>
        <v>381</v>
      </c>
      <c r="J189">
        <v>0</v>
      </c>
      <c r="K189" s="3" t="str">
        <f>VLOOKUP(J189,ConstDLCIds!$A$4:$B$1000,2,FALSE)</f>
        <v>DLC_BASE_GAME</v>
      </c>
      <c r="L189" s="3" t="str">
        <f>VLOOKUP(J189,ConstDLCIds!$A$4:$C$1000,3,FALSE)</f>
        <v>Included in base game</v>
      </c>
    </row>
    <row r="190" spans="1:12" x14ac:dyDescent="0.25">
      <c r="A190">
        <v>389</v>
      </c>
      <c r="B190">
        <v>185</v>
      </c>
      <c r="C190">
        <v>383</v>
      </c>
      <c r="D190" t="s">
        <v>2338</v>
      </c>
      <c r="E190" t="str">
        <f>IF(NOT(ISERROR(VLOOKUP(D190,'ESO DungeonFinder'!$A$2:$A$999,1,FALSE))),"X","")</f>
        <v/>
      </c>
      <c r="F190" s="70" t="str">
        <f t="shared" si="8"/>
        <v/>
      </c>
      <c r="G190" s="70" t="str">
        <f t="shared" si="11"/>
        <v>Grahtwood</v>
      </c>
      <c r="H190" s="70">
        <f t="shared" si="9"/>
        <v>389</v>
      </c>
      <c r="I190" s="70">
        <f t="shared" si="10"/>
        <v>383</v>
      </c>
      <c r="J190">
        <v>0</v>
      </c>
      <c r="K190" s="3" t="str">
        <f>VLOOKUP(J190,ConstDLCIds!$A$4:$B$1000,2,FALSE)</f>
        <v>DLC_BASE_GAME</v>
      </c>
      <c r="L190" s="3" t="str">
        <f>VLOOKUP(J190,ConstDLCIds!$A$4:$C$1000,3,FALSE)</f>
        <v>Included in base game</v>
      </c>
    </row>
    <row r="191" spans="1:12" x14ac:dyDescent="0.25">
      <c r="A191">
        <v>390</v>
      </c>
      <c r="B191">
        <v>186</v>
      </c>
      <c r="C191">
        <v>381</v>
      </c>
      <c r="D191" t="s">
        <v>2339</v>
      </c>
      <c r="E191" t="str">
        <f>IF(NOT(ISERROR(VLOOKUP(D191,'ESO DungeonFinder'!$A$2:$A$999,1,FALSE))),"X","")</f>
        <v/>
      </c>
      <c r="F191" s="70" t="str">
        <f t="shared" si="8"/>
        <v/>
      </c>
      <c r="G191" s="70" t="str">
        <f t="shared" si="11"/>
        <v>Auridon</v>
      </c>
      <c r="H191" s="70">
        <f t="shared" si="9"/>
        <v>390</v>
      </c>
      <c r="I191" s="70">
        <f t="shared" si="10"/>
        <v>381</v>
      </c>
      <c r="J191">
        <v>0</v>
      </c>
      <c r="K191" s="3" t="str">
        <f>VLOOKUP(J191,ConstDLCIds!$A$4:$B$1000,2,FALSE)</f>
        <v>DLC_BASE_GAME</v>
      </c>
      <c r="L191" s="3" t="str">
        <f>VLOOKUP(J191,ConstDLCIds!$A$4:$C$1000,3,FALSE)</f>
        <v>Included in base game</v>
      </c>
    </row>
    <row r="192" spans="1:12" x14ac:dyDescent="0.25">
      <c r="A192">
        <v>392</v>
      </c>
      <c r="B192">
        <v>187</v>
      </c>
      <c r="C192">
        <v>381</v>
      </c>
      <c r="D192" t="s">
        <v>2340</v>
      </c>
      <c r="E192" t="str">
        <f>IF(NOT(ISERROR(VLOOKUP(D192,'ESO DungeonFinder'!$A$2:$A$999,1,FALSE))),"X","")</f>
        <v/>
      </c>
      <c r="F192" s="70" t="str">
        <f t="shared" si="8"/>
        <v/>
      </c>
      <c r="G192" s="70" t="str">
        <f t="shared" si="11"/>
        <v>Auridon</v>
      </c>
      <c r="H192" s="70">
        <f t="shared" si="9"/>
        <v>392</v>
      </c>
      <c r="I192" s="70">
        <f t="shared" si="10"/>
        <v>381</v>
      </c>
      <c r="J192">
        <v>0</v>
      </c>
      <c r="K192" s="3" t="str">
        <f>VLOOKUP(J192,ConstDLCIds!$A$4:$B$1000,2,FALSE)</f>
        <v>DLC_BASE_GAME</v>
      </c>
      <c r="L192" s="3" t="str">
        <f>VLOOKUP(J192,ConstDLCIds!$A$4:$C$1000,3,FALSE)</f>
        <v>Included in base game</v>
      </c>
    </row>
    <row r="193" spans="1:12" x14ac:dyDescent="0.25">
      <c r="A193">
        <v>393</v>
      </c>
      <c r="B193">
        <v>188</v>
      </c>
      <c r="C193">
        <v>381</v>
      </c>
      <c r="D193" t="s">
        <v>2341</v>
      </c>
      <c r="E193" t="str">
        <f>IF(NOT(ISERROR(VLOOKUP(D193,'ESO DungeonFinder'!$A$2:$A$999,1,FALSE))),"X","")</f>
        <v/>
      </c>
      <c r="F193" s="70" t="str">
        <f t="shared" si="8"/>
        <v/>
      </c>
      <c r="G193" s="70" t="str">
        <f t="shared" si="11"/>
        <v>Auridon</v>
      </c>
      <c r="H193" s="70">
        <f t="shared" si="9"/>
        <v>393</v>
      </c>
      <c r="I193" s="70">
        <f t="shared" si="10"/>
        <v>381</v>
      </c>
      <c r="J193">
        <v>0</v>
      </c>
      <c r="K193" s="3" t="str">
        <f>VLOOKUP(J193,ConstDLCIds!$A$4:$B$1000,2,FALSE)</f>
        <v>DLC_BASE_GAME</v>
      </c>
      <c r="L193" s="3" t="str">
        <f>VLOOKUP(J193,ConstDLCIds!$A$4:$C$1000,3,FALSE)</f>
        <v>Included in base game</v>
      </c>
    </row>
    <row r="194" spans="1:12" x14ac:dyDescent="0.25">
      <c r="A194">
        <v>394</v>
      </c>
      <c r="B194">
        <v>189</v>
      </c>
      <c r="C194">
        <v>381</v>
      </c>
      <c r="D194" t="s">
        <v>2342</v>
      </c>
      <c r="E194" t="str">
        <f>IF(NOT(ISERROR(VLOOKUP(D194,'ESO DungeonFinder'!$A$2:$A$999,1,FALSE))),"X","")</f>
        <v/>
      </c>
      <c r="F194" s="70" t="str">
        <f t="shared" si="8"/>
        <v/>
      </c>
      <c r="G194" s="70" t="str">
        <f t="shared" si="11"/>
        <v>Auridon</v>
      </c>
      <c r="H194" s="70">
        <f t="shared" si="9"/>
        <v>394</v>
      </c>
      <c r="I194" s="70">
        <f t="shared" si="10"/>
        <v>381</v>
      </c>
      <c r="J194">
        <v>0</v>
      </c>
      <c r="K194" s="3" t="str">
        <f>VLOOKUP(J194,ConstDLCIds!$A$4:$B$1000,2,FALSE)</f>
        <v>DLC_BASE_GAME</v>
      </c>
      <c r="L194" s="3" t="str">
        <f>VLOOKUP(J194,ConstDLCIds!$A$4:$C$1000,3,FALSE)</f>
        <v>Included in base game</v>
      </c>
    </row>
    <row r="195" spans="1:12" x14ac:dyDescent="0.25">
      <c r="A195">
        <v>395</v>
      </c>
      <c r="B195">
        <v>190</v>
      </c>
      <c r="C195">
        <v>381</v>
      </c>
      <c r="D195" t="s">
        <v>2343</v>
      </c>
      <c r="E195" t="str">
        <f>IF(NOT(ISERROR(VLOOKUP(D195,'ESO DungeonFinder'!$A$2:$A$999,1,FALSE))),"X","")</f>
        <v/>
      </c>
      <c r="F195" s="70" t="str">
        <f t="shared" si="8"/>
        <v/>
      </c>
      <c r="G195" s="70" t="str">
        <f t="shared" si="11"/>
        <v>Auridon</v>
      </c>
      <c r="H195" s="70">
        <f t="shared" si="9"/>
        <v>395</v>
      </c>
      <c r="I195" s="70">
        <f t="shared" si="10"/>
        <v>381</v>
      </c>
      <c r="J195">
        <v>0</v>
      </c>
      <c r="K195" s="3" t="str">
        <f>VLOOKUP(J195,ConstDLCIds!$A$4:$B$1000,2,FALSE)</f>
        <v>DLC_BASE_GAME</v>
      </c>
      <c r="L195" s="3" t="str">
        <f>VLOOKUP(J195,ConstDLCIds!$A$4:$C$1000,3,FALSE)</f>
        <v>Included in base game</v>
      </c>
    </row>
    <row r="196" spans="1:12" x14ac:dyDescent="0.25">
      <c r="A196">
        <v>396</v>
      </c>
      <c r="B196">
        <v>191</v>
      </c>
      <c r="C196">
        <v>381</v>
      </c>
      <c r="D196" t="s">
        <v>2344</v>
      </c>
      <c r="E196" t="str">
        <f>IF(NOT(ISERROR(VLOOKUP(D196,'ESO DungeonFinder'!$A$2:$A$999,1,FALSE))),"X","")</f>
        <v/>
      </c>
      <c r="F196" s="70" t="str">
        <f t="shared" si="8"/>
        <v/>
      </c>
      <c r="G196" s="70" t="str">
        <f t="shared" si="11"/>
        <v>Auridon</v>
      </c>
      <c r="H196" s="70">
        <f t="shared" si="9"/>
        <v>396</v>
      </c>
      <c r="I196" s="70">
        <f t="shared" si="10"/>
        <v>381</v>
      </c>
      <c r="J196">
        <v>0</v>
      </c>
      <c r="K196" s="3" t="str">
        <f>VLOOKUP(J196,ConstDLCIds!$A$4:$B$1000,2,FALSE)</f>
        <v>DLC_BASE_GAME</v>
      </c>
      <c r="L196" s="3" t="str">
        <f>VLOOKUP(J196,ConstDLCIds!$A$4:$C$1000,3,FALSE)</f>
        <v>Included in base game</v>
      </c>
    </row>
    <row r="197" spans="1:12" x14ac:dyDescent="0.25">
      <c r="A197">
        <v>397</v>
      </c>
      <c r="B197">
        <v>192</v>
      </c>
      <c r="C197">
        <v>381</v>
      </c>
      <c r="D197" t="s">
        <v>2345</v>
      </c>
      <c r="E197" t="str">
        <f>IF(NOT(ISERROR(VLOOKUP(D197,'ESO DungeonFinder'!$A$2:$A$999,1,FALSE))),"X","")</f>
        <v/>
      </c>
      <c r="F197" s="70" t="str">
        <f t="shared" ref="F197:F260" si="12">IF(EXACT(A197,C197),"X","")</f>
        <v/>
      </c>
      <c r="G197" s="70" t="str">
        <f t="shared" si="11"/>
        <v>Auridon</v>
      </c>
      <c r="H197" s="70">
        <f t="shared" ref="H197:H260" si="13">A197</f>
        <v>397</v>
      </c>
      <c r="I197" s="70">
        <f t="shared" ref="I197:I260" si="14">C197</f>
        <v>381</v>
      </c>
      <c r="J197">
        <v>0</v>
      </c>
      <c r="K197" s="3" t="str">
        <f>VLOOKUP(J197,ConstDLCIds!$A$4:$B$1000,2,FALSE)</f>
        <v>DLC_BASE_GAME</v>
      </c>
      <c r="L197" s="3" t="str">
        <f>VLOOKUP(J197,ConstDLCIds!$A$4:$C$1000,3,FALSE)</f>
        <v>Included in base game</v>
      </c>
    </row>
    <row r="198" spans="1:12" x14ac:dyDescent="0.25">
      <c r="A198">
        <v>398</v>
      </c>
      <c r="B198">
        <v>193</v>
      </c>
      <c r="C198">
        <v>381</v>
      </c>
      <c r="D198" t="s">
        <v>2346</v>
      </c>
      <c r="E198" t="str">
        <f>IF(NOT(ISERROR(VLOOKUP(D198,'ESO DungeonFinder'!$A$2:$A$999,1,FALSE))),"X","")</f>
        <v/>
      </c>
      <c r="F198" s="70" t="str">
        <f t="shared" si="12"/>
        <v/>
      </c>
      <c r="G198" s="70" t="str">
        <f t="shared" ref="G198:G261" si="15">IF(A198&lt;&gt;C198,VLOOKUP(C198,$A$5:$D$9956,4,FALSE),"")</f>
        <v>Auridon</v>
      </c>
      <c r="H198" s="70">
        <f t="shared" si="13"/>
        <v>398</v>
      </c>
      <c r="I198" s="70">
        <f t="shared" si="14"/>
        <v>381</v>
      </c>
      <c r="J198">
        <v>0</v>
      </c>
      <c r="K198" s="3" t="str">
        <f>VLOOKUP(J198,ConstDLCIds!$A$4:$B$1000,2,FALSE)</f>
        <v>DLC_BASE_GAME</v>
      </c>
      <c r="L198" s="3" t="str">
        <f>VLOOKUP(J198,ConstDLCIds!$A$4:$C$1000,3,FALSE)</f>
        <v>Included in base game</v>
      </c>
    </row>
    <row r="199" spans="1:12" x14ac:dyDescent="0.25">
      <c r="A199">
        <v>399</v>
      </c>
      <c r="B199">
        <v>194</v>
      </c>
      <c r="C199">
        <v>381</v>
      </c>
      <c r="D199" t="s">
        <v>2347</v>
      </c>
      <c r="E199" t="str">
        <f>IF(NOT(ISERROR(VLOOKUP(D199,'ESO DungeonFinder'!$A$2:$A$999,1,FALSE))),"X","")</f>
        <v/>
      </c>
      <c r="F199" s="70" t="str">
        <f t="shared" si="12"/>
        <v/>
      </c>
      <c r="G199" s="70" t="str">
        <f t="shared" si="15"/>
        <v>Auridon</v>
      </c>
      <c r="H199" s="70">
        <f t="shared" si="13"/>
        <v>399</v>
      </c>
      <c r="I199" s="70">
        <f t="shared" si="14"/>
        <v>381</v>
      </c>
      <c r="J199">
        <v>0</v>
      </c>
      <c r="K199" s="3" t="str">
        <f>VLOOKUP(J199,ConstDLCIds!$A$4:$B$1000,2,FALSE)</f>
        <v>DLC_BASE_GAME</v>
      </c>
      <c r="L199" s="3" t="str">
        <f>VLOOKUP(J199,ConstDLCIds!$A$4:$C$1000,3,FALSE)</f>
        <v>Included in base game</v>
      </c>
    </row>
    <row r="200" spans="1:12" x14ac:dyDescent="0.25">
      <c r="A200">
        <v>400</v>
      </c>
      <c r="B200">
        <v>195</v>
      </c>
      <c r="C200">
        <v>381</v>
      </c>
      <c r="D200" t="s">
        <v>2348</v>
      </c>
      <c r="E200" t="str">
        <f>IF(NOT(ISERROR(VLOOKUP(D200,'ESO DungeonFinder'!$A$2:$A$999,1,FALSE))),"X","")</f>
        <v/>
      </c>
      <c r="F200" s="70" t="str">
        <f t="shared" si="12"/>
        <v/>
      </c>
      <c r="G200" s="70" t="str">
        <f t="shared" si="15"/>
        <v>Auridon</v>
      </c>
      <c r="H200" s="70">
        <f t="shared" si="13"/>
        <v>400</v>
      </c>
      <c r="I200" s="70">
        <f t="shared" si="14"/>
        <v>381</v>
      </c>
      <c r="J200">
        <v>0</v>
      </c>
      <c r="K200" s="3" t="str">
        <f>VLOOKUP(J200,ConstDLCIds!$A$4:$B$1000,2,FALSE)</f>
        <v>DLC_BASE_GAME</v>
      </c>
      <c r="L200" s="3" t="str">
        <f>VLOOKUP(J200,ConstDLCIds!$A$4:$C$1000,3,FALSE)</f>
        <v>Included in base game</v>
      </c>
    </row>
    <row r="201" spans="1:12" x14ac:dyDescent="0.25">
      <c r="A201">
        <v>401</v>
      </c>
      <c r="B201">
        <v>196</v>
      </c>
      <c r="C201">
        <v>381</v>
      </c>
      <c r="D201" t="s">
        <v>2349</v>
      </c>
      <c r="E201" t="str">
        <f>IF(NOT(ISERROR(VLOOKUP(D201,'ESO DungeonFinder'!$A$2:$A$999,1,FALSE))),"X","")</f>
        <v/>
      </c>
      <c r="F201" s="70" t="str">
        <f t="shared" si="12"/>
        <v/>
      </c>
      <c r="G201" s="70" t="str">
        <f t="shared" si="15"/>
        <v>Auridon</v>
      </c>
      <c r="H201" s="70">
        <f t="shared" si="13"/>
        <v>401</v>
      </c>
      <c r="I201" s="70">
        <f t="shared" si="14"/>
        <v>381</v>
      </c>
      <c r="J201">
        <v>0</v>
      </c>
      <c r="K201" s="3" t="str">
        <f>VLOOKUP(J201,ConstDLCIds!$A$4:$B$1000,2,FALSE)</f>
        <v>DLC_BASE_GAME</v>
      </c>
      <c r="L201" s="3" t="str">
        <f>VLOOKUP(J201,ConstDLCIds!$A$4:$C$1000,3,FALSE)</f>
        <v>Included in base game</v>
      </c>
    </row>
    <row r="202" spans="1:12" x14ac:dyDescent="0.25">
      <c r="A202">
        <v>402</v>
      </c>
      <c r="B202">
        <v>197</v>
      </c>
      <c r="C202">
        <v>103</v>
      </c>
      <c r="D202" t="s">
        <v>2350</v>
      </c>
      <c r="E202" t="str">
        <f>IF(NOT(ISERROR(VLOOKUP(D202,'ESO DungeonFinder'!$A$2:$A$999,1,FALSE))),"X","")</f>
        <v/>
      </c>
      <c r="F202" s="70" t="str">
        <f t="shared" si="12"/>
        <v/>
      </c>
      <c r="G202" s="70" t="str">
        <f t="shared" si="15"/>
        <v>The Rift</v>
      </c>
      <c r="H202" s="70">
        <f t="shared" si="13"/>
        <v>402</v>
      </c>
      <c r="I202" s="70">
        <f t="shared" si="14"/>
        <v>103</v>
      </c>
      <c r="J202">
        <v>0</v>
      </c>
      <c r="K202" s="3" t="str">
        <f>VLOOKUP(J202,ConstDLCIds!$A$4:$B$1000,2,FALSE)</f>
        <v>DLC_BASE_GAME</v>
      </c>
      <c r="L202" s="3" t="str">
        <f>VLOOKUP(J202,ConstDLCIds!$A$4:$C$1000,3,FALSE)</f>
        <v>Included in base game</v>
      </c>
    </row>
    <row r="203" spans="1:12" x14ac:dyDescent="0.25">
      <c r="A203">
        <v>403</v>
      </c>
      <c r="B203">
        <v>198</v>
      </c>
      <c r="C203">
        <v>103</v>
      </c>
      <c r="D203" t="s">
        <v>2351</v>
      </c>
      <c r="E203" t="str">
        <f>IF(NOT(ISERROR(VLOOKUP(D203,'ESO DungeonFinder'!$A$2:$A$999,1,FALSE))),"X","")</f>
        <v/>
      </c>
      <c r="F203" s="70" t="str">
        <f t="shared" si="12"/>
        <v/>
      </c>
      <c r="G203" s="70" t="str">
        <f t="shared" si="15"/>
        <v>The Rift</v>
      </c>
      <c r="H203" s="70">
        <f t="shared" si="13"/>
        <v>403</v>
      </c>
      <c r="I203" s="70">
        <f t="shared" si="14"/>
        <v>103</v>
      </c>
      <c r="J203">
        <v>0</v>
      </c>
      <c r="K203" s="3" t="str">
        <f>VLOOKUP(J203,ConstDLCIds!$A$4:$B$1000,2,FALSE)</f>
        <v>DLC_BASE_GAME</v>
      </c>
      <c r="L203" s="3" t="str">
        <f>VLOOKUP(J203,ConstDLCIds!$A$4:$C$1000,3,FALSE)</f>
        <v>Included in base game</v>
      </c>
    </row>
    <row r="204" spans="1:12" x14ac:dyDescent="0.25">
      <c r="A204">
        <v>404</v>
      </c>
      <c r="B204">
        <v>199</v>
      </c>
      <c r="C204">
        <v>103</v>
      </c>
      <c r="D204" t="s">
        <v>2352</v>
      </c>
      <c r="E204" t="str">
        <f>IF(NOT(ISERROR(VLOOKUP(D204,'ESO DungeonFinder'!$A$2:$A$999,1,FALSE))),"X","")</f>
        <v/>
      </c>
      <c r="F204" s="70" t="str">
        <f t="shared" si="12"/>
        <v/>
      </c>
      <c r="G204" s="70" t="str">
        <f t="shared" si="15"/>
        <v>The Rift</v>
      </c>
      <c r="H204" s="70">
        <f t="shared" si="13"/>
        <v>404</v>
      </c>
      <c r="I204" s="70">
        <f t="shared" si="14"/>
        <v>103</v>
      </c>
      <c r="J204">
        <v>0</v>
      </c>
      <c r="K204" s="3" t="str">
        <f>VLOOKUP(J204,ConstDLCIds!$A$4:$B$1000,2,FALSE)</f>
        <v>DLC_BASE_GAME</v>
      </c>
      <c r="L204" s="3" t="str">
        <f>VLOOKUP(J204,ConstDLCIds!$A$4:$C$1000,3,FALSE)</f>
        <v>Included in base game</v>
      </c>
    </row>
    <row r="205" spans="1:12" x14ac:dyDescent="0.25">
      <c r="A205">
        <v>405</v>
      </c>
      <c r="B205">
        <v>200</v>
      </c>
      <c r="C205">
        <v>57</v>
      </c>
      <c r="D205" t="s">
        <v>2353</v>
      </c>
      <c r="E205" t="str">
        <f>IF(NOT(ISERROR(VLOOKUP(D205,'ESO DungeonFinder'!$A$2:$A$999,1,FALSE))),"X","")</f>
        <v/>
      </c>
      <c r="F205" s="70" t="str">
        <f t="shared" si="12"/>
        <v/>
      </c>
      <c r="G205" s="70" t="str">
        <f t="shared" si="15"/>
        <v>Deshaan</v>
      </c>
      <c r="H205" s="70">
        <f t="shared" si="13"/>
        <v>405</v>
      </c>
      <c r="I205" s="70">
        <f t="shared" si="14"/>
        <v>57</v>
      </c>
      <c r="J205">
        <v>0</v>
      </c>
      <c r="K205" s="3" t="str">
        <f>VLOOKUP(J205,ConstDLCIds!$A$4:$B$1000,2,FALSE)</f>
        <v>DLC_BASE_GAME</v>
      </c>
      <c r="L205" s="3" t="str">
        <f>VLOOKUP(J205,ConstDLCIds!$A$4:$C$1000,3,FALSE)</f>
        <v>Included in base game</v>
      </c>
    </row>
    <row r="206" spans="1:12" x14ac:dyDescent="0.25">
      <c r="A206">
        <v>406</v>
      </c>
      <c r="B206">
        <v>201</v>
      </c>
      <c r="C206">
        <v>57</v>
      </c>
      <c r="D206" t="s">
        <v>2354</v>
      </c>
      <c r="E206" t="str">
        <f>IF(NOT(ISERROR(VLOOKUP(D206,'ESO DungeonFinder'!$A$2:$A$999,1,FALSE))),"X","")</f>
        <v/>
      </c>
      <c r="F206" s="70" t="str">
        <f t="shared" si="12"/>
        <v/>
      </c>
      <c r="G206" s="70" t="str">
        <f t="shared" si="15"/>
        <v>Deshaan</v>
      </c>
      <c r="H206" s="70">
        <f t="shared" si="13"/>
        <v>406</v>
      </c>
      <c r="I206" s="70">
        <f t="shared" si="14"/>
        <v>57</v>
      </c>
      <c r="J206">
        <v>0</v>
      </c>
      <c r="K206" s="3" t="str">
        <f>VLOOKUP(J206,ConstDLCIds!$A$4:$B$1000,2,FALSE)</f>
        <v>DLC_BASE_GAME</v>
      </c>
      <c r="L206" s="3" t="str">
        <f>VLOOKUP(J206,ConstDLCIds!$A$4:$C$1000,3,FALSE)</f>
        <v>Included in base game</v>
      </c>
    </row>
    <row r="207" spans="1:12" x14ac:dyDescent="0.25">
      <c r="A207">
        <v>407</v>
      </c>
      <c r="B207">
        <v>202</v>
      </c>
      <c r="C207">
        <v>57</v>
      </c>
      <c r="D207" t="s">
        <v>2355</v>
      </c>
      <c r="E207" t="str">
        <f>IF(NOT(ISERROR(VLOOKUP(D207,'ESO DungeonFinder'!$A$2:$A$999,1,FALSE))),"X","")</f>
        <v/>
      </c>
      <c r="F207" s="70" t="str">
        <f t="shared" si="12"/>
        <v/>
      </c>
      <c r="G207" s="70" t="str">
        <f t="shared" si="15"/>
        <v>Deshaan</v>
      </c>
      <c r="H207" s="70">
        <f t="shared" si="13"/>
        <v>407</v>
      </c>
      <c r="I207" s="70">
        <f t="shared" si="14"/>
        <v>57</v>
      </c>
      <c r="J207">
        <v>0</v>
      </c>
      <c r="K207" s="3" t="str">
        <f>VLOOKUP(J207,ConstDLCIds!$A$4:$B$1000,2,FALSE)</f>
        <v>DLC_BASE_GAME</v>
      </c>
      <c r="L207" s="3" t="str">
        <f>VLOOKUP(J207,ConstDLCIds!$A$4:$C$1000,3,FALSE)</f>
        <v>Included in base game</v>
      </c>
    </row>
    <row r="208" spans="1:12" x14ac:dyDescent="0.25">
      <c r="A208">
        <v>408</v>
      </c>
      <c r="B208">
        <v>203</v>
      </c>
      <c r="C208">
        <v>57</v>
      </c>
      <c r="D208" t="s">
        <v>2356</v>
      </c>
      <c r="E208" t="str">
        <f>IF(NOT(ISERROR(VLOOKUP(D208,'ESO DungeonFinder'!$A$2:$A$999,1,FALSE))),"X","")</f>
        <v/>
      </c>
      <c r="F208" s="70" t="str">
        <f t="shared" si="12"/>
        <v/>
      </c>
      <c r="G208" s="70" t="str">
        <f t="shared" si="15"/>
        <v>Deshaan</v>
      </c>
      <c r="H208" s="70">
        <f t="shared" si="13"/>
        <v>408</v>
      </c>
      <c r="I208" s="70">
        <f t="shared" si="14"/>
        <v>57</v>
      </c>
      <c r="J208">
        <v>0</v>
      </c>
      <c r="K208" s="3" t="str">
        <f>VLOOKUP(J208,ConstDLCIds!$A$4:$B$1000,2,FALSE)</f>
        <v>DLC_BASE_GAME</v>
      </c>
      <c r="L208" s="3" t="str">
        <f>VLOOKUP(J208,ConstDLCIds!$A$4:$C$1000,3,FALSE)</f>
        <v>Included in base game</v>
      </c>
    </row>
    <row r="209" spans="1:12" x14ac:dyDescent="0.25">
      <c r="A209">
        <v>409</v>
      </c>
      <c r="B209">
        <v>204</v>
      </c>
      <c r="C209">
        <v>57</v>
      </c>
      <c r="D209" t="s">
        <v>2357</v>
      </c>
      <c r="E209" t="str">
        <f>IF(NOT(ISERROR(VLOOKUP(D209,'ESO DungeonFinder'!$A$2:$A$999,1,FALSE))),"X","")</f>
        <v/>
      </c>
      <c r="F209" s="70" t="str">
        <f t="shared" si="12"/>
        <v/>
      </c>
      <c r="G209" s="70" t="str">
        <f t="shared" si="15"/>
        <v>Deshaan</v>
      </c>
      <c r="H209" s="70">
        <f t="shared" si="13"/>
        <v>409</v>
      </c>
      <c r="I209" s="70">
        <f t="shared" si="14"/>
        <v>57</v>
      </c>
      <c r="J209">
        <v>0</v>
      </c>
      <c r="K209" s="3" t="str">
        <f>VLOOKUP(J209,ConstDLCIds!$A$4:$B$1000,2,FALSE)</f>
        <v>DLC_BASE_GAME</v>
      </c>
      <c r="L209" s="3" t="str">
        <f>VLOOKUP(J209,ConstDLCIds!$A$4:$C$1000,3,FALSE)</f>
        <v>Included in base game</v>
      </c>
    </row>
    <row r="210" spans="1:12" x14ac:dyDescent="0.25">
      <c r="A210">
        <v>410</v>
      </c>
      <c r="B210">
        <v>205</v>
      </c>
      <c r="C210">
        <v>57</v>
      </c>
      <c r="D210" t="s">
        <v>2358</v>
      </c>
      <c r="E210" t="str">
        <f>IF(NOT(ISERROR(VLOOKUP(D210,'ESO DungeonFinder'!$A$2:$A$999,1,FALSE))),"X","")</f>
        <v/>
      </c>
      <c r="F210" s="70" t="str">
        <f t="shared" si="12"/>
        <v/>
      </c>
      <c r="G210" s="70" t="str">
        <f t="shared" si="15"/>
        <v>Deshaan</v>
      </c>
      <c r="H210" s="70">
        <f t="shared" si="13"/>
        <v>410</v>
      </c>
      <c r="I210" s="70">
        <f t="shared" si="14"/>
        <v>57</v>
      </c>
      <c r="J210">
        <v>0</v>
      </c>
      <c r="K210" s="3" t="str">
        <f>VLOOKUP(J210,ConstDLCIds!$A$4:$B$1000,2,FALSE)</f>
        <v>DLC_BASE_GAME</v>
      </c>
      <c r="L210" s="3" t="str">
        <f>VLOOKUP(J210,ConstDLCIds!$A$4:$C$1000,3,FALSE)</f>
        <v>Included in base game</v>
      </c>
    </row>
    <row r="211" spans="1:12" x14ac:dyDescent="0.25">
      <c r="A211">
        <v>411</v>
      </c>
      <c r="B211">
        <v>206</v>
      </c>
      <c r="C211">
        <v>58</v>
      </c>
      <c r="D211" t="s">
        <v>2359</v>
      </c>
      <c r="E211" t="str">
        <f>IF(NOT(ISERROR(VLOOKUP(D211,'ESO DungeonFinder'!$A$2:$A$999,1,FALSE))),"X","")</f>
        <v/>
      </c>
      <c r="F211" s="70" t="str">
        <f t="shared" si="12"/>
        <v/>
      </c>
      <c r="G211" s="70" t="str">
        <f t="shared" si="15"/>
        <v>Malabal Tor</v>
      </c>
      <c r="H211" s="70">
        <f t="shared" si="13"/>
        <v>411</v>
      </c>
      <c r="I211" s="70">
        <f t="shared" si="14"/>
        <v>58</v>
      </c>
      <c r="J211">
        <v>0</v>
      </c>
      <c r="K211" s="3" t="str">
        <f>VLOOKUP(J211,ConstDLCIds!$A$4:$B$1000,2,FALSE)</f>
        <v>DLC_BASE_GAME</v>
      </c>
      <c r="L211" s="3" t="str">
        <f>VLOOKUP(J211,ConstDLCIds!$A$4:$C$1000,3,FALSE)</f>
        <v>Included in base game</v>
      </c>
    </row>
    <row r="212" spans="1:12" x14ac:dyDescent="0.25">
      <c r="A212">
        <v>412</v>
      </c>
      <c r="B212">
        <v>207</v>
      </c>
      <c r="C212">
        <v>103</v>
      </c>
      <c r="D212" t="s">
        <v>2360</v>
      </c>
      <c r="E212" t="str">
        <f>IF(NOT(ISERROR(VLOOKUP(D212,'ESO DungeonFinder'!$A$2:$A$999,1,FALSE))),"X","")</f>
        <v/>
      </c>
      <c r="F212" s="70" t="str">
        <f t="shared" si="12"/>
        <v/>
      </c>
      <c r="G212" s="70" t="str">
        <f t="shared" si="15"/>
        <v>The Rift</v>
      </c>
      <c r="H212" s="70">
        <f t="shared" si="13"/>
        <v>412</v>
      </c>
      <c r="I212" s="70">
        <f t="shared" si="14"/>
        <v>103</v>
      </c>
      <c r="J212">
        <v>0</v>
      </c>
      <c r="K212" s="3" t="str">
        <f>VLOOKUP(J212,ConstDLCIds!$A$4:$B$1000,2,FALSE)</f>
        <v>DLC_BASE_GAME</v>
      </c>
      <c r="L212" s="3" t="str">
        <f>VLOOKUP(J212,ConstDLCIds!$A$4:$C$1000,3,FALSE)</f>
        <v>Included in base game</v>
      </c>
    </row>
    <row r="213" spans="1:12" x14ac:dyDescent="0.25">
      <c r="A213">
        <v>413</v>
      </c>
      <c r="B213">
        <v>208</v>
      </c>
      <c r="C213">
        <v>103</v>
      </c>
      <c r="D213" t="s">
        <v>2361</v>
      </c>
      <c r="E213" t="str">
        <f>IF(NOT(ISERROR(VLOOKUP(D213,'ESO DungeonFinder'!$A$2:$A$999,1,FALSE))),"X","")</f>
        <v/>
      </c>
      <c r="F213" s="70" t="str">
        <f t="shared" si="12"/>
        <v/>
      </c>
      <c r="G213" s="70" t="str">
        <f t="shared" si="15"/>
        <v>The Rift</v>
      </c>
      <c r="H213" s="70">
        <f t="shared" si="13"/>
        <v>413</v>
      </c>
      <c r="I213" s="70">
        <f t="shared" si="14"/>
        <v>103</v>
      </c>
      <c r="J213">
        <v>0</v>
      </c>
      <c r="K213" s="3" t="str">
        <f>VLOOKUP(J213,ConstDLCIds!$A$4:$B$1000,2,FALSE)</f>
        <v>DLC_BASE_GAME</v>
      </c>
      <c r="L213" s="3" t="str">
        <f>VLOOKUP(J213,ConstDLCIds!$A$4:$C$1000,3,FALSE)</f>
        <v>Included in base game</v>
      </c>
    </row>
    <row r="214" spans="1:12" x14ac:dyDescent="0.25">
      <c r="A214">
        <v>414</v>
      </c>
      <c r="B214">
        <v>209</v>
      </c>
      <c r="C214">
        <v>103</v>
      </c>
      <c r="D214" t="s">
        <v>2362</v>
      </c>
      <c r="E214" t="str">
        <f>IF(NOT(ISERROR(VLOOKUP(D214,'ESO DungeonFinder'!$A$2:$A$999,1,FALSE))),"X","")</f>
        <v/>
      </c>
      <c r="F214" s="70" t="str">
        <f t="shared" si="12"/>
        <v/>
      </c>
      <c r="G214" s="70" t="str">
        <f t="shared" si="15"/>
        <v>The Rift</v>
      </c>
      <c r="H214" s="70">
        <f t="shared" si="13"/>
        <v>414</v>
      </c>
      <c r="I214" s="70">
        <f t="shared" si="14"/>
        <v>103</v>
      </c>
      <c r="J214">
        <v>0</v>
      </c>
      <c r="K214" s="3" t="str">
        <f>VLOOKUP(J214,ConstDLCIds!$A$4:$B$1000,2,FALSE)</f>
        <v>DLC_BASE_GAME</v>
      </c>
      <c r="L214" s="3" t="str">
        <f>VLOOKUP(J214,ConstDLCIds!$A$4:$C$1000,3,FALSE)</f>
        <v>Included in base game</v>
      </c>
    </row>
    <row r="215" spans="1:12" x14ac:dyDescent="0.25">
      <c r="A215">
        <v>415</v>
      </c>
      <c r="B215">
        <v>210</v>
      </c>
      <c r="C215">
        <v>103</v>
      </c>
      <c r="D215" t="s">
        <v>2363</v>
      </c>
      <c r="E215" t="str">
        <f>IF(NOT(ISERROR(VLOOKUP(D215,'ESO DungeonFinder'!$A$2:$A$999,1,FALSE))),"X","")</f>
        <v/>
      </c>
      <c r="F215" s="70" t="str">
        <f t="shared" si="12"/>
        <v/>
      </c>
      <c r="G215" s="70" t="str">
        <f t="shared" si="15"/>
        <v>The Rift</v>
      </c>
      <c r="H215" s="70">
        <f t="shared" si="13"/>
        <v>415</v>
      </c>
      <c r="I215" s="70">
        <f t="shared" si="14"/>
        <v>103</v>
      </c>
      <c r="J215">
        <v>0</v>
      </c>
      <c r="K215" s="3" t="str">
        <f>VLOOKUP(J215,ConstDLCIds!$A$4:$B$1000,2,FALSE)</f>
        <v>DLC_BASE_GAME</v>
      </c>
      <c r="L215" s="3" t="str">
        <f>VLOOKUP(J215,ConstDLCIds!$A$4:$C$1000,3,FALSE)</f>
        <v>Included in base game</v>
      </c>
    </row>
    <row r="216" spans="1:12" x14ac:dyDescent="0.25">
      <c r="A216">
        <v>416</v>
      </c>
      <c r="B216">
        <v>211</v>
      </c>
      <c r="C216">
        <v>381</v>
      </c>
      <c r="D216" t="s">
        <v>2364</v>
      </c>
      <c r="E216" t="str">
        <f>IF(NOT(ISERROR(VLOOKUP(D216,'ESO DungeonFinder'!$A$2:$A$999,1,FALSE))),"X","")</f>
        <v/>
      </c>
      <c r="F216" s="70" t="str">
        <f t="shared" si="12"/>
        <v/>
      </c>
      <c r="G216" s="70" t="str">
        <f t="shared" si="15"/>
        <v>Auridon</v>
      </c>
      <c r="H216" s="70">
        <f t="shared" si="13"/>
        <v>416</v>
      </c>
      <c r="I216" s="70">
        <f t="shared" si="14"/>
        <v>381</v>
      </c>
      <c r="J216">
        <v>0</v>
      </c>
      <c r="K216" s="3" t="str">
        <f>VLOOKUP(J216,ConstDLCIds!$A$4:$B$1000,2,FALSE)</f>
        <v>DLC_BASE_GAME</v>
      </c>
      <c r="L216" s="3" t="str">
        <f>VLOOKUP(J216,ConstDLCIds!$A$4:$C$1000,3,FALSE)</f>
        <v>Included in base game</v>
      </c>
    </row>
    <row r="217" spans="1:12" x14ac:dyDescent="0.25">
      <c r="A217">
        <v>417</v>
      </c>
      <c r="B217">
        <v>212</v>
      </c>
      <c r="C217">
        <v>347</v>
      </c>
      <c r="D217" t="s">
        <v>2365</v>
      </c>
      <c r="E217" t="str">
        <f>IF(NOT(ISERROR(VLOOKUP(D217,'ESO DungeonFinder'!$A$2:$A$999,1,FALSE))),"X","")</f>
        <v/>
      </c>
      <c r="F217" s="70" t="str">
        <f t="shared" si="12"/>
        <v/>
      </c>
      <c r="G217" s="70" t="str">
        <f t="shared" si="15"/>
        <v>Coldharbour</v>
      </c>
      <c r="H217" s="70">
        <f t="shared" si="13"/>
        <v>417</v>
      </c>
      <c r="I217" s="70">
        <f t="shared" si="14"/>
        <v>347</v>
      </c>
      <c r="J217">
        <v>0</v>
      </c>
      <c r="K217" s="3" t="str">
        <f>VLOOKUP(J217,ConstDLCIds!$A$4:$B$1000,2,FALSE)</f>
        <v>DLC_BASE_GAME</v>
      </c>
      <c r="L217" s="3" t="str">
        <f>VLOOKUP(J217,ConstDLCIds!$A$4:$C$1000,3,FALSE)</f>
        <v>Included in base game</v>
      </c>
    </row>
    <row r="218" spans="1:12" x14ac:dyDescent="0.25">
      <c r="A218">
        <v>418</v>
      </c>
      <c r="B218">
        <v>213</v>
      </c>
      <c r="C218">
        <v>347</v>
      </c>
      <c r="D218" t="s">
        <v>2366</v>
      </c>
      <c r="E218" t="str">
        <f>IF(NOT(ISERROR(VLOOKUP(D218,'ESO DungeonFinder'!$A$2:$A$999,1,FALSE))),"X","")</f>
        <v/>
      </c>
      <c r="F218" s="70" t="str">
        <f t="shared" si="12"/>
        <v/>
      </c>
      <c r="G218" s="70" t="str">
        <f t="shared" si="15"/>
        <v>Coldharbour</v>
      </c>
      <c r="H218" s="70">
        <f t="shared" si="13"/>
        <v>418</v>
      </c>
      <c r="I218" s="70">
        <f t="shared" si="14"/>
        <v>347</v>
      </c>
      <c r="J218">
        <v>0</v>
      </c>
      <c r="K218" s="3" t="str">
        <f>VLOOKUP(J218,ConstDLCIds!$A$4:$B$1000,2,FALSE)</f>
        <v>DLC_BASE_GAME</v>
      </c>
      <c r="L218" s="3" t="str">
        <f>VLOOKUP(J218,ConstDLCIds!$A$4:$C$1000,3,FALSE)</f>
        <v>Included in base game</v>
      </c>
    </row>
    <row r="219" spans="1:12" x14ac:dyDescent="0.25">
      <c r="A219">
        <v>419</v>
      </c>
      <c r="B219">
        <v>214</v>
      </c>
      <c r="C219">
        <v>347</v>
      </c>
      <c r="D219" t="s">
        <v>2367</v>
      </c>
      <c r="E219" t="str">
        <f>IF(NOT(ISERROR(VLOOKUP(D219,'ESO DungeonFinder'!$A$2:$A$999,1,FALSE))),"X","")</f>
        <v/>
      </c>
      <c r="F219" s="70" t="str">
        <f t="shared" si="12"/>
        <v/>
      </c>
      <c r="G219" s="70" t="str">
        <f t="shared" si="15"/>
        <v>Coldharbour</v>
      </c>
      <c r="H219" s="70">
        <f t="shared" si="13"/>
        <v>419</v>
      </c>
      <c r="I219" s="70">
        <f t="shared" si="14"/>
        <v>347</v>
      </c>
      <c r="J219">
        <v>0</v>
      </c>
      <c r="K219" s="3" t="str">
        <f>VLOOKUP(J219,ConstDLCIds!$A$4:$B$1000,2,FALSE)</f>
        <v>DLC_BASE_GAME</v>
      </c>
      <c r="L219" s="3" t="str">
        <f>VLOOKUP(J219,ConstDLCIds!$A$4:$C$1000,3,FALSE)</f>
        <v>Included in base game</v>
      </c>
    </row>
    <row r="220" spans="1:12" x14ac:dyDescent="0.25">
      <c r="A220">
        <v>420</v>
      </c>
      <c r="B220">
        <v>215</v>
      </c>
      <c r="C220">
        <v>347</v>
      </c>
      <c r="D220" t="s">
        <v>2368</v>
      </c>
      <c r="E220" t="str">
        <f>IF(NOT(ISERROR(VLOOKUP(D220,'ESO DungeonFinder'!$A$2:$A$999,1,FALSE))),"X","")</f>
        <v/>
      </c>
      <c r="F220" s="70" t="str">
        <f t="shared" si="12"/>
        <v/>
      </c>
      <c r="G220" s="70" t="str">
        <f t="shared" si="15"/>
        <v>Coldharbour</v>
      </c>
      <c r="H220" s="70">
        <f t="shared" si="13"/>
        <v>420</v>
      </c>
      <c r="I220" s="70">
        <f t="shared" si="14"/>
        <v>347</v>
      </c>
      <c r="J220">
        <v>0</v>
      </c>
      <c r="K220" s="3" t="str">
        <f>VLOOKUP(J220,ConstDLCIds!$A$4:$B$1000,2,FALSE)</f>
        <v>DLC_BASE_GAME</v>
      </c>
      <c r="L220" s="3" t="str">
        <f>VLOOKUP(J220,ConstDLCIds!$A$4:$C$1000,3,FALSE)</f>
        <v>Included in base game</v>
      </c>
    </row>
    <row r="221" spans="1:12" x14ac:dyDescent="0.25">
      <c r="A221">
        <v>421</v>
      </c>
      <c r="B221">
        <v>216</v>
      </c>
      <c r="C221">
        <v>347</v>
      </c>
      <c r="D221" t="s">
        <v>2369</v>
      </c>
      <c r="E221" t="str">
        <f>IF(NOT(ISERROR(VLOOKUP(D221,'ESO DungeonFinder'!$A$2:$A$999,1,FALSE))),"X","")</f>
        <v/>
      </c>
      <c r="F221" s="70" t="str">
        <f t="shared" si="12"/>
        <v/>
      </c>
      <c r="G221" s="70" t="str">
        <f t="shared" si="15"/>
        <v>Coldharbour</v>
      </c>
      <c r="H221" s="70">
        <f t="shared" si="13"/>
        <v>421</v>
      </c>
      <c r="I221" s="70">
        <f t="shared" si="14"/>
        <v>347</v>
      </c>
      <c r="J221">
        <v>0</v>
      </c>
      <c r="K221" s="3" t="str">
        <f>VLOOKUP(J221,ConstDLCIds!$A$4:$B$1000,2,FALSE)</f>
        <v>DLC_BASE_GAME</v>
      </c>
      <c r="L221" s="3" t="str">
        <f>VLOOKUP(J221,ConstDLCIds!$A$4:$C$1000,3,FALSE)</f>
        <v>Included in base game</v>
      </c>
    </row>
    <row r="222" spans="1:12" x14ac:dyDescent="0.25">
      <c r="A222">
        <v>422</v>
      </c>
      <c r="B222">
        <v>217</v>
      </c>
      <c r="C222">
        <v>347</v>
      </c>
      <c r="D222" t="s">
        <v>2370</v>
      </c>
      <c r="E222" t="str">
        <f>IF(NOT(ISERROR(VLOOKUP(D222,'ESO DungeonFinder'!$A$2:$A$999,1,FALSE))),"X","")</f>
        <v/>
      </c>
      <c r="F222" s="70" t="str">
        <f t="shared" si="12"/>
        <v/>
      </c>
      <c r="G222" s="70" t="str">
        <f t="shared" si="15"/>
        <v>Coldharbour</v>
      </c>
      <c r="H222" s="70">
        <f t="shared" si="13"/>
        <v>422</v>
      </c>
      <c r="I222" s="70">
        <f t="shared" si="14"/>
        <v>347</v>
      </c>
      <c r="J222">
        <v>0</v>
      </c>
      <c r="K222" s="3" t="str">
        <f>VLOOKUP(J222,ConstDLCIds!$A$4:$B$1000,2,FALSE)</f>
        <v>DLC_BASE_GAME</v>
      </c>
      <c r="L222" s="3" t="str">
        <f>VLOOKUP(J222,ConstDLCIds!$A$4:$C$1000,3,FALSE)</f>
        <v>Included in base game</v>
      </c>
    </row>
    <row r="223" spans="1:12" x14ac:dyDescent="0.25">
      <c r="A223">
        <v>424</v>
      </c>
      <c r="B223">
        <v>218</v>
      </c>
      <c r="C223">
        <v>3</v>
      </c>
      <c r="D223" t="s">
        <v>2371</v>
      </c>
      <c r="E223" t="str">
        <f>IF(NOT(ISERROR(VLOOKUP(D223,'ESO DungeonFinder'!$A$2:$A$999,1,FALSE))),"X","")</f>
        <v/>
      </c>
      <c r="F223" s="70" t="str">
        <f t="shared" si="12"/>
        <v/>
      </c>
      <c r="G223" s="70" t="str">
        <f t="shared" si="15"/>
        <v>Glenumbra</v>
      </c>
      <c r="H223" s="70">
        <f t="shared" si="13"/>
        <v>424</v>
      </c>
      <c r="I223" s="70">
        <f t="shared" si="14"/>
        <v>3</v>
      </c>
      <c r="J223">
        <v>0</v>
      </c>
      <c r="K223" s="3" t="str">
        <f>VLOOKUP(J223,ConstDLCIds!$A$4:$B$1000,2,FALSE)</f>
        <v>DLC_BASE_GAME</v>
      </c>
      <c r="L223" s="3" t="str">
        <f>VLOOKUP(J223,ConstDLCIds!$A$4:$C$1000,3,FALSE)</f>
        <v>Included in base game</v>
      </c>
    </row>
    <row r="224" spans="1:12" x14ac:dyDescent="0.25">
      <c r="A224">
        <v>425</v>
      </c>
      <c r="B224">
        <v>219</v>
      </c>
      <c r="C224">
        <v>3</v>
      </c>
      <c r="D224" t="s">
        <v>2372</v>
      </c>
      <c r="E224" t="str">
        <f>IF(NOT(ISERROR(VLOOKUP(D224,'ESO DungeonFinder'!$A$2:$A$999,1,FALSE))),"X","")</f>
        <v/>
      </c>
      <c r="F224" s="70" t="str">
        <f t="shared" si="12"/>
        <v/>
      </c>
      <c r="G224" s="70" t="str">
        <f t="shared" si="15"/>
        <v>Glenumbra</v>
      </c>
      <c r="H224" s="70">
        <f t="shared" si="13"/>
        <v>425</v>
      </c>
      <c r="I224" s="70">
        <f t="shared" si="14"/>
        <v>3</v>
      </c>
      <c r="J224">
        <v>0</v>
      </c>
      <c r="K224" s="3" t="str">
        <f>VLOOKUP(J224,ConstDLCIds!$A$4:$B$1000,2,FALSE)</f>
        <v>DLC_BASE_GAME</v>
      </c>
      <c r="L224" s="3" t="str">
        <f>VLOOKUP(J224,ConstDLCIds!$A$4:$C$1000,3,FALSE)</f>
        <v>Included in base game</v>
      </c>
    </row>
    <row r="225" spans="1:12" x14ac:dyDescent="0.25">
      <c r="A225">
        <v>426</v>
      </c>
      <c r="B225">
        <v>220</v>
      </c>
      <c r="C225">
        <v>3</v>
      </c>
      <c r="D225" t="s">
        <v>2373</v>
      </c>
      <c r="E225" t="str">
        <f>IF(NOT(ISERROR(VLOOKUP(D225,'ESO DungeonFinder'!$A$2:$A$999,1,FALSE))),"X","")</f>
        <v/>
      </c>
      <c r="F225" s="70" t="str">
        <f t="shared" si="12"/>
        <v/>
      </c>
      <c r="G225" s="70" t="str">
        <f t="shared" si="15"/>
        <v>Glenumbra</v>
      </c>
      <c r="H225" s="70">
        <f t="shared" si="13"/>
        <v>426</v>
      </c>
      <c r="I225" s="70">
        <f t="shared" si="14"/>
        <v>3</v>
      </c>
      <c r="J225">
        <v>0</v>
      </c>
      <c r="K225" s="3" t="str">
        <f>VLOOKUP(J225,ConstDLCIds!$A$4:$B$1000,2,FALSE)</f>
        <v>DLC_BASE_GAME</v>
      </c>
      <c r="L225" s="3" t="str">
        <f>VLOOKUP(J225,ConstDLCIds!$A$4:$C$1000,3,FALSE)</f>
        <v>Included in base game</v>
      </c>
    </row>
    <row r="226" spans="1:12" x14ac:dyDescent="0.25">
      <c r="A226">
        <v>429</v>
      </c>
      <c r="B226">
        <v>221</v>
      </c>
      <c r="C226">
        <v>3</v>
      </c>
      <c r="D226" t="s">
        <v>2374</v>
      </c>
      <c r="E226" t="str">
        <f>IF(NOT(ISERROR(VLOOKUP(D226,'ESO DungeonFinder'!$A$2:$A$999,1,FALSE))),"X","")</f>
        <v/>
      </c>
      <c r="F226" s="70" t="str">
        <f t="shared" si="12"/>
        <v/>
      </c>
      <c r="G226" s="70" t="str">
        <f t="shared" si="15"/>
        <v>Glenumbra</v>
      </c>
      <c r="H226" s="70">
        <f t="shared" si="13"/>
        <v>429</v>
      </c>
      <c r="I226" s="70">
        <f t="shared" si="14"/>
        <v>3</v>
      </c>
      <c r="J226">
        <v>0</v>
      </c>
      <c r="K226" s="3" t="str">
        <f>VLOOKUP(J226,ConstDLCIds!$A$4:$B$1000,2,FALSE)</f>
        <v>DLC_BASE_GAME</v>
      </c>
      <c r="L226" s="3" t="str">
        <f>VLOOKUP(J226,ConstDLCIds!$A$4:$C$1000,3,FALSE)</f>
        <v>Included in base game</v>
      </c>
    </row>
    <row r="227" spans="1:12" x14ac:dyDescent="0.25">
      <c r="A227">
        <v>430</v>
      </c>
      <c r="B227">
        <v>222</v>
      </c>
      <c r="C227">
        <v>19</v>
      </c>
      <c r="D227" t="s">
        <v>2375</v>
      </c>
      <c r="E227" t="str">
        <f>IF(NOT(ISERROR(VLOOKUP(D227,'ESO DungeonFinder'!$A$2:$A$999,1,FALSE))),"X","")</f>
        <v/>
      </c>
      <c r="F227" s="70" t="str">
        <f t="shared" si="12"/>
        <v/>
      </c>
      <c r="G227" s="70" t="str">
        <f t="shared" si="15"/>
        <v>Stormhaven</v>
      </c>
      <c r="H227" s="70">
        <f t="shared" si="13"/>
        <v>430</v>
      </c>
      <c r="I227" s="70">
        <f t="shared" si="14"/>
        <v>19</v>
      </c>
      <c r="J227">
        <v>0</v>
      </c>
      <c r="K227" s="3" t="str">
        <f>VLOOKUP(J227,ConstDLCIds!$A$4:$B$1000,2,FALSE)</f>
        <v>DLC_BASE_GAME</v>
      </c>
      <c r="L227" s="3" t="str">
        <f>VLOOKUP(J227,ConstDLCIds!$A$4:$C$1000,3,FALSE)</f>
        <v>Included in base game</v>
      </c>
    </row>
    <row r="228" spans="1:12" x14ac:dyDescent="0.25">
      <c r="A228">
        <v>431</v>
      </c>
      <c r="B228">
        <v>223</v>
      </c>
      <c r="C228">
        <v>103</v>
      </c>
      <c r="D228" t="s">
        <v>2376</v>
      </c>
      <c r="E228" t="str">
        <f>IF(NOT(ISERROR(VLOOKUP(D228,'ESO DungeonFinder'!$A$2:$A$999,1,FALSE))),"X","")</f>
        <v/>
      </c>
      <c r="F228" s="70" t="str">
        <f t="shared" si="12"/>
        <v/>
      </c>
      <c r="G228" s="70" t="str">
        <f t="shared" si="15"/>
        <v>The Rift</v>
      </c>
      <c r="H228" s="70">
        <f t="shared" si="13"/>
        <v>431</v>
      </c>
      <c r="I228" s="70">
        <f t="shared" si="14"/>
        <v>103</v>
      </c>
      <c r="J228">
        <v>0</v>
      </c>
      <c r="K228" s="3" t="str">
        <f>VLOOKUP(J228,ConstDLCIds!$A$4:$B$1000,2,FALSE)</f>
        <v>DLC_BASE_GAME</v>
      </c>
      <c r="L228" s="3" t="str">
        <f>VLOOKUP(J228,ConstDLCIds!$A$4:$C$1000,3,FALSE)</f>
        <v>Included in base game</v>
      </c>
    </row>
    <row r="229" spans="1:12" x14ac:dyDescent="0.25">
      <c r="A229">
        <v>433</v>
      </c>
      <c r="B229">
        <v>224</v>
      </c>
      <c r="C229">
        <v>383</v>
      </c>
      <c r="D229" t="s">
        <v>2377</v>
      </c>
      <c r="E229" t="str">
        <f>IF(NOT(ISERROR(VLOOKUP(D229,'ESO DungeonFinder'!$A$2:$A$999,1,FALSE))),"X","")</f>
        <v/>
      </c>
      <c r="F229" s="70" t="str">
        <f t="shared" si="12"/>
        <v/>
      </c>
      <c r="G229" s="70" t="str">
        <f t="shared" si="15"/>
        <v>Grahtwood</v>
      </c>
      <c r="H229" s="70">
        <f t="shared" si="13"/>
        <v>433</v>
      </c>
      <c r="I229" s="70">
        <f t="shared" si="14"/>
        <v>383</v>
      </c>
      <c r="J229">
        <v>0</v>
      </c>
      <c r="K229" s="3" t="str">
        <f>VLOOKUP(J229,ConstDLCIds!$A$4:$B$1000,2,FALSE)</f>
        <v>DLC_BASE_GAME</v>
      </c>
      <c r="L229" s="3" t="str">
        <f>VLOOKUP(J229,ConstDLCIds!$A$4:$C$1000,3,FALSE)</f>
        <v>Included in base game</v>
      </c>
    </row>
    <row r="230" spans="1:12" x14ac:dyDescent="0.25">
      <c r="A230">
        <v>434</v>
      </c>
      <c r="B230">
        <v>225</v>
      </c>
      <c r="C230">
        <v>383</v>
      </c>
      <c r="D230" t="s">
        <v>2378</v>
      </c>
      <c r="E230" t="str">
        <f>IF(NOT(ISERROR(VLOOKUP(D230,'ESO DungeonFinder'!$A$2:$A$999,1,FALSE))),"X","")</f>
        <v/>
      </c>
      <c r="F230" s="70" t="str">
        <f t="shared" si="12"/>
        <v/>
      </c>
      <c r="G230" s="70" t="str">
        <f t="shared" si="15"/>
        <v>Grahtwood</v>
      </c>
      <c r="H230" s="70">
        <f t="shared" si="13"/>
        <v>434</v>
      </c>
      <c r="I230" s="70">
        <f t="shared" si="14"/>
        <v>383</v>
      </c>
      <c r="J230">
        <v>0</v>
      </c>
      <c r="K230" s="3" t="str">
        <f>VLOOKUP(J230,ConstDLCIds!$A$4:$B$1000,2,FALSE)</f>
        <v>DLC_BASE_GAME</v>
      </c>
      <c r="L230" s="3" t="str">
        <f>VLOOKUP(J230,ConstDLCIds!$A$4:$C$1000,3,FALSE)</f>
        <v>Included in base game</v>
      </c>
    </row>
    <row r="231" spans="1:12" x14ac:dyDescent="0.25">
      <c r="A231">
        <v>435</v>
      </c>
      <c r="B231">
        <v>226</v>
      </c>
      <c r="C231">
        <v>383</v>
      </c>
      <c r="D231" t="s">
        <v>2379</v>
      </c>
      <c r="E231" t="str">
        <f>IF(NOT(ISERROR(VLOOKUP(D231,'ESO DungeonFinder'!$A$2:$A$999,1,FALSE))),"X","")</f>
        <v/>
      </c>
      <c r="F231" s="70" t="str">
        <f t="shared" si="12"/>
        <v/>
      </c>
      <c r="G231" s="70" t="str">
        <f t="shared" si="15"/>
        <v>Grahtwood</v>
      </c>
      <c r="H231" s="70">
        <f t="shared" si="13"/>
        <v>435</v>
      </c>
      <c r="I231" s="70">
        <f t="shared" si="14"/>
        <v>383</v>
      </c>
      <c r="J231">
        <v>0</v>
      </c>
      <c r="K231" s="3" t="str">
        <f>VLOOKUP(J231,ConstDLCIds!$A$4:$B$1000,2,FALSE)</f>
        <v>DLC_BASE_GAME</v>
      </c>
      <c r="L231" s="3" t="str">
        <f>VLOOKUP(J231,ConstDLCIds!$A$4:$C$1000,3,FALSE)</f>
        <v>Included in base game</v>
      </c>
    </row>
    <row r="232" spans="1:12" x14ac:dyDescent="0.25">
      <c r="A232">
        <v>436</v>
      </c>
      <c r="B232">
        <v>227</v>
      </c>
      <c r="C232">
        <v>383</v>
      </c>
      <c r="D232" t="s">
        <v>2380</v>
      </c>
      <c r="E232" t="str">
        <f>IF(NOT(ISERROR(VLOOKUP(D232,'ESO DungeonFinder'!$A$2:$A$999,1,FALSE))),"X","")</f>
        <v/>
      </c>
      <c r="F232" s="70" t="str">
        <f t="shared" si="12"/>
        <v/>
      </c>
      <c r="G232" s="70" t="str">
        <f t="shared" si="15"/>
        <v>Grahtwood</v>
      </c>
      <c r="H232" s="70">
        <f t="shared" si="13"/>
        <v>436</v>
      </c>
      <c r="I232" s="70">
        <f t="shared" si="14"/>
        <v>383</v>
      </c>
      <c r="J232">
        <v>0</v>
      </c>
      <c r="K232" s="3" t="str">
        <f>VLOOKUP(J232,ConstDLCIds!$A$4:$B$1000,2,FALSE)</f>
        <v>DLC_BASE_GAME</v>
      </c>
      <c r="L232" s="3" t="str">
        <f>VLOOKUP(J232,ConstDLCIds!$A$4:$C$1000,3,FALSE)</f>
        <v>Included in base game</v>
      </c>
    </row>
    <row r="233" spans="1:12" x14ac:dyDescent="0.25">
      <c r="A233">
        <v>437</v>
      </c>
      <c r="B233">
        <v>228</v>
      </c>
      <c r="C233">
        <v>383</v>
      </c>
      <c r="D233" t="s">
        <v>2381</v>
      </c>
      <c r="E233" t="str">
        <f>IF(NOT(ISERROR(VLOOKUP(D233,'ESO DungeonFinder'!$A$2:$A$999,1,FALSE))),"X","")</f>
        <v/>
      </c>
      <c r="F233" s="70" t="str">
        <f t="shared" si="12"/>
        <v/>
      </c>
      <c r="G233" s="70" t="str">
        <f t="shared" si="15"/>
        <v>Grahtwood</v>
      </c>
      <c r="H233" s="70">
        <f t="shared" si="13"/>
        <v>437</v>
      </c>
      <c r="I233" s="70">
        <f t="shared" si="14"/>
        <v>383</v>
      </c>
      <c r="J233">
        <v>0</v>
      </c>
      <c r="K233" s="3" t="str">
        <f>VLOOKUP(J233,ConstDLCIds!$A$4:$B$1000,2,FALSE)</f>
        <v>DLC_BASE_GAME</v>
      </c>
      <c r="L233" s="3" t="str">
        <f>VLOOKUP(J233,ConstDLCIds!$A$4:$C$1000,3,FALSE)</f>
        <v>Included in base game</v>
      </c>
    </row>
    <row r="234" spans="1:12" x14ac:dyDescent="0.25">
      <c r="A234">
        <v>438</v>
      </c>
      <c r="B234">
        <v>229</v>
      </c>
      <c r="C234">
        <v>383</v>
      </c>
      <c r="D234" t="s">
        <v>2382</v>
      </c>
      <c r="E234" t="str">
        <f>IF(NOT(ISERROR(VLOOKUP(D234,'ESO DungeonFinder'!$A$2:$A$999,1,FALSE))),"X","")</f>
        <v/>
      </c>
      <c r="F234" s="70" t="str">
        <f t="shared" si="12"/>
        <v/>
      </c>
      <c r="G234" s="70" t="str">
        <f t="shared" si="15"/>
        <v>Grahtwood</v>
      </c>
      <c r="H234" s="70">
        <f t="shared" si="13"/>
        <v>438</v>
      </c>
      <c r="I234" s="70">
        <f t="shared" si="14"/>
        <v>383</v>
      </c>
      <c r="J234">
        <v>0</v>
      </c>
      <c r="K234" s="3" t="str">
        <f>VLOOKUP(J234,ConstDLCIds!$A$4:$B$1000,2,FALSE)</f>
        <v>DLC_BASE_GAME</v>
      </c>
      <c r="L234" s="3" t="str">
        <f>VLOOKUP(J234,ConstDLCIds!$A$4:$C$1000,3,FALSE)</f>
        <v>Included in base game</v>
      </c>
    </row>
    <row r="235" spans="1:12" x14ac:dyDescent="0.25">
      <c r="A235">
        <v>439</v>
      </c>
      <c r="B235">
        <v>230</v>
      </c>
      <c r="C235">
        <v>383</v>
      </c>
      <c r="D235" t="s">
        <v>2383</v>
      </c>
      <c r="E235" t="str">
        <f>IF(NOT(ISERROR(VLOOKUP(D235,'ESO DungeonFinder'!$A$2:$A$999,1,FALSE))),"X","")</f>
        <v/>
      </c>
      <c r="F235" s="70" t="str">
        <f t="shared" si="12"/>
        <v/>
      </c>
      <c r="G235" s="70" t="str">
        <f t="shared" si="15"/>
        <v>Grahtwood</v>
      </c>
      <c r="H235" s="70">
        <f t="shared" si="13"/>
        <v>439</v>
      </c>
      <c r="I235" s="70">
        <f t="shared" si="14"/>
        <v>383</v>
      </c>
      <c r="J235">
        <v>0</v>
      </c>
      <c r="K235" s="3" t="str">
        <f>VLOOKUP(J235,ConstDLCIds!$A$4:$B$1000,2,FALSE)</f>
        <v>DLC_BASE_GAME</v>
      </c>
      <c r="L235" s="3" t="str">
        <f>VLOOKUP(J235,ConstDLCIds!$A$4:$C$1000,3,FALSE)</f>
        <v>Included in base game</v>
      </c>
    </row>
    <row r="236" spans="1:12" x14ac:dyDescent="0.25">
      <c r="A236">
        <v>440</v>
      </c>
      <c r="B236">
        <v>231</v>
      </c>
      <c r="C236">
        <v>383</v>
      </c>
      <c r="D236" t="s">
        <v>2384</v>
      </c>
      <c r="E236" t="str">
        <f>IF(NOT(ISERROR(VLOOKUP(D236,'ESO DungeonFinder'!$A$2:$A$999,1,FALSE))),"X","")</f>
        <v/>
      </c>
      <c r="F236" s="70" t="str">
        <f t="shared" si="12"/>
        <v/>
      </c>
      <c r="G236" s="70" t="str">
        <f t="shared" si="15"/>
        <v>Grahtwood</v>
      </c>
      <c r="H236" s="70">
        <f t="shared" si="13"/>
        <v>440</v>
      </c>
      <c r="I236" s="70">
        <f t="shared" si="14"/>
        <v>383</v>
      </c>
      <c r="J236">
        <v>0</v>
      </c>
      <c r="K236" s="3" t="str">
        <f>VLOOKUP(J236,ConstDLCIds!$A$4:$B$1000,2,FALSE)</f>
        <v>DLC_BASE_GAME</v>
      </c>
      <c r="L236" s="3" t="str">
        <f>VLOOKUP(J236,ConstDLCIds!$A$4:$C$1000,3,FALSE)</f>
        <v>Included in base game</v>
      </c>
    </row>
    <row r="237" spans="1:12" x14ac:dyDescent="0.25">
      <c r="A237">
        <v>442</v>
      </c>
      <c r="B237">
        <v>232</v>
      </c>
      <c r="C237">
        <v>383</v>
      </c>
      <c r="D237" t="s">
        <v>2385</v>
      </c>
      <c r="E237" t="str">
        <f>IF(NOT(ISERROR(VLOOKUP(D237,'ESO DungeonFinder'!$A$2:$A$999,1,FALSE))),"X","")</f>
        <v/>
      </c>
      <c r="F237" s="70" t="str">
        <f t="shared" si="12"/>
        <v/>
      </c>
      <c r="G237" s="70" t="str">
        <f t="shared" si="15"/>
        <v>Grahtwood</v>
      </c>
      <c r="H237" s="70">
        <f t="shared" si="13"/>
        <v>442</v>
      </c>
      <c r="I237" s="70">
        <f t="shared" si="14"/>
        <v>383</v>
      </c>
      <c r="J237">
        <v>0</v>
      </c>
      <c r="K237" s="3" t="str">
        <f>VLOOKUP(J237,ConstDLCIds!$A$4:$B$1000,2,FALSE)</f>
        <v>DLC_BASE_GAME</v>
      </c>
      <c r="L237" s="3" t="str">
        <f>VLOOKUP(J237,ConstDLCIds!$A$4:$C$1000,3,FALSE)</f>
        <v>Included in base game</v>
      </c>
    </row>
    <row r="238" spans="1:12" x14ac:dyDescent="0.25">
      <c r="A238">
        <v>444</v>
      </c>
      <c r="B238">
        <v>233</v>
      </c>
      <c r="C238">
        <v>383</v>
      </c>
      <c r="D238" t="s">
        <v>2386</v>
      </c>
      <c r="E238" t="str">
        <f>IF(NOT(ISERROR(VLOOKUP(D238,'ESO DungeonFinder'!$A$2:$A$999,1,FALSE))),"X","")</f>
        <v/>
      </c>
      <c r="F238" s="70" t="str">
        <f t="shared" si="12"/>
        <v/>
      </c>
      <c r="G238" s="70" t="str">
        <f t="shared" si="15"/>
        <v>Grahtwood</v>
      </c>
      <c r="H238" s="70">
        <f t="shared" si="13"/>
        <v>444</v>
      </c>
      <c r="I238" s="70">
        <f t="shared" si="14"/>
        <v>383</v>
      </c>
      <c r="J238">
        <v>0</v>
      </c>
      <c r="K238" s="3" t="str">
        <f>VLOOKUP(J238,ConstDLCIds!$A$4:$B$1000,2,FALSE)</f>
        <v>DLC_BASE_GAME</v>
      </c>
      <c r="L238" s="3" t="str">
        <f>VLOOKUP(J238,ConstDLCIds!$A$4:$C$1000,3,FALSE)</f>
        <v>Included in base game</v>
      </c>
    </row>
    <row r="239" spans="1:12" x14ac:dyDescent="0.25">
      <c r="A239">
        <v>447</v>
      </c>
      <c r="B239">
        <v>234</v>
      </c>
      <c r="C239">
        <v>383</v>
      </c>
      <c r="D239" t="s">
        <v>2387</v>
      </c>
      <c r="E239" t="str">
        <f>IF(NOT(ISERROR(VLOOKUP(D239,'ESO DungeonFinder'!$A$2:$A$999,1,FALSE))),"X","")</f>
        <v/>
      </c>
      <c r="F239" s="70" t="str">
        <f t="shared" si="12"/>
        <v/>
      </c>
      <c r="G239" s="70" t="str">
        <f t="shared" si="15"/>
        <v>Grahtwood</v>
      </c>
      <c r="H239" s="70">
        <f t="shared" si="13"/>
        <v>447</v>
      </c>
      <c r="I239" s="70">
        <f t="shared" si="14"/>
        <v>383</v>
      </c>
      <c r="J239">
        <v>0</v>
      </c>
      <c r="K239" s="3" t="str">
        <f>VLOOKUP(J239,ConstDLCIds!$A$4:$B$1000,2,FALSE)</f>
        <v>DLC_BASE_GAME</v>
      </c>
      <c r="L239" s="3" t="str">
        <f>VLOOKUP(J239,ConstDLCIds!$A$4:$C$1000,3,FALSE)</f>
        <v>Included in base game</v>
      </c>
    </row>
    <row r="240" spans="1:12" x14ac:dyDescent="0.25">
      <c r="A240">
        <v>449</v>
      </c>
      <c r="B240">
        <v>235</v>
      </c>
      <c r="C240">
        <v>101</v>
      </c>
      <c r="D240" t="s">
        <v>485</v>
      </c>
      <c r="E240" t="str">
        <f>IF(NOT(ISERROR(VLOOKUP(D240,'ESO DungeonFinder'!$A$2:$A$999,1,FALSE))),"X","")</f>
        <v>X</v>
      </c>
      <c r="F240" s="70" t="str">
        <f t="shared" si="12"/>
        <v/>
      </c>
      <c r="G240" s="70" t="str">
        <f t="shared" si="15"/>
        <v>Eastmarch</v>
      </c>
      <c r="H240" s="70">
        <f t="shared" si="13"/>
        <v>449</v>
      </c>
      <c r="I240" s="70">
        <f t="shared" si="14"/>
        <v>101</v>
      </c>
      <c r="J240">
        <v>0</v>
      </c>
      <c r="K240" s="3" t="str">
        <f>VLOOKUP(J240,ConstDLCIds!$A$4:$B$1000,2,FALSE)</f>
        <v>DLC_BASE_GAME</v>
      </c>
      <c r="L240" s="3" t="str">
        <f>VLOOKUP(J240,ConstDLCIds!$A$4:$C$1000,3,FALSE)</f>
        <v>Included in base game</v>
      </c>
    </row>
    <row r="241" spans="1:12" x14ac:dyDescent="0.25">
      <c r="A241">
        <v>451</v>
      </c>
      <c r="B241">
        <v>236</v>
      </c>
      <c r="C241">
        <v>382</v>
      </c>
      <c r="D241" t="s">
        <v>2388</v>
      </c>
      <c r="E241" t="str">
        <f>IF(NOT(ISERROR(VLOOKUP(D241,'ESO DungeonFinder'!$A$2:$A$999,1,FALSE))),"X","")</f>
        <v/>
      </c>
      <c r="F241" s="70" t="str">
        <f t="shared" si="12"/>
        <v/>
      </c>
      <c r="G241" s="70" t="str">
        <f t="shared" si="15"/>
        <v>Reaper's March</v>
      </c>
      <c r="H241" s="70">
        <f t="shared" si="13"/>
        <v>451</v>
      </c>
      <c r="I241" s="70">
        <f t="shared" si="14"/>
        <v>382</v>
      </c>
      <c r="J241">
        <v>0</v>
      </c>
      <c r="K241" s="3" t="str">
        <f>VLOOKUP(J241,ConstDLCIds!$A$4:$B$1000,2,FALSE)</f>
        <v>DLC_BASE_GAME</v>
      </c>
      <c r="L241" s="3" t="str">
        <f>VLOOKUP(J241,ConstDLCIds!$A$4:$C$1000,3,FALSE)</f>
        <v>Included in base game</v>
      </c>
    </row>
    <row r="242" spans="1:12" x14ac:dyDescent="0.25">
      <c r="A242">
        <v>452</v>
      </c>
      <c r="B242">
        <v>237</v>
      </c>
      <c r="C242">
        <v>382</v>
      </c>
      <c r="D242" t="s">
        <v>2389</v>
      </c>
      <c r="E242" t="str">
        <f>IF(NOT(ISERROR(VLOOKUP(D242,'ESO DungeonFinder'!$A$2:$A$999,1,FALSE))),"X","")</f>
        <v/>
      </c>
      <c r="F242" s="70" t="str">
        <f t="shared" si="12"/>
        <v/>
      </c>
      <c r="G242" s="70" t="str">
        <f t="shared" si="15"/>
        <v>Reaper's March</v>
      </c>
      <c r="H242" s="70">
        <f t="shared" si="13"/>
        <v>452</v>
      </c>
      <c r="I242" s="70">
        <f t="shared" si="14"/>
        <v>382</v>
      </c>
      <c r="J242">
        <v>0</v>
      </c>
      <c r="K242" s="3" t="str">
        <f>VLOOKUP(J242,ConstDLCIds!$A$4:$B$1000,2,FALSE)</f>
        <v>DLC_BASE_GAME</v>
      </c>
      <c r="L242" s="3" t="str">
        <f>VLOOKUP(J242,ConstDLCIds!$A$4:$C$1000,3,FALSE)</f>
        <v>Included in base game</v>
      </c>
    </row>
    <row r="243" spans="1:12" x14ac:dyDescent="0.25">
      <c r="A243">
        <v>453</v>
      </c>
      <c r="B243">
        <v>238</v>
      </c>
      <c r="C243">
        <v>382</v>
      </c>
      <c r="D243" t="s">
        <v>2390</v>
      </c>
      <c r="E243" t="str">
        <f>IF(NOT(ISERROR(VLOOKUP(D243,'ESO DungeonFinder'!$A$2:$A$999,1,FALSE))),"X","")</f>
        <v/>
      </c>
      <c r="F243" s="70" t="str">
        <f t="shared" si="12"/>
        <v/>
      </c>
      <c r="G243" s="70" t="str">
        <f t="shared" si="15"/>
        <v>Reaper's March</v>
      </c>
      <c r="H243" s="70">
        <f t="shared" si="13"/>
        <v>453</v>
      </c>
      <c r="I243" s="70">
        <f t="shared" si="14"/>
        <v>382</v>
      </c>
      <c r="J243">
        <v>0</v>
      </c>
      <c r="K243" s="3" t="str">
        <f>VLOOKUP(J243,ConstDLCIds!$A$4:$B$1000,2,FALSE)</f>
        <v>DLC_BASE_GAME</v>
      </c>
      <c r="L243" s="3" t="str">
        <f>VLOOKUP(J243,ConstDLCIds!$A$4:$C$1000,3,FALSE)</f>
        <v>Included in base game</v>
      </c>
    </row>
    <row r="244" spans="1:12" x14ac:dyDescent="0.25">
      <c r="A244">
        <v>454</v>
      </c>
      <c r="B244">
        <v>239</v>
      </c>
      <c r="C244">
        <v>382</v>
      </c>
      <c r="D244" t="s">
        <v>2391</v>
      </c>
      <c r="E244" t="str">
        <f>IF(NOT(ISERROR(VLOOKUP(D244,'ESO DungeonFinder'!$A$2:$A$999,1,FALSE))),"X","")</f>
        <v/>
      </c>
      <c r="F244" s="70" t="str">
        <f t="shared" si="12"/>
        <v/>
      </c>
      <c r="G244" s="70" t="str">
        <f t="shared" si="15"/>
        <v>Reaper's March</v>
      </c>
      <c r="H244" s="70">
        <f t="shared" si="13"/>
        <v>454</v>
      </c>
      <c r="I244" s="70">
        <f t="shared" si="14"/>
        <v>382</v>
      </c>
      <c r="J244">
        <v>0</v>
      </c>
      <c r="K244" s="3" t="str">
        <f>VLOOKUP(J244,ConstDLCIds!$A$4:$B$1000,2,FALSE)</f>
        <v>DLC_BASE_GAME</v>
      </c>
      <c r="L244" s="3" t="str">
        <f>VLOOKUP(J244,ConstDLCIds!$A$4:$C$1000,3,FALSE)</f>
        <v>Included in base game</v>
      </c>
    </row>
    <row r="245" spans="1:12" x14ac:dyDescent="0.25">
      <c r="A245">
        <v>455</v>
      </c>
      <c r="B245">
        <v>240</v>
      </c>
      <c r="C245">
        <v>382</v>
      </c>
      <c r="D245" t="s">
        <v>2392</v>
      </c>
      <c r="E245" t="str">
        <f>IF(NOT(ISERROR(VLOOKUP(D245,'ESO DungeonFinder'!$A$2:$A$999,1,FALSE))),"X","")</f>
        <v/>
      </c>
      <c r="F245" s="70" t="str">
        <f t="shared" si="12"/>
        <v/>
      </c>
      <c r="G245" s="70" t="str">
        <f t="shared" si="15"/>
        <v>Reaper's March</v>
      </c>
      <c r="H245" s="70">
        <f t="shared" si="13"/>
        <v>455</v>
      </c>
      <c r="I245" s="70">
        <f t="shared" si="14"/>
        <v>382</v>
      </c>
      <c r="J245">
        <v>0</v>
      </c>
      <c r="K245" s="3" t="str">
        <f>VLOOKUP(J245,ConstDLCIds!$A$4:$B$1000,2,FALSE)</f>
        <v>DLC_BASE_GAME</v>
      </c>
      <c r="L245" s="3" t="str">
        <f>VLOOKUP(J245,ConstDLCIds!$A$4:$C$1000,3,FALSE)</f>
        <v>Included in base game</v>
      </c>
    </row>
    <row r="246" spans="1:12" x14ac:dyDescent="0.25">
      <c r="A246">
        <v>456</v>
      </c>
      <c r="B246">
        <v>241</v>
      </c>
      <c r="C246">
        <v>382</v>
      </c>
      <c r="D246" t="s">
        <v>2393</v>
      </c>
      <c r="E246" t="str">
        <f>IF(NOT(ISERROR(VLOOKUP(D246,'ESO DungeonFinder'!$A$2:$A$999,1,FALSE))),"X","")</f>
        <v/>
      </c>
      <c r="F246" s="70" t="str">
        <f t="shared" si="12"/>
        <v/>
      </c>
      <c r="G246" s="70" t="str">
        <f t="shared" si="15"/>
        <v>Reaper's March</v>
      </c>
      <c r="H246" s="70">
        <f t="shared" si="13"/>
        <v>456</v>
      </c>
      <c r="I246" s="70">
        <f t="shared" si="14"/>
        <v>382</v>
      </c>
      <c r="J246">
        <v>0</v>
      </c>
      <c r="K246" s="3" t="str">
        <f>VLOOKUP(J246,ConstDLCIds!$A$4:$B$1000,2,FALSE)</f>
        <v>DLC_BASE_GAME</v>
      </c>
      <c r="L246" s="3" t="str">
        <f>VLOOKUP(J246,ConstDLCIds!$A$4:$C$1000,3,FALSE)</f>
        <v>Included in base game</v>
      </c>
    </row>
    <row r="247" spans="1:12" x14ac:dyDescent="0.25">
      <c r="A247">
        <v>457</v>
      </c>
      <c r="B247">
        <v>242</v>
      </c>
      <c r="C247">
        <v>382</v>
      </c>
      <c r="D247" t="s">
        <v>2394</v>
      </c>
      <c r="E247" t="str">
        <f>IF(NOT(ISERROR(VLOOKUP(D247,'ESO DungeonFinder'!$A$2:$A$999,1,FALSE))),"X","")</f>
        <v/>
      </c>
      <c r="F247" s="70" t="str">
        <f t="shared" si="12"/>
        <v/>
      </c>
      <c r="G247" s="70" t="str">
        <f t="shared" si="15"/>
        <v>Reaper's March</v>
      </c>
      <c r="H247" s="70">
        <f t="shared" si="13"/>
        <v>457</v>
      </c>
      <c r="I247" s="70">
        <f t="shared" si="14"/>
        <v>382</v>
      </c>
      <c r="J247">
        <v>0</v>
      </c>
      <c r="K247" s="3" t="str">
        <f>VLOOKUP(J247,ConstDLCIds!$A$4:$B$1000,2,FALSE)</f>
        <v>DLC_BASE_GAME</v>
      </c>
      <c r="L247" s="3" t="str">
        <f>VLOOKUP(J247,ConstDLCIds!$A$4:$C$1000,3,FALSE)</f>
        <v>Included in base game</v>
      </c>
    </row>
    <row r="248" spans="1:12" x14ac:dyDescent="0.25">
      <c r="A248">
        <v>458</v>
      </c>
      <c r="B248">
        <v>243</v>
      </c>
      <c r="C248">
        <v>382</v>
      </c>
      <c r="D248" t="s">
        <v>2395</v>
      </c>
      <c r="E248" t="str">
        <f>IF(NOT(ISERROR(VLOOKUP(D248,'ESO DungeonFinder'!$A$2:$A$999,1,FALSE))),"X","")</f>
        <v/>
      </c>
      <c r="F248" s="70" t="str">
        <f t="shared" si="12"/>
        <v/>
      </c>
      <c r="G248" s="70" t="str">
        <f t="shared" si="15"/>
        <v>Reaper's March</v>
      </c>
      <c r="H248" s="70">
        <f t="shared" si="13"/>
        <v>458</v>
      </c>
      <c r="I248" s="70">
        <f t="shared" si="14"/>
        <v>382</v>
      </c>
      <c r="J248">
        <v>0</v>
      </c>
      <c r="K248" s="3" t="str">
        <f>VLOOKUP(J248,ConstDLCIds!$A$4:$B$1000,2,FALSE)</f>
        <v>DLC_BASE_GAME</v>
      </c>
      <c r="L248" s="3" t="str">
        <f>VLOOKUP(J248,ConstDLCIds!$A$4:$C$1000,3,FALSE)</f>
        <v>Included in base game</v>
      </c>
    </row>
    <row r="249" spans="1:12" x14ac:dyDescent="0.25">
      <c r="A249">
        <v>459</v>
      </c>
      <c r="B249">
        <v>244</v>
      </c>
      <c r="C249">
        <v>382</v>
      </c>
      <c r="D249" t="s">
        <v>2396</v>
      </c>
      <c r="E249" t="str">
        <f>IF(NOT(ISERROR(VLOOKUP(D249,'ESO DungeonFinder'!$A$2:$A$999,1,FALSE))),"X","")</f>
        <v/>
      </c>
      <c r="F249" s="70" t="str">
        <f t="shared" si="12"/>
        <v/>
      </c>
      <c r="G249" s="70" t="str">
        <f t="shared" si="15"/>
        <v>Reaper's March</v>
      </c>
      <c r="H249" s="70">
        <f t="shared" si="13"/>
        <v>459</v>
      </c>
      <c r="I249" s="70">
        <f t="shared" si="14"/>
        <v>382</v>
      </c>
      <c r="J249">
        <v>0</v>
      </c>
      <c r="K249" s="3" t="str">
        <f>VLOOKUP(J249,ConstDLCIds!$A$4:$B$1000,2,FALSE)</f>
        <v>DLC_BASE_GAME</v>
      </c>
      <c r="L249" s="3" t="str">
        <f>VLOOKUP(J249,ConstDLCIds!$A$4:$C$1000,3,FALSE)</f>
        <v>Included in base game</v>
      </c>
    </row>
    <row r="250" spans="1:12" x14ac:dyDescent="0.25">
      <c r="A250">
        <v>460</v>
      </c>
      <c r="B250">
        <v>245</v>
      </c>
      <c r="C250">
        <v>382</v>
      </c>
      <c r="D250" t="s">
        <v>2397</v>
      </c>
      <c r="E250" t="str">
        <f>IF(NOT(ISERROR(VLOOKUP(D250,'ESO DungeonFinder'!$A$2:$A$999,1,FALSE))),"X","")</f>
        <v/>
      </c>
      <c r="F250" s="70" t="str">
        <f t="shared" si="12"/>
        <v/>
      </c>
      <c r="G250" s="70" t="str">
        <f t="shared" si="15"/>
        <v>Reaper's March</v>
      </c>
      <c r="H250" s="70">
        <f t="shared" si="13"/>
        <v>460</v>
      </c>
      <c r="I250" s="70">
        <f t="shared" si="14"/>
        <v>382</v>
      </c>
      <c r="J250">
        <v>0</v>
      </c>
      <c r="K250" s="3" t="str">
        <f>VLOOKUP(J250,ConstDLCIds!$A$4:$B$1000,2,FALSE)</f>
        <v>DLC_BASE_GAME</v>
      </c>
      <c r="L250" s="3" t="str">
        <f>VLOOKUP(J250,ConstDLCIds!$A$4:$C$1000,3,FALSE)</f>
        <v>Included in base game</v>
      </c>
    </row>
    <row r="251" spans="1:12" x14ac:dyDescent="0.25">
      <c r="A251">
        <v>461</v>
      </c>
      <c r="B251">
        <v>246</v>
      </c>
      <c r="C251">
        <v>382</v>
      </c>
      <c r="D251" t="s">
        <v>2398</v>
      </c>
      <c r="E251" t="str">
        <f>IF(NOT(ISERROR(VLOOKUP(D251,'ESO DungeonFinder'!$A$2:$A$999,1,FALSE))),"X","")</f>
        <v/>
      </c>
      <c r="F251" s="70" t="str">
        <f t="shared" si="12"/>
        <v/>
      </c>
      <c r="G251" s="70" t="str">
        <f t="shared" si="15"/>
        <v>Reaper's March</v>
      </c>
      <c r="H251" s="70">
        <f t="shared" si="13"/>
        <v>461</v>
      </c>
      <c r="I251" s="70">
        <f t="shared" si="14"/>
        <v>382</v>
      </c>
      <c r="J251">
        <v>0</v>
      </c>
      <c r="K251" s="3" t="str">
        <f>VLOOKUP(J251,ConstDLCIds!$A$4:$B$1000,2,FALSE)</f>
        <v>DLC_BASE_GAME</v>
      </c>
      <c r="L251" s="3" t="str">
        <f>VLOOKUP(J251,ConstDLCIds!$A$4:$C$1000,3,FALSE)</f>
        <v>Included in base game</v>
      </c>
    </row>
    <row r="252" spans="1:12" x14ac:dyDescent="0.25">
      <c r="A252">
        <v>462</v>
      </c>
      <c r="B252">
        <v>247</v>
      </c>
      <c r="C252">
        <v>382</v>
      </c>
      <c r="D252" t="s">
        <v>2399</v>
      </c>
      <c r="E252" t="str">
        <f>IF(NOT(ISERROR(VLOOKUP(D252,'ESO DungeonFinder'!$A$2:$A$999,1,FALSE))),"X","")</f>
        <v/>
      </c>
      <c r="F252" s="70" t="str">
        <f t="shared" si="12"/>
        <v/>
      </c>
      <c r="G252" s="70" t="str">
        <f t="shared" si="15"/>
        <v>Reaper's March</v>
      </c>
      <c r="H252" s="70">
        <f t="shared" si="13"/>
        <v>462</v>
      </c>
      <c r="I252" s="70">
        <f t="shared" si="14"/>
        <v>382</v>
      </c>
      <c r="J252">
        <v>0</v>
      </c>
      <c r="K252" s="3" t="str">
        <f>VLOOKUP(J252,ConstDLCIds!$A$4:$B$1000,2,FALSE)</f>
        <v>DLC_BASE_GAME</v>
      </c>
      <c r="L252" s="3" t="str">
        <f>VLOOKUP(J252,ConstDLCIds!$A$4:$C$1000,3,FALSE)</f>
        <v>Included in base game</v>
      </c>
    </row>
    <row r="253" spans="1:12" x14ac:dyDescent="0.25">
      <c r="A253">
        <v>463</v>
      </c>
      <c r="B253">
        <v>248</v>
      </c>
      <c r="C253">
        <v>382</v>
      </c>
      <c r="D253" t="s">
        <v>2400</v>
      </c>
      <c r="E253" t="str">
        <f>IF(NOT(ISERROR(VLOOKUP(D253,'ESO DungeonFinder'!$A$2:$A$999,1,FALSE))),"X","")</f>
        <v/>
      </c>
      <c r="F253" s="70" t="str">
        <f t="shared" si="12"/>
        <v/>
      </c>
      <c r="G253" s="70" t="str">
        <f t="shared" si="15"/>
        <v>Reaper's March</v>
      </c>
      <c r="H253" s="70">
        <f t="shared" si="13"/>
        <v>463</v>
      </c>
      <c r="I253" s="70">
        <f t="shared" si="14"/>
        <v>382</v>
      </c>
      <c r="J253">
        <v>0</v>
      </c>
      <c r="K253" s="3" t="str">
        <f>VLOOKUP(J253,ConstDLCIds!$A$4:$B$1000,2,FALSE)</f>
        <v>DLC_BASE_GAME</v>
      </c>
      <c r="L253" s="3" t="str">
        <f>VLOOKUP(J253,ConstDLCIds!$A$4:$C$1000,3,FALSE)</f>
        <v>Included in base game</v>
      </c>
    </row>
    <row r="254" spans="1:12" x14ac:dyDescent="0.25">
      <c r="A254">
        <v>464</v>
      </c>
      <c r="B254">
        <v>249</v>
      </c>
      <c r="C254">
        <v>382</v>
      </c>
      <c r="D254" t="s">
        <v>2401</v>
      </c>
      <c r="E254" t="str">
        <f>IF(NOT(ISERROR(VLOOKUP(D254,'ESO DungeonFinder'!$A$2:$A$999,1,FALSE))),"X","")</f>
        <v/>
      </c>
      <c r="F254" s="70" t="str">
        <f t="shared" si="12"/>
        <v/>
      </c>
      <c r="G254" s="70" t="str">
        <f t="shared" si="15"/>
        <v>Reaper's March</v>
      </c>
      <c r="H254" s="70">
        <f t="shared" si="13"/>
        <v>464</v>
      </c>
      <c r="I254" s="70">
        <f t="shared" si="14"/>
        <v>382</v>
      </c>
      <c r="J254">
        <v>0</v>
      </c>
      <c r="K254" s="3" t="str">
        <f>VLOOKUP(J254,ConstDLCIds!$A$4:$B$1000,2,FALSE)</f>
        <v>DLC_BASE_GAME</v>
      </c>
      <c r="L254" s="3" t="str">
        <f>VLOOKUP(J254,ConstDLCIds!$A$4:$C$1000,3,FALSE)</f>
        <v>Included in base game</v>
      </c>
    </row>
    <row r="255" spans="1:12" x14ac:dyDescent="0.25">
      <c r="A255">
        <v>465</v>
      </c>
      <c r="B255">
        <v>250</v>
      </c>
      <c r="C255">
        <v>382</v>
      </c>
      <c r="D255" t="s">
        <v>2402</v>
      </c>
      <c r="E255" t="str">
        <f>IF(NOT(ISERROR(VLOOKUP(D255,'ESO DungeonFinder'!$A$2:$A$999,1,FALSE))),"X","")</f>
        <v/>
      </c>
      <c r="F255" s="70" t="str">
        <f t="shared" si="12"/>
        <v/>
      </c>
      <c r="G255" s="70" t="str">
        <f t="shared" si="15"/>
        <v>Reaper's March</v>
      </c>
      <c r="H255" s="70">
        <f t="shared" si="13"/>
        <v>465</v>
      </c>
      <c r="I255" s="70">
        <f t="shared" si="14"/>
        <v>382</v>
      </c>
      <c r="J255">
        <v>0</v>
      </c>
      <c r="K255" s="3" t="str">
        <f>VLOOKUP(J255,ConstDLCIds!$A$4:$B$1000,2,FALSE)</f>
        <v>DLC_BASE_GAME</v>
      </c>
      <c r="L255" s="3" t="str">
        <f>VLOOKUP(J255,ConstDLCIds!$A$4:$C$1000,3,FALSE)</f>
        <v>Included in base game</v>
      </c>
    </row>
    <row r="256" spans="1:12" x14ac:dyDescent="0.25">
      <c r="A256">
        <v>466</v>
      </c>
      <c r="B256">
        <v>251</v>
      </c>
      <c r="C256">
        <v>382</v>
      </c>
      <c r="D256" t="s">
        <v>2403</v>
      </c>
      <c r="E256" t="str">
        <f>IF(NOT(ISERROR(VLOOKUP(D256,'ESO DungeonFinder'!$A$2:$A$999,1,FALSE))),"X","")</f>
        <v/>
      </c>
      <c r="F256" s="70" t="str">
        <f t="shared" si="12"/>
        <v/>
      </c>
      <c r="G256" s="70" t="str">
        <f t="shared" si="15"/>
        <v>Reaper's March</v>
      </c>
      <c r="H256" s="70">
        <f t="shared" si="13"/>
        <v>466</v>
      </c>
      <c r="I256" s="70">
        <f t="shared" si="14"/>
        <v>382</v>
      </c>
      <c r="J256">
        <v>0</v>
      </c>
      <c r="K256" s="3" t="str">
        <f>VLOOKUP(J256,ConstDLCIds!$A$4:$B$1000,2,FALSE)</f>
        <v>DLC_BASE_GAME</v>
      </c>
      <c r="L256" s="3" t="str">
        <f>VLOOKUP(J256,ConstDLCIds!$A$4:$C$1000,3,FALSE)</f>
        <v>Included in base game</v>
      </c>
    </row>
    <row r="257" spans="1:12" x14ac:dyDescent="0.25">
      <c r="A257">
        <v>467</v>
      </c>
      <c r="B257">
        <v>252</v>
      </c>
      <c r="C257">
        <v>382</v>
      </c>
      <c r="D257" t="s">
        <v>2404</v>
      </c>
      <c r="E257" t="str">
        <f>IF(NOT(ISERROR(VLOOKUP(D257,'ESO DungeonFinder'!$A$2:$A$999,1,FALSE))),"X","")</f>
        <v/>
      </c>
      <c r="F257" s="70" t="str">
        <f t="shared" si="12"/>
        <v/>
      </c>
      <c r="G257" s="70" t="str">
        <f t="shared" si="15"/>
        <v>Reaper's March</v>
      </c>
      <c r="H257" s="70">
        <f t="shared" si="13"/>
        <v>467</v>
      </c>
      <c r="I257" s="70">
        <f t="shared" si="14"/>
        <v>382</v>
      </c>
      <c r="J257">
        <v>0</v>
      </c>
      <c r="K257" s="3" t="str">
        <f>VLOOKUP(J257,ConstDLCIds!$A$4:$B$1000,2,FALSE)</f>
        <v>DLC_BASE_GAME</v>
      </c>
      <c r="L257" s="3" t="str">
        <f>VLOOKUP(J257,ConstDLCIds!$A$4:$C$1000,3,FALSE)</f>
        <v>Included in base game</v>
      </c>
    </row>
    <row r="258" spans="1:12" x14ac:dyDescent="0.25">
      <c r="A258">
        <v>468</v>
      </c>
      <c r="B258">
        <v>253</v>
      </c>
      <c r="C258">
        <v>58</v>
      </c>
      <c r="D258" t="s">
        <v>2405</v>
      </c>
      <c r="E258" t="str">
        <f>IF(NOT(ISERROR(VLOOKUP(D258,'ESO DungeonFinder'!$A$2:$A$999,1,FALSE))),"X","")</f>
        <v/>
      </c>
      <c r="F258" s="70" t="str">
        <f t="shared" si="12"/>
        <v/>
      </c>
      <c r="G258" s="70" t="str">
        <f t="shared" si="15"/>
        <v>Malabal Tor</v>
      </c>
      <c r="H258" s="70">
        <f t="shared" si="13"/>
        <v>468</v>
      </c>
      <c r="I258" s="70">
        <f t="shared" si="14"/>
        <v>58</v>
      </c>
      <c r="J258">
        <v>0</v>
      </c>
      <c r="K258" s="3" t="str">
        <f>VLOOKUP(J258,ConstDLCIds!$A$4:$B$1000,2,FALSE)</f>
        <v>DLC_BASE_GAME</v>
      </c>
      <c r="L258" s="3" t="str">
        <f>VLOOKUP(J258,ConstDLCIds!$A$4:$C$1000,3,FALSE)</f>
        <v>Included in base game</v>
      </c>
    </row>
    <row r="259" spans="1:12" x14ac:dyDescent="0.25">
      <c r="A259">
        <v>469</v>
      </c>
      <c r="B259">
        <v>254</v>
      </c>
      <c r="C259">
        <v>58</v>
      </c>
      <c r="D259" t="s">
        <v>2406</v>
      </c>
      <c r="E259" t="str">
        <f>IF(NOT(ISERROR(VLOOKUP(D259,'ESO DungeonFinder'!$A$2:$A$999,1,FALSE))),"X","")</f>
        <v/>
      </c>
      <c r="F259" s="70" t="str">
        <f t="shared" si="12"/>
        <v/>
      </c>
      <c r="G259" s="70" t="str">
        <f t="shared" si="15"/>
        <v>Malabal Tor</v>
      </c>
      <c r="H259" s="70">
        <f t="shared" si="13"/>
        <v>469</v>
      </c>
      <c r="I259" s="70">
        <f t="shared" si="14"/>
        <v>58</v>
      </c>
      <c r="J259">
        <v>0</v>
      </c>
      <c r="K259" s="3" t="str">
        <f>VLOOKUP(J259,ConstDLCIds!$A$4:$B$1000,2,FALSE)</f>
        <v>DLC_BASE_GAME</v>
      </c>
      <c r="L259" s="3" t="str">
        <f>VLOOKUP(J259,ConstDLCIds!$A$4:$C$1000,3,FALSE)</f>
        <v>Included in base game</v>
      </c>
    </row>
    <row r="260" spans="1:12" x14ac:dyDescent="0.25">
      <c r="A260">
        <v>470</v>
      </c>
      <c r="B260">
        <v>255</v>
      </c>
      <c r="C260">
        <v>58</v>
      </c>
      <c r="D260" t="s">
        <v>2407</v>
      </c>
      <c r="E260" t="str">
        <f>IF(NOT(ISERROR(VLOOKUP(D260,'ESO DungeonFinder'!$A$2:$A$999,1,FALSE))),"X","")</f>
        <v/>
      </c>
      <c r="F260" s="70" t="str">
        <f t="shared" si="12"/>
        <v/>
      </c>
      <c r="G260" s="70" t="str">
        <f t="shared" si="15"/>
        <v>Malabal Tor</v>
      </c>
      <c r="H260" s="70">
        <f t="shared" si="13"/>
        <v>470</v>
      </c>
      <c r="I260" s="70">
        <f t="shared" si="14"/>
        <v>58</v>
      </c>
      <c r="J260">
        <v>0</v>
      </c>
      <c r="K260" s="3" t="str">
        <f>VLOOKUP(J260,ConstDLCIds!$A$4:$B$1000,2,FALSE)</f>
        <v>DLC_BASE_GAME</v>
      </c>
      <c r="L260" s="3" t="str">
        <f>VLOOKUP(J260,ConstDLCIds!$A$4:$C$1000,3,FALSE)</f>
        <v>Included in base game</v>
      </c>
    </row>
    <row r="261" spans="1:12" x14ac:dyDescent="0.25">
      <c r="A261">
        <v>471</v>
      </c>
      <c r="B261">
        <v>256</v>
      </c>
      <c r="C261">
        <v>58</v>
      </c>
      <c r="D261" t="s">
        <v>2408</v>
      </c>
      <c r="E261" t="str">
        <f>IF(NOT(ISERROR(VLOOKUP(D261,'ESO DungeonFinder'!$A$2:$A$999,1,FALSE))),"X","")</f>
        <v/>
      </c>
      <c r="F261" s="70" t="str">
        <f t="shared" ref="F261:F324" si="16">IF(EXACT(A261,C261),"X","")</f>
        <v/>
      </c>
      <c r="G261" s="70" t="str">
        <f t="shared" si="15"/>
        <v>Malabal Tor</v>
      </c>
      <c r="H261" s="70">
        <f t="shared" ref="H261:H324" si="17">A261</f>
        <v>471</v>
      </c>
      <c r="I261" s="70">
        <f t="shared" ref="I261:I324" si="18">C261</f>
        <v>58</v>
      </c>
      <c r="J261">
        <v>0</v>
      </c>
      <c r="K261" s="3" t="str">
        <f>VLOOKUP(J261,ConstDLCIds!$A$4:$B$1000,2,FALSE)</f>
        <v>DLC_BASE_GAME</v>
      </c>
      <c r="L261" s="3" t="str">
        <f>VLOOKUP(J261,ConstDLCIds!$A$4:$C$1000,3,FALSE)</f>
        <v>Included in base game</v>
      </c>
    </row>
    <row r="262" spans="1:12" x14ac:dyDescent="0.25">
      <c r="A262">
        <v>472</v>
      </c>
      <c r="B262">
        <v>257</v>
      </c>
      <c r="C262">
        <v>58</v>
      </c>
      <c r="D262" t="s">
        <v>2409</v>
      </c>
      <c r="E262" t="str">
        <f>IF(NOT(ISERROR(VLOOKUP(D262,'ESO DungeonFinder'!$A$2:$A$999,1,FALSE))),"X","")</f>
        <v/>
      </c>
      <c r="F262" s="70" t="str">
        <f t="shared" si="16"/>
        <v/>
      </c>
      <c r="G262" s="70" t="str">
        <f t="shared" ref="G262:G325" si="19">IF(A262&lt;&gt;C262,VLOOKUP(C262,$A$5:$D$9956,4,FALSE),"")</f>
        <v>Malabal Tor</v>
      </c>
      <c r="H262" s="70">
        <f t="shared" si="17"/>
        <v>472</v>
      </c>
      <c r="I262" s="70">
        <f t="shared" si="18"/>
        <v>58</v>
      </c>
      <c r="J262">
        <v>0</v>
      </c>
      <c r="K262" s="3" t="str">
        <f>VLOOKUP(J262,ConstDLCIds!$A$4:$B$1000,2,FALSE)</f>
        <v>DLC_BASE_GAME</v>
      </c>
      <c r="L262" s="3" t="str">
        <f>VLOOKUP(J262,ConstDLCIds!$A$4:$C$1000,3,FALSE)</f>
        <v>Included in base game</v>
      </c>
    </row>
    <row r="263" spans="1:12" x14ac:dyDescent="0.25">
      <c r="A263">
        <v>473</v>
      </c>
      <c r="B263">
        <v>258</v>
      </c>
      <c r="C263">
        <v>58</v>
      </c>
      <c r="D263" t="s">
        <v>2410</v>
      </c>
      <c r="E263" t="str">
        <f>IF(NOT(ISERROR(VLOOKUP(D263,'ESO DungeonFinder'!$A$2:$A$999,1,FALSE))),"X","")</f>
        <v/>
      </c>
      <c r="F263" s="70" t="str">
        <f t="shared" si="16"/>
        <v/>
      </c>
      <c r="G263" s="70" t="str">
        <f t="shared" si="19"/>
        <v>Malabal Tor</v>
      </c>
      <c r="H263" s="70">
        <f t="shared" si="17"/>
        <v>473</v>
      </c>
      <c r="I263" s="70">
        <f t="shared" si="18"/>
        <v>58</v>
      </c>
      <c r="J263">
        <v>0</v>
      </c>
      <c r="K263" s="3" t="str">
        <f>VLOOKUP(J263,ConstDLCIds!$A$4:$B$1000,2,FALSE)</f>
        <v>DLC_BASE_GAME</v>
      </c>
      <c r="L263" s="3" t="str">
        <f>VLOOKUP(J263,ConstDLCIds!$A$4:$C$1000,3,FALSE)</f>
        <v>Included in base game</v>
      </c>
    </row>
    <row r="264" spans="1:12" x14ac:dyDescent="0.25">
      <c r="A264">
        <v>475</v>
      </c>
      <c r="B264">
        <v>259</v>
      </c>
      <c r="C264">
        <v>383</v>
      </c>
      <c r="D264" t="s">
        <v>2411</v>
      </c>
      <c r="E264" t="str">
        <f>IF(NOT(ISERROR(VLOOKUP(D264,'ESO DungeonFinder'!$A$2:$A$999,1,FALSE))),"X","")</f>
        <v/>
      </c>
      <c r="F264" s="70" t="str">
        <f t="shared" si="16"/>
        <v/>
      </c>
      <c r="G264" s="70" t="str">
        <f t="shared" si="19"/>
        <v>Grahtwood</v>
      </c>
      <c r="H264" s="70">
        <f t="shared" si="17"/>
        <v>475</v>
      </c>
      <c r="I264" s="70">
        <f t="shared" si="18"/>
        <v>383</v>
      </c>
      <c r="J264">
        <v>0</v>
      </c>
      <c r="K264" s="3" t="str">
        <f>VLOOKUP(J264,ConstDLCIds!$A$4:$B$1000,2,FALSE)</f>
        <v>DLC_BASE_GAME</v>
      </c>
      <c r="L264" s="3" t="str">
        <f>VLOOKUP(J264,ConstDLCIds!$A$4:$C$1000,3,FALSE)</f>
        <v>Included in base game</v>
      </c>
    </row>
    <row r="265" spans="1:12" x14ac:dyDescent="0.25">
      <c r="A265">
        <v>477</v>
      </c>
      <c r="B265">
        <v>260</v>
      </c>
      <c r="C265">
        <v>383</v>
      </c>
      <c r="D265" t="s">
        <v>2412</v>
      </c>
      <c r="E265" t="str">
        <f>IF(NOT(ISERROR(VLOOKUP(D265,'ESO DungeonFinder'!$A$2:$A$999,1,FALSE))),"X","")</f>
        <v/>
      </c>
      <c r="F265" s="70" t="str">
        <f t="shared" si="16"/>
        <v/>
      </c>
      <c r="G265" s="70" t="str">
        <f t="shared" si="19"/>
        <v>Grahtwood</v>
      </c>
      <c r="H265" s="70">
        <f t="shared" si="17"/>
        <v>477</v>
      </c>
      <c r="I265" s="70">
        <f t="shared" si="18"/>
        <v>383</v>
      </c>
      <c r="J265">
        <v>0</v>
      </c>
      <c r="K265" s="3" t="str">
        <f>VLOOKUP(J265,ConstDLCIds!$A$4:$B$1000,2,FALSE)</f>
        <v>DLC_BASE_GAME</v>
      </c>
      <c r="L265" s="3" t="str">
        <f>VLOOKUP(J265,ConstDLCIds!$A$4:$C$1000,3,FALSE)</f>
        <v>Included in base game</v>
      </c>
    </row>
    <row r="266" spans="1:12" x14ac:dyDescent="0.25">
      <c r="A266">
        <v>478</v>
      </c>
      <c r="B266">
        <v>261</v>
      </c>
      <c r="C266">
        <v>383</v>
      </c>
      <c r="D266" t="s">
        <v>2413</v>
      </c>
      <c r="E266" t="str">
        <f>IF(NOT(ISERROR(VLOOKUP(D266,'ESO DungeonFinder'!$A$2:$A$999,1,FALSE))),"X","")</f>
        <v/>
      </c>
      <c r="F266" s="70" t="str">
        <f t="shared" si="16"/>
        <v/>
      </c>
      <c r="G266" s="70" t="str">
        <f t="shared" si="19"/>
        <v>Grahtwood</v>
      </c>
      <c r="H266" s="70">
        <f t="shared" si="17"/>
        <v>478</v>
      </c>
      <c r="I266" s="70">
        <f t="shared" si="18"/>
        <v>383</v>
      </c>
      <c r="J266">
        <v>0</v>
      </c>
      <c r="K266" s="3" t="str">
        <f>VLOOKUP(J266,ConstDLCIds!$A$4:$B$1000,2,FALSE)</f>
        <v>DLC_BASE_GAME</v>
      </c>
      <c r="L266" s="3" t="str">
        <f>VLOOKUP(J266,ConstDLCIds!$A$4:$C$1000,3,FALSE)</f>
        <v>Included in base game</v>
      </c>
    </row>
    <row r="267" spans="1:12" x14ac:dyDescent="0.25">
      <c r="A267">
        <v>480</v>
      </c>
      <c r="B267">
        <v>262</v>
      </c>
      <c r="C267">
        <v>103</v>
      </c>
      <c r="D267" t="s">
        <v>2414</v>
      </c>
      <c r="E267" t="str">
        <f>IF(NOT(ISERROR(VLOOKUP(D267,'ESO DungeonFinder'!$A$2:$A$999,1,FALSE))),"X","")</f>
        <v/>
      </c>
      <c r="F267" s="70" t="str">
        <f t="shared" si="16"/>
        <v/>
      </c>
      <c r="G267" s="70" t="str">
        <f t="shared" si="19"/>
        <v>The Rift</v>
      </c>
      <c r="H267" s="70">
        <f t="shared" si="17"/>
        <v>480</v>
      </c>
      <c r="I267" s="70">
        <f t="shared" si="18"/>
        <v>103</v>
      </c>
      <c r="J267">
        <v>0</v>
      </c>
      <c r="K267" s="3" t="str">
        <f>VLOOKUP(J267,ConstDLCIds!$A$4:$B$1000,2,FALSE)</f>
        <v>DLC_BASE_GAME</v>
      </c>
      <c r="L267" s="3" t="str">
        <f>VLOOKUP(J267,ConstDLCIds!$A$4:$C$1000,3,FALSE)</f>
        <v>Included in base game</v>
      </c>
    </row>
    <row r="268" spans="1:12" x14ac:dyDescent="0.25">
      <c r="A268">
        <v>481</v>
      </c>
      <c r="B268">
        <v>263</v>
      </c>
      <c r="C268">
        <v>103</v>
      </c>
      <c r="D268" t="s">
        <v>2415</v>
      </c>
      <c r="E268" t="str">
        <f>IF(NOT(ISERROR(VLOOKUP(D268,'ESO DungeonFinder'!$A$2:$A$999,1,FALSE))),"X","")</f>
        <v/>
      </c>
      <c r="F268" s="70" t="str">
        <f t="shared" si="16"/>
        <v/>
      </c>
      <c r="G268" s="70" t="str">
        <f t="shared" si="19"/>
        <v>The Rift</v>
      </c>
      <c r="H268" s="70">
        <f t="shared" si="17"/>
        <v>481</v>
      </c>
      <c r="I268" s="70">
        <f t="shared" si="18"/>
        <v>103</v>
      </c>
      <c r="J268">
        <v>0</v>
      </c>
      <c r="K268" s="3" t="str">
        <f>VLOOKUP(J268,ConstDLCIds!$A$4:$B$1000,2,FALSE)</f>
        <v>DLC_BASE_GAME</v>
      </c>
      <c r="L268" s="3" t="str">
        <f>VLOOKUP(J268,ConstDLCIds!$A$4:$C$1000,3,FALSE)</f>
        <v>Included in base game</v>
      </c>
    </row>
    <row r="269" spans="1:12" x14ac:dyDescent="0.25">
      <c r="A269">
        <v>482</v>
      </c>
      <c r="B269">
        <v>264</v>
      </c>
      <c r="C269">
        <v>103</v>
      </c>
      <c r="D269" t="s">
        <v>2416</v>
      </c>
      <c r="E269" t="str">
        <f>IF(NOT(ISERROR(VLOOKUP(D269,'ESO DungeonFinder'!$A$2:$A$999,1,FALSE))),"X","")</f>
        <v/>
      </c>
      <c r="F269" s="70" t="str">
        <f t="shared" si="16"/>
        <v/>
      </c>
      <c r="G269" s="70" t="str">
        <f t="shared" si="19"/>
        <v>The Rift</v>
      </c>
      <c r="H269" s="70">
        <f t="shared" si="17"/>
        <v>482</v>
      </c>
      <c r="I269" s="70">
        <f t="shared" si="18"/>
        <v>103</v>
      </c>
      <c r="J269">
        <v>0</v>
      </c>
      <c r="K269" s="3" t="str">
        <f>VLOOKUP(J269,ConstDLCIds!$A$4:$B$1000,2,FALSE)</f>
        <v>DLC_BASE_GAME</v>
      </c>
      <c r="L269" s="3" t="str">
        <f>VLOOKUP(J269,ConstDLCIds!$A$4:$C$1000,3,FALSE)</f>
        <v>Included in base game</v>
      </c>
    </row>
    <row r="270" spans="1:12" x14ac:dyDescent="0.25">
      <c r="A270">
        <v>484</v>
      </c>
      <c r="B270">
        <v>265</v>
      </c>
      <c r="C270">
        <v>103</v>
      </c>
      <c r="D270" t="s">
        <v>2417</v>
      </c>
      <c r="E270" t="str">
        <f>IF(NOT(ISERROR(VLOOKUP(D270,'ESO DungeonFinder'!$A$2:$A$999,1,FALSE))),"X","")</f>
        <v/>
      </c>
      <c r="F270" s="70" t="str">
        <f t="shared" si="16"/>
        <v/>
      </c>
      <c r="G270" s="70" t="str">
        <f t="shared" si="19"/>
        <v>The Rift</v>
      </c>
      <c r="H270" s="70">
        <f t="shared" si="17"/>
        <v>484</v>
      </c>
      <c r="I270" s="70">
        <f t="shared" si="18"/>
        <v>103</v>
      </c>
      <c r="J270">
        <v>0</v>
      </c>
      <c r="K270" s="3" t="str">
        <f>VLOOKUP(J270,ConstDLCIds!$A$4:$B$1000,2,FALSE)</f>
        <v>DLC_BASE_GAME</v>
      </c>
      <c r="L270" s="3" t="str">
        <f>VLOOKUP(J270,ConstDLCIds!$A$4:$C$1000,3,FALSE)</f>
        <v>Included in base game</v>
      </c>
    </row>
    <row r="271" spans="1:12" x14ac:dyDescent="0.25">
      <c r="A271">
        <v>485</v>
      </c>
      <c r="B271">
        <v>266</v>
      </c>
      <c r="C271">
        <v>103</v>
      </c>
      <c r="D271" t="s">
        <v>2418</v>
      </c>
      <c r="E271" t="str">
        <f>IF(NOT(ISERROR(VLOOKUP(D271,'ESO DungeonFinder'!$A$2:$A$999,1,FALSE))),"X","")</f>
        <v/>
      </c>
      <c r="F271" s="70" t="str">
        <f t="shared" si="16"/>
        <v/>
      </c>
      <c r="G271" s="70" t="str">
        <f t="shared" si="19"/>
        <v>The Rift</v>
      </c>
      <c r="H271" s="70">
        <f t="shared" si="17"/>
        <v>485</v>
      </c>
      <c r="I271" s="70">
        <f t="shared" si="18"/>
        <v>103</v>
      </c>
      <c r="J271">
        <v>0</v>
      </c>
      <c r="K271" s="3" t="str">
        <f>VLOOKUP(J271,ConstDLCIds!$A$4:$B$1000,2,FALSE)</f>
        <v>DLC_BASE_GAME</v>
      </c>
      <c r="L271" s="3" t="str">
        <f>VLOOKUP(J271,ConstDLCIds!$A$4:$C$1000,3,FALSE)</f>
        <v>Included in base game</v>
      </c>
    </row>
    <row r="272" spans="1:12" x14ac:dyDescent="0.25">
      <c r="A272">
        <v>486</v>
      </c>
      <c r="B272">
        <v>267</v>
      </c>
      <c r="C272">
        <v>381</v>
      </c>
      <c r="D272" t="s">
        <v>2184</v>
      </c>
      <c r="E272" t="str">
        <f>IF(NOT(ISERROR(VLOOKUP(D272,'ESO DungeonFinder'!$A$2:$A$999,1,FALSE))),"X","")</f>
        <v/>
      </c>
      <c r="F272" s="70" t="str">
        <f t="shared" si="16"/>
        <v/>
      </c>
      <c r="G272" s="70" t="str">
        <f t="shared" si="19"/>
        <v>Auridon</v>
      </c>
      <c r="H272" s="70">
        <f t="shared" si="17"/>
        <v>486</v>
      </c>
      <c r="I272" s="70">
        <f t="shared" si="18"/>
        <v>381</v>
      </c>
      <c r="J272">
        <v>0</v>
      </c>
      <c r="K272" s="3" t="str">
        <f>VLOOKUP(J272,ConstDLCIds!$A$4:$B$1000,2,FALSE)</f>
        <v>DLC_BASE_GAME</v>
      </c>
      <c r="L272" s="3" t="str">
        <f>VLOOKUP(J272,ConstDLCIds!$A$4:$C$1000,3,FALSE)</f>
        <v>Included in base game</v>
      </c>
    </row>
    <row r="273" spans="1:12" x14ac:dyDescent="0.25">
      <c r="A273">
        <v>487</v>
      </c>
      <c r="B273">
        <v>268</v>
      </c>
      <c r="C273">
        <v>382</v>
      </c>
      <c r="D273" t="s">
        <v>2185</v>
      </c>
      <c r="E273" t="str">
        <f>IF(NOT(ISERROR(VLOOKUP(D273,'ESO DungeonFinder'!$A$2:$A$999,1,FALSE))),"X","")</f>
        <v/>
      </c>
      <c r="F273" s="70" t="str">
        <f t="shared" si="16"/>
        <v/>
      </c>
      <c r="G273" s="70" t="str">
        <f t="shared" si="19"/>
        <v>Reaper's March</v>
      </c>
      <c r="H273" s="70">
        <f t="shared" si="17"/>
        <v>487</v>
      </c>
      <c r="I273" s="70">
        <f t="shared" si="18"/>
        <v>382</v>
      </c>
      <c r="J273">
        <v>0</v>
      </c>
      <c r="K273" s="3" t="str">
        <f>VLOOKUP(J273,ConstDLCIds!$A$4:$B$1000,2,FALSE)</f>
        <v>DLC_BASE_GAME</v>
      </c>
      <c r="L273" s="3" t="str">
        <f>VLOOKUP(J273,ConstDLCIds!$A$4:$C$1000,3,FALSE)</f>
        <v>Included in base game</v>
      </c>
    </row>
    <row r="274" spans="1:12" x14ac:dyDescent="0.25">
      <c r="A274">
        <v>492</v>
      </c>
      <c r="B274">
        <v>269</v>
      </c>
      <c r="C274">
        <v>41</v>
      </c>
      <c r="D274" t="s">
        <v>2419</v>
      </c>
      <c r="E274" t="str">
        <f>IF(NOT(ISERROR(VLOOKUP(D274,'ESO DungeonFinder'!$A$2:$A$999,1,FALSE))),"X","")</f>
        <v/>
      </c>
      <c r="F274" s="70" t="str">
        <f t="shared" si="16"/>
        <v/>
      </c>
      <c r="G274" s="70" t="str">
        <f t="shared" si="19"/>
        <v>Stonefalls</v>
      </c>
      <c r="H274" s="70">
        <f t="shared" si="17"/>
        <v>492</v>
      </c>
      <c r="I274" s="70">
        <f t="shared" si="18"/>
        <v>41</v>
      </c>
      <c r="J274">
        <v>0</v>
      </c>
      <c r="K274" s="3" t="str">
        <f>VLOOKUP(J274,ConstDLCIds!$A$4:$B$1000,2,FALSE)</f>
        <v>DLC_BASE_GAME</v>
      </c>
      <c r="L274" s="3" t="str">
        <f>VLOOKUP(J274,ConstDLCIds!$A$4:$C$1000,3,FALSE)</f>
        <v>Included in base game</v>
      </c>
    </row>
    <row r="275" spans="1:12" x14ac:dyDescent="0.25">
      <c r="A275">
        <v>493</v>
      </c>
      <c r="B275">
        <v>270</v>
      </c>
      <c r="C275">
        <v>181</v>
      </c>
      <c r="D275" t="s">
        <v>2420</v>
      </c>
      <c r="E275" t="str">
        <f>IF(NOT(ISERROR(VLOOKUP(D275,'ESO DungeonFinder'!$A$2:$A$999,1,FALSE))),"X","")</f>
        <v/>
      </c>
      <c r="F275" s="70" t="str">
        <f t="shared" si="16"/>
        <v/>
      </c>
      <c r="G275" s="70" t="str">
        <f t="shared" si="19"/>
        <v>Cyrodiil</v>
      </c>
      <c r="H275" s="70">
        <f t="shared" si="17"/>
        <v>493</v>
      </c>
      <c r="I275" s="70">
        <f t="shared" si="18"/>
        <v>181</v>
      </c>
      <c r="J275">
        <v>0</v>
      </c>
      <c r="K275" s="3" t="str">
        <f>VLOOKUP(J275,ConstDLCIds!$A$4:$B$1000,2,FALSE)</f>
        <v>DLC_BASE_GAME</v>
      </c>
      <c r="L275" s="3" t="str">
        <f>VLOOKUP(J275,ConstDLCIds!$A$4:$C$1000,3,FALSE)</f>
        <v>Included in base game</v>
      </c>
    </row>
    <row r="276" spans="1:12" x14ac:dyDescent="0.25">
      <c r="A276">
        <v>494</v>
      </c>
      <c r="B276">
        <v>271</v>
      </c>
      <c r="C276">
        <v>181</v>
      </c>
      <c r="D276" t="s">
        <v>2421</v>
      </c>
      <c r="E276" t="str">
        <f>IF(NOT(ISERROR(VLOOKUP(D276,'ESO DungeonFinder'!$A$2:$A$999,1,FALSE))),"X","")</f>
        <v/>
      </c>
      <c r="F276" s="70" t="str">
        <f t="shared" si="16"/>
        <v/>
      </c>
      <c r="G276" s="70" t="str">
        <f t="shared" si="19"/>
        <v>Cyrodiil</v>
      </c>
      <c r="H276" s="70">
        <f t="shared" si="17"/>
        <v>494</v>
      </c>
      <c r="I276" s="70">
        <f t="shared" si="18"/>
        <v>181</v>
      </c>
      <c r="J276">
        <v>0</v>
      </c>
      <c r="K276" s="3" t="str">
        <f>VLOOKUP(J276,ConstDLCIds!$A$4:$B$1000,2,FALSE)</f>
        <v>DLC_BASE_GAME</v>
      </c>
      <c r="L276" s="3" t="str">
        <f>VLOOKUP(J276,ConstDLCIds!$A$4:$C$1000,3,FALSE)</f>
        <v>Included in base game</v>
      </c>
    </row>
    <row r="277" spans="1:12" x14ac:dyDescent="0.25">
      <c r="A277">
        <v>495</v>
      </c>
      <c r="B277">
        <v>272</v>
      </c>
      <c r="C277">
        <v>181</v>
      </c>
      <c r="D277" t="s">
        <v>2422</v>
      </c>
      <c r="E277" t="str">
        <f>IF(NOT(ISERROR(VLOOKUP(D277,'ESO DungeonFinder'!$A$2:$A$999,1,FALSE))),"X","")</f>
        <v/>
      </c>
      <c r="F277" s="70" t="str">
        <f t="shared" si="16"/>
        <v/>
      </c>
      <c r="G277" s="70" t="str">
        <f t="shared" si="19"/>
        <v>Cyrodiil</v>
      </c>
      <c r="H277" s="70">
        <f t="shared" si="17"/>
        <v>495</v>
      </c>
      <c r="I277" s="70">
        <f t="shared" si="18"/>
        <v>181</v>
      </c>
      <c r="J277">
        <v>0</v>
      </c>
      <c r="K277" s="3" t="str">
        <f>VLOOKUP(J277,ConstDLCIds!$A$4:$B$1000,2,FALSE)</f>
        <v>DLC_BASE_GAME</v>
      </c>
      <c r="L277" s="3" t="str">
        <f>VLOOKUP(J277,ConstDLCIds!$A$4:$C$1000,3,FALSE)</f>
        <v>Included in base game</v>
      </c>
    </row>
    <row r="278" spans="1:12" x14ac:dyDescent="0.25">
      <c r="A278">
        <v>496</v>
      </c>
      <c r="B278">
        <v>273</v>
      </c>
      <c r="C278">
        <v>181</v>
      </c>
      <c r="D278" t="s">
        <v>2423</v>
      </c>
      <c r="E278" t="str">
        <f>IF(NOT(ISERROR(VLOOKUP(D278,'ESO DungeonFinder'!$A$2:$A$999,1,FALSE))),"X","")</f>
        <v/>
      </c>
      <c r="F278" s="70" t="str">
        <f t="shared" si="16"/>
        <v/>
      </c>
      <c r="G278" s="70" t="str">
        <f t="shared" si="19"/>
        <v>Cyrodiil</v>
      </c>
      <c r="H278" s="70">
        <f t="shared" si="17"/>
        <v>496</v>
      </c>
      <c r="I278" s="70">
        <f t="shared" si="18"/>
        <v>181</v>
      </c>
      <c r="J278">
        <v>0</v>
      </c>
      <c r="K278" s="3" t="str">
        <f>VLOOKUP(J278,ConstDLCIds!$A$4:$B$1000,2,FALSE)</f>
        <v>DLC_BASE_GAME</v>
      </c>
      <c r="L278" s="3" t="str">
        <f>VLOOKUP(J278,ConstDLCIds!$A$4:$C$1000,3,FALSE)</f>
        <v>Included in base game</v>
      </c>
    </row>
    <row r="279" spans="1:12" x14ac:dyDescent="0.25">
      <c r="A279">
        <v>497</v>
      </c>
      <c r="B279">
        <v>274</v>
      </c>
      <c r="C279">
        <v>181</v>
      </c>
      <c r="D279" t="s">
        <v>2424</v>
      </c>
      <c r="E279" t="str">
        <f>IF(NOT(ISERROR(VLOOKUP(D279,'ESO DungeonFinder'!$A$2:$A$999,1,FALSE))),"X","")</f>
        <v/>
      </c>
      <c r="F279" s="70" t="str">
        <f t="shared" si="16"/>
        <v/>
      </c>
      <c r="G279" s="70" t="str">
        <f t="shared" si="19"/>
        <v>Cyrodiil</v>
      </c>
      <c r="H279" s="70">
        <f t="shared" si="17"/>
        <v>497</v>
      </c>
      <c r="I279" s="70">
        <f t="shared" si="18"/>
        <v>181</v>
      </c>
      <c r="J279">
        <v>0</v>
      </c>
      <c r="K279" s="3" t="str">
        <f>VLOOKUP(J279,ConstDLCIds!$A$4:$B$1000,2,FALSE)</f>
        <v>DLC_BASE_GAME</v>
      </c>
      <c r="L279" s="3" t="str">
        <f>VLOOKUP(J279,ConstDLCIds!$A$4:$C$1000,3,FALSE)</f>
        <v>Included in base game</v>
      </c>
    </row>
    <row r="280" spans="1:12" x14ac:dyDescent="0.25">
      <c r="A280">
        <v>498</v>
      </c>
      <c r="B280">
        <v>275</v>
      </c>
      <c r="C280">
        <v>181</v>
      </c>
      <c r="D280" t="s">
        <v>2425</v>
      </c>
      <c r="E280" t="str">
        <f>IF(NOT(ISERROR(VLOOKUP(D280,'ESO DungeonFinder'!$A$2:$A$999,1,FALSE))),"X","")</f>
        <v/>
      </c>
      <c r="F280" s="70" t="str">
        <f t="shared" si="16"/>
        <v/>
      </c>
      <c r="G280" s="70" t="str">
        <f t="shared" si="19"/>
        <v>Cyrodiil</v>
      </c>
      <c r="H280" s="70">
        <f t="shared" si="17"/>
        <v>498</v>
      </c>
      <c r="I280" s="70">
        <f t="shared" si="18"/>
        <v>181</v>
      </c>
      <c r="J280">
        <v>0</v>
      </c>
      <c r="K280" s="3" t="str">
        <f>VLOOKUP(J280,ConstDLCIds!$A$4:$B$1000,2,FALSE)</f>
        <v>DLC_BASE_GAME</v>
      </c>
      <c r="L280" s="3" t="str">
        <f>VLOOKUP(J280,ConstDLCIds!$A$4:$C$1000,3,FALSE)</f>
        <v>Included in base game</v>
      </c>
    </row>
    <row r="281" spans="1:12" x14ac:dyDescent="0.25">
      <c r="A281">
        <v>499</v>
      </c>
      <c r="B281">
        <v>276</v>
      </c>
      <c r="C281">
        <v>181</v>
      </c>
      <c r="D281" t="s">
        <v>2426</v>
      </c>
      <c r="E281" t="str">
        <f>IF(NOT(ISERROR(VLOOKUP(D281,'ESO DungeonFinder'!$A$2:$A$999,1,FALSE))),"X","")</f>
        <v/>
      </c>
      <c r="F281" s="70" t="str">
        <f t="shared" si="16"/>
        <v/>
      </c>
      <c r="G281" s="70" t="str">
        <f t="shared" si="19"/>
        <v>Cyrodiil</v>
      </c>
      <c r="H281" s="70">
        <f t="shared" si="17"/>
        <v>499</v>
      </c>
      <c r="I281" s="70">
        <f t="shared" si="18"/>
        <v>181</v>
      </c>
      <c r="J281">
        <v>0</v>
      </c>
      <c r="K281" s="3" t="str">
        <f>VLOOKUP(J281,ConstDLCIds!$A$4:$B$1000,2,FALSE)</f>
        <v>DLC_BASE_GAME</v>
      </c>
      <c r="L281" s="3" t="str">
        <f>VLOOKUP(J281,ConstDLCIds!$A$4:$C$1000,3,FALSE)</f>
        <v>Included in base game</v>
      </c>
    </row>
    <row r="282" spans="1:12" x14ac:dyDescent="0.25">
      <c r="A282">
        <v>500</v>
      </c>
      <c r="B282">
        <v>277</v>
      </c>
      <c r="C282">
        <v>181</v>
      </c>
      <c r="D282" t="s">
        <v>2427</v>
      </c>
      <c r="E282" t="str">
        <f>IF(NOT(ISERROR(VLOOKUP(D282,'ESO DungeonFinder'!$A$2:$A$999,1,FALSE))),"X","")</f>
        <v/>
      </c>
      <c r="F282" s="70" t="str">
        <f t="shared" si="16"/>
        <v/>
      </c>
      <c r="G282" s="70" t="str">
        <f t="shared" si="19"/>
        <v>Cyrodiil</v>
      </c>
      <c r="H282" s="70">
        <f t="shared" si="17"/>
        <v>500</v>
      </c>
      <c r="I282" s="70">
        <f t="shared" si="18"/>
        <v>181</v>
      </c>
      <c r="J282">
        <v>0</v>
      </c>
      <c r="K282" s="3" t="str">
        <f>VLOOKUP(J282,ConstDLCIds!$A$4:$B$1000,2,FALSE)</f>
        <v>DLC_BASE_GAME</v>
      </c>
      <c r="L282" s="3" t="str">
        <f>VLOOKUP(J282,ConstDLCIds!$A$4:$C$1000,3,FALSE)</f>
        <v>Included in base game</v>
      </c>
    </row>
    <row r="283" spans="1:12" x14ac:dyDescent="0.25">
      <c r="A283">
        <v>501</v>
      </c>
      <c r="B283">
        <v>278</v>
      </c>
      <c r="C283">
        <v>181</v>
      </c>
      <c r="D283" t="s">
        <v>2428</v>
      </c>
      <c r="E283" t="str">
        <f>IF(NOT(ISERROR(VLOOKUP(D283,'ESO DungeonFinder'!$A$2:$A$999,1,FALSE))),"X","")</f>
        <v/>
      </c>
      <c r="F283" s="70" t="str">
        <f t="shared" si="16"/>
        <v/>
      </c>
      <c r="G283" s="70" t="str">
        <f t="shared" si="19"/>
        <v>Cyrodiil</v>
      </c>
      <c r="H283" s="70">
        <f t="shared" si="17"/>
        <v>501</v>
      </c>
      <c r="I283" s="70">
        <f t="shared" si="18"/>
        <v>181</v>
      </c>
      <c r="J283">
        <v>0</v>
      </c>
      <c r="K283" s="3" t="str">
        <f>VLOOKUP(J283,ConstDLCIds!$A$4:$B$1000,2,FALSE)</f>
        <v>DLC_BASE_GAME</v>
      </c>
      <c r="L283" s="3" t="str">
        <f>VLOOKUP(J283,ConstDLCIds!$A$4:$C$1000,3,FALSE)</f>
        <v>Included in base game</v>
      </c>
    </row>
    <row r="284" spans="1:12" x14ac:dyDescent="0.25">
      <c r="A284">
        <v>502</v>
      </c>
      <c r="B284">
        <v>279</v>
      </c>
      <c r="C284">
        <v>181</v>
      </c>
      <c r="D284" t="s">
        <v>2429</v>
      </c>
      <c r="E284" t="str">
        <f>IF(NOT(ISERROR(VLOOKUP(D284,'ESO DungeonFinder'!$A$2:$A$999,1,FALSE))),"X","")</f>
        <v/>
      </c>
      <c r="F284" s="70" t="str">
        <f t="shared" si="16"/>
        <v/>
      </c>
      <c r="G284" s="70" t="str">
        <f t="shared" si="19"/>
        <v>Cyrodiil</v>
      </c>
      <c r="H284" s="70">
        <f t="shared" si="17"/>
        <v>502</v>
      </c>
      <c r="I284" s="70">
        <f t="shared" si="18"/>
        <v>181</v>
      </c>
      <c r="J284">
        <v>0</v>
      </c>
      <c r="K284" s="3" t="str">
        <f>VLOOKUP(J284,ConstDLCIds!$A$4:$B$1000,2,FALSE)</f>
        <v>DLC_BASE_GAME</v>
      </c>
      <c r="L284" s="3" t="str">
        <f>VLOOKUP(J284,ConstDLCIds!$A$4:$C$1000,3,FALSE)</f>
        <v>Included in base game</v>
      </c>
    </row>
    <row r="285" spans="1:12" x14ac:dyDescent="0.25">
      <c r="A285">
        <v>503</v>
      </c>
      <c r="B285">
        <v>280</v>
      </c>
      <c r="C285">
        <v>181</v>
      </c>
      <c r="D285" t="s">
        <v>2430</v>
      </c>
      <c r="E285" t="str">
        <f>IF(NOT(ISERROR(VLOOKUP(D285,'ESO DungeonFinder'!$A$2:$A$999,1,FALSE))),"X","")</f>
        <v/>
      </c>
      <c r="F285" s="70" t="str">
        <f t="shared" si="16"/>
        <v/>
      </c>
      <c r="G285" s="70" t="str">
        <f t="shared" si="19"/>
        <v>Cyrodiil</v>
      </c>
      <c r="H285" s="70">
        <f t="shared" si="17"/>
        <v>503</v>
      </c>
      <c r="I285" s="70">
        <f t="shared" si="18"/>
        <v>181</v>
      </c>
      <c r="J285">
        <v>0</v>
      </c>
      <c r="K285" s="3" t="str">
        <f>VLOOKUP(J285,ConstDLCIds!$A$4:$B$1000,2,FALSE)</f>
        <v>DLC_BASE_GAME</v>
      </c>
      <c r="L285" s="3" t="str">
        <f>VLOOKUP(J285,ConstDLCIds!$A$4:$C$1000,3,FALSE)</f>
        <v>Included in base game</v>
      </c>
    </row>
    <row r="286" spans="1:12" x14ac:dyDescent="0.25">
      <c r="A286">
        <v>504</v>
      </c>
      <c r="B286">
        <v>281</v>
      </c>
      <c r="C286">
        <v>181</v>
      </c>
      <c r="D286" t="s">
        <v>2431</v>
      </c>
      <c r="E286" t="str">
        <f>IF(NOT(ISERROR(VLOOKUP(D286,'ESO DungeonFinder'!$A$2:$A$999,1,FALSE))),"X","")</f>
        <v/>
      </c>
      <c r="F286" s="70" t="str">
        <f t="shared" si="16"/>
        <v/>
      </c>
      <c r="G286" s="70" t="str">
        <f t="shared" si="19"/>
        <v>Cyrodiil</v>
      </c>
      <c r="H286" s="70">
        <f t="shared" si="17"/>
        <v>504</v>
      </c>
      <c r="I286" s="70">
        <f t="shared" si="18"/>
        <v>181</v>
      </c>
      <c r="J286">
        <v>0</v>
      </c>
      <c r="K286" s="3" t="str">
        <f>VLOOKUP(J286,ConstDLCIds!$A$4:$B$1000,2,FALSE)</f>
        <v>DLC_BASE_GAME</v>
      </c>
      <c r="L286" s="3" t="str">
        <f>VLOOKUP(J286,ConstDLCIds!$A$4:$C$1000,3,FALSE)</f>
        <v>Included in base game</v>
      </c>
    </row>
    <row r="287" spans="1:12" x14ac:dyDescent="0.25">
      <c r="A287">
        <v>505</v>
      </c>
      <c r="B287">
        <v>282</v>
      </c>
      <c r="C287">
        <v>181</v>
      </c>
      <c r="D287" t="s">
        <v>2432</v>
      </c>
      <c r="E287" t="str">
        <f>IF(NOT(ISERROR(VLOOKUP(D287,'ESO DungeonFinder'!$A$2:$A$999,1,FALSE))),"X","")</f>
        <v/>
      </c>
      <c r="F287" s="70" t="str">
        <f t="shared" si="16"/>
        <v/>
      </c>
      <c r="G287" s="70" t="str">
        <f t="shared" si="19"/>
        <v>Cyrodiil</v>
      </c>
      <c r="H287" s="70">
        <f t="shared" si="17"/>
        <v>505</v>
      </c>
      <c r="I287" s="70">
        <f t="shared" si="18"/>
        <v>181</v>
      </c>
      <c r="J287">
        <v>0</v>
      </c>
      <c r="K287" s="3" t="str">
        <f>VLOOKUP(J287,ConstDLCIds!$A$4:$B$1000,2,FALSE)</f>
        <v>DLC_BASE_GAME</v>
      </c>
      <c r="L287" s="3" t="str">
        <f>VLOOKUP(J287,ConstDLCIds!$A$4:$C$1000,3,FALSE)</f>
        <v>Included in base game</v>
      </c>
    </row>
    <row r="288" spans="1:12" x14ac:dyDescent="0.25">
      <c r="A288">
        <v>506</v>
      </c>
      <c r="B288">
        <v>283</v>
      </c>
      <c r="C288">
        <v>181</v>
      </c>
      <c r="D288" t="s">
        <v>2433</v>
      </c>
      <c r="E288" t="str">
        <f>IF(NOT(ISERROR(VLOOKUP(D288,'ESO DungeonFinder'!$A$2:$A$999,1,FALSE))),"X","")</f>
        <v/>
      </c>
      <c r="F288" s="70" t="str">
        <f t="shared" si="16"/>
        <v/>
      </c>
      <c r="G288" s="70" t="str">
        <f t="shared" si="19"/>
        <v>Cyrodiil</v>
      </c>
      <c r="H288" s="70">
        <f t="shared" si="17"/>
        <v>506</v>
      </c>
      <c r="I288" s="70">
        <f t="shared" si="18"/>
        <v>181</v>
      </c>
      <c r="J288">
        <v>0</v>
      </c>
      <c r="K288" s="3" t="str">
        <f>VLOOKUP(J288,ConstDLCIds!$A$4:$B$1000,2,FALSE)</f>
        <v>DLC_BASE_GAME</v>
      </c>
      <c r="L288" s="3" t="str">
        <f>VLOOKUP(J288,ConstDLCIds!$A$4:$C$1000,3,FALSE)</f>
        <v>Included in base game</v>
      </c>
    </row>
    <row r="289" spans="1:12" x14ac:dyDescent="0.25">
      <c r="A289">
        <v>507</v>
      </c>
      <c r="B289">
        <v>284</v>
      </c>
      <c r="C289">
        <v>181</v>
      </c>
      <c r="D289" t="s">
        <v>2434</v>
      </c>
      <c r="E289" t="str">
        <f>IF(NOT(ISERROR(VLOOKUP(D289,'ESO DungeonFinder'!$A$2:$A$999,1,FALSE))),"X","")</f>
        <v/>
      </c>
      <c r="F289" s="70" t="str">
        <f t="shared" si="16"/>
        <v/>
      </c>
      <c r="G289" s="70" t="str">
        <f t="shared" si="19"/>
        <v>Cyrodiil</v>
      </c>
      <c r="H289" s="70">
        <f t="shared" si="17"/>
        <v>507</v>
      </c>
      <c r="I289" s="70">
        <f t="shared" si="18"/>
        <v>181</v>
      </c>
      <c r="J289">
        <v>0</v>
      </c>
      <c r="K289" s="3" t="str">
        <f>VLOOKUP(J289,ConstDLCIds!$A$4:$B$1000,2,FALSE)</f>
        <v>DLC_BASE_GAME</v>
      </c>
      <c r="L289" s="3" t="str">
        <f>VLOOKUP(J289,ConstDLCIds!$A$4:$C$1000,3,FALSE)</f>
        <v>Included in base game</v>
      </c>
    </row>
    <row r="290" spans="1:12" x14ac:dyDescent="0.25">
      <c r="A290">
        <v>508</v>
      </c>
      <c r="B290">
        <v>285</v>
      </c>
      <c r="C290">
        <v>849</v>
      </c>
      <c r="D290" t="s">
        <v>2435</v>
      </c>
      <c r="E290" t="str">
        <f>IF(NOT(ISERROR(VLOOKUP(D290,'ESO DungeonFinder'!$A$2:$A$999,1,FALSE))),"X","")</f>
        <v/>
      </c>
      <c r="F290" s="70" t="str">
        <f t="shared" si="16"/>
        <v/>
      </c>
      <c r="G290" s="70" t="str">
        <f t="shared" si="19"/>
        <v>Vvardenfell</v>
      </c>
      <c r="H290" s="70">
        <f t="shared" si="17"/>
        <v>508</v>
      </c>
      <c r="I290" s="70">
        <f t="shared" si="18"/>
        <v>849</v>
      </c>
      <c r="J290">
        <v>6</v>
      </c>
      <c r="K290" s="3" t="str">
        <f ca="1">VLOOKUP(J290,ConstDLCIds!$A$4:$B$1000,2,FALSE)</f>
        <v>DLC_MORROWIND</v>
      </c>
      <c r="L290" s="3" t="str">
        <f ca="1">VLOOKUP(J290,ConstDLCIds!$A$4:$C$1000,3,FALSE)</f>
        <v>Morrowind</v>
      </c>
    </row>
    <row r="291" spans="1:12" x14ac:dyDescent="0.25">
      <c r="A291">
        <v>509</v>
      </c>
      <c r="B291">
        <v>286</v>
      </c>
      <c r="C291">
        <v>849</v>
      </c>
      <c r="D291" t="s">
        <v>2436</v>
      </c>
      <c r="E291" t="str">
        <f>IF(NOT(ISERROR(VLOOKUP(D291,'ESO DungeonFinder'!$A$2:$A$999,1,FALSE))),"X","")</f>
        <v/>
      </c>
      <c r="F291" s="70" t="str">
        <f t="shared" si="16"/>
        <v/>
      </c>
      <c r="G291" s="70" t="str">
        <f t="shared" si="19"/>
        <v>Vvardenfell</v>
      </c>
      <c r="H291" s="70">
        <f t="shared" si="17"/>
        <v>509</v>
      </c>
      <c r="I291" s="70">
        <f t="shared" si="18"/>
        <v>849</v>
      </c>
      <c r="J291">
        <v>6</v>
      </c>
      <c r="K291" s="3" t="str">
        <f ca="1">VLOOKUP(J291,ConstDLCIds!$A$4:$B$1000,2,FALSE)</f>
        <v>DLC_MORROWIND</v>
      </c>
      <c r="L291" s="3" t="str">
        <f ca="1">VLOOKUP(J291,ConstDLCIds!$A$4:$C$1000,3,FALSE)</f>
        <v>Morrowind</v>
      </c>
    </row>
    <row r="292" spans="1:12" x14ac:dyDescent="0.25">
      <c r="A292">
        <v>510</v>
      </c>
      <c r="B292">
        <v>287</v>
      </c>
      <c r="C292">
        <v>849</v>
      </c>
      <c r="D292" t="s">
        <v>2437</v>
      </c>
      <c r="E292" t="str">
        <f>IF(NOT(ISERROR(VLOOKUP(D292,'ESO DungeonFinder'!$A$2:$A$999,1,FALSE))),"X","")</f>
        <v/>
      </c>
      <c r="F292" s="70" t="str">
        <f t="shared" si="16"/>
        <v/>
      </c>
      <c r="G292" s="70" t="str">
        <f t="shared" si="19"/>
        <v>Vvardenfell</v>
      </c>
      <c r="H292" s="70">
        <f t="shared" si="17"/>
        <v>510</v>
      </c>
      <c r="I292" s="70">
        <f t="shared" si="18"/>
        <v>849</v>
      </c>
      <c r="J292">
        <v>6</v>
      </c>
      <c r="K292" s="3" t="str">
        <f ca="1">VLOOKUP(J292,ConstDLCIds!$A$4:$B$1000,2,FALSE)</f>
        <v>DLC_MORROWIND</v>
      </c>
      <c r="L292" s="3" t="str">
        <f ca="1">VLOOKUP(J292,ConstDLCIds!$A$4:$C$1000,3,FALSE)</f>
        <v>Morrowind</v>
      </c>
    </row>
    <row r="293" spans="1:12" x14ac:dyDescent="0.25">
      <c r="A293">
        <v>511</v>
      </c>
      <c r="B293">
        <v>288</v>
      </c>
      <c r="C293">
        <v>511</v>
      </c>
      <c r="D293" t="s">
        <v>2438</v>
      </c>
      <c r="E293" t="str">
        <f>IF(NOT(ISERROR(VLOOKUP(D293,'ESO DungeonFinder'!$A$2:$A$999,1,FALSE))),"X","")</f>
        <v/>
      </c>
      <c r="F293" s="70" t="str">
        <f t="shared" si="16"/>
        <v>X</v>
      </c>
      <c r="G293" s="70" t="str">
        <f t="shared" si="19"/>
        <v/>
      </c>
      <c r="H293" s="70">
        <f t="shared" si="17"/>
        <v>511</v>
      </c>
      <c r="I293" s="70">
        <f t="shared" si="18"/>
        <v>511</v>
      </c>
      <c r="J293">
        <v>0</v>
      </c>
      <c r="K293" s="3" t="str">
        <f>VLOOKUP(J293,ConstDLCIds!$A$4:$B$1000,2,FALSE)</f>
        <v>DLC_BASE_GAME</v>
      </c>
      <c r="L293" s="3" t="str">
        <f>VLOOKUP(J293,ConstDLCIds!$A$4:$C$1000,3,FALSE)</f>
        <v>Included in base game</v>
      </c>
    </row>
    <row r="294" spans="1:12" x14ac:dyDescent="0.25">
      <c r="A294">
        <v>512</v>
      </c>
      <c r="B294">
        <v>289</v>
      </c>
      <c r="C294">
        <v>512</v>
      </c>
      <c r="D294" t="s">
        <v>2439</v>
      </c>
      <c r="E294" t="str">
        <f>IF(NOT(ISERROR(VLOOKUP(D294,'ESO DungeonFinder'!$A$2:$A$999,1,FALSE))),"X","")</f>
        <v/>
      </c>
      <c r="F294" s="70" t="str">
        <f t="shared" si="16"/>
        <v>X</v>
      </c>
      <c r="G294" s="70" t="str">
        <f t="shared" si="19"/>
        <v/>
      </c>
      <c r="H294" s="70">
        <f t="shared" si="17"/>
        <v>512</v>
      </c>
      <c r="I294" s="70">
        <f t="shared" si="18"/>
        <v>512</v>
      </c>
      <c r="J294">
        <v>0</v>
      </c>
      <c r="K294" s="3" t="str">
        <f>VLOOKUP(J294,ConstDLCIds!$A$4:$B$1000,2,FALSE)</f>
        <v>DLC_BASE_GAME</v>
      </c>
      <c r="L294" s="3" t="str">
        <f>VLOOKUP(J294,ConstDLCIds!$A$4:$C$1000,3,FALSE)</f>
        <v>Included in base game</v>
      </c>
    </row>
    <row r="295" spans="1:12" x14ac:dyDescent="0.25">
      <c r="A295">
        <v>513</v>
      </c>
      <c r="B295">
        <v>290</v>
      </c>
      <c r="C295">
        <v>513</v>
      </c>
      <c r="D295" t="s">
        <v>2440</v>
      </c>
      <c r="E295" t="str">
        <f>IF(NOT(ISERROR(VLOOKUP(D295,'ESO DungeonFinder'!$A$2:$A$999,1,FALSE))),"X","")</f>
        <v/>
      </c>
      <c r="F295" s="70" t="str">
        <f t="shared" si="16"/>
        <v>X</v>
      </c>
      <c r="G295" s="70" t="str">
        <f t="shared" si="19"/>
        <v/>
      </c>
      <c r="H295" s="70">
        <f t="shared" si="17"/>
        <v>513</v>
      </c>
      <c r="I295" s="70">
        <f t="shared" si="18"/>
        <v>513</v>
      </c>
      <c r="J295">
        <v>0</v>
      </c>
      <c r="K295" s="3" t="str">
        <f>VLOOKUP(J295,ConstDLCIds!$A$4:$B$1000,2,FALSE)</f>
        <v>DLC_BASE_GAME</v>
      </c>
      <c r="L295" s="3" t="str">
        <f>VLOOKUP(J295,ConstDLCIds!$A$4:$C$1000,3,FALSE)</f>
        <v>Included in base game</v>
      </c>
    </row>
    <row r="296" spans="1:12" x14ac:dyDescent="0.25">
      <c r="A296">
        <v>514</v>
      </c>
      <c r="B296">
        <v>291</v>
      </c>
      <c r="C296">
        <v>514</v>
      </c>
      <c r="D296" t="s">
        <v>2441</v>
      </c>
      <c r="E296" t="str">
        <f>IF(NOT(ISERROR(VLOOKUP(D296,'ESO DungeonFinder'!$A$2:$A$999,1,FALSE))),"X","")</f>
        <v/>
      </c>
      <c r="F296" s="70" t="str">
        <f t="shared" si="16"/>
        <v>X</v>
      </c>
      <c r="G296" s="70" t="str">
        <f t="shared" si="19"/>
        <v/>
      </c>
      <c r="H296" s="70">
        <f t="shared" si="17"/>
        <v>514</v>
      </c>
      <c r="I296" s="70">
        <f t="shared" si="18"/>
        <v>514</v>
      </c>
      <c r="J296">
        <v>0</v>
      </c>
      <c r="K296" s="3" t="str">
        <f>VLOOKUP(J296,ConstDLCIds!$A$4:$B$1000,2,FALSE)</f>
        <v>DLC_BASE_GAME</v>
      </c>
      <c r="L296" s="3" t="str">
        <f>VLOOKUP(J296,ConstDLCIds!$A$4:$C$1000,3,FALSE)</f>
        <v>Included in base game</v>
      </c>
    </row>
    <row r="297" spans="1:12" x14ac:dyDescent="0.25">
      <c r="A297">
        <v>515</v>
      </c>
      <c r="B297">
        <v>292</v>
      </c>
      <c r="C297">
        <v>515</v>
      </c>
      <c r="D297" t="s">
        <v>2442</v>
      </c>
      <c r="E297" t="str">
        <f>IF(NOT(ISERROR(VLOOKUP(D297,'ESO DungeonFinder'!$A$2:$A$999,1,FALSE))),"X","")</f>
        <v/>
      </c>
      <c r="F297" s="70" t="str">
        <f t="shared" si="16"/>
        <v>X</v>
      </c>
      <c r="G297" s="70" t="str">
        <f t="shared" si="19"/>
        <v/>
      </c>
      <c r="H297" s="70">
        <f t="shared" si="17"/>
        <v>515</v>
      </c>
      <c r="I297" s="70">
        <f t="shared" si="18"/>
        <v>515</v>
      </c>
      <c r="J297">
        <v>0</v>
      </c>
      <c r="K297" s="3" t="str">
        <f>VLOOKUP(J297,ConstDLCIds!$A$4:$B$1000,2,FALSE)</f>
        <v>DLC_BASE_GAME</v>
      </c>
      <c r="L297" s="3" t="str">
        <f>VLOOKUP(J297,ConstDLCIds!$A$4:$C$1000,3,FALSE)</f>
        <v>Included in base game</v>
      </c>
    </row>
    <row r="298" spans="1:12" x14ac:dyDescent="0.25">
      <c r="A298">
        <v>516</v>
      </c>
      <c r="B298">
        <v>293</v>
      </c>
      <c r="C298">
        <v>516</v>
      </c>
      <c r="D298" t="s">
        <v>2436</v>
      </c>
      <c r="E298" t="str">
        <f>IF(NOT(ISERROR(VLOOKUP(D298,'ESO DungeonFinder'!$A$2:$A$999,1,FALSE))),"X","")</f>
        <v/>
      </c>
      <c r="F298" s="70" t="str">
        <f t="shared" si="16"/>
        <v>X</v>
      </c>
      <c r="G298" s="70" t="str">
        <f t="shared" si="19"/>
        <v/>
      </c>
      <c r="H298" s="70">
        <f t="shared" si="17"/>
        <v>516</v>
      </c>
      <c r="I298" s="70">
        <f t="shared" si="18"/>
        <v>516</v>
      </c>
      <c r="J298">
        <v>0</v>
      </c>
      <c r="K298" s="3" t="str">
        <f>VLOOKUP(J298,ConstDLCIds!$A$4:$B$1000,2,FALSE)</f>
        <v>DLC_BASE_GAME</v>
      </c>
      <c r="L298" s="3" t="str">
        <f>VLOOKUP(J298,ConstDLCIds!$A$4:$C$1000,3,FALSE)</f>
        <v>Included in base game</v>
      </c>
    </row>
    <row r="299" spans="1:12" x14ac:dyDescent="0.25">
      <c r="A299">
        <v>517</v>
      </c>
      <c r="B299">
        <v>294</v>
      </c>
      <c r="C299">
        <v>517</v>
      </c>
      <c r="D299" t="s">
        <v>2443</v>
      </c>
      <c r="E299" t="str">
        <f>IF(NOT(ISERROR(VLOOKUP(D299,'ESO DungeonFinder'!$A$2:$A$999,1,FALSE))),"X","")</f>
        <v/>
      </c>
      <c r="F299" s="70" t="str">
        <f t="shared" si="16"/>
        <v>X</v>
      </c>
      <c r="G299" s="70" t="str">
        <f t="shared" si="19"/>
        <v/>
      </c>
      <c r="H299" s="70">
        <f t="shared" si="17"/>
        <v>517</v>
      </c>
      <c r="I299" s="70">
        <f t="shared" si="18"/>
        <v>517</v>
      </c>
      <c r="J299">
        <v>0</v>
      </c>
      <c r="K299" s="3" t="str">
        <f>VLOOKUP(J299,ConstDLCIds!$A$4:$B$1000,2,FALSE)</f>
        <v>DLC_BASE_GAME</v>
      </c>
      <c r="L299" s="3" t="str">
        <f>VLOOKUP(J299,ConstDLCIds!$A$4:$C$1000,3,FALSE)</f>
        <v>Included in base game</v>
      </c>
    </row>
    <row r="300" spans="1:12" x14ac:dyDescent="0.25">
      <c r="A300">
        <v>518</v>
      </c>
      <c r="B300">
        <v>295</v>
      </c>
      <c r="C300">
        <v>518</v>
      </c>
      <c r="D300" t="s">
        <v>2443</v>
      </c>
      <c r="E300" t="str">
        <f>IF(NOT(ISERROR(VLOOKUP(D300,'ESO DungeonFinder'!$A$2:$A$999,1,FALSE))),"X","")</f>
        <v/>
      </c>
      <c r="F300" s="70" t="str">
        <f t="shared" si="16"/>
        <v>X</v>
      </c>
      <c r="G300" s="70" t="str">
        <f t="shared" si="19"/>
        <v/>
      </c>
      <c r="H300" s="70">
        <f t="shared" si="17"/>
        <v>518</v>
      </c>
      <c r="I300" s="70">
        <f t="shared" si="18"/>
        <v>518</v>
      </c>
      <c r="J300">
        <v>0</v>
      </c>
      <c r="K300" s="3" t="str">
        <f>VLOOKUP(J300,ConstDLCIds!$A$4:$B$1000,2,FALSE)</f>
        <v>DLC_BASE_GAME</v>
      </c>
      <c r="L300" s="3" t="str">
        <f>VLOOKUP(J300,ConstDLCIds!$A$4:$C$1000,3,FALSE)</f>
        <v>Included in base game</v>
      </c>
    </row>
    <row r="301" spans="1:12" x14ac:dyDescent="0.25">
      <c r="A301">
        <v>520</v>
      </c>
      <c r="B301">
        <v>296</v>
      </c>
      <c r="C301">
        <v>520</v>
      </c>
      <c r="D301" t="s">
        <v>2444</v>
      </c>
      <c r="E301" t="str">
        <f>IF(NOT(ISERROR(VLOOKUP(D301,'ESO DungeonFinder'!$A$2:$A$999,1,FALSE))),"X","")</f>
        <v/>
      </c>
      <c r="F301" s="70" t="str">
        <f t="shared" si="16"/>
        <v>X</v>
      </c>
      <c r="G301" s="70" t="str">
        <f t="shared" si="19"/>
        <v/>
      </c>
      <c r="H301" s="70">
        <f t="shared" si="17"/>
        <v>520</v>
      </c>
      <c r="I301" s="70">
        <f t="shared" si="18"/>
        <v>520</v>
      </c>
      <c r="J301">
        <v>0</v>
      </c>
      <c r="K301" s="3" t="str">
        <f>VLOOKUP(J301,ConstDLCIds!$A$4:$B$1000,2,FALSE)</f>
        <v>DLC_BASE_GAME</v>
      </c>
      <c r="L301" s="3" t="str">
        <f>VLOOKUP(J301,ConstDLCIds!$A$4:$C$1000,3,FALSE)</f>
        <v>Included in base game</v>
      </c>
    </row>
    <row r="302" spans="1:12" x14ac:dyDescent="0.25">
      <c r="A302">
        <v>525</v>
      </c>
      <c r="B302">
        <v>297</v>
      </c>
      <c r="C302">
        <v>181</v>
      </c>
      <c r="D302" t="s">
        <v>2217</v>
      </c>
      <c r="E302" t="str">
        <f>IF(NOT(ISERROR(VLOOKUP(D302,'ESO DungeonFinder'!$A$2:$A$999,1,FALSE))),"X","")</f>
        <v/>
      </c>
      <c r="F302" s="70" t="str">
        <f t="shared" si="16"/>
        <v/>
      </c>
      <c r="G302" s="70" t="str">
        <f t="shared" si="19"/>
        <v>Cyrodiil</v>
      </c>
      <c r="H302" s="70">
        <f t="shared" si="17"/>
        <v>525</v>
      </c>
      <c r="I302" s="70">
        <f t="shared" si="18"/>
        <v>181</v>
      </c>
      <c r="J302">
        <v>0</v>
      </c>
      <c r="K302" s="3" t="str">
        <f>VLOOKUP(J302,ConstDLCIds!$A$4:$B$1000,2,FALSE)</f>
        <v>DLC_BASE_GAME</v>
      </c>
      <c r="L302" s="3" t="str">
        <f>VLOOKUP(J302,ConstDLCIds!$A$4:$C$1000,3,FALSE)</f>
        <v>Included in base game</v>
      </c>
    </row>
    <row r="303" spans="1:12" x14ac:dyDescent="0.25">
      <c r="A303">
        <v>526</v>
      </c>
      <c r="B303">
        <v>298</v>
      </c>
      <c r="C303">
        <v>382</v>
      </c>
      <c r="D303" t="s">
        <v>2445</v>
      </c>
      <c r="E303" t="str">
        <f>IF(NOT(ISERROR(VLOOKUP(D303,'ESO DungeonFinder'!$A$2:$A$999,1,FALSE))),"X","")</f>
        <v/>
      </c>
      <c r="F303" s="70" t="str">
        <f t="shared" si="16"/>
        <v/>
      </c>
      <c r="G303" s="70" t="str">
        <f t="shared" si="19"/>
        <v>Reaper's March</v>
      </c>
      <c r="H303" s="70">
        <f t="shared" si="17"/>
        <v>526</v>
      </c>
      <c r="I303" s="70">
        <f t="shared" si="18"/>
        <v>382</v>
      </c>
      <c r="J303">
        <v>0</v>
      </c>
      <c r="K303" s="3" t="str">
        <f>VLOOKUP(J303,ConstDLCIds!$A$4:$B$1000,2,FALSE)</f>
        <v>DLC_BASE_GAME</v>
      </c>
      <c r="L303" s="3" t="str">
        <f>VLOOKUP(J303,ConstDLCIds!$A$4:$C$1000,3,FALSE)</f>
        <v>Included in base game</v>
      </c>
    </row>
    <row r="304" spans="1:12" x14ac:dyDescent="0.25">
      <c r="A304">
        <v>527</v>
      </c>
      <c r="B304">
        <v>299</v>
      </c>
      <c r="C304">
        <v>0</v>
      </c>
      <c r="D304" t="s">
        <v>2446</v>
      </c>
      <c r="E304" t="str">
        <f>IF(NOT(ISERROR(VLOOKUP(D304,'ESO DungeonFinder'!$A$2:$A$999,1,FALSE))),"X","")</f>
        <v/>
      </c>
      <c r="F304" s="70" t="str">
        <f t="shared" si="16"/>
        <v/>
      </c>
      <c r="G304" s="70" t="str">
        <f t="shared" si="19"/>
        <v>Tamriel Map</v>
      </c>
      <c r="H304" s="70">
        <f t="shared" si="17"/>
        <v>527</v>
      </c>
      <c r="I304" s="70">
        <f t="shared" si="18"/>
        <v>0</v>
      </c>
      <c r="J304">
        <v>0</v>
      </c>
      <c r="K304" s="3" t="str">
        <f>VLOOKUP(J304,ConstDLCIds!$A$4:$B$1000,2,FALSE)</f>
        <v>DLC_BASE_GAME</v>
      </c>
      <c r="L304" s="3" t="str">
        <f>VLOOKUP(J304,ConstDLCIds!$A$4:$C$1000,3,FALSE)</f>
        <v>Included in base game</v>
      </c>
    </row>
    <row r="305" spans="1:12" x14ac:dyDescent="0.25">
      <c r="A305">
        <v>529</v>
      </c>
      <c r="B305">
        <v>300</v>
      </c>
      <c r="C305">
        <v>267</v>
      </c>
      <c r="D305" t="s">
        <v>2447</v>
      </c>
      <c r="E305" t="str">
        <f>IF(NOT(ISERROR(VLOOKUP(D305,'ESO DungeonFinder'!$A$2:$A$999,1,FALSE))),"X","")</f>
        <v/>
      </c>
      <c r="F305" s="70" t="str">
        <f t="shared" si="16"/>
        <v/>
      </c>
      <c r="G305" s="70" t="str">
        <f t="shared" si="19"/>
        <v>Eyevea</v>
      </c>
      <c r="H305" s="70">
        <f t="shared" si="17"/>
        <v>529</v>
      </c>
      <c r="I305" s="70">
        <f t="shared" si="18"/>
        <v>267</v>
      </c>
      <c r="J305">
        <v>0</v>
      </c>
      <c r="K305" s="3" t="str">
        <f>VLOOKUP(J305,ConstDLCIds!$A$4:$B$1000,2,FALSE)</f>
        <v>DLC_BASE_GAME</v>
      </c>
      <c r="L305" s="3" t="str">
        <f>VLOOKUP(J305,ConstDLCIds!$A$4:$C$1000,3,FALSE)</f>
        <v>Included in base game</v>
      </c>
    </row>
    <row r="306" spans="1:12" x14ac:dyDescent="0.25">
      <c r="A306">
        <v>530</v>
      </c>
      <c r="B306">
        <v>301</v>
      </c>
      <c r="C306">
        <v>347</v>
      </c>
      <c r="D306" t="s">
        <v>2448</v>
      </c>
      <c r="E306" t="str">
        <f>IF(NOT(ISERROR(VLOOKUP(D306,'ESO DungeonFinder'!$A$2:$A$999,1,FALSE))),"X","")</f>
        <v/>
      </c>
      <c r="F306" s="70" t="str">
        <f t="shared" si="16"/>
        <v/>
      </c>
      <c r="G306" s="70" t="str">
        <f t="shared" si="19"/>
        <v>Coldharbour</v>
      </c>
      <c r="H306" s="70">
        <f t="shared" si="17"/>
        <v>530</v>
      </c>
      <c r="I306" s="70">
        <f t="shared" si="18"/>
        <v>347</v>
      </c>
      <c r="J306">
        <v>0</v>
      </c>
      <c r="K306" s="3" t="str">
        <f>VLOOKUP(J306,ConstDLCIds!$A$4:$B$1000,2,FALSE)</f>
        <v>DLC_BASE_GAME</v>
      </c>
      <c r="L306" s="3" t="str">
        <f>VLOOKUP(J306,ConstDLCIds!$A$4:$C$1000,3,FALSE)</f>
        <v>Included in base game</v>
      </c>
    </row>
    <row r="307" spans="1:12" x14ac:dyDescent="0.25">
      <c r="A307">
        <v>531</v>
      </c>
      <c r="B307">
        <v>302</v>
      </c>
      <c r="C307">
        <v>181</v>
      </c>
      <c r="D307" t="s">
        <v>2449</v>
      </c>
      <c r="E307" t="str">
        <f>IF(NOT(ISERROR(VLOOKUP(D307,'ESO DungeonFinder'!$A$2:$A$999,1,FALSE))),"X","")</f>
        <v/>
      </c>
      <c r="F307" s="70" t="str">
        <f t="shared" si="16"/>
        <v/>
      </c>
      <c r="G307" s="70" t="str">
        <f t="shared" si="19"/>
        <v>Cyrodiil</v>
      </c>
      <c r="H307" s="70">
        <f t="shared" si="17"/>
        <v>531</v>
      </c>
      <c r="I307" s="70">
        <f t="shared" si="18"/>
        <v>181</v>
      </c>
      <c r="J307">
        <v>0</v>
      </c>
      <c r="K307" s="3" t="str">
        <f>VLOOKUP(J307,ConstDLCIds!$A$4:$B$1000,2,FALSE)</f>
        <v>DLC_BASE_GAME</v>
      </c>
      <c r="L307" s="3" t="str">
        <f>VLOOKUP(J307,ConstDLCIds!$A$4:$C$1000,3,FALSE)</f>
        <v>Included in base game</v>
      </c>
    </row>
    <row r="308" spans="1:12" x14ac:dyDescent="0.25">
      <c r="A308">
        <v>532</v>
      </c>
      <c r="B308">
        <v>303</v>
      </c>
      <c r="C308">
        <v>181</v>
      </c>
      <c r="D308" t="s">
        <v>2450</v>
      </c>
      <c r="E308" t="str">
        <f>IF(NOT(ISERROR(VLOOKUP(D308,'ESO DungeonFinder'!$A$2:$A$999,1,FALSE))),"X","")</f>
        <v/>
      </c>
      <c r="F308" s="70" t="str">
        <f t="shared" si="16"/>
        <v/>
      </c>
      <c r="G308" s="70" t="str">
        <f t="shared" si="19"/>
        <v>Cyrodiil</v>
      </c>
      <c r="H308" s="70">
        <f t="shared" si="17"/>
        <v>532</v>
      </c>
      <c r="I308" s="70">
        <f t="shared" si="18"/>
        <v>181</v>
      </c>
      <c r="J308">
        <v>0</v>
      </c>
      <c r="K308" s="3" t="str">
        <f>VLOOKUP(J308,ConstDLCIds!$A$4:$B$1000,2,FALSE)</f>
        <v>DLC_BASE_GAME</v>
      </c>
      <c r="L308" s="3" t="str">
        <f>VLOOKUP(J308,ConstDLCIds!$A$4:$C$1000,3,FALSE)</f>
        <v>Included in base game</v>
      </c>
    </row>
    <row r="309" spans="1:12" x14ac:dyDescent="0.25">
      <c r="A309">
        <v>533</v>
      </c>
      <c r="B309">
        <v>304</v>
      </c>
      <c r="C309">
        <v>181</v>
      </c>
      <c r="D309" t="s">
        <v>2451</v>
      </c>
      <c r="E309" t="str">
        <f>IF(NOT(ISERROR(VLOOKUP(D309,'ESO DungeonFinder'!$A$2:$A$999,1,FALSE))),"X","")</f>
        <v/>
      </c>
      <c r="F309" s="70" t="str">
        <f t="shared" si="16"/>
        <v/>
      </c>
      <c r="G309" s="70" t="str">
        <f t="shared" si="19"/>
        <v>Cyrodiil</v>
      </c>
      <c r="H309" s="70">
        <f t="shared" si="17"/>
        <v>533</v>
      </c>
      <c r="I309" s="70">
        <f t="shared" si="18"/>
        <v>181</v>
      </c>
      <c r="J309">
        <v>0</v>
      </c>
      <c r="K309" s="3" t="str">
        <f>VLOOKUP(J309,ConstDLCIds!$A$4:$B$1000,2,FALSE)</f>
        <v>DLC_BASE_GAME</v>
      </c>
      <c r="L309" s="3" t="str">
        <f>VLOOKUP(J309,ConstDLCIds!$A$4:$C$1000,3,FALSE)</f>
        <v>Included in base game</v>
      </c>
    </row>
    <row r="310" spans="1:12" x14ac:dyDescent="0.25">
      <c r="A310">
        <v>534</v>
      </c>
      <c r="B310">
        <v>305</v>
      </c>
      <c r="C310">
        <v>534</v>
      </c>
      <c r="D310" t="s">
        <v>2452</v>
      </c>
      <c r="E310" t="str">
        <f>IF(NOT(ISERROR(VLOOKUP(D310,'ESO DungeonFinder'!$A$2:$A$999,1,FALSE))),"X","")</f>
        <v/>
      </c>
      <c r="F310" s="70" t="str">
        <f t="shared" si="16"/>
        <v>X</v>
      </c>
      <c r="G310" s="70" t="str">
        <f t="shared" si="19"/>
        <v/>
      </c>
      <c r="H310" s="70">
        <f t="shared" si="17"/>
        <v>534</v>
      </c>
      <c r="I310" s="70">
        <f t="shared" si="18"/>
        <v>534</v>
      </c>
      <c r="J310">
        <v>0</v>
      </c>
      <c r="K310" s="3" t="str">
        <f>VLOOKUP(J310,ConstDLCIds!$A$4:$B$1000,2,FALSE)</f>
        <v>DLC_BASE_GAME</v>
      </c>
      <c r="L310" s="3" t="str">
        <f>VLOOKUP(J310,ConstDLCIds!$A$4:$C$1000,3,FALSE)</f>
        <v>Included in base game</v>
      </c>
    </row>
    <row r="311" spans="1:12" x14ac:dyDescent="0.25">
      <c r="A311">
        <v>535</v>
      </c>
      <c r="B311">
        <v>306</v>
      </c>
      <c r="C311">
        <v>535</v>
      </c>
      <c r="D311" t="s">
        <v>1450</v>
      </c>
      <c r="E311" t="str">
        <f>IF(NOT(ISERROR(VLOOKUP(D311,'ESO DungeonFinder'!$A$2:$A$999,1,FALSE))),"X","")</f>
        <v/>
      </c>
      <c r="F311" s="70" t="str">
        <f t="shared" si="16"/>
        <v>X</v>
      </c>
      <c r="G311" s="70" t="str">
        <f t="shared" si="19"/>
        <v/>
      </c>
      <c r="H311" s="70">
        <f t="shared" si="17"/>
        <v>535</v>
      </c>
      <c r="I311" s="70">
        <f t="shared" si="18"/>
        <v>535</v>
      </c>
      <c r="J311">
        <v>0</v>
      </c>
      <c r="K311" s="3" t="str">
        <f>VLOOKUP(J311,ConstDLCIds!$A$4:$B$1000,2,FALSE)</f>
        <v>DLC_BASE_GAME</v>
      </c>
      <c r="L311" s="3" t="str">
        <f>VLOOKUP(J311,ConstDLCIds!$A$4:$C$1000,3,FALSE)</f>
        <v>Included in base game</v>
      </c>
    </row>
    <row r="312" spans="1:12" x14ac:dyDescent="0.25">
      <c r="A312">
        <v>537</v>
      </c>
      <c r="B312">
        <v>307</v>
      </c>
      <c r="C312">
        <v>537</v>
      </c>
      <c r="D312" t="s">
        <v>2453</v>
      </c>
      <c r="E312" t="str">
        <f>IF(NOT(ISERROR(VLOOKUP(D312,'ESO DungeonFinder'!$A$2:$A$999,1,FALSE))),"X","")</f>
        <v/>
      </c>
      <c r="F312" s="70" t="str">
        <f t="shared" si="16"/>
        <v>X</v>
      </c>
      <c r="G312" s="70" t="str">
        <f t="shared" si="19"/>
        <v/>
      </c>
      <c r="H312" s="70">
        <f t="shared" si="17"/>
        <v>537</v>
      </c>
      <c r="I312" s="70">
        <f t="shared" si="18"/>
        <v>537</v>
      </c>
      <c r="J312">
        <v>0</v>
      </c>
      <c r="K312" s="3" t="str">
        <f>VLOOKUP(J312,ConstDLCIds!$A$4:$B$1000,2,FALSE)</f>
        <v>DLC_BASE_GAME</v>
      </c>
      <c r="L312" s="3" t="str">
        <f>VLOOKUP(J312,ConstDLCIds!$A$4:$C$1000,3,FALSE)</f>
        <v>Included in base game</v>
      </c>
    </row>
    <row r="313" spans="1:12" x14ac:dyDescent="0.25">
      <c r="A313">
        <v>539</v>
      </c>
      <c r="B313">
        <v>308</v>
      </c>
      <c r="C313">
        <v>535</v>
      </c>
      <c r="D313" t="s">
        <v>2454</v>
      </c>
      <c r="E313" t="str">
        <f>IF(NOT(ISERROR(VLOOKUP(D313,'ESO DungeonFinder'!$A$2:$A$999,1,FALSE))),"X","")</f>
        <v/>
      </c>
      <c r="F313" s="70" t="str">
        <f t="shared" si="16"/>
        <v/>
      </c>
      <c r="G313" s="70" t="str">
        <f t="shared" si="19"/>
        <v>Betnikh</v>
      </c>
      <c r="H313" s="70">
        <f t="shared" si="17"/>
        <v>539</v>
      </c>
      <c r="I313" s="70">
        <f t="shared" si="18"/>
        <v>535</v>
      </c>
      <c r="J313">
        <v>0</v>
      </c>
      <c r="K313" s="3" t="str">
        <f>VLOOKUP(J313,ConstDLCIds!$A$4:$B$1000,2,FALSE)</f>
        <v>DLC_BASE_GAME</v>
      </c>
      <c r="L313" s="3" t="str">
        <f>VLOOKUP(J313,ConstDLCIds!$A$4:$C$1000,3,FALSE)</f>
        <v>Included in base game</v>
      </c>
    </row>
    <row r="314" spans="1:12" x14ac:dyDescent="0.25">
      <c r="A314">
        <v>541</v>
      </c>
      <c r="B314">
        <v>309</v>
      </c>
      <c r="C314">
        <v>267</v>
      </c>
      <c r="D314" t="s">
        <v>2455</v>
      </c>
      <c r="E314" t="str">
        <f>IF(NOT(ISERROR(VLOOKUP(D314,'ESO DungeonFinder'!$A$2:$A$999,1,FALSE))),"X","")</f>
        <v/>
      </c>
      <c r="F314" s="70" t="str">
        <f t="shared" si="16"/>
        <v/>
      </c>
      <c r="G314" s="70" t="str">
        <f t="shared" si="19"/>
        <v>Eyevea</v>
      </c>
      <c r="H314" s="70">
        <f t="shared" si="17"/>
        <v>541</v>
      </c>
      <c r="I314" s="70">
        <f t="shared" si="18"/>
        <v>267</v>
      </c>
      <c r="J314">
        <v>0</v>
      </c>
      <c r="K314" s="3" t="str">
        <f>VLOOKUP(J314,ConstDLCIds!$A$4:$B$1000,2,FALSE)</f>
        <v>DLC_BASE_GAME</v>
      </c>
      <c r="L314" s="3" t="str">
        <f>VLOOKUP(J314,ConstDLCIds!$A$4:$C$1000,3,FALSE)</f>
        <v>Included in base game</v>
      </c>
    </row>
    <row r="315" spans="1:12" x14ac:dyDescent="0.25">
      <c r="A315">
        <v>542</v>
      </c>
      <c r="B315">
        <v>310</v>
      </c>
      <c r="C315">
        <v>208</v>
      </c>
      <c r="D315" t="s">
        <v>2456</v>
      </c>
      <c r="E315" t="str">
        <f>IF(NOT(ISERROR(VLOOKUP(D315,'ESO DungeonFinder'!$A$2:$A$999,1,FALSE))),"X","")</f>
        <v/>
      </c>
      <c r="F315" s="70" t="str">
        <f t="shared" si="16"/>
        <v/>
      </c>
      <c r="G315" s="70" t="str">
        <f t="shared" si="19"/>
        <v>The Earth Forge</v>
      </c>
      <c r="H315" s="70">
        <f t="shared" si="17"/>
        <v>542</v>
      </c>
      <c r="I315" s="70">
        <f t="shared" si="18"/>
        <v>208</v>
      </c>
      <c r="J315">
        <v>0</v>
      </c>
      <c r="K315" s="3" t="str">
        <f>VLOOKUP(J315,ConstDLCIds!$A$4:$B$1000,2,FALSE)</f>
        <v>DLC_BASE_GAME</v>
      </c>
      <c r="L315" s="3" t="str">
        <f>VLOOKUP(J315,ConstDLCIds!$A$4:$C$1000,3,FALSE)</f>
        <v>Included in base game</v>
      </c>
    </row>
    <row r="316" spans="1:12" x14ac:dyDescent="0.25">
      <c r="A316">
        <v>543</v>
      </c>
      <c r="B316">
        <v>311</v>
      </c>
      <c r="C316">
        <v>208</v>
      </c>
      <c r="D316" t="s">
        <v>2457</v>
      </c>
      <c r="E316" t="str">
        <f>IF(NOT(ISERROR(VLOOKUP(D316,'ESO DungeonFinder'!$A$2:$A$999,1,FALSE))),"X","")</f>
        <v/>
      </c>
      <c r="F316" s="70" t="str">
        <f t="shared" si="16"/>
        <v/>
      </c>
      <c r="G316" s="70" t="str">
        <f t="shared" si="19"/>
        <v>The Earth Forge</v>
      </c>
      <c r="H316" s="70">
        <f t="shared" si="17"/>
        <v>543</v>
      </c>
      <c r="I316" s="70">
        <f t="shared" si="18"/>
        <v>208</v>
      </c>
      <c r="J316">
        <v>0</v>
      </c>
      <c r="K316" s="3" t="str">
        <f>VLOOKUP(J316,ConstDLCIds!$A$4:$B$1000,2,FALSE)</f>
        <v>DLC_BASE_GAME</v>
      </c>
      <c r="L316" s="3" t="str">
        <f>VLOOKUP(J316,ConstDLCIds!$A$4:$C$1000,3,FALSE)</f>
        <v>Included in base game</v>
      </c>
    </row>
    <row r="317" spans="1:12" x14ac:dyDescent="0.25">
      <c r="A317">
        <v>544</v>
      </c>
      <c r="B317">
        <v>312</v>
      </c>
      <c r="C317">
        <v>208</v>
      </c>
      <c r="D317" t="s">
        <v>2458</v>
      </c>
      <c r="E317" t="str">
        <f>IF(NOT(ISERROR(VLOOKUP(D317,'ESO DungeonFinder'!$A$2:$A$999,1,FALSE))),"X","")</f>
        <v/>
      </c>
      <c r="F317" s="70" t="str">
        <f t="shared" si="16"/>
        <v/>
      </c>
      <c r="G317" s="70" t="str">
        <f t="shared" si="19"/>
        <v>The Earth Forge</v>
      </c>
      <c r="H317" s="70">
        <f t="shared" si="17"/>
        <v>544</v>
      </c>
      <c r="I317" s="70">
        <f t="shared" si="18"/>
        <v>208</v>
      </c>
      <c r="J317">
        <v>0</v>
      </c>
      <c r="K317" s="3" t="str">
        <f>VLOOKUP(J317,ConstDLCIds!$A$4:$B$1000,2,FALSE)</f>
        <v>DLC_BASE_GAME</v>
      </c>
      <c r="L317" s="3" t="str">
        <f>VLOOKUP(J317,ConstDLCIds!$A$4:$C$1000,3,FALSE)</f>
        <v>Included in base game</v>
      </c>
    </row>
    <row r="318" spans="1:12" x14ac:dyDescent="0.25">
      <c r="A318">
        <v>545</v>
      </c>
      <c r="B318">
        <v>313</v>
      </c>
      <c r="C318">
        <v>19</v>
      </c>
      <c r="D318" t="s">
        <v>2459</v>
      </c>
      <c r="E318" t="str">
        <f>IF(NOT(ISERROR(VLOOKUP(D318,'ESO DungeonFinder'!$A$2:$A$999,1,FALSE))),"X","")</f>
        <v/>
      </c>
      <c r="F318" s="70" t="str">
        <f t="shared" si="16"/>
        <v/>
      </c>
      <c r="G318" s="70" t="str">
        <f t="shared" si="19"/>
        <v>Stormhaven</v>
      </c>
      <c r="H318" s="70">
        <f t="shared" si="17"/>
        <v>545</v>
      </c>
      <c r="I318" s="70">
        <f t="shared" si="18"/>
        <v>19</v>
      </c>
      <c r="J318">
        <v>0</v>
      </c>
      <c r="K318" s="3" t="str">
        <f>VLOOKUP(J318,ConstDLCIds!$A$4:$B$1000,2,FALSE)</f>
        <v>DLC_BASE_GAME</v>
      </c>
      <c r="L318" s="3" t="str">
        <f>VLOOKUP(J318,ConstDLCIds!$A$4:$C$1000,3,FALSE)</f>
        <v>Included in base game</v>
      </c>
    </row>
    <row r="319" spans="1:12" x14ac:dyDescent="0.25">
      <c r="A319">
        <v>546</v>
      </c>
      <c r="B319">
        <v>314</v>
      </c>
      <c r="C319">
        <v>19</v>
      </c>
      <c r="D319" t="s">
        <v>2460</v>
      </c>
      <c r="E319" t="str">
        <f>IF(NOT(ISERROR(VLOOKUP(D319,'ESO DungeonFinder'!$A$2:$A$999,1,FALSE))),"X","")</f>
        <v/>
      </c>
      <c r="F319" s="70" t="str">
        <f t="shared" si="16"/>
        <v/>
      </c>
      <c r="G319" s="70" t="str">
        <f t="shared" si="19"/>
        <v>Stormhaven</v>
      </c>
      <c r="H319" s="70">
        <f t="shared" si="17"/>
        <v>546</v>
      </c>
      <c r="I319" s="70">
        <f t="shared" si="18"/>
        <v>19</v>
      </c>
      <c r="J319">
        <v>0</v>
      </c>
      <c r="K319" s="3" t="str">
        <f>VLOOKUP(J319,ConstDLCIds!$A$4:$B$1000,2,FALSE)</f>
        <v>DLC_BASE_GAME</v>
      </c>
      <c r="L319" s="3" t="str">
        <f>VLOOKUP(J319,ConstDLCIds!$A$4:$C$1000,3,FALSE)</f>
        <v>Included in base game</v>
      </c>
    </row>
    <row r="320" spans="1:12" x14ac:dyDescent="0.25">
      <c r="A320">
        <v>547</v>
      </c>
      <c r="B320">
        <v>315</v>
      </c>
      <c r="C320">
        <v>108</v>
      </c>
      <c r="D320" t="s">
        <v>2461</v>
      </c>
      <c r="E320" t="str">
        <f>IF(NOT(ISERROR(VLOOKUP(D320,'ESO DungeonFinder'!$A$2:$A$999,1,FALSE))),"X","")</f>
        <v/>
      </c>
      <c r="F320" s="70" t="str">
        <f t="shared" si="16"/>
        <v/>
      </c>
      <c r="G320" s="70" t="str">
        <f t="shared" si="19"/>
        <v>Greenshade</v>
      </c>
      <c r="H320" s="70">
        <f t="shared" si="17"/>
        <v>547</v>
      </c>
      <c r="I320" s="70">
        <f t="shared" si="18"/>
        <v>108</v>
      </c>
      <c r="J320">
        <v>0</v>
      </c>
      <c r="K320" s="3" t="str">
        <f>VLOOKUP(J320,ConstDLCIds!$A$4:$B$1000,2,FALSE)</f>
        <v>DLC_BASE_GAME</v>
      </c>
      <c r="L320" s="3" t="str">
        <f>VLOOKUP(J320,ConstDLCIds!$A$4:$C$1000,3,FALSE)</f>
        <v>Included in base game</v>
      </c>
    </row>
    <row r="321" spans="1:12" x14ac:dyDescent="0.25">
      <c r="A321">
        <v>548</v>
      </c>
      <c r="B321">
        <v>316</v>
      </c>
      <c r="C321">
        <v>108</v>
      </c>
      <c r="D321" t="s">
        <v>2462</v>
      </c>
      <c r="E321" t="str">
        <f>IF(NOT(ISERROR(VLOOKUP(D321,'ESO DungeonFinder'!$A$2:$A$999,1,FALSE))),"X","")</f>
        <v/>
      </c>
      <c r="F321" s="70" t="str">
        <f t="shared" si="16"/>
        <v/>
      </c>
      <c r="G321" s="70" t="str">
        <f t="shared" si="19"/>
        <v>Greenshade</v>
      </c>
      <c r="H321" s="70">
        <f t="shared" si="17"/>
        <v>548</v>
      </c>
      <c r="I321" s="70">
        <f t="shared" si="18"/>
        <v>108</v>
      </c>
      <c r="J321">
        <v>0</v>
      </c>
      <c r="K321" s="3" t="str">
        <f>VLOOKUP(J321,ConstDLCIds!$A$4:$B$1000,2,FALSE)</f>
        <v>DLC_BASE_GAME</v>
      </c>
      <c r="L321" s="3" t="str">
        <f>VLOOKUP(J321,ConstDLCIds!$A$4:$C$1000,3,FALSE)</f>
        <v>Included in base game</v>
      </c>
    </row>
    <row r="322" spans="1:12" x14ac:dyDescent="0.25">
      <c r="A322">
        <v>549</v>
      </c>
      <c r="B322">
        <v>317</v>
      </c>
      <c r="C322">
        <v>383</v>
      </c>
      <c r="D322" t="s">
        <v>2463</v>
      </c>
      <c r="E322" t="str">
        <f>IF(NOT(ISERROR(VLOOKUP(D322,'ESO DungeonFinder'!$A$2:$A$999,1,FALSE))),"X","")</f>
        <v/>
      </c>
      <c r="F322" s="70" t="str">
        <f t="shared" si="16"/>
        <v/>
      </c>
      <c r="G322" s="70" t="str">
        <f t="shared" si="19"/>
        <v>Grahtwood</v>
      </c>
      <c r="H322" s="70">
        <f t="shared" si="17"/>
        <v>549</v>
      </c>
      <c r="I322" s="70">
        <f t="shared" si="18"/>
        <v>383</v>
      </c>
      <c r="J322">
        <v>0</v>
      </c>
      <c r="K322" s="3" t="str">
        <f>VLOOKUP(J322,ConstDLCIds!$A$4:$B$1000,2,FALSE)</f>
        <v>DLC_BASE_GAME</v>
      </c>
      <c r="L322" s="3" t="str">
        <f>VLOOKUP(J322,ConstDLCIds!$A$4:$C$1000,3,FALSE)</f>
        <v>Included in base game</v>
      </c>
    </row>
    <row r="323" spans="1:12" x14ac:dyDescent="0.25">
      <c r="A323">
        <v>551</v>
      </c>
      <c r="B323">
        <v>318</v>
      </c>
      <c r="C323">
        <v>108</v>
      </c>
      <c r="D323" t="s">
        <v>2464</v>
      </c>
      <c r="E323" t="str">
        <f>IF(NOT(ISERROR(VLOOKUP(D323,'ESO DungeonFinder'!$A$2:$A$999,1,FALSE))),"X","")</f>
        <v/>
      </c>
      <c r="F323" s="70" t="str">
        <f t="shared" si="16"/>
        <v/>
      </c>
      <c r="G323" s="70" t="str">
        <f t="shared" si="19"/>
        <v>Greenshade</v>
      </c>
      <c r="H323" s="70">
        <f t="shared" si="17"/>
        <v>551</v>
      </c>
      <c r="I323" s="70">
        <f t="shared" si="18"/>
        <v>108</v>
      </c>
      <c r="J323">
        <v>0</v>
      </c>
      <c r="K323" s="3" t="str">
        <f>VLOOKUP(J323,ConstDLCIds!$A$4:$B$1000,2,FALSE)</f>
        <v>DLC_BASE_GAME</v>
      </c>
      <c r="L323" s="3" t="str">
        <f>VLOOKUP(J323,ConstDLCIds!$A$4:$C$1000,3,FALSE)</f>
        <v>Included in base game</v>
      </c>
    </row>
    <row r="324" spans="1:12" x14ac:dyDescent="0.25">
      <c r="A324">
        <v>552</v>
      </c>
      <c r="B324">
        <v>319</v>
      </c>
      <c r="C324">
        <v>108</v>
      </c>
      <c r="D324" t="s">
        <v>2465</v>
      </c>
      <c r="E324" t="str">
        <f>IF(NOT(ISERROR(VLOOKUP(D324,'ESO DungeonFinder'!$A$2:$A$999,1,FALSE))),"X","")</f>
        <v/>
      </c>
      <c r="F324" s="70" t="str">
        <f t="shared" si="16"/>
        <v/>
      </c>
      <c r="G324" s="70" t="str">
        <f t="shared" si="19"/>
        <v>Greenshade</v>
      </c>
      <c r="H324" s="70">
        <f t="shared" si="17"/>
        <v>552</v>
      </c>
      <c r="I324" s="70">
        <f t="shared" si="18"/>
        <v>108</v>
      </c>
      <c r="J324">
        <v>0</v>
      </c>
      <c r="K324" s="3" t="str">
        <f>VLOOKUP(J324,ConstDLCIds!$A$4:$B$1000,2,FALSE)</f>
        <v>DLC_BASE_GAME</v>
      </c>
      <c r="L324" s="3" t="str">
        <f>VLOOKUP(J324,ConstDLCIds!$A$4:$C$1000,3,FALSE)</f>
        <v>Included in base game</v>
      </c>
    </row>
    <row r="325" spans="1:12" x14ac:dyDescent="0.25">
      <c r="A325">
        <v>553</v>
      </c>
      <c r="B325">
        <v>320</v>
      </c>
      <c r="C325">
        <v>108</v>
      </c>
      <c r="D325" t="s">
        <v>2466</v>
      </c>
      <c r="E325" t="str">
        <f>IF(NOT(ISERROR(VLOOKUP(D325,'ESO DungeonFinder'!$A$2:$A$999,1,FALSE))),"X","")</f>
        <v/>
      </c>
      <c r="F325" s="70" t="str">
        <f t="shared" ref="F325:F388" si="20">IF(EXACT(A325,C325),"X","")</f>
        <v/>
      </c>
      <c r="G325" s="70" t="str">
        <f t="shared" si="19"/>
        <v>Greenshade</v>
      </c>
      <c r="H325" s="70">
        <f t="shared" ref="H325:H388" si="21">A325</f>
        <v>553</v>
      </c>
      <c r="I325" s="70">
        <f t="shared" ref="I325:I388" si="22">C325</f>
        <v>108</v>
      </c>
      <c r="J325">
        <v>0</v>
      </c>
      <c r="K325" s="3" t="str">
        <f>VLOOKUP(J325,ConstDLCIds!$A$4:$B$1000,2,FALSE)</f>
        <v>DLC_BASE_GAME</v>
      </c>
      <c r="L325" s="3" t="str">
        <f>VLOOKUP(J325,ConstDLCIds!$A$4:$C$1000,3,FALSE)</f>
        <v>Included in base game</v>
      </c>
    </row>
    <row r="326" spans="1:12" x14ac:dyDescent="0.25">
      <c r="A326">
        <v>554</v>
      </c>
      <c r="B326">
        <v>321</v>
      </c>
      <c r="C326">
        <v>108</v>
      </c>
      <c r="D326" t="s">
        <v>2467</v>
      </c>
      <c r="E326" t="str">
        <f>IF(NOT(ISERROR(VLOOKUP(D326,'ESO DungeonFinder'!$A$2:$A$999,1,FALSE))),"X","")</f>
        <v/>
      </c>
      <c r="F326" s="70" t="str">
        <f t="shared" si="20"/>
        <v/>
      </c>
      <c r="G326" s="70" t="str">
        <f t="shared" ref="G326:G389" si="23">IF(A326&lt;&gt;C326,VLOOKUP(C326,$A$5:$D$9956,4,FALSE),"")</f>
        <v>Greenshade</v>
      </c>
      <c r="H326" s="70">
        <f t="shared" si="21"/>
        <v>554</v>
      </c>
      <c r="I326" s="70">
        <f t="shared" si="22"/>
        <v>108</v>
      </c>
      <c r="J326">
        <v>0</v>
      </c>
      <c r="K326" s="3" t="str">
        <f>VLOOKUP(J326,ConstDLCIds!$A$4:$B$1000,2,FALSE)</f>
        <v>DLC_BASE_GAME</v>
      </c>
      <c r="L326" s="3" t="str">
        <f>VLOOKUP(J326,ConstDLCIds!$A$4:$C$1000,3,FALSE)</f>
        <v>Included in base game</v>
      </c>
    </row>
    <row r="327" spans="1:12" x14ac:dyDescent="0.25">
      <c r="A327">
        <v>555</v>
      </c>
      <c r="B327">
        <v>322</v>
      </c>
      <c r="C327">
        <v>108</v>
      </c>
      <c r="D327" t="s">
        <v>2468</v>
      </c>
      <c r="E327" t="str">
        <f>IF(NOT(ISERROR(VLOOKUP(D327,'ESO DungeonFinder'!$A$2:$A$999,1,FALSE))),"X","")</f>
        <v/>
      </c>
      <c r="F327" s="70" t="str">
        <f t="shared" si="20"/>
        <v/>
      </c>
      <c r="G327" s="70" t="str">
        <f t="shared" si="23"/>
        <v>Greenshade</v>
      </c>
      <c r="H327" s="70">
        <f t="shared" si="21"/>
        <v>555</v>
      </c>
      <c r="I327" s="70">
        <f t="shared" si="22"/>
        <v>108</v>
      </c>
      <c r="J327">
        <v>0</v>
      </c>
      <c r="K327" s="3" t="str">
        <f>VLOOKUP(J327,ConstDLCIds!$A$4:$B$1000,2,FALSE)</f>
        <v>DLC_BASE_GAME</v>
      </c>
      <c r="L327" s="3" t="str">
        <f>VLOOKUP(J327,ConstDLCIds!$A$4:$C$1000,3,FALSE)</f>
        <v>Included in base game</v>
      </c>
    </row>
    <row r="328" spans="1:12" x14ac:dyDescent="0.25">
      <c r="A328">
        <v>556</v>
      </c>
      <c r="B328">
        <v>323</v>
      </c>
      <c r="C328">
        <v>108</v>
      </c>
      <c r="D328" t="s">
        <v>2469</v>
      </c>
      <c r="E328" t="str">
        <f>IF(NOT(ISERROR(VLOOKUP(D328,'ESO DungeonFinder'!$A$2:$A$999,1,FALSE))),"X","")</f>
        <v/>
      </c>
      <c r="F328" s="70" t="str">
        <f t="shared" si="20"/>
        <v/>
      </c>
      <c r="G328" s="70" t="str">
        <f t="shared" si="23"/>
        <v>Greenshade</v>
      </c>
      <c r="H328" s="70">
        <f t="shared" si="21"/>
        <v>556</v>
      </c>
      <c r="I328" s="70">
        <f t="shared" si="22"/>
        <v>108</v>
      </c>
      <c r="J328">
        <v>0</v>
      </c>
      <c r="K328" s="3" t="str">
        <f>VLOOKUP(J328,ConstDLCIds!$A$4:$B$1000,2,FALSE)</f>
        <v>DLC_BASE_GAME</v>
      </c>
      <c r="L328" s="3" t="str">
        <f>VLOOKUP(J328,ConstDLCIds!$A$4:$C$1000,3,FALSE)</f>
        <v>Included in base game</v>
      </c>
    </row>
    <row r="329" spans="1:12" x14ac:dyDescent="0.25">
      <c r="A329">
        <v>557</v>
      </c>
      <c r="B329">
        <v>324</v>
      </c>
      <c r="C329">
        <v>347</v>
      </c>
      <c r="D329" t="s">
        <v>2186</v>
      </c>
      <c r="E329" t="str">
        <f>IF(NOT(ISERROR(VLOOKUP(D329,'ESO DungeonFinder'!$A$2:$A$999,1,FALSE))),"X","")</f>
        <v/>
      </c>
      <c r="F329" s="70" t="str">
        <f t="shared" si="20"/>
        <v/>
      </c>
      <c r="G329" s="70" t="str">
        <f t="shared" si="23"/>
        <v>Coldharbour</v>
      </c>
      <c r="H329" s="70">
        <f t="shared" si="21"/>
        <v>557</v>
      </c>
      <c r="I329" s="70">
        <f t="shared" si="22"/>
        <v>347</v>
      </c>
      <c r="J329">
        <v>0</v>
      </c>
      <c r="K329" s="3" t="str">
        <f>VLOOKUP(J329,ConstDLCIds!$A$4:$B$1000,2,FALSE)</f>
        <v>DLC_BASE_GAME</v>
      </c>
      <c r="L329" s="3" t="str">
        <f>VLOOKUP(J329,ConstDLCIds!$A$4:$C$1000,3,FALSE)</f>
        <v>Included in base game</v>
      </c>
    </row>
    <row r="330" spans="1:12" x14ac:dyDescent="0.25">
      <c r="A330">
        <v>558</v>
      </c>
      <c r="B330">
        <v>325</v>
      </c>
      <c r="C330">
        <v>108</v>
      </c>
      <c r="D330" t="s">
        <v>2470</v>
      </c>
      <c r="E330" t="str">
        <f>IF(NOT(ISERROR(VLOOKUP(D330,'ESO DungeonFinder'!$A$2:$A$999,1,FALSE))),"X","")</f>
        <v/>
      </c>
      <c r="F330" s="70" t="str">
        <f t="shared" si="20"/>
        <v/>
      </c>
      <c r="G330" s="70" t="str">
        <f t="shared" si="23"/>
        <v>Greenshade</v>
      </c>
      <c r="H330" s="70">
        <f t="shared" si="21"/>
        <v>558</v>
      </c>
      <c r="I330" s="70">
        <f t="shared" si="22"/>
        <v>108</v>
      </c>
      <c r="J330">
        <v>0</v>
      </c>
      <c r="K330" s="3" t="str">
        <f>VLOOKUP(J330,ConstDLCIds!$A$4:$B$1000,2,FALSE)</f>
        <v>DLC_BASE_GAME</v>
      </c>
      <c r="L330" s="3" t="str">
        <f>VLOOKUP(J330,ConstDLCIds!$A$4:$C$1000,3,FALSE)</f>
        <v>Included in base game</v>
      </c>
    </row>
    <row r="331" spans="1:12" x14ac:dyDescent="0.25">
      <c r="A331">
        <v>559</v>
      </c>
      <c r="B331">
        <v>326</v>
      </c>
      <c r="C331">
        <v>108</v>
      </c>
      <c r="D331" t="s">
        <v>2471</v>
      </c>
      <c r="E331" t="str">
        <f>IF(NOT(ISERROR(VLOOKUP(D331,'ESO DungeonFinder'!$A$2:$A$999,1,FALSE))),"X","")</f>
        <v/>
      </c>
      <c r="F331" s="70" t="str">
        <f t="shared" si="20"/>
        <v/>
      </c>
      <c r="G331" s="70" t="str">
        <f t="shared" si="23"/>
        <v>Greenshade</v>
      </c>
      <c r="H331" s="70">
        <f t="shared" si="21"/>
        <v>559</v>
      </c>
      <c r="I331" s="70">
        <f t="shared" si="22"/>
        <v>108</v>
      </c>
      <c r="J331">
        <v>0</v>
      </c>
      <c r="K331" s="3" t="str">
        <f>VLOOKUP(J331,ConstDLCIds!$A$4:$B$1000,2,FALSE)</f>
        <v>DLC_BASE_GAME</v>
      </c>
      <c r="L331" s="3" t="str">
        <f>VLOOKUP(J331,ConstDLCIds!$A$4:$C$1000,3,FALSE)</f>
        <v>Included in base game</v>
      </c>
    </row>
    <row r="332" spans="1:12" x14ac:dyDescent="0.25">
      <c r="A332">
        <v>560</v>
      </c>
      <c r="B332">
        <v>327</v>
      </c>
      <c r="C332">
        <v>103</v>
      </c>
      <c r="D332" t="s">
        <v>2360</v>
      </c>
      <c r="E332" t="str">
        <f>IF(NOT(ISERROR(VLOOKUP(D332,'ESO DungeonFinder'!$A$2:$A$999,1,FALSE))),"X","")</f>
        <v/>
      </c>
      <c r="F332" s="70" t="str">
        <f t="shared" si="20"/>
        <v/>
      </c>
      <c r="G332" s="70" t="str">
        <f t="shared" si="23"/>
        <v>The Rift</v>
      </c>
      <c r="H332" s="70">
        <f t="shared" si="21"/>
        <v>560</v>
      </c>
      <c r="I332" s="70">
        <f t="shared" si="22"/>
        <v>103</v>
      </c>
      <c r="J332">
        <v>0</v>
      </c>
      <c r="K332" s="3" t="str">
        <f>VLOOKUP(J332,ConstDLCIds!$A$4:$B$1000,2,FALSE)</f>
        <v>DLC_BASE_GAME</v>
      </c>
      <c r="L332" s="3" t="str">
        <f>VLOOKUP(J332,ConstDLCIds!$A$4:$C$1000,3,FALSE)</f>
        <v>Included in base game</v>
      </c>
    </row>
    <row r="333" spans="1:12" x14ac:dyDescent="0.25">
      <c r="A333">
        <v>561</v>
      </c>
      <c r="B333">
        <v>328</v>
      </c>
      <c r="C333">
        <v>108</v>
      </c>
      <c r="D333" t="s">
        <v>2472</v>
      </c>
      <c r="E333" t="str">
        <f>IF(NOT(ISERROR(VLOOKUP(D333,'ESO DungeonFinder'!$A$2:$A$999,1,FALSE))),"X","")</f>
        <v/>
      </c>
      <c r="F333" s="70" t="str">
        <f t="shared" si="20"/>
        <v/>
      </c>
      <c r="G333" s="70" t="str">
        <f t="shared" si="23"/>
        <v>Greenshade</v>
      </c>
      <c r="H333" s="70">
        <f t="shared" si="21"/>
        <v>561</v>
      </c>
      <c r="I333" s="70">
        <f t="shared" si="22"/>
        <v>108</v>
      </c>
      <c r="J333">
        <v>0</v>
      </c>
      <c r="K333" s="3" t="str">
        <f>VLOOKUP(J333,ConstDLCIds!$A$4:$B$1000,2,FALSE)</f>
        <v>DLC_BASE_GAME</v>
      </c>
      <c r="L333" s="3" t="str">
        <f>VLOOKUP(J333,ConstDLCIds!$A$4:$C$1000,3,FALSE)</f>
        <v>Included in base game</v>
      </c>
    </row>
    <row r="334" spans="1:12" x14ac:dyDescent="0.25">
      <c r="A334">
        <v>562</v>
      </c>
      <c r="B334">
        <v>329</v>
      </c>
      <c r="C334">
        <v>382</v>
      </c>
      <c r="D334" t="s">
        <v>2473</v>
      </c>
      <c r="E334" t="str">
        <f>IF(NOT(ISERROR(VLOOKUP(D334,'ESO DungeonFinder'!$A$2:$A$999,1,FALSE))),"X","")</f>
        <v/>
      </c>
      <c r="F334" s="70" t="str">
        <f t="shared" si="20"/>
        <v/>
      </c>
      <c r="G334" s="70" t="str">
        <f t="shared" si="23"/>
        <v>Reaper's March</v>
      </c>
      <c r="H334" s="70">
        <f t="shared" si="21"/>
        <v>562</v>
      </c>
      <c r="I334" s="70">
        <f t="shared" si="22"/>
        <v>382</v>
      </c>
      <c r="J334">
        <v>0</v>
      </c>
      <c r="K334" s="3" t="str">
        <f>VLOOKUP(J334,ConstDLCIds!$A$4:$B$1000,2,FALSE)</f>
        <v>DLC_BASE_GAME</v>
      </c>
      <c r="L334" s="3" t="str">
        <f>VLOOKUP(J334,ConstDLCIds!$A$4:$C$1000,3,FALSE)</f>
        <v>Included in base game</v>
      </c>
    </row>
    <row r="335" spans="1:12" x14ac:dyDescent="0.25">
      <c r="A335">
        <v>565</v>
      </c>
      <c r="B335">
        <v>330</v>
      </c>
      <c r="C335">
        <v>382</v>
      </c>
      <c r="D335" t="s">
        <v>2474</v>
      </c>
      <c r="E335" t="str">
        <f>IF(NOT(ISERROR(VLOOKUP(D335,'ESO DungeonFinder'!$A$2:$A$999,1,FALSE))),"X","")</f>
        <v/>
      </c>
      <c r="F335" s="70" t="str">
        <f t="shared" si="20"/>
        <v/>
      </c>
      <c r="G335" s="70" t="str">
        <f t="shared" si="23"/>
        <v>Reaper's March</v>
      </c>
      <c r="H335" s="70">
        <f t="shared" si="21"/>
        <v>565</v>
      </c>
      <c r="I335" s="70">
        <f t="shared" si="22"/>
        <v>382</v>
      </c>
      <c r="J335">
        <v>0</v>
      </c>
      <c r="K335" s="3" t="str">
        <f>VLOOKUP(J335,ConstDLCIds!$A$4:$B$1000,2,FALSE)</f>
        <v>DLC_BASE_GAME</v>
      </c>
      <c r="L335" s="3" t="str">
        <f>VLOOKUP(J335,ConstDLCIds!$A$4:$C$1000,3,FALSE)</f>
        <v>Included in base game</v>
      </c>
    </row>
    <row r="336" spans="1:12" x14ac:dyDescent="0.25">
      <c r="A336">
        <v>566</v>
      </c>
      <c r="B336">
        <v>331</v>
      </c>
      <c r="C336">
        <v>3</v>
      </c>
      <c r="D336" t="s">
        <v>2475</v>
      </c>
      <c r="E336" t="str">
        <f>IF(NOT(ISERROR(VLOOKUP(D336,'ESO DungeonFinder'!$A$2:$A$999,1,FALSE))),"X","")</f>
        <v/>
      </c>
      <c r="F336" s="70" t="str">
        <f t="shared" si="20"/>
        <v/>
      </c>
      <c r="G336" s="70" t="str">
        <f t="shared" si="23"/>
        <v>Glenumbra</v>
      </c>
      <c r="H336" s="70">
        <f t="shared" si="21"/>
        <v>566</v>
      </c>
      <c r="I336" s="70">
        <f t="shared" si="22"/>
        <v>3</v>
      </c>
      <c r="J336">
        <v>0</v>
      </c>
      <c r="K336" s="3" t="str">
        <f>VLOOKUP(J336,ConstDLCIds!$A$4:$B$1000,2,FALSE)</f>
        <v>DLC_BASE_GAME</v>
      </c>
      <c r="L336" s="3" t="str">
        <f>VLOOKUP(J336,ConstDLCIds!$A$4:$C$1000,3,FALSE)</f>
        <v>Included in base game</v>
      </c>
    </row>
    <row r="337" spans="1:12" x14ac:dyDescent="0.25">
      <c r="A337">
        <v>567</v>
      </c>
      <c r="B337">
        <v>332</v>
      </c>
      <c r="C337">
        <v>103</v>
      </c>
      <c r="D337" t="s">
        <v>2359</v>
      </c>
      <c r="E337" t="str">
        <f>IF(NOT(ISERROR(VLOOKUP(D337,'ESO DungeonFinder'!$A$2:$A$999,1,FALSE))),"X","")</f>
        <v/>
      </c>
      <c r="F337" s="70" t="str">
        <f t="shared" si="20"/>
        <v/>
      </c>
      <c r="G337" s="70" t="str">
        <f t="shared" si="23"/>
        <v>The Rift</v>
      </c>
      <c r="H337" s="70">
        <f t="shared" si="21"/>
        <v>567</v>
      </c>
      <c r="I337" s="70">
        <f t="shared" si="22"/>
        <v>103</v>
      </c>
      <c r="J337">
        <v>0</v>
      </c>
      <c r="K337" s="3" t="str">
        <f>VLOOKUP(J337,ConstDLCIds!$A$4:$B$1000,2,FALSE)</f>
        <v>DLC_BASE_GAME</v>
      </c>
      <c r="L337" s="3" t="str">
        <f>VLOOKUP(J337,ConstDLCIds!$A$4:$C$1000,3,FALSE)</f>
        <v>Included in base game</v>
      </c>
    </row>
    <row r="338" spans="1:12" x14ac:dyDescent="0.25">
      <c r="A338">
        <v>569</v>
      </c>
      <c r="B338">
        <v>333</v>
      </c>
      <c r="C338">
        <v>104</v>
      </c>
      <c r="D338" t="s">
        <v>2476</v>
      </c>
      <c r="E338" t="str">
        <f>IF(NOT(ISERROR(VLOOKUP(D338,'ESO DungeonFinder'!$A$2:$A$999,1,FALSE))),"X","")</f>
        <v/>
      </c>
      <c r="F338" s="70" t="str">
        <f t="shared" si="20"/>
        <v/>
      </c>
      <c r="G338" s="70" t="str">
        <f t="shared" si="23"/>
        <v>Alik'r Desert</v>
      </c>
      <c r="H338" s="70">
        <f t="shared" si="21"/>
        <v>569</v>
      </c>
      <c r="I338" s="70">
        <f t="shared" si="22"/>
        <v>104</v>
      </c>
      <c r="J338">
        <v>0</v>
      </c>
      <c r="K338" s="3" t="str">
        <f>VLOOKUP(J338,ConstDLCIds!$A$4:$B$1000,2,FALSE)</f>
        <v>DLC_BASE_GAME</v>
      </c>
      <c r="L338" s="3" t="str">
        <f>VLOOKUP(J338,ConstDLCIds!$A$4:$C$1000,3,FALSE)</f>
        <v>Included in base game</v>
      </c>
    </row>
    <row r="339" spans="1:12" x14ac:dyDescent="0.25">
      <c r="A339">
        <v>570</v>
      </c>
      <c r="B339">
        <v>334</v>
      </c>
      <c r="C339">
        <v>104</v>
      </c>
      <c r="D339" t="s">
        <v>2477</v>
      </c>
      <c r="E339" t="str">
        <f>IF(NOT(ISERROR(VLOOKUP(D339,'ESO DungeonFinder'!$A$2:$A$999,1,FALSE))),"X","")</f>
        <v/>
      </c>
      <c r="F339" s="70" t="str">
        <f t="shared" si="20"/>
        <v/>
      </c>
      <c r="G339" s="70" t="str">
        <f t="shared" si="23"/>
        <v>Alik'r Desert</v>
      </c>
      <c r="H339" s="70">
        <f t="shared" si="21"/>
        <v>570</v>
      </c>
      <c r="I339" s="70">
        <f t="shared" si="22"/>
        <v>104</v>
      </c>
      <c r="J339">
        <v>0</v>
      </c>
      <c r="K339" s="3" t="str">
        <f>VLOOKUP(J339,ConstDLCIds!$A$4:$B$1000,2,FALSE)</f>
        <v>DLC_BASE_GAME</v>
      </c>
      <c r="L339" s="3" t="str">
        <f>VLOOKUP(J339,ConstDLCIds!$A$4:$C$1000,3,FALSE)</f>
        <v>Included in base game</v>
      </c>
    </row>
    <row r="340" spans="1:12" x14ac:dyDescent="0.25">
      <c r="A340">
        <v>571</v>
      </c>
      <c r="B340">
        <v>335</v>
      </c>
      <c r="C340">
        <v>104</v>
      </c>
      <c r="D340" t="s">
        <v>2478</v>
      </c>
      <c r="E340" t="str">
        <f>IF(NOT(ISERROR(VLOOKUP(D340,'ESO DungeonFinder'!$A$2:$A$999,1,FALSE))),"X","")</f>
        <v/>
      </c>
      <c r="F340" s="70" t="str">
        <f t="shared" si="20"/>
        <v/>
      </c>
      <c r="G340" s="70" t="str">
        <f t="shared" si="23"/>
        <v>Alik'r Desert</v>
      </c>
      <c r="H340" s="70">
        <f t="shared" si="21"/>
        <v>571</v>
      </c>
      <c r="I340" s="70">
        <f t="shared" si="22"/>
        <v>104</v>
      </c>
      <c r="J340">
        <v>0</v>
      </c>
      <c r="K340" s="3" t="str">
        <f>VLOOKUP(J340,ConstDLCIds!$A$4:$B$1000,2,FALSE)</f>
        <v>DLC_BASE_GAME</v>
      </c>
      <c r="L340" s="3" t="str">
        <f>VLOOKUP(J340,ConstDLCIds!$A$4:$C$1000,3,FALSE)</f>
        <v>Included in base game</v>
      </c>
    </row>
    <row r="341" spans="1:12" x14ac:dyDescent="0.25">
      <c r="A341">
        <v>572</v>
      </c>
      <c r="B341">
        <v>336</v>
      </c>
      <c r="C341">
        <v>572</v>
      </c>
      <c r="D341" t="s">
        <v>2479</v>
      </c>
      <c r="E341" t="str">
        <f>IF(NOT(ISERROR(VLOOKUP(D341,'ESO DungeonFinder'!$A$2:$A$999,1,FALSE))),"X","")</f>
        <v/>
      </c>
      <c r="F341" s="70" t="str">
        <f t="shared" si="20"/>
        <v>X</v>
      </c>
      <c r="G341" s="70" t="str">
        <f t="shared" si="23"/>
        <v/>
      </c>
      <c r="H341" s="70">
        <f t="shared" si="21"/>
        <v>572</v>
      </c>
      <c r="I341" s="70">
        <f t="shared" si="22"/>
        <v>572</v>
      </c>
      <c r="J341">
        <v>6</v>
      </c>
      <c r="K341" s="3" t="str">
        <f ca="1">VLOOKUP(J341,ConstDLCIds!$A$4:$B$1000,2,FALSE)</f>
        <v>DLC_MORROWIND</v>
      </c>
      <c r="L341" s="3" t="str">
        <f ca="1">VLOOKUP(J341,ConstDLCIds!$A$4:$C$1000,3,FALSE)</f>
        <v>Morrowind</v>
      </c>
    </row>
    <row r="342" spans="1:12" x14ac:dyDescent="0.25">
      <c r="A342">
        <v>573</v>
      </c>
      <c r="B342">
        <v>337</v>
      </c>
      <c r="C342">
        <v>0</v>
      </c>
      <c r="D342" t="s">
        <v>2480</v>
      </c>
      <c r="E342" t="str">
        <f>IF(NOT(ISERROR(VLOOKUP(D342,'ESO DungeonFinder'!$A$2:$A$999,1,FALSE))),"X","")</f>
        <v/>
      </c>
      <c r="F342" s="70" t="str">
        <f t="shared" si="20"/>
        <v/>
      </c>
      <c r="G342" s="70" t="str">
        <f t="shared" si="23"/>
        <v>Tamriel Map</v>
      </c>
      <c r="H342" s="70">
        <f t="shared" si="21"/>
        <v>573</v>
      </c>
      <c r="I342" s="70">
        <f t="shared" si="22"/>
        <v>0</v>
      </c>
      <c r="J342">
        <v>0</v>
      </c>
      <c r="K342" s="3" t="str">
        <f>VLOOKUP(J342,ConstDLCIds!$A$4:$B$1000,2,FALSE)</f>
        <v>DLC_BASE_GAME</v>
      </c>
      <c r="L342" s="3" t="str">
        <f>VLOOKUP(J342,ConstDLCIds!$A$4:$C$1000,3,FALSE)</f>
        <v>Included in base game</v>
      </c>
    </row>
    <row r="343" spans="1:12" x14ac:dyDescent="0.25">
      <c r="A343">
        <v>574</v>
      </c>
      <c r="B343">
        <v>338</v>
      </c>
      <c r="C343">
        <v>0</v>
      </c>
      <c r="D343" t="s">
        <v>2481</v>
      </c>
      <c r="E343" t="str">
        <f>IF(NOT(ISERROR(VLOOKUP(D343,'ESO DungeonFinder'!$A$2:$A$999,1,FALSE))),"X","")</f>
        <v/>
      </c>
      <c r="F343" s="70" t="str">
        <f t="shared" si="20"/>
        <v/>
      </c>
      <c r="G343" s="70" t="str">
        <f t="shared" si="23"/>
        <v>Tamriel Map</v>
      </c>
      <c r="H343" s="70">
        <f t="shared" si="21"/>
        <v>574</v>
      </c>
      <c r="I343" s="70">
        <f t="shared" si="22"/>
        <v>0</v>
      </c>
      <c r="J343">
        <v>0</v>
      </c>
      <c r="K343" s="3" t="str">
        <f>VLOOKUP(J343,ConstDLCIds!$A$4:$B$1000,2,FALSE)</f>
        <v>DLC_BASE_GAME</v>
      </c>
      <c r="L343" s="3" t="str">
        <f>VLOOKUP(J343,ConstDLCIds!$A$4:$C$1000,3,FALSE)</f>
        <v>Included in base game</v>
      </c>
    </row>
    <row r="344" spans="1:12" x14ac:dyDescent="0.25">
      <c r="A344">
        <v>575</v>
      </c>
      <c r="B344">
        <v>339</v>
      </c>
      <c r="C344">
        <v>108</v>
      </c>
      <c r="D344" t="s">
        <v>2482</v>
      </c>
      <c r="E344" t="str">
        <f>IF(NOT(ISERROR(VLOOKUP(D344,'ESO DungeonFinder'!$A$2:$A$999,1,FALSE))),"X","")</f>
        <v/>
      </c>
      <c r="F344" s="70" t="str">
        <f t="shared" si="20"/>
        <v/>
      </c>
      <c r="G344" s="70" t="str">
        <f t="shared" si="23"/>
        <v>Greenshade</v>
      </c>
      <c r="H344" s="70">
        <f t="shared" si="21"/>
        <v>575</v>
      </c>
      <c r="I344" s="70">
        <f t="shared" si="22"/>
        <v>108</v>
      </c>
      <c r="J344">
        <v>0</v>
      </c>
      <c r="K344" s="3" t="str">
        <f>VLOOKUP(J344,ConstDLCIds!$A$4:$B$1000,2,FALSE)</f>
        <v>DLC_BASE_GAME</v>
      </c>
      <c r="L344" s="3" t="str">
        <f>VLOOKUP(J344,ConstDLCIds!$A$4:$C$1000,3,FALSE)</f>
        <v>Included in base game</v>
      </c>
    </row>
    <row r="345" spans="1:12" x14ac:dyDescent="0.25">
      <c r="A345">
        <v>576</v>
      </c>
      <c r="B345">
        <v>340</v>
      </c>
      <c r="C345">
        <v>108</v>
      </c>
      <c r="D345" t="s">
        <v>2483</v>
      </c>
      <c r="E345" t="str">
        <f>IF(NOT(ISERROR(VLOOKUP(D345,'ESO DungeonFinder'!$A$2:$A$999,1,FALSE))),"X","")</f>
        <v/>
      </c>
      <c r="F345" s="70" t="str">
        <f t="shared" si="20"/>
        <v/>
      </c>
      <c r="G345" s="70" t="str">
        <f t="shared" si="23"/>
        <v>Greenshade</v>
      </c>
      <c r="H345" s="70">
        <f t="shared" si="21"/>
        <v>576</v>
      </c>
      <c r="I345" s="70">
        <f t="shared" si="22"/>
        <v>108</v>
      </c>
      <c r="J345">
        <v>0</v>
      </c>
      <c r="K345" s="3" t="str">
        <f>VLOOKUP(J345,ConstDLCIds!$A$4:$B$1000,2,FALSE)</f>
        <v>DLC_BASE_GAME</v>
      </c>
      <c r="L345" s="3" t="str">
        <f>VLOOKUP(J345,ConstDLCIds!$A$4:$C$1000,3,FALSE)</f>
        <v>Included in base game</v>
      </c>
    </row>
    <row r="346" spans="1:12" x14ac:dyDescent="0.25">
      <c r="A346">
        <v>577</v>
      </c>
      <c r="B346">
        <v>341</v>
      </c>
      <c r="C346">
        <v>108</v>
      </c>
      <c r="D346" t="s">
        <v>2484</v>
      </c>
      <c r="E346" t="str">
        <f>IF(NOT(ISERROR(VLOOKUP(D346,'ESO DungeonFinder'!$A$2:$A$999,1,FALSE))),"X","")</f>
        <v/>
      </c>
      <c r="F346" s="70" t="str">
        <f t="shared" si="20"/>
        <v/>
      </c>
      <c r="G346" s="70" t="str">
        <f t="shared" si="23"/>
        <v>Greenshade</v>
      </c>
      <c r="H346" s="70">
        <f t="shared" si="21"/>
        <v>577</v>
      </c>
      <c r="I346" s="70">
        <f t="shared" si="22"/>
        <v>108</v>
      </c>
      <c r="J346">
        <v>0</v>
      </c>
      <c r="K346" s="3" t="str">
        <f>VLOOKUP(J346,ConstDLCIds!$A$4:$B$1000,2,FALSE)</f>
        <v>DLC_BASE_GAME</v>
      </c>
      <c r="L346" s="3" t="str">
        <f>VLOOKUP(J346,ConstDLCIds!$A$4:$C$1000,3,FALSE)</f>
        <v>Included in base game</v>
      </c>
    </row>
    <row r="347" spans="1:12" x14ac:dyDescent="0.25">
      <c r="A347">
        <v>578</v>
      </c>
      <c r="B347">
        <v>342</v>
      </c>
      <c r="C347">
        <v>108</v>
      </c>
      <c r="D347" t="s">
        <v>2485</v>
      </c>
      <c r="E347" t="str">
        <f>IF(NOT(ISERROR(VLOOKUP(D347,'ESO DungeonFinder'!$A$2:$A$999,1,FALSE))),"X","")</f>
        <v/>
      </c>
      <c r="F347" s="70" t="str">
        <f t="shared" si="20"/>
        <v/>
      </c>
      <c r="G347" s="70" t="str">
        <f t="shared" si="23"/>
        <v>Greenshade</v>
      </c>
      <c r="H347" s="70">
        <f t="shared" si="21"/>
        <v>578</v>
      </c>
      <c r="I347" s="70">
        <f t="shared" si="22"/>
        <v>108</v>
      </c>
      <c r="J347">
        <v>0</v>
      </c>
      <c r="K347" s="3" t="str">
        <f>VLOOKUP(J347,ConstDLCIds!$A$4:$B$1000,2,FALSE)</f>
        <v>DLC_BASE_GAME</v>
      </c>
      <c r="L347" s="3" t="str">
        <f>VLOOKUP(J347,ConstDLCIds!$A$4:$C$1000,3,FALSE)</f>
        <v>Included in base game</v>
      </c>
    </row>
    <row r="348" spans="1:12" x14ac:dyDescent="0.25">
      <c r="A348">
        <v>579</v>
      </c>
      <c r="B348">
        <v>343</v>
      </c>
      <c r="C348">
        <v>108</v>
      </c>
      <c r="D348" t="s">
        <v>2486</v>
      </c>
      <c r="E348" t="str">
        <f>IF(NOT(ISERROR(VLOOKUP(D348,'ESO DungeonFinder'!$A$2:$A$999,1,FALSE))),"X","")</f>
        <v/>
      </c>
      <c r="F348" s="70" t="str">
        <f t="shared" si="20"/>
        <v/>
      </c>
      <c r="G348" s="70" t="str">
        <f t="shared" si="23"/>
        <v>Greenshade</v>
      </c>
      <c r="H348" s="70">
        <f t="shared" si="21"/>
        <v>579</v>
      </c>
      <c r="I348" s="70">
        <f t="shared" si="22"/>
        <v>108</v>
      </c>
      <c r="J348">
        <v>0</v>
      </c>
      <c r="K348" s="3" t="str">
        <f>VLOOKUP(J348,ConstDLCIds!$A$4:$B$1000,2,FALSE)</f>
        <v>DLC_BASE_GAME</v>
      </c>
      <c r="L348" s="3" t="str">
        <f>VLOOKUP(J348,ConstDLCIds!$A$4:$C$1000,3,FALSE)</f>
        <v>Included in base game</v>
      </c>
    </row>
    <row r="349" spans="1:12" x14ac:dyDescent="0.25">
      <c r="A349">
        <v>580</v>
      </c>
      <c r="B349">
        <v>344</v>
      </c>
      <c r="C349">
        <v>108</v>
      </c>
      <c r="D349" t="s">
        <v>2487</v>
      </c>
      <c r="E349" t="str">
        <f>IF(NOT(ISERROR(VLOOKUP(D349,'ESO DungeonFinder'!$A$2:$A$999,1,FALSE))),"X","")</f>
        <v/>
      </c>
      <c r="F349" s="70" t="str">
        <f t="shared" si="20"/>
        <v/>
      </c>
      <c r="G349" s="70" t="str">
        <f t="shared" si="23"/>
        <v>Greenshade</v>
      </c>
      <c r="H349" s="70">
        <f t="shared" si="21"/>
        <v>580</v>
      </c>
      <c r="I349" s="70">
        <f t="shared" si="22"/>
        <v>108</v>
      </c>
      <c r="J349">
        <v>0</v>
      </c>
      <c r="K349" s="3" t="str">
        <f>VLOOKUP(J349,ConstDLCIds!$A$4:$B$1000,2,FALSE)</f>
        <v>DLC_BASE_GAME</v>
      </c>
      <c r="L349" s="3" t="str">
        <f>VLOOKUP(J349,ConstDLCIds!$A$4:$C$1000,3,FALSE)</f>
        <v>Included in base game</v>
      </c>
    </row>
    <row r="350" spans="1:12" x14ac:dyDescent="0.25">
      <c r="A350">
        <v>581</v>
      </c>
      <c r="B350">
        <v>345</v>
      </c>
      <c r="C350">
        <v>0</v>
      </c>
      <c r="D350" t="s">
        <v>2488</v>
      </c>
      <c r="E350" t="str">
        <f>IF(NOT(ISERROR(VLOOKUP(D350,'ESO DungeonFinder'!$A$2:$A$999,1,FALSE))),"X","")</f>
        <v/>
      </c>
      <c r="F350" s="70" t="str">
        <f t="shared" si="20"/>
        <v/>
      </c>
      <c r="G350" s="70" t="str">
        <f t="shared" si="23"/>
        <v>Tamriel Map</v>
      </c>
      <c r="H350" s="70">
        <f t="shared" si="21"/>
        <v>581</v>
      </c>
      <c r="I350" s="70">
        <f t="shared" si="22"/>
        <v>0</v>
      </c>
      <c r="J350">
        <v>0</v>
      </c>
      <c r="K350" s="3" t="str">
        <f>VLOOKUP(J350,ConstDLCIds!$A$4:$B$1000,2,FALSE)</f>
        <v>DLC_BASE_GAME</v>
      </c>
      <c r="L350" s="3" t="str">
        <f>VLOOKUP(J350,ConstDLCIds!$A$4:$C$1000,3,FALSE)</f>
        <v>Included in base game</v>
      </c>
    </row>
    <row r="351" spans="1:12" x14ac:dyDescent="0.25">
      <c r="A351">
        <v>582</v>
      </c>
      <c r="B351">
        <v>346</v>
      </c>
      <c r="C351">
        <v>381</v>
      </c>
      <c r="D351" t="s">
        <v>2489</v>
      </c>
      <c r="E351" t="str">
        <f>IF(NOT(ISERROR(VLOOKUP(D351,'ESO DungeonFinder'!$A$2:$A$999,1,FALSE))),"X","")</f>
        <v/>
      </c>
      <c r="F351" s="70" t="str">
        <f t="shared" si="20"/>
        <v/>
      </c>
      <c r="G351" s="70" t="str">
        <f t="shared" si="23"/>
        <v>Auridon</v>
      </c>
      <c r="H351" s="70">
        <f t="shared" si="21"/>
        <v>582</v>
      </c>
      <c r="I351" s="70">
        <f t="shared" si="22"/>
        <v>381</v>
      </c>
      <c r="J351">
        <v>0</v>
      </c>
      <c r="K351" s="3" t="str">
        <f>VLOOKUP(J351,ConstDLCIds!$A$4:$B$1000,2,FALSE)</f>
        <v>DLC_BASE_GAME</v>
      </c>
      <c r="L351" s="3" t="str">
        <f>VLOOKUP(J351,ConstDLCIds!$A$4:$C$1000,3,FALSE)</f>
        <v>Included in base game</v>
      </c>
    </row>
    <row r="352" spans="1:12" x14ac:dyDescent="0.25">
      <c r="A352">
        <v>584</v>
      </c>
      <c r="B352">
        <v>347</v>
      </c>
      <c r="C352">
        <v>584</v>
      </c>
      <c r="D352" t="s">
        <v>11</v>
      </c>
      <c r="E352" t="str">
        <f>IF(NOT(ISERROR(VLOOKUP(D352,'ESO DungeonFinder'!$A$2:$A$999,1,FALSE))),"X","")</f>
        <v/>
      </c>
      <c r="F352" s="70" t="str">
        <f t="shared" si="20"/>
        <v>X</v>
      </c>
      <c r="G352" s="70" t="str">
        <f t="shared" si="23"/>
        <v/>
      </c>
      <c r="H352" s="70">
        <f t="shared" si="21"/>
        <v>584</v>
      </c>
      <c r="I352" s="70">
        <f t="shared" si="22"/>
        <v>584</v>
      </c>
      <c r="J352">
        <v>1</v>
      </c>
      <c r="K352" s="3" t="str">
        <f ca="1">VLOOKUP(J352,ConstDLCIds!$A$4:$B$1000,2,FALSE)</f>
        <v>DLC_IMPERIAL_CITY</v>
      </c>
      <c r="L352" s="3" t="str">
        <f ca="1">VLOOKUP(J352,ConstDLCIds!$A$4:$C$1000,3,FALSE)</f>
        <v>Imperial City</v>
      </c>
    </row>
    <row r="353" spans="1:12" x14ac:dyDescent="0.25">
      <c r="A353">
        <v>585</v>
      </c>
      <c r="B353">
        <v>348</v>
      </c>
      <c r="C353">
        <v>92</v>
      </c>
      <c r="D353" t="s">
        <v>2490</v>
      </c>
      <c r="E353" t="str">
        <f>IF(NOT(ISERROR(VLOOKUP(D353,'ESO DungeonFinder'!$A$2:$A$999,1,FALSE))),"X","")</f>
        <v/>
      </c>
      <c r="F353" s="70" t="str">
        <f t="shared" si="20"/>
        <v/>
      </c>
      <c r="G353" s="70" t="str">
        <f t="shared" si="23"/>
        <v>Bangkorai</v>
      </c>
      <c r="H353" s="70">
        <f t="shared" si="21"/>
        <v>585</v>
      </c>
      <c r="I353" s="70">
        <f t="shared" si="22"/>
        <v>92</v>
      </c>
      <c r="J353">
        <v>0</v>
      </c>
      <c r="K353" s="3" t="str">
        <f>VLOOKUP(J353,ConstDLCIds!$A$4:$B$1000,2,FALSE)</f>
        <v>DLC_BASE_GAME</v>
      </c>
      <c r="L353" s="3" t="str">
        <f>VLOOKUP(J353,ConstDLCIds!$A$4:$C$1000,3,FALSE)</f>
        <v>Included in base game</v>
      </c>
    </row>
    <row r="354" spans="1:12" x14ac:dyDescent="0.25">
      <c r="A354">
        <v>586</v>
      </c>
      <c r="B354">
        <v>349</v>
      </c>
      <c r="C354">
        <v>586</v>
      </c>
      <c r="D354" t="s">
        <v>2491</v>
      </c>
      <c r="E354" t="str">
        <f>IF(NOT(ISERROR(VLOOKUP(D354,'ESO DungeonFinder'!$A$2:$A$999,1,FALSE))),"X","")</f>
        <v/>
      </c>
      <c r="F354" s="70" t="str">
        <f t="shared" si="20"/>
        <v>X</v>
      </c>
      <c r="G354" s="70" t="str">
        <f t="shared" si="23"/>
        <v/>
      </c>
      <c r="H354" s="70">
        <f t="shared" si="21"/>
        <v>586</v>
      </c>
      <c r="I354" s="70">
        <f t="shared" si="22"/>
        <v>586</v>
      </c>
      <c r="J354">
        <v>0</v>
      </c>
      <c r="K354" s="3" t="str">
        <f>VLOOKUP(J354,ConstDLCIds!$A$4:$B$1000,2,FALSE)</f>
        <v>DLC_BASE_GAME</v>
      </c>
      <c r="L354" s="3" t="str">
        <f>VLOOKUP(J354,ConstDLCIds!$A$4:$C$1000,3,FALSE)</f>
        <v>Included in base game</v>
      </c>
    </row>
    <row r="355" spans="1:12" x14ac:dyDescent="0.25">
      <c r="A355">
        <v>587</v>
      </c>
      <c r="B355">
        <v>350</v>
      </c>
      <c r="C355">
        <v>20</v>
      </c>
      <c r="D355" t="s">
        <v>2492</v>
      </c>
      <c r="E355" t="str">
        <f>IF(NOT(ISERROR(VLOOKUP(D355,'ESO DungeonFinder'!$A$2:$A$999,1,FALSE))),"X","")</f>
        <v/>
      </c>
      <c r="F355" s="70" t="str">
        <f t="shared" si="20"/>
        <v/>
      </c>
      <c r="G355" s="70" t="str">
        <f t="shared" si="23"/>
        <v>Rivenspire</v>
      </c>
      <c r="H355" s="70">
        <f t="shared" si="21"/>
        <v>587</v>
      </c>
      <c r="I355" s="70">
        <f t="shared" si="22"/>
        <v>20</v>
      </c>
      <c r="J355">
        <v>0</v>
      </c>
      <c r="K355" s="3" t="str">
        <f>VLOOKUP(J355,ConstDLCIds!$A$4:$B$1000,2,FALSE)</f>
        <v>DLC_BASE_GAME</v>
      </c>
      <c r="L355" s="3" t="str">
        <f>VLOOKUP(J355,ConstDLCIds!$A$4:$C$1000,3,FALSE)</f>
        <v>Included in base game</v>
      </c>
    </row>
    <row r="356" spans="1:12" x14ac:dyDescent="0.25">
      <c r="A356">
        <v>588</v>
      </c>
      <c r="B356">
        <v>351</v>
      </c>
      <c r="C356">
        <v>20</v>
      </c>
      <c r="D356" t="s">
        <v>2493</v>
      </c>
      <c r="E356" t="str">
        <f>IF(NOT(ISERROR(VLOOKUP(D356,'ESO DungeonFinder'!$A$2:$A$999,1,FALSE))),"X","")</f>
        <v/>
      </c>
      <c r="F356" s="70" t="str">
        <f t="shared" si="20"/>
        <v/>
      </c>
      <c r="G356" s="70" t="str">
        <f t="shared" si="23"/>
        <v>Rivenspire</v>
      </c>
      <c r="H356" s="70">
        <f t="shared" si="21"/>
        <v>588</v>
      </c>
      <c r="I356" s="70">
        <f t="shared" si="22"/>
        <v>20</v>
      </c>
      <c r="J356">
        <v>0</v>
      </c>
      <c r="K356" s="3" t="str">
        <f>VLOOKUP(J356,ConstDLCIds!$A$4:$B$1000,2,FALSE)</f>
        <v>DLC_BASE_GAME</v>
      </c>
      <c r="L356" s="3" t="str">
        <f>VLOOKUP(J356,ConstDLCIds!$A$4:$C$1000,3,FALSE)</f>
        <v>Included in base game</v>
      </c>
    </row>
    <row r="357" spans="1:12" x14ac:dyDescent="0.25">
      <c r="A357">
        <v>589</v>
      </c>
      <c r="B357">
        <v>352</v>
      </c>
      <c r="C357">
        <v>20</v>
      </c>
      <c r="D357" t="s">
        <v>2494</v>
      </c>
      <c r="E357" t="str">
        <f>IF(NOT(ISERROR(VLOOKUP(D357,'ESO DungeonFinder'!$A$2:$A$999,1,FALSE))),"X","")</f>
        <v/>
      </c>
      <c r="F357" s="70" t="str">
        <f t="shared" si="20"/>
        <v/>
      </c>
      <c r="G357" s="70" t="str">
        <f t="shared" si="23"/>
        <v>Rivenspire</v>
      </c>
      <c r="H357" s="70">
        <f t="shared" si="21"/>
        <v>589</v>
      </c>
      <c r="I357" s="70">
        <f t="shared" si="22"/>
        <v>20</v>
      </c>
      <c r="J357">
        <v>0</v>
      </c>
      <c r="K357" s="3" t="str">
        <f>VLOOKUP(J357,ConstDLCIds!$A$4:$B$1000,2,FALSE)</f>
        <v>DLC_BASE_GAME</v>
      </c>
      <c r="L357" s="3" t="str">
        <f>VLOOKUP(J357,ConstDLCIds!$A$4:$C$1000,3,FALSE)</f>
        <v>Included in base game</v>
      </c>
    </row>
    <row r="358" spans="1:12" x14ac:dyDescent="0.25">
      <c r="A358">
        <v>590</v>
      </c>
      <c r="B358">
        <v>353</v>
      </c>
      <c r="C358">
        <v>20</v>
      </c>
      <c r="D358" t="s">
        <v>2495</v>
      </c>
      <c r="E358" t="str">
        <f>IF(NOT(ISERROR(VLOOKUP(D358,'ESO DungeonFinder'!$A$2:$A$999,1,FALSE))),"X","")</f>
        <v/>
      </c>
      <c r="F358" s="70" t="str">
        <f t="shared" si="20"/>
        <v/>
      </c>
      <c r="G358" s="70" t="str">
        <f t="shared" si="23"/>
        <v>Rivenspire</v>
      </c>
      <c r="H358" s="70">
        <f t="shared" si="21"/>
        <v>590</v>
      </c>
      <c r="I358" s="70">
        <f t="shared" si="22"/>
        <v>20</v>
      </c>
      <c r="J358">
        <v>0</v>
      </c>
      <c r="K358" s="3" t="str">
        <f>VLOOKUP(J358,ConstDLCIds!$A$4:$B$1000,2,FALSE)</f>
        <v>DLC_BASE_GAME</v>
      </c>
      <c r="L358" s="3" t="str">
        <f>VLOOKUP(J358,ConstDLCIds!$A$4:$C$1000,3,FALSE)</f>
        <v>Included in base game</v>
      </c>
    </row>
    <row r="359" spans="1:12" x14ac:dyDescent="0.25">
      <c r="A359">
        <v>591</v>
      </c>
      <c r="B359">
        <v>354</v>
      </c>
      <c r="C359">
        <v>20</v>
      </c>
      <c r="D359" t="s">
        <v>2496</v>
      </c>
      <c r="E359" t="str">
        <f>IF(NOT(ISERROR(VLOOKUP(D359,'ESO DungeonFinder'!$A$2:$A$999,1,FALSE))),"X","")</f>
        <v/>
      </c>
      <c r="F359" s="70" t="str">
        <f t="shared" si="20"/>
        <v/>
      </c>
      <c r="G359" s="70" t="str">
        <f t="shared" si="23"/>
        <v>Rivenspire</v>
      </c>
      <c r="H359" s="70">
        <f t="shared" si="21"/>
        <v>591</v>
      </c>
      <c r="I359" s="70">
        <f t="shared" si="22"/>
        <v>20</v>
      </c>
      <c r="J359">
        <v>0</v>
      </c>
      <c r="K359" s="3" t="str">
        <f>VLOOKUP(J359,ConstDLCIds!$A$4:$B$1000,2,FALSE)</f>
        <v>DLC_BASE_GAME</v>
      </c>
      <c r="L359" s="3" t="str">
        <f>VLOOKUP(J359,ConstDLCIds!$A$4:$C$1000,3,FALSE)</f>
        <v>Included in base game</v>
      </c>
    </row>
    <row r="360" spans="1:12" x14ac:dyDescent="0.25">
      <c r="A360">
        <v>592</v>
      </c>
      <c r="B360">
        <v>355</v>
      </c>
      <c r="C360">
        <v>20</v>
      </c>
      <c r="D360" t="s">
        <v>2497</v>
      </c>
      <c r="E360" t="str">
        <f>IF(NOT(ISERROR(VLOOKUP(D360,'ESO DungeonFinder'!$A$2:$A$999,1,FALSE))),"X","")</f>
        <v/>
      </c>
      <c r="F360" s="70" t="str">
        <f t="shared" si="20"/>
        <v/>
      </c>
      <c r="G360" s="70" t="str">
        <f t="shared" si="23"/>
        <v>Rivenspire</v>
      </c>
      <c r="H360" s="70">
        <f t="shared" si="21"/>
        <v>592</v>
      </c>
      <c r="I360" s="70">
        <f t="shared" si="22"/>
        <v>20</v>
      </c>
      <c r="J360">
        <v>0</v>
      </c>
      <c r="K360" s="3" t="str">
        <f>VLOOKUP(J360,ConstDLCIds!$A$4:$B$1000,2,FALSE)</f>
        <v>DLC_BASE_GAME</v>
      </c>
      <c r="L360" s="3" t="str">
        <f>VLOOKUP(J360,ConstDLCIds!$A$4:$C$1000,3,FALSE)</f>
        <v>Included in base game</v>
      </c>
    </row>
    <row r="361" spans="1:12" x14ac:dyDescent="0.25">
      <c r="A361">
        <v>593</v>
      </c>
      <c r="B361">
        <v>356</v>
      </c>
      <c r="C361">
        <v>92</v>
      </c>
      <c r="D361" t="s">
        <v>2231</v>
      </c>
      <c r="E361" t="str">
        <f>IF(NOT(ISERROR(VLOOKUP(D361,'ESO DungeonFinder'!$A$2:$A$999,1,FALSE))),"X","")</f>
        <v/>
      </c>
      <c r="F361" s="70" t="str">
        <f t="shared" si="20"/>
        <v/>
      </c>
      <c r="G361" s="70" t="str">
        <f t="shared" si="23"/>
        <v>Bangkorai</v>
      </c>
      <c r="H361" s="70">
        <f t="shared" si="21"/>
        <v>593</v>
      </c>
      <c r="I361" s="70">
        <f t="shared" si="22"/>
        <v>92</v>
      </c>
      <c r="J361">
        <v>0</v>
      </c>
      <c r="K361" s="3" t="str">
        <f>VLOOKUP(J361,ConstDLCIds!$A$4:$B$1000,2,FALSE)</f>
        <v>DLC_BASE_GAME</v>
      </c>
      <c r="L361" s="3" t="str">
        <f>VLOOKUP(J361,ConstDLCIds!$A$4:$C$1000,3,FALSE)</f>
        <v>Included in base game</v>
      </c>
    </row>
    <row r="362" spans="1:12" x14ac:dyDescent="0.25">
      <c r="A362">
        <v>594</v>
      </c>
      <c r="B362">
        <v>357</v>
      </c>
      <c r="C362">
        <v>92</v>
      </c>
      <c r="D362" t="s">
        <v>2498</v>
      </c>
      <c r="E362" t="str">
        <f>IF(NOT(ISERROR(VLOOKUP(D362,'ESO DungeonFinder'!$A$2:$A$999,1,FALSE))),"X","")</f>
        <v/>
      </c>
      <c r="F362" s="70" t="str">
        <f t="shared" si="20"/>
        <v/>
      </c>
      <c r="G362" s="70" t="str">
        <f t="shared" si="23"/>
        <v>Bangkorai</v>
      </c>
      <c r="H362" s="70">
        <f t="shared" si="21"/>
        <v>594</v>
      </c>
      <c r="I362" s="70">
        <f t="shared" si="22"/>
        <v>92</v>
      </c>
      <c r="J362">
        <v>0</v>
      </c>
      <c r="K362" s="3" t="str">
        <f>VLOOKUP(J362,ConstDLCIds!$A$4:$B$1000,2,FALSE)</f>
        <v>DLC_BASE_GAME</v>
      </c>
      <c r="L362" s="3" t="str">
        <f>VLOOKUP(J362,ConstDLCIds!$A$4:$C$1000,3,FALSE)</f>
        <v>Included in base game</v>
      </c>
    </row>
    <row r="363" spans="1:12" x14ac:dyDescent="0.25">
      <c r="A363">
        <v>595</v>
      </c>
      <c r="B363">
        <v>358</v>
      </c>
      <c r="C363">
        <v>208</v>
      </c>
      <c r="D363" t="s">
        <v>2499</v>
      </c>
      <c r="E363" t="str">
        <f>IF(NOT(ISERROR(VLOOKUP(D363,'ESO DungeonFinder'!$A$2:$A$999,1,FALSE))),"X","")</f>
        <v/>
      </c>
      <c r="F363" s="70" t="str">
        <f t="shared" si="20"/>
        <v/>
      </c>
      <c r="G363" s="70" t="str">
        <f t="shared" si="23"/>
        <v>The Earth Forge</v>
      </c>
      <c r="H363" s="70">
        <f t="shared" si="21"/>
        <v>595</v>
      </c>
      <c r="I363" s="70">
        <f t="shared" si="22"/>
        <v>208</v>
      </c>
      <c r="J363">
        <v>0</v>
      </c>
      <c r="K363" s="3" t="str">
        <f>VLOOKUP(J363,ConstDLCIds!$A$4:$B$1000,2,FALSE)</f>
        <v>DLC_BASE_GAME</v>
      </c>
      <c r="L363" s="3" t="str">
        <f>VLOOKUP(J363,ConstDLCIds!$A$4:$C$1000,3,FALSE)</f>
        <v>Included in base game</v>
      </c>
    </row>
    <row r="364" spans="1:12" x14ac:dyDescent="0.25">
      <c r="A364">
        <v>596</v>
      </c>
      <c r="B364">
        <v>359</v>
      </c>
      <c r="C364">
        <v>103</v>
      </c>
      <c r="D364" t="s">
        <v>2500</v>
      </c>
      <c r="E364" t="str">
        <f>IF(NOT(ISERROR(VLOOKUP(D364,'ESO DungeonFinder'!$A$2:$A$999,1,FALSE))),"X","")</f>
        <v/>
      </c>
      <c r="F364" s="70" t="str">
        <f t="shared" si="20"/>
        <v/>
      </c>
      <c r="G364" s="70" t="str">
        <f t="shared" si="23"/>
        <v>The Rift</v>
      </c>
      <c r="H364" s="70">
        <f t="shared" si="21"/>
        <v>596</v>
      </c>
      <c r="I364" s="70">
        <f t="shared" si="22"/>
        <v>103</v>
      </c>
      <c r="J364">
        <v>0</v>
      </c>
      <c r="K364" s="3" t="str">
        <f>VLOOKUP(J364,ConstDLCIds!$A$4:$B$1000,2,FALSE)</f>
        <v>DLC_BASE_GAME</v>
      </c>
      <c r="L364" s="3" t="str">
        <f>VLOOKUP(J364,ConstDLCIds!$A$4:$C$1000,3,FALSE)</f>
        <v>Included in base game</v>
      </c>
    </row>
    <row r="365" spans="1:12" x14ac:dyDescent="0.25">
      <c r="A365">
        <v>598</v>
      </c>
      <c r="B365">
        <v>360</v>
      </c>
      <c r="C365">
        <v>0</v>
      </c>
      <c r="D365" t="s">
        <v>2501</v>
      </c>
      <c r="E365" t="str">
        <f>IF(NOT(ISERROR(VLOOKUP(D365,'ESO DungeonFinder'!$A$2:$A$999,1,FALSE))),"X","")</f>
        <v/>
      </c>
      <c r="F365" s="70" t="str">
        <f t="shared" si="20"/>
        <v/>
      </c>
      <c r="G365" s="70" t="str">
        <f t="shared" si="23"/>
        <v>Tamriel Map</v>
      </c>
      <c r="H365" s="70">
        <f t="shared" si="21"/>
        <v>598</v>
      </c>
      <c r="I365" s="70">
        <f t="shared" si="22"/>
        <v>0</v>
      </c>
      <c r="J365">
        <v>0</v>
      </c>
      <c r="K365" s="3" t="str">
        <f>VLOOKUP(J365,ConstDLCIds!$A$4:$B$1000,2,FALSE)</f>
        <v>DLC_BASE_GAME</v>
      </c>
      <c r="L365" s="3" t="str">
        <f>VLOOKUP(J365,ConstDLCIds!$A$4:$C$1000,3,FALSE)</f>
        <v>Included in base game</v>
      </c>
    </row>
    <row r="366" spans="1:12" x14ac:dyDescent="0.25">
      <c r="A366">
        <v>599</v>
      </c>
      <c r="B366">
        <v>361</v>
      </c>
      <c r="C366">
        <v>572</v>
      </c>
      <c r="D366" t="s">
        <v>2502</v>
      </c>
      <c r="E366" t="str">
        <f>IF(NOT(ISERROR(VLOOKUP(D366,'ESO DungeonFinder'!$A$2:$A$999,1,FALSE))),"X","")</f>
        <v/>
      </c>
      <c r="F366" s="70" t="str">
        <f t="shared" si="20"/>
        <v/>
      </c>
      <c r="G366" s="70" t="str">
        <f t="shared" si="23"/>
        <v>Stirk</v>
      </c>
      <c r="H366" s="70">
        <f t="shared" si="21"/>
        <v>599</v>
      </c>
      <c r="I366" s="70">
        <f t="shared" si="22"/>
        <v>572</v>
      </c>
      <c r="J366">
        <v>0</v>
      </c>
      <c r="K366" s="3" t="str">
        <f>VLOOKUP(J366,ConstDLCIds!$A$4:$B$1000,2,FALSE)</f>
        <v>DLC_BASE_GAME</v>
      </c>
      <c r="L366" s="3" t="str">
        <f>VLOOKUP(J366,ConstDLCIds!$A$4:$C$1000,3,FALSE)</f>
        <v>Included in base game</v>
      </c>
    </row>
    <row r="367" spans="1:12" x14ac:dyDescent="0.25">
      <c r="A367">
        <v>600</v>
      </c>
      <c r="B367">
        <v>362</v>
      </c>
      <c r="C367">
        <v>572</v>
      </c>
      <c r="D367" t="s">
        <v>2503</v>
      </c>
      <c r="E367" t="str">
        <f>IF(NOT(ISERROR(VLOOKUP(D367,'ESO DungeonFinder'!$A$2:$A$999,1,FALSE))),"X","")</f>
        <v/>
      </c>
      <c r="F367" s="70" t="str">
        <f t="shared" si="20"/>
        <v/>
      </c>
      <c r="G367" s="70" t="str">
        <f t="shared" si="23"/>
        <v>Stirk</v>
      </c>
      <c r="H367" s="70">
        <f t="shared" si="21"/>
        <v>600</v>
      </c>
      <c r="I367" s="70">
        <f t="shared" si="22"/>
        <v>572</v>
      </c>
      <c r="J367">
        <v>0</v>
      </c>
      <c r="K367" s="3" t="str">
        <f>VLOOKUP(J367,ConstDLCIds!$A$4:$B$1000,2,FALSE)</f>
        <v>DLC_BASE_GAME</v>
      </c>
      <c r="L367" s="3" t="str">
        <f>VLOOKUP(J367,ConstDLCIds!$A$4:$C$1000,3,FALSE)</f>
        <v>Included in base game</v>
      </c>
    </row>
    <row r="368" spans="1:12" x14ac:dyDescent="0.25">
      <c r="A368">
        <v>601</v>
      </c>
      <c r="B368">
        <v>363</v>
      </c>
      <c r="C368">
        <v>572</v>
      </c>
      <c r="D368" t="s">
        <v>2504</v>
      </c>
      <c r="E368" t="str">
        <f>IF(NOT(ISERROR(VLOOKUP(D368,'ESO DungeonFinder'!$A$2:$A$999,1,FALSE))),"X","")</f>
        <v/>
      </c>
      <c r="F368" s="70" t="str">
        <f t="shared" si="20"/>
        <v/>
      </c>
      <c r="G368" s="70" t="str">
        <f t="shared" si="23"/>
        <v>Stirk</v>
      </c>
      <c r="H368" s="70">
        <f t="shared" si="21"/>
        <v>601</v>
      </c>
      <c r="I368" s="70">
        <f t="shared" si="22"/>
        <v>572</v>
      </c>
      <c r="J368">
        <v>0</v>
      </c>
      <c r="K368" s="3" t="str">
        <f>VLOOKUP(J368,ConstDLCIds!$A$4:$B$1000,2,FALSE)</f>
        <v>DLC_BASE_GAME</v>
      </c>
      <c r="L368" s="3" t="str">
        <f>VLOOKUP(J368,ConstDLCIds!$A$4:$C$1000,3,FALSE)</f>
        <v>Included in base game</v>
      </c>
    </row>
    <row r="369" spans="1:12" x14ac:dyDescent="0.25">
      <c r="A369">
        <v>628</v>
      </c>
      <c r="B369">
        <v>364</v>
      </c>
      <c r="C369">
        <v>20</v>
      </c>
      <c r="D369" t="s">
        <v>2493</v>
      </c>
      <c r="E369" t="str">
        <f>IF(NOT(ISERROR(VLOOKUP(D369,'ESO DungeonFinder'!$A$2:$A$999,1,FALSE))),"X","")</f>
        <v/>
      </c>
      <c r="F369" s="70" t="str">
        <f t="shared" si="20"/>
        <v/>
      </c>
      <c r="G369" s="70" t="str">
        <f t="shared" si="23"/>
        <v>Rivenspire</v>
      </c>
      <c r="H369" s="70">
        <f t="shared" si="21"/>
        <v>628</v>
      </c>
      <c r="I369" s="70">
        <f t="shared" si="22"/>
        <v>20</v>
      </c>
      <c r="J369">
        <v>0</v>
      </c>
      <c r="K369" s="3" t="str">
        <f>VLOOKUP(J369,ConstDLCIds!$A$4:$B$1000,2,FALSE)</f>
        <v>DLC_BASE_GAME</v>
      </c>
      <c r="L369" s="3" t="str">
        <f>VLOOKUP(J369,ConstDLCIds!$A$4:$C$1000,3,FALSE)</f>
        <v>Included in base game</v>
      </c>
    </row>
    <row r="370" spans="1:12" x14ac:dyDescent="0.25">
      <c r="A370">
        <v>632</v>
      </c>
      <c r="B370">
        <v>365</v>
      </c>
      <c r="C370">
        <v>888</v>
      </c>
      <c r="D370" t="s">
        <v>2505</v>
      </c>
      <c r="E370" t="str">
        <f>IF(NOT(ISERROR(VLOOKUP(D370,'ESO DungeonFinder'!$A$2:$A$999,1,FALSE))),"X","")</f>
        <v/>
      </c>
      <c r="F370" s="70" t="str">
        <f t="shared" si="20"/>
        <v/>
      </c>
      <c r="G370" s="70" t="str">
        <f t="shared" si="23"/>
        <v>Craglorn</v>
      </c>
      <c r="H370" s="70">
        <f t="shared" si="21"/>
        <v>632</v>
      </c>
      <c r="I370" s="70">
        <f t="shared" si="22"/>
        <v>888</v>
      </c>
      <c r="J370">
        <v>0</v>
      </c>
      <c r="K370" s="3" t="str">
        <f>VLOOKUP(J370,ConstDLCIds!$A$4:$B$1000,2,FALSE)</f>
        <v>DLC_BASE_GAME</v>
      </c>
      <c r="L370" s="3" t="str">
        <f>VLOOKUP(J370,ConstDLCIds!$A$4:$C$1000,3,FALSE)</f>
        <v>Included in base game</v>
      </c>
    </row>
    <row r="371" spans="1:12" x14ac:dyDescent="0.25">
      <c r="A371">
        <v>635</v>
      </c>
      <c r="B371">
        <v>366</v>
      </c>
      <c r="C371">
        <v>888</v>
      </c>
      <c r="D371" t="s">
        <v>416</v>
      </c>
      <c r="E371" t="str">
        <f>IF(NOT(ISERROR(VLOOKUP(D371,'ESO DungeonFinder'!$A$2:$A$999,1,FALSE))),"X","")</f>
        <v/>
      </c>
      <c r="F371" s="70" t="str">
        <f t="shared" si="20"/>
        <v/>
      </c>
      <c r="G371" s="70" t="str">
        <f t="shared" si="23"/>
        <v>Craglorn</v>
      </c>
      <c r="H371" s="70">
        <f t="shared" si="21"/>
        <v>635</v>
      </c>
      <c r="I371" s="70">
        <f t="shared" si="22"/>
        <v>888</v>
      </c>
      <c r="J371">
        <v>0</v>
      </c>
      <c r="K371" s="3" t="str">
        <f>VLOOKUP(J371,ConstDLCIds!$A$4:$B$1000,2,FALSE)</f>
        <v>DLC_BASE_GAME</v>
      </c>
      <c r="L371" s="3" t="str">
        <f>VLOOKUP(J371,ConstDLCIds!$A$4:$C$1000,3,FALSE)</f>
        <v>Included in base game</v>
      </c>
    </row>
    <row r="372" spans="1:12" x14ac:dyDescent="0.25">
      <c r="A372">
        <v>636</v>
      </c>
      <c r="B372">
        <v>367</v>
      </c>
      <c r="C372">
        <v>888</v>
      </c>
      <c r="D372" t="s">
        <v>666</v>
      </c>
      <c r="E372" t="str">
        <f>IF(NOT(ISERROR(VLOOKUP(D372,'ESO DungeonFinder'!$A$2:$A$999,1,FALSE))),"X","")</f>
        <v/>
      </c>
      <c r="F372" s="70" t="str">
        <f t="shared" si="20"/>
        <v/>
      </c>
      <c r="G372" s="70" t="str">
        <f t="shared" si="23"/>
        <v>Craglorn</v>
      </c>
      <c r="H372" s="70">
        <f t="shared" si="21"/>
        <v>636</v>
      </c>
      <c r="I372" s="70">
        <f t="shared" si="22"/>
        <v>888</v>
      </c>
      <c r="J372">
        <v>0</v>
      </c>
      <c r="K372" s="3" t="str">
        <f>VLOOKUP(J372,ConstDLCIds!$A$4:$B$1000,2,FALSE)</f>
        <v>DLC_BASE_GAME</v>
      </c>
      <c r="L372" s="3" t="str">
        <f>VLOOKUP(J372,ConstDLCIds!$A$4:$C$1000,3,FALSE)</f>
        <v>Included in base game</v>
      </c>
    </row>
    <row r="373" spans="1:12" x14ac:dyDescent="0.25">
      <c r="A373">
        <v>637</v>
      </c>
      <c r="B373">
        <v>368</v>
      </c>
      <c r="C373">
        <v>57</v>
      </c>
      <c r="D373" t="s">
        <v>2506</v>
      </c>
      <c r="E373" t="str">
        <f>IF(NOT(ISERROR(VLOOKUP(D373,'ESO DungeonFinder'!$A$2:$A$999,1,FALSE))),"X","")</f>
        <v/>
      </c>
      <c r="F373" s="70" t="str">
        <f t="shared" si="20"/>
        <v/>
      </c>
      <c r="G373" s="70" t="str">
        <f t="shared" si="23"/>
        <v>Deshaan</v>
      </c>
      <c r="H373" s="70">
        <f t="shared" si="21"/>
        <v>637</v>
      </c>
      <c r="I373" s="70">
        <f t="shared" si="22"/>
        <v>57</v>
      </c>
      <c r="J373">
        <v>0</v>
      </c>
      <c r="K373" s="3" t="str">
        <f>VLOOKUP(J373,ConstDLCIds!$A$4:$B$1000,2,FALSE)</f>
        <v>DLC_BASE_GAME</v>
      </c>
      <c r="L373" s="3" t="str">
        <f>VLOOKUP(J373,ConstDLCIds!$A$4:$C$1000,3,FALSE)</f>
        <v>Included in base game</v>
      </c>
    </row>
    <row r="374" spans="1:12" x14ac:dyDescent="0.25">
      <c r="A374">
        <v>638</v>
      </c>
      <c r="B374">
        <v>369</v>
      </c>
      <c r="C374">
        <v>888</v>
      </c>
      <c r="D374" t="s">
        <v>669</v>
      </c>
      <c r="E374" t="str">
        <f>IF(NOT(ISERROR(VLOOKUP(D374,'ESO DungeonFinder'!$A$2:$A$999,1,FALSE))),"X","")</f>
        <v/>
      </c>
      <c r="F374" s="70" t="str">
        <f t="shared" si="20"/>
        <v/>
      </c>
      <c r="G374" s="70" t="str">
        <f t="shared" si="23"/>
        <v>Craglorn</v>
      </c>
      <c r="H374" s="70">
        <f t="shared" si="21"/>
        <v>638</v>
      </c>
      <c r="I374" s="70">
        <f t="shared" si="22"/>
        <v>888</v>
      </c>
      <c r="J374">
        <v>0</v>
      </c>
      <c r="K374" s="3" t="str">
        <f>VLOOKUP(J374,ConstDLCIds!$A$4:$B$1000,2,FALSE)</f>
        <v>DLC_BASE_GAME</v>
      </c>
      <c r="L374" s="3" t="str">
        <f>VLOOKUP(J374,ConstDLCIds!$A$4:$C$1000,3,FALSE)</f>
        <v>Included in base game</v>
      </c>
    </row>
    <row r="375" spans="1:12" x14ac:dyDescent="0.25">
      <c r="A375">
        <v>639</v>
      </c>
      <c r="B375">
        <v>370</v>
      </c>
      <c r="C375">
        <v>888</v>
      </c>
      <c r="D375" t="s">
        <v>663</v>
      </c>
      <c r="E375" t="str">
        <f>IF(NOT(ISERROR(VLOOKUP(D375,'ESO DungeonFinder'!$A$2:$A$999,1,FALSE))),"X","")</f>
        <v/>
      </c>
      <c r="F375" s="70" t="str">
        <f t="shared" si="20"/>
        <v/>
      </c>
      <c r="G375" s="70" t="str">
        <f t="shared" si="23"/>
        <v>Craglorn</v>
      </c>
      <c r="H375" s="70">
        <f t="shared" si="21"/>
        <v>639</v>
      </c>
      <c r="I375" s="70">
        <f t="shared" si="22"/>
        <v>888</v>
      </c>
      <c r="J375">
        <v>0</v>
      </c>
      <c r="K375" s="3" t="str">
        <f>VLOOKUP(J375,ConstDLCIds!$A$4:$B$1000,2,FALSE)</f>
        <v>DLC_BASE_GAME</v>
      </c>
      <c r="L375" s="3" t="str">
        <f>VLOOKUP(J375,ConstDLCIds!$A$4:$C$1000,3,FALSE)</f>
        <v>Included in base game</v>
      </c>
    </row>
    <row r="376" spans="1:12" x14ac:dyDescent="0.25">
      <c r="A376">
        <v>640</v>
      </c>
      <c r="B376">
        <v>371</v>
      </c>
      <c r="C376">
        <v>19</v>
      </c>
      <c r="D376" t="s">
        <v>2507</v>
      </c>
      <c r="E376" t="str">
        <f>IF(NOT(ISERROR(VLOOKUP(D376,'ESO DungeonFinder'!$A$2:$A$999,1,FALSE))),"X","")</f>
        <v/>
      </c>
      <c r="F376" s="70" t="str">
        <f t="shared" si="20"/>
        <v/>
      </c>
      <c r="G376" s="70" t="str">
        <f t="shared" si="23"/>
        <v>Stormhaven</v>
      </c>
      <c r="H376" s="70">
        <f t="shared" si="21"/>
        <v>640</v>
      </c>
      <c r="I376" s="70">
        <f t="shared" si="22"/>
        <v>19</v>
      </c>
      <c r="J376">
        <v>0</v>
      </c>
      <c r="K376" s="3" t="str">
        <f>VLOOKUP(J376,ConstDLCIds!$A$4:$B$1000,2,FALSE)</f>
        <v>DLC_BASE_GAME</v>
      </c>
      <c r="L376" s="3" t="str">
        <f>VLOOKUP(J376,ConstDLCIds!$A$4:$C$1000,3,FALSE)</f>
        <v>Included in base game</v>
      </c>
    </row>
    <row r="377" spans="1:12" x14ac:dyDescent="0.25">
      <c r="A377">
        <v>641</v>
      </c>
      <c r="B377">
        <v>372</v>
      </c>
      <c r="C377">
        <v>3</v>
      </c>
      <c r="D377" t="s">
        <v>2508</v>
      </c>
      <c r="E377" t="str">
        <f>IF(NOT(ISERROR(VLOOKUP(D377,'ESO DungeonFinder'!$A$2:$A$999,1,FALSE))),"X","")</f>
        <v/>
      </c>
      <c r="F377" s="70" t="str">
        <f t="shared" si="20"/>
        <v/>
      </c>
      <c r="G377" s="70" t="str">
        <f t="shared" si="23"/>
        <v>Glenumbra</v>
      </c>
      <c r="H377" s="70">
        <f t="shared" si="21"/>
        <v>641</v>
      </c>
      <c r="I377" s="70">
        <f t="shared" si="22"/>
        <v>3</v>
      </c>
      <c r="J377">
        <v>0</v>
      </c>
      <c r="K377" s="3" t="str">
        <f>VLOOKUP(J377,ConstDLCIds!$A$4:$B$1000,2,FALSE)</f>
        <v>DLC_BASE_GAME</v>
      </c>
      <c r="L377" s="3" t="str">
        <f>VLOOKUP(J377,ConstDLCIds!$A$4:$C$1000,3,FALSE)</f>
        <v>Included in base game</v>
      </c>
    </row>
    <row r="378" spans="1:12" x14ac:dyDescent="0.25">
      <c r="A378">
        <v>642</v>
      </c>
      <c r="B378">
        <v>373</v>
      </c>
      <c r="C378">
        <v>642</v>
      </c>
      <c r="D378" t="s">
        <v>554</v>
      </c>
      <c r="E378" t="str">
        <f>IF(NOT(ISERROR(VLOOKUP(D378,'ESO DungeonFinder'!$A$2:$A$999,1,FALSE))),"X","")</f>
        <v/>
      </c>
      <c r="F378" s="70" t="str">
        <f t="shared" si="20"/>
        <v>X</v>
      </c>
      <c r="G378" s="70" t="str">
        <f t="shared" si="23"/>
        <v/>
      </c>
      <c r="H378" s="70">
        <f t="shared" si="21"/>
        <v>642</v>
      </c>
      <c r="I378" s="70">
        <f t="shared" si="22"/>
        <v>642</v>
      </c>
      <c r="J378">
        <v>6</v>
      </c>
      <c r="K378" s="3" t="str">
        <f ca="1">VLOOKUP(J378,ConstDLCIds!$A$4:$B$1000,2,FALSE)</f>
        <v>DLC_MORROWIND</v>
      </c>
      <c r="L378" s="3" t="str">
        <f ca="1">VLOOKUP(J378,ConstDLCIds!$A$4:$C$1000,3,FALSE)</f>
        <v>Morrowind</v>
      </c>
    </row>
    <row r="379" spans="1:12" x14ac:dyDescent="0.25">
      <c r="A379">
        <v>643</v>
      </c>
      <c r="B379">
        <v>374</v>
      </c>
      <c r="C379">
        <v>584</v>
      </c>
      <c r="D379" t="s">
        <v>764</v>
      </c>
      <c r="E379" t="str">
        <f>IF(NOT(ISERROR(VLOOKUP(D379,'ESO DungeonFinder'!$A$2:$A$999,1,FALSE))),"X","")</f>
        <v/>
      </c>
      <c r="F379" s="70" t="str">
        <f t="shared" si="20"/>
        <v/>
      </c>
      <c r="G379" s="70" t="str">
        <f t="shared" si="23"/>
        <v>Imperial City</v>
      </c>
      <c r="H379" s="70">
        <f t="shared" si="21"/>
        <v>643</v>
      </c>
      <c r="I379" s="70">
        <f t="shared" si="22"/>
        <v>584</v>
      </c>
      <c r="J379">
        <v>1</v>
      </c>
      <c r="K379" s="3" t="str">
        <f ca="1">VLOOKUP(J379,ConstDLCIds!$A$4:$B$1000,2,FALSE)</f>
        <v>DLC_IMPERIAL_CITY</v>
      </c>
      <c r="L379" s="3" t="str">
        <f ca="1">VLOOKUP(J379,ConstDLCIds!$A$4:$C$1000,3,FALSE)</f>
        <v>Imperial City</v>
      </c>
    </row>
    <row r="380" spans="1:12" x14ac:dyDescent="0.25">
      <c r="A380">
        <v>649</v>
      </c>
      <c r="B380">
        <v>375</v>
      </c>
      <c r="C380">
        <v>584</v>
      </c>
      <c r="D380" t="s">
        <v>2509</v>
      </c>
      <c r="E380" t="str">
        <f>IF(NOT(ISERROR(VLOOKUP(D380,'ESO DungeonFinder'!$A$2:$A$999,1,FALSE))),"X","")</f>
        <v/>
      </c>
      <c r="F380" s="70" t="str">
        <f t="shared" si="20"/>
        <v/>
      </c>
      <c r="G380" s="70" t="str">
        <f t="shared" si="23"/>
        <v>Imperial City</v>
      </c>
      <c r="H380" s="70">
        <f t="shared" si="21"/>
        <v>649</v>
      </c>
      <c r="I380" s="70">
        <f t="shared" si="22"/>
        <v>584</v>
      </c>
      <c r="J380">
        <v>10</v>
      </c>
      <c r="K380" s="3" t="str">
        <f ca="1">VLOOKUP(J380,ConstDLCIds!$A$4:$B$1000,2,FALSE)</f>
        <v>DLC_SUMMERSET</v>
      </c>
      <c r="L380" s="3" t="str">
        <f ca="1">VLOOKUP(J380,ConstDLCIds!$A$4:$C$1000,3,FALSE)</f>
        <v>Summerset</v>
      </c>
    </row>
    <row r="381" spans="1:12" x14ac:dyDescent="0.25">
      <c r="A381">
        <v>676</v>
      </c>
      <c r="B381">
        <v>376</v>
      </c>
      <c r="C381">
        <v>816</v>
      </c>
      <c r="D381" t="s">
        <v>2510</v>
      </c>
      <c r="E381" t="str">
        <f>IF(NOT(ISERROR(VLOOKUP(D381,'ESO DungeonFinder'!$A$2:$A$999,1,FALSE))),"X","")</f>
        <v/>
      </c>
      <c r="F381" s="70" t="str">
        <f t="shared" si="20"/>
        <v/>
      </c>
      <c r="G381" s="70" t="str">
        <f t="shared" si="23"/>
        <v>Hew's Bane</v>
      </c>
      <c r="H381" s="70">
        <f t="shared" si="21"/>
        <v>676</v>
      </c>
      <c r="I381" s="70">
        <f t="shared" si="22"/>
        <v>816</v>
      </c>
      <c r="J381">
        <v>3</v>
      </c>
      <c r="K381" s="3" t="str">
        <f ca="1">VLOOKUP(J381,ConstDLCIds!$A$4:$B$1000,2,FALSE)</f>
        <v>DLC_THIEVES_GUILD</v>
      </c>
      <c r="L381" s="3" t="str">
        <f ca="1">VLOOKUP(J381,ConstDLCIds!$A$4:$C$1000,3,FALSE)</f>
        <v>Thieves Guild</v>
      </c>
    </row>
    <row r="382" spans="1:12" x14ac:dyDescent="0.25">
      <c r="A382">
        <v>677</v>
      </c>
      <c r="B382">
        <v>377</v>
      </c>
      <c r="C382">
        <v>684</v>
      </c>
      <c r="D382" t="s">
        <v>818</v>
      </c>
      <c r="E382" t="str">
        <f>IF(NOT(ISERROR(VLOOKUP(D382,'ESO DungeonFinder'!$A$2:$A$999,1,FALSE))),"X","")</f>
        <v/>
      </c>
      <c r="F382" s="70" t="str">
        <f t="shared" si="20"/>
        <v/>
      </c>
      <c r="G382" s="70" t="str">
        <f t="shared" si="23"/>
        <v>Wrothgar</v>
      </c>
      <c r="H382" s="70">
        <f t="shared" si="21"/>
        <v>677</v>
      </c>
      <c r="I382" s="70">
        <f t="shared" si="22"/>
        <v>684</v>
      </c>
      <c r="J382">
        <v>2</v>
      </c>
      <c r="K382" s="3" t="str">
        <f ca="1">VLOOKUP(J382,ConstDLCIds!$A$4:$B$1000,2,FALSE)</f>
        <v>DLC_ORSINIUM</v>
      </c>
      <c r="L382" s="3" t="str">
        <f ca="1">VLOOKUP(J382,ConstDLCIds!$A$4:$C$1000,3,FALSE)</f>
        <v>Orsinium</v>
      </c>
    </row>
    <row r="383" spans="1:12" x14ac:dyDescent="0.25">
      <c r="A383">
        <v>678</v>
      </c>
      <c r="B383">
        <v>378</v>
      </c>
      <c r="C383">
        <v>584</v>
      </c>
      <c r="D383" t="s">
        <v>722</v>
      </c>
      <c r="E383" t="str">
        <f>IF(NOT(ISERROR(VLOOKUP(D383,'ESO DungeonFinder'!$A$2:$A$999,1,FALSE))),"X","")</f>
        <v>X</v>
      </c>
      <c r="F383" s="70" t="str">
        <f t="shared" si="20"/>
        <v/>
      </c>
      <c r="G383" s="70" t="str">
        <f t="shared" si="23"/>
        <v>Imperial City</v>
      </c>
      <c r="H383" s="70">
        <f t="shared" si="21"/>
        <v>678</v>
      </c>
      <c r="I383" s="70">
        <f t="shared" si="22"/>
        <v>584</v>
      </c>
      <c r="J383">
        <v>1</v>
      </c>
      <c r="K383" s="3" t="str">
        <f ca="1">VLOOKUP(J383,ConstDLCIds!$A$4:$B$1000,2,FALSE)</f>
        <v>DLC_IMPERIAL_CITY</v>
      </c>
      <c r="L383" s="3" t="str">
        <f ca="1">VLOOKUP(J383,ConstDLCIds!$A$4:$C$1000,3,FALSE)</f>
        <v>Imperial City</v>
      </c>
    </row>
    <row r="384" spans="1:12" x14ac:dyDescent="0.25">
      <c r="A384">
        <v>681</v>
      </c>
      <c r="B384">
        <v>379</v>
      </c>
      <c r="C384">
        <v>108</v>
      </c>
      <c r="D384" t="s">
        <v>744</v>
      </c>
      <c r="E384" t="str">
        <f>IF(NOT(ISERROR(VLOOKUP(D384,'ESO DungeonFinder'!$A$2:$A$999,1,FALSE))),"X","")</f>
        <v>X</v>
      </c>
      <c r="F384" s="70" t="str">
        <f t="shared" si="20"/>
        <v/>
      </c>
      <c r="G384" s="70" t="str">
        <f t="shared" si="23"/>
        <v>Greenshade</v>
      </c>
      <c r="H384" s="70">
        <f t="shared" si="21"/>
        <v>681</v>
      </c>
      <c r="I384" s="70">
        <f t="shared" si="22"/>
        <v>108</v>
      </c>
      <c r="J384">
        <v>0</v>
      </c>
      <c r="K384" s="3" t="str">
        <f>VLOOKUP(J384,ConstDLCIds!$A$4:$B$1000,2,FALSE)</f>
        <v>DLC_BASE_GAME</v>
      </c>
      <c r="L384" s="3" t="str">
        <f>VLOOKUP(J384,ConstDLCIds!$A$4:$C$1000,3,FALSE)</f>
        <v>Included in base game</v>
      </c>
    </row>
    <row r="385" spans="1:12" x14ac:dyDescent="0.25">
      <c r="A385">
        <v>684</v>
      </c>
      <c r="B385">
        <v>380</v>
      </c>
      <c r="C385">
        <v>684</v>
      </c>
      <c r="D385" t="s">
        <v>816</v>
      </c>
      <c r="E385" t="str">
        <f>IF(NOT(ISERROR(VLOOKUP(D385,'ESO DungeonFinder'!$A$2:$A$999,1,FALSE))),"X","")</f>
        <v/>
      </c>
      <c r="F385" s="70" t="str">
        <f t="shared" si="20"/>
        <v>X</v>
      </c>
      <c r="G385" s="70" t="str">
        <f t="shared" si="23"/>
        <v/>
      </c>
      <c r="H385" s="70">
        <f t="shared" si="21"/>
        <v>684</v>
      </c>
      <c r="I385" s="70">
        <f t="shared" si="22"/>
        <v>684</v>
      </c>
      <c r="J385">
        <v>2</v>
      </c>
      <c r="K385" s="3" t="str">
        <f ca="1">VLOOKUP(J385,ConstDLCIds!$A$4:$B$1000,2,FALSE)</f>
        <v>DLC_ORSINIUM</v>
      </c>
      <c r="L385" s="3" t="str">
        <f ca="1">VLOOKUP(J385,ConstDLCIds!$A$4:$C$1000,3,FALSE)</f>
        <v>Orsinium</v>
      </c>
    </row>
    <row r="386" spans="1:12" x14ac:dyDescent="0.25">
      <c r="A386">
        <v>688</v>
      </c>
      <c r="B386">
        <v>381</v>
      </c>
      <c r="C386">
        <v>584</v>
      </c>
      <c r="D386" t="s">
        <v>770</v>
      </c>
      <c r="E386" t="str">
        <f>IF(NOT(ISERROR(VLOOKUP(D386,'ESO DungeonFinder'!$A$2:$A$999,1,FALSE))),"X","")</f>
        <v>X</v>
      </c>
      <c r="F386" s="70" t="str">
        <f t="shared" si="20"/>
        <v/>
      </c>
      <c r="G386" s="70" t="str">
        <f t="shared" si="23"/>
        <v>Imperial City</v>
      </c>
      <c r="H386" s="70">
        <f t="shared" si="21"/>
        <v>688</v>
      </c>
      <c r="I386" s="70">
        <f t="shared" si="22"/>
        <v>584</v>
      </c>
      <c r="J386">
        <v>1</v>
      </c>
      <c r="K386" s="3" t="str">
        <f ca="1">VLOOKUP(J386,ConstDLCIds!$A$4:$B$1000,2,FALSE)</f>
        <v>DLC_IMPERIAL_CITY</v>
      </c>
      <c r="L386" s="3" t="str">
        <f ca="1">VLOOKUP(J386,ConstDLCIds!$A$4:$C$1000,3,FALSE)</f>
        <v>Imperial City</v>
      </c>
    </row>
    <row r="387" spans="1:12" x14ac:dyDescent="0.25">
      <c r="A387">
        <v>689</v>
      </c>
      <c r="B387">
        <v>382</v>
      </c>
      <c r="C387">
        <v>684</v>
      </c>
      <c r="D387" t="s">
        <v>2511</v>
      </c>
      <c r="E387" t="str">
        <f>IF(NOT(ISERROR(VLOOKUP(D387,'ESO DungeonFinder'!$A$2:$A$999,1,FALSE))),"X","")</f>
        <v/>
      </c>
      <c r="F387" s="70" t="str">
        <f t="shared" si="20"/>
        <v/>
      </c>
      <c r="G387" s="70" t="str">
        <f t="shared" si="23"/>
        <v>Wrothgar</v>
      </c>
      <c r="H387" s="70">
        <f t="shared" si="21"/>
        <v>689</v>
      </c>
      <c r="I387" s="70">
        <f t="shared" si="22"/>
        <v>684</v>
      </c>
      <c r="J387">
        <v>2</v>
      </c>
      <c r="K387" s="3" t="str">
        <f ca="1">VLOOKUP(J387,ConstDLCIds!$A$4:$B$1000,2,FALSE)</f>
        <v>DLC_ORSINIUM</v>
      </c>
      <c r="L387" s="3" t="str">
        <f ca="1">VLOOKUP(J387,ConstDLCIds!$A$4:$C$1000,3,FALSE)</f>
        <v>Orsinium</v>
      </c>
    </row>
    <row r="388" spans="1:12" x14ac:dyDescent="0.25">
      <c r="A388">
        <v>691</v>
      </c>
      <c r="B388">
        <v>383</v>
      </c>
      <c r="C388">
        <v>684</v>
      </c>
      <c r="D388" t="s">
        <v>2512</v>
      </c>
      <c r="E388" t="str">
        <f>IF(NOT(ISERROR(VLOOKUP(D388,'ESO DungeonFinder'!$A$2:$A$999,1,FALSE))),"X","")</f>
        <v/>
      </c>
      <c r="F388" s="70" t="str">
        <f t="shared" si="20"/>
        <v/>
      </c>
      <c r="G388" s="70" t="str">
        <f t="shared" si="23"/>
        <v>Wrothgar</v>
      </c>
      <c r="H388" s="70">
        <f t="shared" si="21"/>
        <v>691</v>
      </c>
      <c r="I388" s="70">
        <f t="shared" si="22"/>
        <v>684</v>
      </c>
      <c r="J388">
        <v>2</v>
      </c>
      <c r="K388" s="3" t="str">
        <f ca="1">VLOOKUP(J388,ConstDLCIds!$A$4:$B$1000,2,FALSE)</f>
        <v>DLC_ORSINIUM</v>
      </c>
      <c r="L388" s="3" t="str">
        <f ca="1">VLOOKUP(J388,ConstDLCIds!$A$4:$C$1000,3,FALSE)</f>
        <v>Orsinium</v>
      </c>
    </row>
    <row r="389" spans="1:12" x14ac:dyDescent="0.25">
      <c r="A389">
        <v>692</v>
      </c>
      <c r="B389">
        <v>384</v>
      </c>
      <c r="C389">
        <v>684</v>
      </c>
      <c r="D389" t="s">
        <v>2513</v>
      </c>
      <c r="E389" t="str">
        <f>IF(NOT(ISERROR(VLOOKUP(D389,'ESO DungeonFinder'!$A$2:$A$999,1,FALSE))),"X","")</f>
        <v/>
      </c>
      <c r="F389" s="70" t="str">
        <f t="shared" ref="F389:F452" si="24">IF(EXACT(A389,C389),"X","")</f>
        <v/>
      </c>
      <c r="G389" s="70" t="str">
        <f t="shared" si="23"/>
        <v>Wrothgar</v>
      </c>
      <c r="H389" s="70">
        <f t="shared" ref="H389:H452" si="25">A389</f>
        <v>692</v>
      </c>
      <c r="I389" s="70">
        <f t="shared" ref="I389:I452" si="26">C389</f>
        <v>684</v>
      </c>
      <c r="J389">
        <v>2</v>
      </c>
      <c r="K389" s="3" t="str">
        <f ca="1">VLOOKUP(J389,ConstDLCIds!$A$4:$B$1000,2,FALSE)</f>
        <v>DLC_ORSINIUM</v>
      </c>
      <c r="L389" s="3" t="str">
        <f ca="1">VLOOKUP(J389,ConstDLCIds!$A$4:$C$1000,3,FALSE)</f>
        <v>Orsinium</v>
      </c>
    </row>
    <row r="390" spans="1:12" x14ac:dyDescent="0.25">
      <c r="A390">
        <v>693</v>
      </c>
      <c r="B390">
        <v>385</v>
      </c>
      <c r="C390">
        <v>684</v>
      </c>
      <c r="D390" t="s">
        <v>2514</v>
      </c>
      <c r="E390" t="str">
        <f>IF(NOT(ISERROR(VLOOKUP(D390,'ESO DungeonFinder'!$A$2:$A$999,1,FALSE))),"X","")</f>
        <v/>
      </c>
      <c r="F390" s="70" t="str">
        <f t="shared" si="24"/>
        <v/>
      </c>
      <c r="G390" s="70" t="str">
        <f t="shared" ref="G390:G453" si="27">IF(A390&lt;&gt;C390,VLOOKUP(C390,$A$5:$D$9956,4,FALSE),"")</f>
        <v>Wrothgar</v>
      </c>
      <c r="H390" s="70">
        <f t="shared" si="25"/>
        <v>693</v>
      </c>
      <c r="I390" s="70">
        <f t="shared" si="26"/>
        <v>684</v>
      </c>
      <c r="J390">
        <v>2</v>
      </c>
      <c r="K390" s="3" t="str">
        <f ca="1">VLOOKUP(J390,ConstDLCIds!$A$4:$B$1000,2,FALSE)</f>
        <v>DLC_ORSINIUM</v>
      </c>
      <c r="L390" s="3" t="str">
        <f ca="1">VLOOKUP(J390,ConstDLCIds!$A$4:$C$1000,3,FALSE)</f>
        <v>Orsinium</v>
      </c>
    </row>
    <row r="391" spans="1:12" x14ac:dyDescent="0.25">
      <c r="A391">
        <v>694</v>
      </c>
      <c r="B391">
        <v>386</v>
      </c>
      <c r="C391">
        <v>684</v>
      </c>
      <c r="D391" t="s">
        <v>2090</v>
      </c>
      <c r="E391" t="str">
        <f>IF(NOT(ISERROR(VLOOKUP(D391,'ESO DungeonFinder'!$A$2:$A$999,1,FALSE))),"X","")</f>
        <v/>
      </c>
      <c r="F391" s="70" t="str">
        <f t="shared" si="24"/>
        <v/>
      </c>
      <c r="G391" s="70" t="str">
        <f t="shared" si="27"/>
        <v>Wrothgar</v>
      </c>
      <c r="H391" s="70">
        <f t="shared" si="25"/>
        <v>694</v>
      </c>
      <c r="I391" s="70">
        <f t="shared" si="26"/>
        <v>684</v>
      </c>
      <c r="J391">
        <v>2</v>
      </c>
      <c r="K391" s="3" t="str">
        <f ca="1">VLOOKUP(J391,ConstDLCIds!$A$4:$B$1000,2,FALSE)</f>
        <v>DLC_ORSINIUM</v>
      </c>
      <c r="L391" s="3" t="str">
        <f ca="1">VLOOKUP(J391,ConstDLCIds!$A$4:$C$1000,3,FALSE)</f>
        <v>Orsinium</v>
      </c>
    </row>
    <row r="392" spans="1:12" x14ac:dyDescent="0.25">
      <c r="A392">
        <v>695</v>
      </c>
      <c r="B392">
        <v>387</v>
      </c>
      <c r="C392">
        <v>684</v>
      </c>
      <c r="D392" t="s">
        <v>2515</v>
      </c>
      <c r="E392" t="str">
        <f>IF(NOT(ISERROR(VLOOKUP(D392,'ESO DungeonFinder'!$A$2:$A$999,1,FALSE))),"X","")</f>
        <v/>
      </c>
      <c r="F392" s="70" t="str">
        <f t="shared" si="24"/>
        <v/>
      </c>
      <c r="G392" s="70" t="str">
        <f t="shared" si="27"/>
        <v>Wrothgar</v>
      </c>
      <c r="H392" s="70">
        <f t="shared" si="25"/>
        <v>695</v>
      </c>
      <c r="I392" s="70">
        <f t="shared" si="26"/>
        <v>684</v>
      </c>
      <c r="J392">
        <v>2</v>
      </c>
      <c r="K392" s="3" t="str">
        <f ca="1">VLOOKUP(J392,ConstDLCIds!$A$4:$B$1000,2,FALSE)</f>
        <v>DLC_ORSINIUM</v>
      </c>
      <c r="L392" s="3" t="str">
        <f ca="1">VLOOKUP(J392,ConstDLCIds!$A$4:$C$1000,3,FALSE)</f>
        <v>Orsinium</v>
      </c>
    </row>
    <row r="393" spans="1:12" x14ac:dyDescent="0.25">
      <c r="A393">
        <v>697</v>
      </c>
      <c r="B393">
        <v>388</v>
      </c>
      <c r="C393">
        <v>684</v>
      </c>
      <c r="D393" t="s">
        <v>2516</v>
      </c>
      <c r="E393" t="str">
        <f>IF(NOT(ISERROR(VLOOKUP(D393,'ESO DungeonFinder'!$A$2:$A$999,1,FALSE))),"X","")</f>
        <v/>
      </c>
      <c r="F393" s="70" t="str">
        <f t="shared" si="24"/>
        <v/>
      </c>
      <c r="G393" s="70" t="str">
        <f t="shared" si="27"/>
        <v>Wrothgar</v>
      </c>
      <c r="H393" s="70">
        <f t="shared" si="25"/>
        <v>697</v>
      </c>
      <c r="I393" s="70">
        <f t="shared" si="26"/>
        <v>684</v>
      </c>
      <c r="J393">
        <v>2</v>
      </c>
      <c r="K393" s="3" t="str">
        <f ca="1">VLOOKUP(J393,ConstDLCIds!$A$4:$B$1000,2,FALSE)</f>
        <v>DLC_ORSINIUM</v>
      </c>
      <c r="L393" s="3" t="str">
        <f ca="1">VLOOKUP(J393,ConstDLCIds!$A$4:$C$1000,3,FALSE)</f>
        <v>Orsinium</v>
      </c>
    </row>
    <row r="394" spans="1:12" x14ac:dyDescent="0.25">
      <c r="A394">
        <v>698</v>
      </c>
      <c r="B394">
        <v>389</v>
      </c>
      <c r="C394">
        <v>684</v>
      </c>
      <c r="D394" t="s">
        <v>2517</v>
      </c>
      <c r="E394" t="str">
        <f>IF(NOT(ISERROR(VLOOKUP(D394,'ESO DungeonFinder'!$A$2:$A$999,1,FALSE))),"X","")</f>
        <v/>
      </c>
      <c r="F394" s="70" t="str">
        <f t="shared" si="24"/>
        <v/>
      </c>
      <c r="G394" s="70" t="str">
        <f t="shared" si="27"/>
        <v>Wrothgar</v>
      </c>
      <c r="H394" s="70">
        <f t="shared" si="25"/>
        <v>698</v>
      </c>
      <c r="I394" s="70">
        <f t="shared" si="26"/>
        <v>684</v>
      </c>
      <c r="J394">
        <v>2</v>
      </c>
      <c r="K394" s="3" t="str">
        <f ca="1">VLOOKUP(J394,ConstDLCIds!$A$4:$B$1000,2,FALSE)</f>
        <v>DLC_ORSINIUM</v>
      </c>
      <c r="L394" s="3" t="str">
        <f ca="1">VLOOKUP(J394,ConstDLCIds!$A$4:$C$1000,3,FALSE)</f>
        <v>Orsinium</v>
      </c>
    </row>
    <row r="395" spans="1:12" x14ac:dyDescent="0.25">
      <c r="A395">
        <v>699</v>
      </c>
      <c r="B395">
        <v>390</v>
      </c>
      <c r="C395">
        <v>684</v>
      </c>
      <c r="D395" t="s">
        <v>2518</v>
      </c>
      <c r="E395" t="str">
        <f>IF(NOT(ISERROR(VLOOKUP(D395,'ESO DungeonFinder'!$A$2:$A$999,1,FALSE))),"X","")</f>
        <v/>
      </c>
      <c r="F395" s="70" t="str">
        <f t="shared" si="24"/>
        <v/>
      </c>
      <c r="G395" s="70" t="str">
        <f t="shared" si="27"/>
        <v>Wrothgar</v>
      </c>
      <c r="H395" s="70">
        <f t="shared" si="25"/>
        <v>699</v>
      </c>
      <c r="I395" s="70">
        <f t="shared" si="26"/>
        <v>684</v>
      </c>
      <c r="J395">
        <v>2</v>
      </c>
      <c r="K395" s="3" t="str">
        <f ca="1">VLOOKUP(J395,ConstDLCIds!$A$4:$B$1000,2,FALSE)</f>
        <v>DLC_ORSINIUM</v>
      </c>
      <c r="L395" s="3" t="str">
        <f ca="1">VLOOKUP(J395,ConstDLCIds!$A$4:$C$1000,3,FALSE)</f>
        <v>Orsinium</v>
      </c>
    </row>
    <row r="396" spans="1:12" x14ac:dyDescent="0.25">
      <c r="A396">
        <v>700</v>
      </c>
      <c r="B396">
        <v>391</v>
      </c>
      <c r="C396">
        <v>684</v>
      </c>
      <c r="D396" t="s">
        <v>2519</v>
      </c>
      <c r="E396" t="str">
        <f>IF(NOT(ISERROR(VLOOKUP(D396,'ESO DungeonFinder'!$A$2:$A$999,1,FALSE))),"X","")</f>
        <v/>
      </c>
      <c r="F396" s="70" t="str">
        <f t="shared" si="24"/>
        <v/>
      </c>
      <c r="G396" s="70" t="str">
        <f t="shared" si="27"/>
        <v>Wrothgar</v>
      </c>
      <c r="H396" s="70">
        <f t="shared" si="25"/>
        <v>700</v>
      </c>
      <c r="I396" s="70">
        <f t="shared" si="26"/>
        <v>684</v>
      </c>
      <c r="J396">
        <v>2</v>
      </c>
      <c r="K396" s="3" t="str">
        <f ca="1">VLOOKUP(J396,ConstDLCIds!$A$4:$B$1000,2,FALSE)</f>
        <v>DLC_ORSINIUM</v>
      </c>
      <c r="L396" s="3" t="str">
        <f ca="1">VLOOKUP(J396,ConstDLCIds!$A$4:$C$1000,3,FALSE)</f>
        <v>Orsinium</v>
      </c>
    </row>
    <row r="397" spans="1:12" x14ac:dyDescent="0.25">
      <c r="A397">
        <v>701</v>
      </c>
      <c r="B397">
        <v>392</v>
      </c>
      <c r="C397">
        <v>684</v>
      </c>
      <c r="D397" t="s">
        <v>2520</v>
      </c>
      <c r="E397" t="str">
        <f>IF(NOT(ISERROR(VLOOKUP(D397,'ESO DungeonFinder'!$A$2:$A$999,1,FALSE))),"X","")</f>
        <v/>
      </c>
      <c r="F397" s="70" t="str">
        <f t="shared" si="24"/>
        <v/>
      </c>
      <c r="G397" s="70" t="str">
        <f t="shared" si="27"/>
        <v>Wrothgar</v>
      </c>
      <c r="H397" s="70">
        <f t="shared" si="25"/>
        <v>701</v>
      </c>
      <c r="I397" s="70">
        <f t="shared" si="26"/>
        <v>684</v>
      </c>
      <c r="J397">
        <v>2</v>
      </c>
      <c r="K397" s="3" t="str">
        <f ca="1">VLOOKUP(J397,ConstDLCIds!$A$4:$B$1000,2,FALSE)</f>
        <v>DLC_ORSINIUM</v>
      </c>
      <c r="L397" s="3" t="str">
        <f ca="1">VLOOKUP(J397,ConstDLCIds!$A$4:$C$1000,3,FALSE)</f>
        <v>Orsinium</v>
      </c>
    </row>
    <row r="398" spans="1:12" x14ac:dyDescent="0.25">
      <c r="A398">
        <v>702</v>
      </c>
      <c r="B398">
        <v>393</v>
      </c>
      <c r="C398">
        <v>684</v>
      </c>
      <c r="D398" t="s">
        <v>2521</v>
      </c>
      <c r="E398" t="str">
        <f>IF(NOT(ISERROR(VLOOKUP(D398,'ESO DungeonFinder'!$A$2:$A$999,1,FALSE))),"X","")</f>
        <v/>
      </c>
      <c r="F398" s="70" t="str">
        <f t="shared" si="24"/>
        <v/>
      </c>
      <c r="G398" s="70" t="str">
        <f t="shared" si="27"/>
        <v>Wrothgar</v>
      </c>
      <c r="H398" s="70">
        <f t="shared" si="25"/>
        <v>702</v>
      </c>
      <c r="I398" s="70">
        <f t="shared" si="26"/>
        <v>684</v>
      </c>
      <c r="J398">
        <v>2</v>
      </c>
      <c r="K398" s="3" t="str">
        <f ca="1">VLOOKUP(J398,ConstDLCIds!$A$4:$B$1000,2,FALSE)</f>
        <v>DLC_ORSINIUM</v>
      </c>
      <c r="L398" s="3" t="str">
        <f ca="1">VLOOKUP(J398,ConstDLCIds!$A$4:$C$1000,3,FALSE)</f>
        <v>Orsinium</v>
      </c>
    </row>
    <row r="399" spans="1:12" x14ac:dyDescent="0.25">
      <c r="A399">
        <v>703</v>
      </c>
      <c r="B399">
        <v>394</v>
      </c>
      <c r="C399">
        <v>684</v>
      </c>
      <c r="D399" t="s">
        <v>2522</v>
      </c>
      <c r="E399" t="str">
        <f>IF(NOT(ISERROR(VLOOKUP(D399,'ESO DungeonFinder'!$A$2:$A$999,1,FALSE))),"X","")</f>
        <v/>
      </c>
      <c r="F399" s="70" t="str">
        <f t="shared" si="24"/>
        <v/>
      </c>
      <c r="G399" s="70" t="str">
        <f t="shared" si="27"/>
        <v>Wrothgar</v>
      </c>
      <c r="H399" s="70">
        <f t="shared" si="25"/>
        <v>703</v>
      </c>
      <c r="I399" s="70">
        <f t="shared" si="26"/>
        <v>684</v>
      </c>
      <c r="J399">
        <v>2</v>
      </c>
      <c r="K399" s="3" t="str">
        <f ca="1">VLOOKUP(J399,ConstDLCIds!$A$4:$B$1000,2,FALSE)</f>
        <v>DLC_ORSINIUM</v>
      </c>
      <c r="L399" s="3" t="str">
        <f ca="1">VLOOKUP(J399,ConstDLCIds!$A$4:$C$1000,3,FALSE)</f>
        <v>Orsinium</v>
      </c>
    </row>
    <row r="400" spans="1:12" x14ac:dyDescent="0.25">
      <c r="A400">
        <v>704</v>
      </c>
      <c r="B400">
        <v>395</v>
      </c>
      <c r="C400">
        <v>684</v>
      </c>
      <c r="D400" t="s">
        <v>2523</v>
      </c>
      <c r="E400" t="str">
        <f>IF(NOT(ISERROR(VLOOKUP(D400,'ESO DungeonFinder'!$A$2:$A$999,1,FALSE))),"X","")</f>
        <v/>
      </c>
      <c r="F400" s="70" t="str">
        <f t="shared" si="24"/>
        <v/>
      </c>
      <c r="G400" s="70" t="str">
        <f t="shared" si="27"/>
        <v>Wrothgar</v>
      </c>
      <c r="H400" s="70">
        <f t="shared" si="25"/>
        <v>704</v>
      </c>
      <c r="I400" s="70">
        <f t="shared" si="26"/>
        <v>684</v>
      </c>
      <c r="J400">
        <v>2</v>
      </c>
      <c r="K400" s="3" t="str">
        <f ca="1">VLOOKUP(J400,ConstDLCIds!$A$4:$B$1000,2,FALSE)</f>
        <v>DLC_ORSINIUM</v>
      </c>
      <c r="L400" s="3" t="str">
        <f ca="1">VLOOKUP(J400,ConstDLCIds!$A$4:$C$1000,3,FALSE)</f>
        <v>Orsinium</v>
      </c>
    </row>
    <row r="401" spans="1:12" x14ac:dyDescent="0.25">
      <c r="A401">
        <v>705</v>
      </c>
      <c r="B401">
        <v>396</v>
      </c>
      <c r="C401">
        <v>684</v>
      </c>
      <c r="D401" t="s">
        <v>2187</v>
      </c>
      <c r="E401" t="str">
        <f>IF(NOT(ISERROR(VLOOKUP(D401,'ESO DungeonFinder'!$A$2:$A$999,1,FALSE))),"X","")</f>
        <v/>
      </c>
      <c r="F401" s="70" t="str">
        <f t="shared" si="24"/>
        <v/>
      </c>
      <c r="G401" s="70" t="str">
        <f t="shared" si="27"/>
        <v>Wrothgar</v>
      </c>
      <c r="H401" s="70">
        <f t="shared" si="25"/>
        <v>705</v>
      </c>
      <c r="I401" s="70">
        <f t="shared" si="26"/>
        <v>684</v>
      </c>
      <c r="J401">
        <v>2</v>
      </c>
      <c r="K401" s="3" t="str">
        <f ca="1">VLOOKUP(J401,ConstDLCIds!$A$4:$B$1000,2,FALSE)</f>
        <v>DLC_ORSINIUM</v>
      </c>
      <c r="L401" s="3" t="str">
        <f ca="1">VLOOKUP(J401,ConstDLCIds!$A$4:$C$1000,3,FALSE)</f>
        <v>Orsinium</v>
      </c>
    </row>
    <row r="402" spans="1:12" x14ac:dyDescent="0.25">
      <c r="A402">
        <v>706</v>
      </c>
      <c r="B402">
        <v>397</v>
      </c>
      <c r="C402">
        <v>684</v>
      </c>
      <c r="D402" t="s">
        <v>2188</v>
      </c>
      <c r="E402" t="str">
        <f>IF(NOT(ISERROR(VLOOKUP(D402,'ESO DungeonFinder'!$A$2:$A$999,1,FALSE))),"X","")</f>
        <v/>
      </c>
      <c r="F402" s="70" t="str">
        <f t="shared" si="24"/>
        <v/>
      </c>
      <c r="G402" s="70" t="str">
        <f t="shared" si="27"/>
        <v>Wrothgar</v>
      </c>
      <c r="H402" s="70">
        <f t="shared" si="25"/>
        <v>706</v>
      </c>
      <c r="I402" s="70">
        <f t="shared" si="26"/>
        <v>684</v>
      </c>
      <c r="J402">
        <v>2</v>
      </c>
      <c r="K402" s="3" t="str">
        <f ca="1">VLOOKUP(J402,ConstDLCIds!$A$4:$B$1000,2,FALSE)</f>
        <v>DLC_ORSINIUM</v>
      </c>
      <c r="L402" s="3" t="str">
        <f ca="1">VLOOKUP(J402,ConstDLCIds!$A$4:$C$1000,3,FALSE)</f>
        <v>Orsinium</v>
      </c>
    </row>
    <row r="403" spans="1:12" x14ac:dyDescent="0.25">
      <c r="A403">
        <v>707</v>
      </c>
      <c r="B403">
        <v>398</v>
      </c>
      <c r="C403">
        <v>684</v>
      </c>
      <c r="D403" t="s">
        <v>2524</v>
      </c>
      <c r="E403" t="str">
        <f>IF(NOT(ISERROR(VLOOKUP(D403,'ESO DungeonFinder'!$A$2:$A$999,1,FALSE))),"X","")</f>
        <v/>
      </c>
      <c r="F403" s="70" t="str">
        <f t="shared" si="24"/>
        <v/>
      </c>
      <c r="G403" s="70" t="str">
        <f t="shared" si="27"/>
        <v>Wrothgar</v>
      </c>
      <c r="H403" s="70">
        <f t="shared" si="25"/>
        <v>707</v>
      </c>
      <c r="I403" s="70">
        <f t="shared" si="26"/>
        <v>684</v>
      </c>
      <c r="J403">
        <v>2</v>
      </c>
      <c r="K403" s="3" t="str">
        <f ca="1">VLOOKUP(J403,ConstDLCIds!$A$4:$B$1000,2,FALSE)</f>
        <v>DLC_ORSINIUM</v>
      </c>
      <c r="L403" s="3" t="str">
        <f ca="1">VLOOKUP(J403,ConstDLCIds!$A$4:$C$1000,3,FALSE)</f>
        <v>Orsinium</v>
      </c>
    </row>
    <row r="404" spans="1:12" x14ac:dyDescent="0.25">
      <c r="A404">
        <v>708</v>
      </c>
      <c r="B404">
        <v>399</v>
      </c>
      <c r="C404">
        <v>684</v>
      </c>
      <c r="D404" t="s">
        <v>2525</v>
      </c>
      <c r="E404" t="str">
        <f>IF(NOT(ISERROR(VLOOKUP(D404,'ESO DungeonFinder'!$A$2:$A$999,1,FALSE))),"X","")</f>
        <v/>
      </c>
      <c r="F404" s="70" t="str">
        <f t="shared" si="24"/>
        <v/>
      </c>
      <c r="G404" s="70" t="str">
        <f t="shared" si="27"/>
        <v>Wrothgar</v>
      </c>
      <c r="H404" s="70">
        <f t="shared" si="25"/>
        <v>708</v>
      </c>
      <c r="I404" s="70">
        <f t="shared" si="26"/>
        <v>684</v>
      </c>
      <c r="J404">
        <v>2</v>
      </c>
      <c r="K404" s="3" t="str">
        <f ca="1">VLOOKUP(J404,ConstDLCIds!$A$4:$B$1000,2,FALSE)</f>
        <v>DLC_ORSINIUM</v>
      </c>
      <c r="L404" s="3" t="str">
        <f ca="1">VLOOKUP(J404,ConstDLCIds!$A$4:$C$1000,3,FALSE)</f>
        <v>Orsinium</v>
      </c>
    </row>
    <row r="405" spans="1:12" x14ac:dyDescent="0.25">
      <c r="A405">
        <v>710</v>
      </c>
      <c r="B405">
        <v>400</v>
      </c>
      <c r="C405">
        <v>684</v>
      </c>
      <c r="D405" t="s">
        <v>2526</v>
      </c>
      <c r="E405" t="str">
        <f>IF(NOT(ISERROR(VLOOKUP(D405,'ESO DungeonFinder'!$A$2:$A$999,1,FALSE))),"X","")</f>
        <v/>
      </c>
      <c r="F405" s="70" t="str">
        <f t="shared" si="24"/>
        <v/>
      </c>
      <c r="G405" s="70" t="str">
        <f t="shared" si="27"/>
        <v>Wrothgar</v>
      </c>
      <c r="H405" s="70">
        <f t="shared" si="25"/>
        <v>710</v>
      </c>
      <c r="I405" s="70">
        <f t="shared" si="26"/>
        <v>684</v>
      </c>
      <c r="J405">
        <v>2</v>
      </c>
      <c r="K405" s="3" t="str">
        <f ca="1">VLOOKUP(J405,ConstDLCIds!$A$4:$B$1000,2,FALSE)</f>
        <v>DLC_ORSINIUM</v>
      </c>
      <c r="L405" s="3" t="str">
        <f ca="1">VLOOKUP(J405,ConstDLCIds!$A$4:$C$1000,3,FALSE)</f>
        <v>Orsinium</v>
      </c>
    </row>
    <row r="406" spans="1:12" x14ac:dyDescent="0.25">
      <c r="A406">
        <v>711</v>
      </c>
      <c r="B406">
        <v>401</v>
      </c>
      <c r="C406">
        <v>684</v>
      </c>
      <c r="D406" t="s">
        <v>2527</v>
      </c>
      <c r="E406" t="str">
        <f>IF(NOT(ISERROR(VLOOKUP(D406,'ESO DungeonFinder'!$A$2:$A$999,1,FALSE))),"X","")</f>
        <v/>
      </c>
      <c r="F406" s="70" t="str">
        <f t="shared" si="24"/>
        <v/>
      </c>
      <c r="G406" s="70" t="str">
        <f t="shared" si="27"/>
        <v>Wrothgar</v>
      </c>
      <c r="H406" s="70">
        <f t="shared" si="25"/>
        <v>711</v>
      </c>
      <c r="I406" s="70">
        <f t="shared" si="26"/>
        <v>684</v>
      </c>
      <c r="J406">
        <v>2</v>
      </c>
      <c r="K406" s="3" t="str">
        <f ca="1">VLOOKUP(J406,ConstDLCIds!$A$4:$B$1000,2,FALSE)</f>
        <v>DLC_ORSINIUM</v>
      </c>
      <c r="L406" s="3" t="str">
        <f ca="1">VLOOKUP(J406,ConstDLCIds!$A$4:$C$1000,3,FALSE)</f>
        <v>Orsinium</v>
      </c>
    </row>
    <row r="407" spans="1:12" x14ac:dyDescent="0.25">
      <c r="A407">
        <v>712</v>
      </c>
      <c r="B407">
        <v>402</v>
      </c>
      <c r="C407">
        <v>684</v>
      </c>
      <c r="D407" t="s">
        <v>2528</v>
      </c>
      <c r="E407" t="str">
        <f>IF(NOT(ISERROR(VLOOKUP(D407,'ESO DungeonFinder'!$A$2:$A$999,1,FALSE))),"X","")</f>
        <v/>
      </c>
      <c r="F407" s="70" t="str">
        <f t="shared" si="24"/>
        <v/>
      </c>
      <c r="G407" s="70" t="str">
        <f t="shared" si="27"/>
        <v>Wrothgar</v>
      </c>
      <c r="H407" s="70">
        <f t="shared" si="25"/>
        <v>712</v>
      </c>
      <c r="I407" s="70">
        <f t="shared" si="26"/>
        <v>684</v>
      </c>
      <c r="J407">
        <v>2</v>
      </c>
      <c r="K407" s="3" t="str">
        <f ca="1">VLOOKUP(J407,ConstDLCIds!$A$4:$B$1000,2,FALSE)</f>
        <v>DLC_ORSINIUM</v>
      </c>
      <c r="L407" s="3" t="str">
        <f ca="1">VLOOKUP(J407,ConstDLCIds!$A$4:$C$1000,3,FALSE)</f>
        <v>Orsinium</v>
      </c>
    </row>
    <row r="408" spans="1:12" x14ac:dyDescent="0.25">
      <c r="A408">
        <v>715</v>
      </c>
      <c r="B408">
        <v>403</v>
      </c>
      <c r="C408">
        <v>684</v>
      </c>
      <c r="D408" t="s">
        <v>2529</v>
      </c>
      <c r="E408" t="str">
        <f>IF(NOT(ISERROR(VLOOKUP(D408,'ESO DungeonFinder'!$A$2:$A$999,1,FALSE))),"X","")</f>
        <v/>
      </c>
      <c r="F408" s="70" t="str">
        <f t="shared" si="24"/>
        <v/>
      </c>
      <c r="G408" s="70" t="str">
        <f t="shared" si="27"/>
        <v>Wrothgar</v>
      </c>
      <c r="H408" s="70">
        <f t="shared" si="25"/>
        <v>715</v>
      </c>
      <c r="I408" s="70">
        <f t="shared" si="26"/>
        <v>684</v>
      </c>
      <c r="J408">
        <v>2</v>
      </c>
      <c r="K408" s="3" t="str">
        <f ca="1">VLOOKUP(J408,ConstDLCIds!$A$4:$B$1000,2,FALSE)</f>
        <v>DLC_ORSINIUM</v>
      </c>
      <c r="L408" s="3" t="str">
        <f ca="1">VLOOKUP(J408,ConstDLCIds!$A$4:$C$1000,3,FALSE)</f>
        <v>Orsinium</v>
      </c>
    </row>
    <row r="409" spans="1:12" x14ac:dyDescent="0.25">
      <c r="A409">
        <v>719</v>
      </c>
      <c r="B409">
        <v>404</v>
      </c>
      <c r="C409">
        <v>1011</v>
      </c>
      <c r="D409" t="s">
        <v>2530</v>
      </c>
      <c r="E409" t="str">
        <f>IF(NOT(ISERROR(VLOOKUP(D409,'ESO DungeonFinder'!$A$2:$A$999,1,FALSE))),"X","")</f>
        <v/>
      </c>
      <c r="F409" s="70" t="str">
        <f t="shared" si="24"/>
        <v/>
      </c>
      <c r="G409" s="70" t="str">
        <f t="shared" si="27"/>
        <v>Summerset</v>
      </c>
      <c r="H409" s="70">
        <f t="shared" si="25"/>
        <v>719</v>
      </c>
      <c r="I409" s="70">
        <f t="shared" si="26"/>
        <v>1011</v>
      </c>
      <c r="J409">
        <v>10</v>
      </c>
      <c r="K409" s="3" t="str">
        <f ca="1">VLOOKUP(J409,ConstDLCIds!$A$4:$B$1000,2,FALSE)</f>
        <v>DLC_SUMMERSET</v>
      </c>
      <c r="L409" s="3" t="str">
        <f ca="1">VLOOKUP(J409,ConstDLCIds!$A$4:$C$1000,3,FALSE)</f>
        <v>Summerset</v>
      </c>
    </row>
    <row r="410" spans="1:12" x14ac:dyDescent="0.25">
      <c r="A410">
        <v>723</v>
      </c>
      <c r="B410">
        <v>405</v>
      </c>
      <c r="C410">
        <v>0</v>
      </c>
      <c r="D410" t="s">
        <v>2488</v>
      </c>
      <c r="E410" t="str">
        <f>IF(NOT(ISERROR(VLOOKUP(D410,'ESO DungeonFinder'!$A$2:$A$999,1,FALSE))),"X","")</f>
        <v/>
      </c>
      <c r="F410" s="70" t="str">
        <f t="shared" si="24"/>
        <v/>
      </c>
      <c r="G410" s="70" t="str">
        <f t="shared" si="27"/>
        <v>Tamriel Map</v>
      </c>
      <c r="H410" s="70">
        <f t="shared" si="25"/>
        <v>723</v>
      </c>
      <c r="I410" s="70">
        <f t="shared" si="26"/>
        <v>0</v>
      </c>
      <c r="J410">
        <v>0</v>
      </c>
      <c r="K410" s="3" t="str">
        <f>VLOOKUP(J410,ConstDLCIds!$A$4:$B$1000,2,FALSE)</f>
        <v>DLC_BASE_GAME</v>
      </c>
      <c r="L410" s="3" t="str">
        <f>VLOOKUP(J410,ConstDLCIds!$A$4:$C$1000,3,FALSE)</f>
        <v>Included in base game</v>
      </c>
    </row>
    <row r="411" spans="1:12" x14ac:dyDescent="0.25">
      <c r="A411">
        <v>724</v>
      </c>
      <c r="B411">
        <v>406</v>
      </c>
      <c r="C411">
        <v>684</v>
      </c>
      <c r="D411" t="s">
        <v>2531</v>
      </c>
      <c r="E411" t="str">
        <f>IF(NOT(ISERROR(VLOOKUP(D411,'ESO DungeonFinder'!$A$2:$A$999,1,FALSE))),"X","")</f>
        <v/>
      </c>
      <c r="F411" s="70" t="str">
        <f t="shared" si="24"/>
        <v/>
      </c>
      <c r="G411" s="70" t="str">
        <f t="shared" si="27"/>
        <v>Wrothgar</v>
      </c>
      <c r="H411" s="70">
        <f t="shared" si="25"/>
        <v>724</v>
      </c>
      <c r="I411" s="70">
        <f t="shared" si="26"/>
        <v>684</v>
      </c>
      <c r="J411">
        <v>2</v>
      </c>
      <c r="K411" s="3" t="str">
        <f ca="1">VLOOKUP(J411,ConstDLCIds!$A$4:$B$1000,2,FALSE)</f>
        <v>DLC_ORSINIUM</v>
      </c>
      <c r="L411" s="3" t="str">
        <f ca="1">VLOOKUP(J411,ConstDLCIds!$A$4:$C$1000,3,FALSE)</f>
        <v>Orsinium</v>
      </c>
    </row>
    <row r="412" spans="1:12" x14ac:dyDescent="0.25">
      <c r="A412">
        <v>725</v>
      </c>
      <c r="B412">
        <v>407</v>
      </c>
      <c r="C412">
        <v>816</v>
      </c>
      <c r="D412" t="s">
        <v>846</v>
      </c>
      <c r="E412" t="str">
        <f>IF(NOT(ISERROR(VLOOKUP(D412,'ESO DungeonFinder'!$A$2:$A$999,1,FALSE))),"X","")</f>
        <v/>
      </c>
      <c r="F412" s="70" t="str">
        <f t="shared" si="24"/>
        <v/>
      </c>
      <c r="G412" s="70" t="str">
        <f t="shared" si="27"/>
        <v>Hew's Bane</v>
      </c>
      <c r="H412" s="70">
        <f t="shared" si="25"/>
        <v>725</v>
      </c>
      <c r="I412" s="70">
        <f t="shared" si="26"/>
        <v>816</v>
      </c>
      <c r="J412">
        <v>3</v>
      </c>
      <c r="K412" s="3" t="str">
        <f ca="1">VLOOKUP(J412,ConstDLCIds!$A$4:$B$1000,2,FALSE)</f>
        <v>DLC_THIEVES_GUILD</v>
      </c>
      <c r="L412" s="3" t="str">
        <f ca="1">VLOOKUP(J412,ConstDLCIds!$A$4:$C$1000,3,FALSE)</f>
        <v>Thieves Guild</v>
      </c>
    </row>
    <row r="413" spans="1:12" x14ac:dyDescent="0.25">
      <c r="A413">
        <v>726</v>
      </c>
      <c r="B413">
        <v>408</v>
      </c>
      <c r="C413">
        <v>726</v>
      </c>
      <c r="D413" t="s">
        <v>44</v>
      </c>
      <c r="E413" t="str">
        <f>IF(NOT(ISERROR(VLOOKUP(D413,'ESO DungeonFinder'!$A$2:$A$999,1,FALSE))),"X","")</f>
        <v/>
      </c>
      <c r="F413" s="70" t="str">
        <f t="shared" si="24"/>
        <v>X</v>
      </c>
      <c r="G413" s="70" t="str">
        <f t="shared" si="27"/>
        <v/>
      </c>
      <c r="H413" s="70">
        <f t="shared" si="25"/>
        <v>726</v>
      </c>
      <c r="I413" s="70">
        <f t="shared" si="26"/>
        <v>726</v>
      </c>
      <c r="J413">
        <v>14</v>
      </c>
      <c r="K413" s="3" t="str">
        <f ca="1">VLOOKUP(J413,ConstDLCIds!$A$4:$B$1000,2,FALSE)</f>
        <v>DLC_ELSWEYR</v>
      </c>
      <c r="L413" s="3" t="str">
        <f ca="1">VLOOKUP(J413,ConstDLCIds!$A$4:$C$1000,3,FALSE)</f>
        <v>Elsweyr</v>
      </c>
    </row>
    <row r="414" spans="1:12" x14ac:dyDescent="0.25">
      <c r="A414">
        <v>745</v>
      </c>
      <c r="B414">
        <v>409</v>
      </c>
      <c r="C414">
        <v>41</v>
      </c>
      <c r="D414" t="s">
        <v>2532</v>
      </c>
      <c r="E414" t="str">
        <f>IF(NOT(ISERROR(VLOOKUP(D414,'ESO DungeonFinder'!$A$2:$A$999,1,FALSE))),"X","")</f>
        <v/>
      </c>
      <c r="F414" s="70" t="str">
        <f t="shared" si="24"/>
        <v/>
      </c>
      <c r="G414" s="70" t="str">
        <f t="shared" si="27"/>
        <v>Stonefalls</v>
      </c>
      <c r="H414" s="70">
        <f t="shared" si="25"/>
        <v>745</v>
      </c>
      <c r="I414" s="70">
        <f t="shared" si="26"/>
        <v>41</v>
      </c>
      <c r="J414">
        <v>0</v>
      </c>
      <c r="K414" s="3" t="str">
        <f>VLOOKUP(J414,ConstDLCIds!$A$4:$B$1000,2,FALSE)</f>
        <v>DLC_BASE_GAME</v>
      </c>
      <c r="L414" s="3" t="str">
        <f>VLOOKUP(J414,ConstDLCIds!$A$4:$C$1000,3,FALSE)</f>
        <v>Included in base game</v>
      </c>
    </row>
    <row r="415" spans="1:12" x14ac:dyDescent="0.25">
      <c r="A415">
        <v>746</v>
      </c>
      <c r="B415">
        <v>410</v>
      </c>
      <c r="C415">
        <v>381</v>
      </c>
      <c r="D415" t="s">
        <v>2533</v>
      </c>
      <c r="E415" t="str">
        <f>IF(NOT(ISERROR(VLOOKUP(D415,'ESO DungeonFinder'!$A$2:$A$999,1,FALSE))),"X","")</f>
        <v/>
      </c>
      <c r="F415" s="70" t="str">
        <f t="shared" si="24"/>
        <v/>
      </c>
      <c r="G415" s="70" t="str">
        <f t="shared" si="27"/>
        <v>Auridon</v>
      </c>
      <c r="H415" s="70">
        <f t="shared" si="25"/>
        <v>746</v>
      </c>
      <c r="I415" s="70">
        <f t="shared" si="26"/>
        <v>381</v>
      </c>
      <c r="J415">
        <v>0</v>
      </c>
      <c r="K415" s="3" t="str">
        <f>VLOOKUP(J415,ConstDLCIds!$A$4:$B$1000,2,FALSE)</f>
        <v>DLC_BASE_GAME</v>
      </c>
      <c r="L415" s="3" t="str">
        <f>VLOOKUP(J415,ConstDLCIds!$A$4:$C$1000,3,FALSE)</f>
        <v>Included in base game</v>
      </c>
    </row>
    <row r="416" spans="1:12" x14ac:dyDescent="0.25">
      <c r="A416">
        <v>747</v>
      </c>
      <c r="B416">
        <v>411</v>
      </c>
      <c r="C416">
        <v>383</v>
      </c>
      <c r="D416" t="s">
        <v>2534</v>
      </c>
      <c r="E416" t="str">
        <f>IF(NOT(ISERROR(VLOOKUP(D416,'ESO DungeonFinder'!$A$2:$A$999,1,FALSE))),"X","")</f>
        <v/>
      </c>
      <c r="F416" s="70" t="str">
        <f t="shared" si="24"/>
        <v/>
      </c>
      <c r="G416" s="70" t="str">
        <f t="shared" si="27"/>
        <v>Grahtwood</v>
      </c>
      <c r="H416" s="70">
        <f t="shared" si="25"/>
        <v>747</v>
      </c>
      <c r="I416" s="70">
        <f t="shared" si="26"/>
        <v>383</v>
      </c>
      <c r="J416">
        <v>0</v>
      </c>
      <c r="K416" s="3" t="str">
        <f>VLOOKUP(J416,ConstDLCIds!$A$4:$B$1000,2,FALSE)</f>
        <v>DLC_BASE_GAME</v>
      </c>
      <c r="L416" s="3" t="str">
        <f>VLOOKUP(J416,ConstDLCIds!$A$4:$C$1000,3,FALSE)</f>
        <v>Included in base game</v>
      </c>
    </row>
    <row r="417" spans="1:12" x14ac:dyDescent="0.25">
      <c r="A417">
        <v>748</v>
      </c>
      <c r="B417">
        <v>412</v>
      </c>
      <c r="C417">
        <v>108</v>
      </c>
      <c r="D417" t="s">
        <v>2535</v>
      </c>
      <c r="E417" t="str">
        <f>IF(NOT(ISERROR(VLOOKUP(D417,'ESO DungeonFinder'!$A$2:$A$999,1,FALSE))),"X","")</f>
        <v/>
      </c>
      <c r="F417" s="70" t="str">
        <f t="shared" si="24"/>
        <v/>
      </c>
      <c r="G417" s="70" t="str">
        <f t="shared" si="27"/>
        <v>Greenshade</v>
      </c>
      <c r="H417" s="70">
        <f t="shared" si="25"/>
        <v>748</v>
      </c>
      <c r="I417" s="70">
        <f t="shared" si="26"/>
        <v>108</v>
      </c>
      <c r="J417">
        <v>0</v>
      </c>
      <c r="K417" s="3" t="str">
        <f>VLOOKUP(J417,ConstDLCIds!$A$4:$B$1000,2,FALSE)</f>
        <v>DLC_BASE_GAME</v>
      </c>
      <c r="L417" s="3" t="str">
        <f>VLOOKUP(J417,ConstDLCIds!$A$4:$C$1000,3,FALSE)</f>
        <v>Included in base game</v>
      </c>
    </row>
    <row r="418" spans="1:12" x14ac:dyDescent="0.25">
      <c r="A418">
        <v>749</v>
      </c>
      <c r="B418">
        <v>413</v>
      </c>
      <c r="C418">
        <v>58</v>
      </c>
      <c r="D418" t="s">
        <v>2536</v>
      </c>
      <c r="E418" t="str">
        <f>IF(NOT(ISERROR(VLOOKUP(D418,'ESO DungeonFinder'!$A$2:$A$999,1,FALSE))),"X","")</f>
        <v/>
      </c>
      <c r="F418" s="70" t="str">
        <f t="shared" si="24"/>
        <v/>
      </c>
      <c r="G418" s="70" t="str">
        <f t="shared" si="27"/>
        <v>Malabal Tor</v>
      </c>
      <c r="H418" s="70">
        <f t="shared" si="25"/>
        <v>749</v>
      </c>
      <c r="I418" s="70">
        <f t="shared" si="26"/>
        <v>58</v>
      </c>
      <c r="J418">
        <v>0</v>
      </c>
      <c r="K418" s="3" t="str">
        <f>VLOOKUP(J418,ConstDLCIds!$A$4:$B$1000,2,FALSE)</f>
        <v>DLC_BASE_GAME</v>
      </c>
      <c r="L418" s="3" t="str">
        <f>VLOOKUP(J418,ConstDLCIds!$A$4:$C$1000,3,FALSE)</f>
        <v>Included in base game</v>
      </c>
    </row>
    <row r="419" spans="1:12" x14ac:dyDescent="0.25">
      <c r="A419">
        <v>750</v>
      </c>
      <c r="B419">
        <v>414</v>
      </c>
      <c r="C419">
        <v>382</v>
      </c>
      <c r="D419" t="s">
        <v>2537</v>
      </c>
      <c r="E419" t="str">
        <f>IF(NOT(ISERROR(VLOOKUP(D419,'ESO DungeonFinder'!$A$2:$A$999,1,FALSE))),"X","")</f>
        <v/>
      </c>
      <c r="F419" s="70" t="str">
        <f t="shared" si="24"/>
        <v/>
      </c>
      <c r="G419" s="70" t="str">
        <f t="shared" si="27"/>
        <v>Reaper's March</v>
      </c>
      <c r="H419" s="70">
        <f t="shared" si="25"/>
        <v>750</v>
      </c>
      <c r="I419" s="70">
        <f t="shared" si="26"/>
        <v>382</v>
      </c>
      <c r="J419">
        <v>0</v>
      </c>
      <c r="K419" s="3" t="str">
        <f>VLOOKUP(J419,ConstDLCIds!$A$4:$B$1000,2,FALSE)</f>
        <v>DLC_BASE_GAME</v>
      </c>
      <c r="L419" s="3" t="str">
        <f>VLOOKUP(J419,ConstDLCIds!$A$4:$C$1000,3,FALSE)</f>
        <v>Included in base game</v>
      </c>
    </row>
    <row r="420" spans="1:12" x14ac:dyDescent="0.25">
      <c r="A420">
        <v>751</v>
      </c>
      <c r="B420">
        <v>415</v>
      </c>
      <c r="C420">
        <v>888</v>
      </c>
      <c r="D420" t="s">
        <v>2538</v>
      </c>
      <c r="E420" t="str">
        <f>IF(NOT(ISERROR(VLOOKUP(D420,'ESO DungeonFinder'!$A$2:$A$999,1,FALSE))),"X","")</f>
        <v/>
      </c>
      <c r="F420" s="70" t="str">
        <f t="shared" si="24"/>
        <v/>
      </c>
      <c r="G420" s="70" t="str">
        <f t="shared" si="27"/>
        <v>Craglorn</v>
      </c>
      <c r="H420" s="70">
        <f t="shared" si="25"/>
        <v>751</v>
      </c>
      <c r="I420" s="70">
        <f t="shared" si="26"/>
        <v>888</v>
      </c>
      <c r="J420">
        <v>0</v>
      </c>
      <c r="K420" s="3" t="str">
        <f>VLOOKUP(J420,ConstDLCIds!$A$4:$B$1000,2,FALSE)</f>
        <v>DLC_BASE_GAME</v>
      </c>
      <c r="L420" s="3" t="str">
        <f>VLOOKUP(J420,ConstDLCIds!$A$4:$C$1000,3,FALSE)</f>
        <v>Included in base game</v>
      </c>
    </row>
    <row r="421" spans="1:12" x14ac:dyDescent="0.25">
      <c r="A421">
        <v>752</v>
      </c>
      <c r="B421">
        <v>416</v>
      </c>
      <c r="C421">
        <v>19</v>
      </c>
      <c r="D421" t="s">
        <v>2539</v>
      </c>
      <c r="E421" t="str">
        <f>IF(NOT(ISERROR(VLOOKUP(D421,'ESO DungeonFinder'!$A$2:$A$999,1,FALSE))),"X","")</f>
        <v/>
      </c>
      <c r="F421" s="70" t="str">
        <f t="shared" si="24"/>
        <v/>
      </c>
      <c r="G421" s="70" t="str">
        <f t="shared" si="27"/>
        <v>Stormhaven</v>
      </c>
      <c r="H421" s="70">
        <f t="shared" si="25"/>
        <v>752</v>
      </c>
      <c r="I421" s="70">
        <f t="shared" si="26"/>
        <v>19</v>
      </c>
      <c r="J421">
        <v>0</v>
      </c>
      <c r="K421" s="3" t="str">
        <f>VLOOKUP(J421,ConstDLCIds!$A$4:$B$1000,2,FALSE)</f>
        <v>DLC_BASE_GAME</v>
      </c>
      <c r="L421" s="3" t="str">
        <f>VLOOKUP(J421,ConstDLCIds!$A$4:$C$1000,3,FALSE)</f>
        <v>Included in base game</v>
      </c>
    </row>
    <row r="422" spans="1:12" x14ac:dyDescent="0.25">
      <c r="A422">
        <v>753</v>
      </c>
      <c r="B422">
        <v>417</v>
      </c>
      <c r="C422">
        <v>3</v>
      </c>
      <c r="D422" t="s">
        <v>2540</v>
      </c>
      <c r="E422" t="str">
        <f>IF(NOT(ISERROR(VLOOKUP(D422,'ESO DungeonFinder'!$A$2:$A$999,1,FALSE))),"X","")</f>
        <v/>
      </c>
      <c r="F422" s="70" t="str">
        <f t="shared" si="24"/>
        <v/>
      </c>
      <c r="G422" s="70" t="str">
        <f t="shared" si="27"/>
        <v>Glenumbra</v>
      </c>
      <c r="H422" s="70">
        <f t="shared" si="25"/>
        <v>753</v>
      </c>
      <c r="I422" s="70">
        <f t="shared" si="26"/>
        <v>3</v>
      </c>
      <c r="J422">
        <v>0</v>
      </c>
      <c r="K422" s="3" t="str">
        <f>VLOOKUP(J422,ConstDLCIds!$A$4:$B$1000,2,FALSE)</f>
        <v>DLC_BASE_GAME</v>
      </c>
      <c r="L422" s="3" t="str">
        <f>VLOOKUP(J422,ConstDLCIds!$A$4:$C$1000,3,FALSE)</f>
        <v>Included in base game</v>
      </c>
    </row>
    <row r="423" spans="1:12" x14ac:dyDescent="0.25">
      <c r="A423">
        <v>754</v>
      </c>
      <c r="B423">
        <v>418</v>
      </c>
      <c r="C423">
        <v>92</v>
      </c>
      <c r="D423" t="s">
        <v>2541</v>
      </c>
      <c r="E423" t="str">
        <f>IF(NOT(ISERROR(VLOOKUP(D423,'ESO DungeonFinder'!$A$2:$A$999,1,FALSE))),"X","")</f>
        <v/>
      </c>
      <c r="F423" s="70" t="str">
        <f t="shared" si="24"/>
        <v/>
      </c>
      <c r="G423" s="70" t="str">
        <f t="shared" si="27"/>
        <v>Bangkorai</v>
      </c>
      <c r="H423" s="70">
        <f t="shared" si="25"/>
        <v>754</v>
      </c>
      <c r="I423" s="70">
        <f t="shared" si="26"/>
        <v>92</v>
      </c>
      <c r="J423">
        <v>0</v>
      </c>
      <c r="K423" s="3" t="str">
        <f>VLOOKUP(J423,ConstDLCIds!$A$4:$B$1000,2,FALSE)</f>
        <v>DLC_BASE_GAME</v>
      </c>
      <c r="L423" s="3" t="str">
        <f>VLOOKUP(J423,ConstDLCIds!$A$4:$C$1000,3,FALSE)</f>
        <v>Included in base game</v>
      </c>
    </row>
    <row r="424" spans="1:12" x14ac:dyDescent="0.25">
      <c r="A424">
        <v>755</v>
      </c>
      <c r="B424">
        <v>419</v>
      </c>
      <c r="C424">
        <v>20</v>
      </c>
      <c r="D424" t="s">
        <v>2542</v>
      </c>
      <c r="E424" t="str">
        <f>IF(NOT(ISERROR(VLOOKUP(D424,'ESO DungeonFinder'!$A$2:$A$999,1,FALSE))),"X","")</f>
        <v/>
      </c>
      <c r="F424" s="70" t="str">
        <f t="shared" si="24"/>
        <v/>
      </c>
      <c r="G424" s="70" t="str">
        <f t="shared" si="27"/>
        <v>Rivenspire</v>
      </c>
      <c r="H424" s="70">
        <f t="shared" si="25"/>
        <v>755</v>
      </c>
      <c r="I424" s="70">
        <f t="shared" si="26"/>
        <v>20</v>
      </c>
      <c r="J424">
        <v>0</v>
      </c>
      <c r="K424" s="3" t="str">
        <f>VLOOKUP(J424,ConstDLCIds!$A$4:$B$1000,2,FALSE)</f>
        <v>DLC_BASE_GAME</v>
      </c>
      <c r="L424" s="3" t="str">
        <f>VLOOKUP(J424,ConstDLCIds!$A$4:$C$1000,3,FALSE)</f>
        <v>Included in base game</v>
      </c>
    </row>
    <row r="425" spans="1:12" x14ac:dyDescent="0.25">
      <c r="A425">
        <v>756</v>
      </c>
      <c r="B425">
        <v>420</v>
      </c>
      <c r="C425">
        <v>104</v>
      </c>
      <c r="D425" t="s">
        <v>2543</v>
      </c>
      <c r="E425" t="str">
        <f>IF(NOT(ISERROR(VLOOKUP(D425,'ESO DungeonFinder'!$A$2:$A$999,1,FALSE))),"X","")</f>
        <v/>
      </c>
      <c r="F425" s="70" t="str">
        <f t="shared" si="24"/>
        <v/>
      </c>
      <c r="G425" s="70" t="str">
        <f t="shared" si="27"/>
        <v>Alik'r Desert</v>
      </c>
      <c r="H425" s="70">
        <f t="shared" si="25"/>
        <v>756</v>
      </c>
      <c r="I425" s="70">
        <f t="shared" si="26"/>
        <v>104</v>
      </c>
      <c r="J425">
        <v>0</v>
      </c>
      <c r="K425" s="3" t="str">
        <f>VLOOKUP(J425,ConstDLCIds!$A$4:$B$1000,2,FALSE)</f>
        <v>DLC_BASE_GAME</v>
      </c>
      <c r="L425" s="3" t="str">
        <f>VLOOKUP(J425,ConstDLCIds!$A$4:$C$1000,3,FALSE)</f>
        <v>Included in base game</v>
      </c>
    </row>
    <row r="426" spans="1:12" x14ac:dyDescent="0.25">
      <c r="A426">
        <v>757</v>
      </c>
      <c r="B426">
        <v>421</v>
      </c>
      <c r="C426">
        <v>41</v>
      </c>
      <c r="D426" t="s">
        <v>2544</v>
      </c>
      <c r="E426" t="str">
        <f>IF(NOT(ISERROR(VLOOKUP(D426,'ESO DungeonFinder'!$A$2:$A$999,1,FALSE))),"X","")</f>
        <v/>
      </c>
      <c r="F426" s="70" t="str">
        <f t="shared" si="24"/>
        <v/>
      </c>
      <c r="G426" s="70" t="str">
        <f t="shared" si="27"/>
        <v>Stonefalls</v>
      </c>
      <c r="H426" s="70">
        <f t="shared" si="25"/>
        <v>757</v>
      </c>
      <c r="I426" s="70">
        <f t="shared" si="26"/>
        <v>41</v>
      </c>
      <c r="J426">
        <v>0</v>
      </c>
      <c r="K426" s="3" t="str">
        <f>VLOOKUP(J426,ConstDLCIds!$A$4:$B$1000,2,FALSE)</f>
        <v>DLC_BASE_GAME</v>
      </c>
      <c r="L426" s="3" t="str">
        <f>VLOOKUP(J426,ConstDLCIds!$A$4:$C$1000,3,FALSE)</f>
        <v>Included in base game</v>
      </c>
    </row>
    <row r="427" spans="1:12" x14ac:dyDescent="0.25">
      <c r="A427">
        <v>758</v>
      </c>
      <c r="B427">
        <v>422</v>
      </c>
      <c r="C427">
        <v>101</v>
      </c>
      <c r="D427" t="s">
        <v>2545</v>
      </c>
      <c r="E427" t="str">
        <f>IF(NOT(ISERROR(VLOOKUP(D427,'ESO DungeonFinder'!$A$2:$A$999,1,FALSE))),"X","")</f>
        <v/>
      </c>
      <c r="F427" s="70" t="str">
        <f t="shared" si="24"/>
        <v/>
      </c>
      <c r="G427" s="70" t="str">
        <f t="shared" si="27"/>
        <v>Eastmarch</v>
      </c>
      <c r="H427" s="70">
        <f t="shared" si="25"/>
        <v>758</v>
      </c>
      <c r="I427" s="70">
        <f t="shared" si="26"/>
        <v>101</v>
      </c>
      <c r="J427">
        <v>0</v>
      </c>
      <c r="K427" s="3" t="str">
        <f>VLOOKUP(J427,ConstDLCIds!$A$4:$B$1000,2,FALSE)</f>
        <v>DLC_BASE_GAME</v>
      </c>
      <c r="L427" s="3" t="str">
        <f>VLOOKUP(J427,ConstDLCIds!$A$4:$C$1000,3,FALSE)</f>
        <v>Included in base game</v>
      </c>
    </row>
    <row r="428" spans="1:12" x14ac:dyDescent="0.25">
      <c r="A428">
        <v>759</v>
      </c>
      <c r="B428">
        <v>423</v>
      </c>
      <c r="C428">
        <v>117</v>
      </c>
      <c r="D428" t="s">
        <v>2546</v>
      </c>
      <c r="E428" t="str">
        <f>IF(NOT(ISERROR(VLOOKUP(D428,'ESO DungeonFinder'!$A$2:$A$999,1,FALSE))),"X","")</f>
        <v/>
      </c>
      <c r="F428" s="70" t="str">
        <f t="shared" si="24"/>
        <v/>
      </c>
      <c r="G428" s="70" t="str">
        <f t="shared" si="27"/>
        <v>Shadowfen</v>
      </c>
      <c r="H428" s="70">
        <f t="shared" si="25"/>
        <v>759</v>
      </c>
      <c r="I428" s="70">
        <f t="shared" si="26"/>
        <v>117</v>
      </c>
      <c r="J428">
        <v>0</v>
      </c>
      <c r="K428" s="3" t="str">
        <f>VLOOKUP(J428,ConstDLCIds!$A$4:$B$1000,2,FALSE)</f>
        <v>DLC_BASE_GAME</v>
      </c>
      <c r="L428" s="3" t="str">
        <f>VLOOKUP(J428,ConstDLCIds!$A$4:$C$1000,3,FALSE)</f>
        <v>Included in base game</v>
      </c>
    </row>
    <row r="429" spans="1:12" x14ac:dyDescent="0.25">
      <c r="A429">
        <v>760</v>
      </c>
      <c r="B429">
        <v>424</v>
      </c>
      <c r="C429">
        <v>57</v>
      </c>
      <c r="D429" t="s">
        <v>2547</v>
      </c>
      <c r="E429" t="str">
        <f>IF(NOT(ISERROR(VLOOKUP(D429,'ESO DungeonFinder'!$A$2:$A$999,1,FALSE))),"X","")</f>
        <v/>
      </c>
      <c r="F429" s="70" t="str">
        <f t="shared" si="24"/>
        <v/>
      </c>
      <c r="G429" s="70" t="str">
        <f t="shared" si="27"/>
        <v>Deshaan</v>
      </c>
      <c r="H429" s="70">
        <f t="shared" si="25"/>
        <v>760</v>
      </c>
      <c r="I429" s="70">
        <f t="shared" si="26"/>
        <v>57</v>
      </c>
      <c r="J429">
        <v>0</v>
      </c>
      <c r="K429" s="3" t="str">
        <f>VLOOKUP(J429,ConstDLCIds!$A$4:$B$1000,2,FALSE)</f>
        <v>DLC_BASE_GAME</v>
      </c>
      <c r="L429" s="3" t="str">
        <f>VLOOKUP(J429,ConstDLCIds!$A$4:$C$1000,3,FALSE)</f>
        <v>Included in base game</v>
      </c>
    </row>
    <row r="430" spans="1:12" x14ac:dyDescent="0.25">
      <c r="A430">
        <v>761</v>
      </c>
      <c r="B430">
        <v>425</v>
      </c>
      <c r="C430">
        <v>103</v>
      </c>
      <c r="D430" t="s">
        <v>2548</v>
      </c>
      <c r="E430" t="str">
        <f>IF(NOT(ISERROR(VLOOKUP(D430,'ESO DungeonFinder'!$A$2:$A$999,1,FALSE))),"X","")</f>
        <v/>
      </c>
      <c r="F430" s="70" t="str">
        <f t="shared" si="24"/>
        <v/>
      </c>
      <c r="G430" s="70" t="str">
        <f t="shared" si="27"/>
        <v>The Rift</v>
      </c>
      <c r="H430" s="70">
        <f t="shared" si="25"/>
        <v>761</v>
      </c>
      <c r="I430" s="70">
        <f t="shared" si="26"/>
        <v>103</v>
      </c>
      <c r="J430">
        <v>0</v>
      </c>
      <c r="K430" s="3" t="str">
        <f>VLOOKUP(J430,ConstDLCIds!$A$4:$B$1000,2,FALSE)</f>
        <v>DLC_BASE_GAME</v>
      </c>
      <c r="L430" s="3" t="str">
        <f>VLOOKUP(J430,ConstDLCIds!$A$4:$C$1000,3,FALSE)</f>
        <v>Included in base game</v>
      </c>
    </row>
    <row r="431" spans="1:12" x14ac:dyDescent="0.25">
      <c r="A431">
        <v>763</v>
      </c>
      <c r="B431">
        <v>426</v>
      </c>
      <c r="C431">
        <v>816</v>
      </c>
      <c r="D431" t="s">
        <v>2549</v>
      </c>
      <c r="E431" t="str">
        <f>IF(NOT(ISERROR(VLOOKUP(D431,'ESO DungeonFinder'!$A$2:$A$999,1,FALSE))),"X","")</f>
        <v/>
      </c>
      <c r="F431" s="70" t="str">
        <f t="shared" si="24"/>
        <v/>
      </c>
      <c r="G431" s="70" t="str">
        <f t="shared" si="27"/>
        <v>Hew's Bane</v>
      </c>
      <c r="H431" s="70">
        <f t="shared" si="25"/>
        <v>763</v>
      </c>
      <c r="I431" s="70">
        <f t="shared" si="26"/>
        <v>816</v>
      </c>
      <c r="J431">
        <v>3</v>
      </c>
      <c r="K431" s="3" t="str">
        <f ca="1">VLOOKUP(J431,ConstDLCIds!$A$4:$B$1000,2,FALSE)</f>
        <v>DLC_THIEVES_GUILD</v>
      </c>
      <c r="L431" s="3" t="str">
        <f ca="1">VLOOKUP(J431,ConstDLCIds!$A$4:$C$1000,3,FALSE)</f>
        <v>Thieves Guild</v>
      </c>
    </row>
    <row r="432" spans="1:12" x14ac:dyDescent="0.25">
      <c r="A432">
        <v>764</v>
      </c>
      <c r="B432">
        <v>427</v>
      </c>
      <c r="C432">
        <v>816</v>
      </c>
      <c r="D432" t="s">
        <v>2550</v>
      </c>
      <c r="E432" t="str">
        <f>IF(NOT(ISERROR(VLOOKUP(D432,'ESO DungeonFinder'!$A$2:$A$999,1,FALSE))),"X","")</f>
        <v/>
      </c>
      <c r="F432" s="70" t="str">
        <f t="shared" si="24"/>
        <v/>
      </c>
      <c r="G432" s="70" t="str">
        <f t="shared" si="27"/>
        <v>Hew's Bane</v>
      </c>
      <c r="H432" s="70">
        <f t="shared" si="25"/>
        <v>764</v>
      </c>
      <c r="I432" s="70">
        <f t="shared" si="26"/>
        <v>816</v>
      </c>
      <c r="J432">
        <v>3</v>
      </c>
      <c r="K432" s="3" t="str">
        <f ca="1">VLOOKUP(J432,ConstDLCIds!$A$4:$B$1000,2,FALSE)</f>
        <v>DLC_THIEVES_GUILD</v>
      </c>
      <c r="L432" s="3" t="str">
        <f ca="1">VLOOKUP(J432,ConstDLCIds!$A$4:$C$1000,3,FALSE)</f>
        <v>Thieves Guild</v>
      </c>
    </row>
    <row r="433" spans="1:12" x14ac:dyDescent="0.25">
      <c r="A433">
        <v>765</v>
      </c>
      <c r="B433">
        <v>428</v>
      </c>
      <c r="C433">
        <v>823</v>
      </c>
      <c r="D433" t="s">
        <v>2551</v>
      </c>
      <c r="E433" t="str">
        <f>IF(NOT(ISERROR(VLOOKUP(D433,'ESO DungeonFinder'!$A$2:$A$999,1,FALSE))),"X","")</f>
        <v/>
      </c>
      <c r="F433" s="70" t="str">
        <f t="shared" si="24"/>
        <v/>
      </c>
      <c r="G433" s="70" t="str">
        <f t="shared" si="27"/>
        <v>Gold Coast</v>
      </c>
      <c r="H433" s="70">
        <f t="shared" si="25"/>
        <v>765</v>
      </c>
      <c r="I433" s="70">
        <f t="shared" si="26"/>
        <v>823</v>
      </c>
      <c r="J433">
        <v>4</v>
      </c>
      <c r="K433" s="3" t="str">
        <f ca="1">VLOOKUP(J433,ConstDLCIds!$A$4:$B$1000,2,FALSE)</f>
        <v>DLC_DARK_BROTHERHOOD</v>
      </c>
      <c r="L433" s="3" t="str">
        <f ca="1">VLOOKUP(J433,ConstDLCIds!$A$4:$C$1000,3,FALSE)</f>
        <v>Dark Brotherhood</v>
      </c>
    </row>
    <row r="434" spans="1:12" x14ac:dyDescent="0.25">
      <c r="A434">
        <v>766</v>
      </c>
      <c r="B434">
        <v>429</v>
      </c>
      <c r="C434">
        <v>823</v>
      </c>
      <c r="D434" t="s">
        <v>2552</v>
      </c>
      <c r="E434" t="str">
        <f>IF(NOT(ISERROR(VLOOKUP(D434,'ESO DungeonFinder'!$A$2:$A$999,1,FALSE))),"X","")</f>
        <v/>
      </c>
      <c r="F434" s="70" t="str">
        <f t="shared" si="24"/>
        <v/>
      </c>
      <c r="G434" s="70" t="str">
        <f t="shared" si="27"/>
        <v>Gold Coast</v>
      </c>
      <c r="H434" s="70">
        <f t="shared" si="25"/>
        <v>766</v>
      </c>
      <c r="I434" s="70">
        <f t="shared" si="26"/>
        <v>823</v>
      </c>
      <c r="J434">
        <v>4</v>
      </c>
      <c r="K434" s="3" t="str">
        <f ca="1">VLOOKUP(J434,ConstDLCIds!$A$4:$B$1000,2,FALSE)</f>
        <v>DLC_DARK_BROTHERHOOD</v>
      </c>
      <c r="L434" s="3" t="str">
        <f ca="1">VLOOKUP(J434,ConstDLCIds!$A$4:$C$1000,3,FALSE)</f>
        <v>Dark Brotherhood</v>
      </c>
    </row>
    <row r="435" spans="1:12" x14ac:dyDescent="0.25">
      <c r="A435">
        <v>767</v>
      </c>
      <c r="B435">
        <v>430</v>
      </c>
      <c r="C435">
        <v>816</v>
      </c>
      <c r="D435" t="s">
        <v>2553</v>
      </c>
      <c r="E435" t="str">
        <f>IF(NOT(ISERROR(VLOOKUP(D435,'ESO DungeonFinder'!$A$2:$A$999,1,FALSE))),"X","")</f>
        <v/>
      </c>
      <c r="F435" s="70" t="str">
        <f t="shared" si="24"/>
        <v/>
      </c>
      <c r="G435" s="70" t="str">
        <f t="shared" si="27"/>
        <v>Hew's Bane</v>
      </c>
      <c r="H435" s="70">
        <f t="shared" si="25"/>
        <v>767</v>
      </c>
      <c r="I435" s="70">
        <f t="shared" si="26"/>
        <v>816</v>
      </c>
      <c r="J435">
        <v>3</v>
      </c>
      <c r="K435" s="3" t="str">
        <f ca="1">VLOOKUP(J435,ConstDLCIds!$A$4:$B$1000,2,FALSE)</f>
        <v>DLC_THIEVES_GUILD</v>
      </c>
      <c r="L435" s="3" t="str">
        <f ca="1">VLOOKUP(J435,ConstDLCIds!$A$4:$C$1000,3,FALSE)</f>
        <v>Thieves Guild</v>
      </c>
    </row>
    <row r="436" spans="1:12" x14ac:dyDescent="0.25">
      <c r="A436">
        <v>769</v>
      </c>
      <c r="B436">
        <v>431</v>
      </c>
      <c r="C436">
        <v>823</v>
      </c>
      <c r="D436" t="s">
        <v>2554</v>
      </c>
      <c r="E436" t="str">
        <f>IF(NOT(ISERROR(VLOOKUP(D436,'ESO DungeonFinder'!$A$2:$A$999,1,FALSE))),"X","")</f>
        <v/>
      </c>
      <c r="F436" s="70" t="str">
        <f t="shared" si="24"/>
        <v/>
      </c>
      <c r="G436" s="70" t="str">
        <f t="shared" si="27"/>
        <v>Gold Coast</v>
      </c>
      <c r="H436" s="70">
        <f t="shared" si="25"/>
        <v>769</v>
      </c>
      <c r="I436" s="70">
        <f t="shared" si="26"/>
        <v>823</v>
      </c>
      <c r="J436">
        <v>4</v>
      </c>
      <c r="K436" s="3" t="str">
        <f ca="1">VLOOKUP(J436,ConstDLCIds!$A$4:$B$1000,2,FALSE)</f>
        <v>DLC_DARK_BROTHERHOOD</v>
      </c>
      <c r="L436" s="3" t="str">
        <f ca="1">VLOOKUP(J436,ConstDLCIds!$A$4:$C$1000,3,FALSE)</f>
        <v>Dark Brotherhood</v>
      </c>
    </row>
    <row r="437" spans="1:12" x14ac:dyDescent="0.25">
      <c r="A437">
        <v>770</v>
      </c>
      <c r="B437">
        <v>432</v>
      </c>
      <c r="C437">
        <v>816</v>
      </c>
      <c r="D437" t="s">
        <v>2555</v>
      </c>
      <c r="E437" t="str">
        <f>IF(NOT(ISERROR(VLOOKUP(D437,'ESO DungeonFinder'!$A$2:$A$999,1,FALSE))),"X","")</f>
        <v/>
      </c>
      <c r="F437" s="70" t="str">
        <f t="shared" si="24"/>
        <v/>
      </c>
      <c r="G437" s="70" t="str">
        <f t="shared" si="27"/>
        <v>Hew's Bane</v>
      </c>
      <c r="H437" s="70">
        <f t="shared" si="25"/>
        <v>770</v>
      </c>
      <c r="I437" s="70">
        <f t="shared" si="26"/>
        <v>816</v>
      </c>
      <c r="J437">
        <v>3</v>
      </c>
      <c r="K437" s="3" t="str">
        <f ca="1">VLOOKUP(J437,ConstDLCIds!$A$4:$B$1000,2,FALSE)</f>
        <v>DLC_THIEVES_GUILD</v>
      </c>
      <c r="L437" s="3" t="str">
        <f ca="1">VLOOKUP(J437,ConstDLCIds!$A$4:$C$1000,3,FALSE)</f>
        <v>Thieves Guild</v>
      </c>
    </row>
    <row r="438" spans="1:12" x14ac:dyDescent="0.25">
      <c r="A438">
        <v>771</v>
      </c>
      <c r="B438">
        <v>433</v>
      </c>
      <c r="C438">
        <v>816</v>
      </c>
      <c r="D438" t="s">
        <v>2556</v>
      </c>
      <c r="E438" t="str">
        <f>IF(NOT(ISERROR(VLOOKUP(D438,'ESO DungeonFinder'!$A$2:$A$999,1,FALSE))),"X","")</f>
        <v/>
      </c>
      <c r="F438" s="70" t="str">
        <f t="shared" si="24"/>
        <v/>
      </c>
      <c r="G438" s="70" t="str">
        <f t="shared" si="27"/>
        <v>Hew's Bane</v>
      </c>
      <c r="H438" s="70">
        <f t="shared" si="25"/>
        <v>771</v>
      </c>
      <c r="I438" s="70">
        <f t="shared" si="26"/>
        <v>816</v>
      </c>
      <c r="J438">
        <v>3</v>
      </c>
      <c r="K438" s="3" t="str">
        <f ca="1">VLOOKUP(J438,ConstDLCIds!$A$4:$B$1000,2,FALSE)</f>
        <v>DLC_THIEVES_GUILD</v>
      </c>
      <c r="L438" s="3" t="str">
        <f ca="1">VLOOKUP(J438,ConstDLCIds!$A$4:$C$1000,3,FALSE)</f>
        <v>Thieves Guild</v>
      </c>
    </row>
    <row r="439" spans="1:12" x14ac:dyDescent="0.25">
      <c r="A439">
        <v>773</v>
      </c>
      <c r="B439">
        <v>434</v>
      </c>
      <c r="C439">
        <v>117</v>
      </c>
      <c r="D439" t="s">
        <v>2557</v>
      </c>
      <c r="E439" t="str">
        <f>IF(NOT(ISERROR(VLOOKUP(D439,'ESO DungeonFinder'!$A$2:$A$999,1,FALSE))),"X","")</f>
        <v/>
      </c>
      <c r="F439" s="70" t="str">
        <f t="shared" si="24"/>
        <v/>
      </c>
      <c r="G439" s="70" t="str">
        <f t="shared" si="27"/>
        <v>Shadowfen</v>
      </c>
      <c r="H439" s="70">
        <f t="shared" si="25"/>
        <v>773</v>
      </c>
      <c r="I439" s="70">
        <f t="shared" si="26"/>
        <v>117</v>
      </c>
      <c r="J439">
        <v>0</v>
      </c>
      <c r="K439" s="3" t="str">
        <f>VLOOKUP(J439,ConstDLCIds!$A$4:$B$1000,2,FALSE)</f>
        <v>DLC_BASE_GAME</v>
      </c>
      <c r="L439" s="3" t="str">
        <f>VLOOKUP(J439,ConstDLCIds!$A$4:$C$1000,3,FALSE)</f>
        <v>Included in base game</v>
      </c>
    </row>
    <row r="440" spans="1:12" x14ac:dyDescent="0.25">
      <c r="A440">
        <v>774</v>
      </c>
      <c r="B440">
        <v>435</v>
      </c>
      <c r="C440">
        <v>1086</v>
      </c>
      <c r="D440" t="s">
        <v>2558</v>
      </c>
      <c r="E440" t="str">
        <f>IF(NOT(ISERROR(VLOOKUP(D440,'ESO DungeonFinder'!$A$2:$A$999,1,FALSE))),"X","")</f>
        <v/>
      </c>
      <c r="F440" s="70" t="str">
        <f t="shared" si="24"/>
        <v/>
      </c>
      <c r="G440" s="70" t="str">
        <f t="shared" si="27"/>
        <v>Northern Elsweyr</v>
      </c>
      <c r="H440" s="70">
        <f t="shared" si="25"/>
        <v>774</v>
      </c>
      <c r="I440" s="70">
        <f t="shared" si="26"/>
        <v>1086</v>
      </c>
      <c r="J440">
        <v>14</v>
      </c>
      <c r="K440" s="3" t="str">
        <f ca="1">VLOOKUP(J440,ConstDLCIds!$A$4:$B$1000,2,FALSE)</f>
        <v>DLC_ELSWEYR</v>
      </c>
      <c r="L440" s="3" t="str">
        <f ca="1">VLOOKUP(J440,ConstDLCIds!$A$4:$C$1000,3,FALSE)</f>
        <v>Elsweyr</v>
      </c>
    </row>
    <row r="441" spans="1:12" x14ac:dyDescent="0.25">
      <c r="A441">
        <v>780</v>
      </c>
      <c r="B441">
        <v>436</v>
      </c>
      <c r="C441">
        <v>684</v>
      </c>
      <c r="D441" t="s">
        <v>2559</v>
      </c>
      <c r="E441" t="str">
        <f>IF(NOT(ISERROR(VLOOKUP(D441,'ESO DungeonFinder'!$A$2:$A$999,1,FALSE))),"X","")</f>
        <v/>
      </c>
      <c r="F441" s="70" t="str">
        <f t="shared" si="24"/>
        <v/>
      </c>
      <c r="G441" s="70" t="str">
        <f t="shared" si="27"/>
        <v>Wrothgar</v>
      </c>
      <c r="H441" s="70">
        <f t="shared" si="25"/>
        <v>780</v>
      </c>
      <c r="I441" s="70">
        <f t="shared" si="26"/>
        <v>684</v>
      </c>
      <c r="J441">
        <v>2</v>
      </c>
      <c r="K441" s="3" t="str">
        <f ca="1">VLOOKUP(J441,ConstDLCIds!$A$4:$B$1000,2,FALSE)</f>
        <v>DLC_ORSINIUM</v>
      </c>
      <c r="L441" s="3" t="str">
        <f ca="1">VLOOKUP(J441,ConstDLCIds!$A$4:$C$1000,3,FALSE)</f>
        <v>Orsinium</v>
      </c>
    </row>
    <row r="442" spans="1:12" x14ac:dyDescent="0.25">
      <c r="A442">
        <v>808</v>
      </c>
      <c r="B442">
        <v>437</v>
      </c>
      <c r="C442">
        <v>1160</v>
      </c>
      <c r="D442" t="s">
        <v>2560</v>
      </c>
      <c r="E442" t="str">
        <f>IF(NOT(ISERROR(VLOOKUP(D442,'ESO DungeonFinder'!$A$2:$A$999,1,FALSE))),"X","")</f>
        <v/>
      </c>
      <c r="F442" s="70" t="str">
        <f t="shared" si="24"/>
        <v/>
      </c>
      <c r="G442" s="70" t="str">
        <f t="shared" si="27"/>
        <v>Western Skyrim</v>
      </c>
      <c r="H442" s="70">
        <f t="shared" si="25"/>
        <v>808</v>
      </c>
      <c r="I442" s="70">
        <f t="shared" si="26"/>
        <v>1160</v>
      </c>
      <c r="J442">
        <v>18</v>
      </c>
      <c r="K442" s="3" t="str">
        <f ca="1">VLOOKUP(J442,ConstDLCIds!$A$4:$B$1000,2,FALSE)</f>
        <v>DLC_GREYMOOR</v>
      </c>
      <c r="L442" s="3" t="str">
        <f ca="1">VLOOKUP(J442,ConstDLCIds!$A$4:$C$1000,3,FALSE)</f>
        <v>Greymoor</v>
      </c>
    </row>
    <row r="443" spans="1:12" x14ac:dyDescent="0.25">
      <c r="A443">
        <v>809</v>
      </c>
      <c r="B443">
        <v>438</v>
      </c>
      <c r="C443">
        <v>0</v>
      </c>
      <c r="D443" t="s">
        <v>2491</v>
      </c>
      <c r="E443" t="str">
        <f>IF(NOT(ISERROR(VLOOKUP(D443,'ESO DungeonFinder'!$A$2:$A$999,1,FALSE))),"X","")</f>
        <v/>
      </c>
      <c r="F443" s="70" t="str">
        <f t="shared" si="24"/>
        <v/>
      </c>
      <c r="G443" s="70" t="str">
        <f t="shared" si="27"/>
        <v>Tamriel Map</v>
      </c>
      <c r="H443" s="70">
        <f t="shared" si="25"/>
        <v>809</v>
      </c>
      <c r="I443" s="70">
        <f t="shared" si="26"/>
        <v>0</v>
      </c>
      <c r="J443">
        <v>0</v>
      </c>
      <c r="K443" s="3" t="str">
        <f>VLOOKUP(J443,ConstDLCIds!$A$4:$B$1000,2,FALSE)</f>
        <v>DLC_BASE_GAME</v>
      </c>
      <c r="L443" s="3" t="str">
        <f>VLOOKUP(J443,ConstDLCIds!$A$4:$C$1000,3,FALSE)</f>
        <v>Included in base game</v>
      </c>
    </row>
    <row r="444" spans="1:12" x14ac:dyDescent="0.25">
      <c r="A444">
        <v>810</v>
      </c>
      <c r="B444">
        <v>439</v>
      </c>
      <c r="C444">
        <v>381</v>
      </c>
      <c r="D444" t="s">
        <v>2561</v>
      </c>
      <c r="E444" t="str">
        <f>IF(NOT(ISERROR(VLOOKUP(D444,'ESO DungeonFinder'!$A$2:$A$999,1,FALSE))),"X","")</f>
        <v/>
      </c>
      <c r="F444" s="70" t="str">
        <f t="shared" si="24"/>
        <v/>
      </c>
      <c r="G444" s="70" t="str">
        <f t="shared" si="27"/>
        <v>Auridon</v>
      </c>
      <c r="H444" s="70">
        <f t="shared" si="25"/>
        <v>810</v>
      </c>
      <c r="I444" s="70">
        <f t="shared" si="26"/>
        <v>381</v>
      </c>
      <c r="J444">
        <v>0</v>
      </c>
      <c r="K444" s="3" t="str">
        <f>VLOOKUP(J444,ConstDLCIds!$A$4:$B$1000,2,FALSE)</f>
        <v>DLC_BASE_GAME</v>
      </c>
      <c r="L444" s="3" t="str">
        <f>VLOOKUP(J444,ConstDLCIds!$A$4:$C$1000,3,FALSE)</f>
        <v>Included in base game</v>
      </c>
    </row>
    <row r="445" spans="1:12" x14ac:dyDescent="0.25">
      <c r="A445">
        <v>811</v>
      </c>
      <c r="B445">
        <v>440</v>
      </c>
      <c r="C445">
        <v>535</v>
      </c>
      <c r="D445" t="s">
        <v>2562</v>
      </c>
      <c r="E445" t="str">
        <f>IF(NOT(ISERROR(VLOOKUP(D445,'ESO DungeonFinder'!$A$2:$A$999,1,FALSE))),"X","")</f>
        <v/>
      </c>
      <c r="F445" s="70" t="str">
        <f t="shared" si="24"/>
        <v/>
      </c>
      <c r="G445" s="70" t="str">
        <f t="shared" si="27"/>
        <v>Betnikh</v>
      </c>
      <c r="H445" s="70">
        <f t="shared" si="25"/>
        <v>811</v>
      </c>
      <c r="I445" s="70">
        <f t="shared" si="26"/>
        <v>535</v>
      </c>
      <c r="J445">
        <v>0</v>
      </c>
      <c r="K445" s="3" t="str">
        <f>VLOOKUP(J445,ConstDLCIds!$A$4:$B$1000,2,FALSE)</f>
        <v>DLC_BASE_GAME</v>
      </c>
      <c r="L445" s="3" t="str">
        <f>VLOOKUP(J445,ConstDLCIds!$A$4:$C$1000,3,FALSE)</f>
        <v>Included in base game</v>
      </c>
    </row>
    <row r="446" spans="1:12" x14ac:dyDescent="0.25">
      <c r="A446">
        <v>814</v>
      </c>
      <c r="B446">
        <v>441</v>
      </c>
      <c r="C446">
        <v>684</v>
      </c>
      <c r="D446" t="s">
        <v>2563</v>
      </c>
      <c r="E446" t="str">
        <f>IF(NOT(ISERROR(VLOOKUP(D446,'ESO DungeonFinder'!$A$2:$A$999,1,FALSE))),"X","")</f>
        <v/>
      </c>
      <c r="F446" s="70" t="str">
        <f t="shared" si="24"/>
        <v/>
      </c>
      <c r="G446" s="70" t="str">
        <f t="shared" si="27"/>
        <v>Wrothgar</v>
      </c>
      <c r="H446" s="70">
        <f t="shared" si="25"/>
        <v>814</v>
      </c>
      <c r="I446" s="70">
        <f t="shared" si="26"/>
        <v>684</v>
      </c>
      <c r="J446">
        <v>2</v>
      </c>
      <c r="K446" s="3" t="str">
        <f ca="1">VLOOKUP(J446,ConstDLCIds!$A$4:$B$1000,2,FALSE)</f>
        <v>DLC_ORSINIUM</v>
      </c>
      <c r="L446" s="3" t="str">
        <f ca="1">VLOOKUP(J446,ConstDLCIds!$A$4:$C$1000,3,FALSE)</f>
        <v>Orsinium</v>
      </c>
    </row>
    <row r="447" spans="1:12" x14ac:dyDescent="0.25">
      <c r="A447">
        <v>815</v>
      </c>
      <c r="B447">
        <v>442</v>
      </c>
      <c r="C447">
        <v>684</v>
      </c>
      <c r="D447" t="s">
        <v>2564</v>
      </c>
      <c r="E447" t="str">
        <f>IF(NOT(ISERROR(VLOOKUP(D447,'ESO DungeonFinder'!$A$2:$A$999,1,FALSE))),"X","")</f>
        <v/>
      </c>
      <c r="F447" s="70" t="str">
        <f t="shared" si="24"/>
        <v/>
      </c>
      <c r="G447" s="70" t="str">
        <f t="shared" si="27"/>
        <v>Wrothgar</v>
      </c>
      <c r="H447" s="70">
        <f t="shared" si="25"/>
        <v>815</v>
      </c>
      <c r="I447" s="70">
        <f t="shared" si="26"/>
        <v>684</v>
      </c>
      <c r="J447">
        <v>2</v>
      </c>
      <c r="K447" s="3" t="str">
        <f ca="1">VLOOKUP(J447,ConstDLCIds!$A$4:$B$1000,2,FALSE)</f>
        <v>DLC_ORSINIUM</v>
      </c>
      <c r="L447" s="3" t="str">
        <f ca="1">VLOOKUP(J447,ConstDLCIds!$A$4:$C$1000,3,FALSE)</f>
        <v>Orsinium</v>
      </c>
    </row>
    <row r="448" spans="1:12" x14ac:dyDescent="0.25">
      <c r="A448">
        <v>816</v>
      </c>
      <c r="B448">
        <v>443</v>
      </c>
      <c r="C448">
        <v>816</v>
      </c>
      <c r="D448" t="s">
        <v>841</v>
      </c>
      <c r="E448" t="str">
        <f>IF(NOT(ISERROR(VLOOKUP(D448,'ESO DungeonFinder'!$A$2:$A$999,1,FALSE))),"X","")</f>
        <v/>
      </c>
      <c r="F448" s="70" t="str">
        <f t="shared" si="24"/>
        <v>X</v>
      </c>
      <c r="G448" s="70" t="str">
        <f t="shared" si="27"/>
        <v/>
      </c>
      <c r="H448" s="70">
        <f t="shared" si="25"/>
        <v>816</v>
      </c>
      <c r="I448" s="70">
        <f t="shared" si="26"/>
        <v>816</v>
      </c>
      <c r="J448">
        <v>19</v>
      </c>
      <c r="K448" s="3" t="str">
        <f ca="1">VLOOKUP(J448,ConstDLCIds!$A$4:$B$1000,2,FALSE)</f>
        <v>DLC_STONETHORN</v>
      </c>
      <c r="L448" s="3" t="str">
        <f ca="1">VLOOKUP(J448,ConstDLCIds!$A$4:$C$1000,3,FALSE)</f>
        <v>Stonethorn</v>
      </c>
    </row>
    <row r="449" spans="1:12" x14ac:dyDescent="0.25">
      <c r="A449">
        <v>817</v>
      </c>
      <c r="B449">
        <v>444</v>
      </c>
      <c r="C449">
        <v>816</v>
      </c>
      <c r="D449" t="s">
        <v>2565</v>
      </c>
      <c r="E449" t="str">
        <f>IF(NOT(ISERROR(VLOOKUP(D449,'ESO DungeonFinder'!$A$2:$A$999,1,FALSE))),"X","")</f>
        <v/>
      </c>
      <c r="F449" s="70" t="str">
        <f t="shared" si="24"/>
        <v/>
      </c>
      <c r="G449" s="70" t="str">
        <f t="shared" si="27"/>
        <v>Hew's Bane</v>
      </c>
      <c r="H449" s="70">
        <f t="shared" si="25"/>
        <v>817</v>
      </c>
      <c r="I449" s="70">
        <f t="shared" si="26"/>
        <v>816</v>
      </c>
      <c r="J449">
        <v>3</v>
      </c>
      <c r="K449" s="3" t="str">
        <f ca="1">VLOOKUP(J449,ConstDLCIds!$A$4:$B$1000,2,FALSE)</f>
        <v>DLC_THIEVES_GUILD</v>
      </c>
      <c r="L449" s="3" t="str">
        <f ca="1">VLOOKUP(J449,ConstDLCIds!$A$4:$C$1000,3,FALSE)</f>
        <v>Thieves Guild</v>
      </c>
    </row>
    <row r="450" spans="1:12" x14ac:dyDescent="0.25">
      <c r="A450">
        <v>818</v>
      </c>
      <c r="B450">
        <v>445</v>
      </c>
      <c r="C450">
        <v>816</v>
      </c>
      <c r="D450" t="s">
        <v>2566</v>
      </c>
      <c r="E450" t="str">
        <f>IF(NOT(ISERROR(VLOOKUP(D450,'ESO DungeonFinder'!$A$2:$A$999,1,FALSE))),"X","")</f>
        <v/>
      </c>
      <c r="F450" s="70" t="str">
        <f t="shared" si="24"/>
        <v/>
      </c>
      <c r="G450" s="70" t="str">
        <f t="shared" si="27"/>
        <v>Hew's Bane</v>
      </c>
      <c r="H450" s="70">
        <f t="shared" si="25"/>
        <v>818</v>
      </c>
      <c r="I450" s="70">
        <f t="shared" si="26"/>
        <v>816</v>
      </c>
      <c r="J450">
        <v>3</v>
      </c>
      <c r="K450" s="3" t="str">
        <f ca="1">VLOOKUP(J450,ConstDLCIds!$A$4:$B$1000,2,FALSE)</f>
        <v>DLC_THIEVES_GUILD</v>
      </c>
      <c r="L450" s="3" t="str">
        <f ca="1">VLOOKUP(J450,ConstDLCIds!$A$4:$C$1000,3,FALSE)</f>
        <v>Thieves Guild</v>
      </c>
    </row>
    <row r="451" spans="1:12" x14ac:dyDescent="0.25">
      <c r="A451">
        <v>819</v>
      </c>
      <c r="B451">
        <v>446</v>
      </c>
      <c r="C451">
        <v>816</v>
      </c>
      <c r="D451" t="s">
        <v>2567</v>
      </c>
      <c r="E451" t="str">
        <f>IF(NOT(ISERROR(VLOOKUP(D451,'ESO DungeonFinder'!$A$2:$A$999,1,FALSE))),"X","")</f>
        <v/>
      </c>
      <c r="F451" s="70" t="str">
        <f t="shared" si="24"/>
        <v/>
      </c>
      <c r="G451" s="70" t="str">
        <f t="shared" si="27"/>
        <v>Hew's Bane</v>
      </c>
      <c r="H451" s="70">
        <f t="shared" si="25"/>
        <v>819</v>
      </c>
      <c r="I451" s="70">
        <f t="shared" si="26"/>
        <v>816</v>
      </c>
      <c r="J451">
        <v>3</v>
      </c>
      <c r="K451" s="3" t="str">
        <f ca="1">VLOOKUP(J451,ConstDLCIds!$A$4:$B$1000,2,FALSE)</f>
        <v>DLC_THIEVES_GUILD</v>
      </c>
      <c r="L451" s="3" t="str">
        <f ca="1">VLOOKUP(J451,ConstDLCIds!$A$4:$C$1000,3,FALSE)</f>
        <v>Thieves Guild</v>
      </c>
    </row>
    <row r="452" spans="1:12" x14ac:dyDescent="0.25">
      <c r="A452">
        <v>820</v>
      </c>
      <c r="B452">
        <v>447</v>
      </c>
      <c r="C452">
        <v>816</v>
      </c>
      <c r="D452" t="s">
        <v>2568</v>
      </c>
      <c r="E452" t="str">
        <f>IF(NOT(ISERROR(VLOOKUP(D452,'ESO DungeonFinder'!$A$2:$A$999,1,FALSE))),"X","")</f>
        <v/>
      </c>
      <c r="F452" s="70" t="str">
        <f t="shared" si="24"/>
        <v/>
      </c>
      <c r="G452" s="70" t="str">
        <f t="shared" si="27"/>
        <v>Hew's Bane</v>
      </c>
      <c r="H452" s="70">
        <f t="shared" si="25"/>
        <v>820</v>
      </c>
      <c r="I452" s="70">
        <f t="shared" si="26"/>
        <v>816</v>
      </c>
      <c r="J452">
        <v>3</v>
      </c>
      <c r="K452" s="3" t="str">
        <f ca="1">VLOOKUP(J452,ConstDLCIds!$A$4:$B$1000,2,FALSE)</f>
        <v>DLC_THIEVES_GUILD</v>
      </c>
      <c r="L452" s="3" t="str">
        <f ca="1">VLOOKUP(J452,ConstDLCIds!$A$4:$C$1000,3,FALSE)</f>
        <v>Thieves Guild</v>
      </c>
    </row>
    <row r="453" spans="1:12" x14ac:dyDescent="0.25">
      <c r="A453">
        <v>821</v>
      </c>
      <c r="B453">
        <v>448</v>
      </c>
      <c r="C453">
        <v>816</v>
      </c>
      <c r="D453" t="s">
        <v>2569</v>
      </c>
      <c r="E453" t="str">
        <f>IF(NOT(ISERROR(VLOOKUP(D453,'ESO DungeonFinder'!$A$2:$A$999,1,FALSE))),"X","")</f>
        <v/>
      </c>
      <c r="F453" s="70" t="str">
        <f t="shared" ref="F453:F516" si="28">IF(EXACT(A453,C453),"X","")</f>
        <v/>
      </c>
      <c r="G453" s="70" t="str">
        <f t="shared" si="27"/>
        <v>Hew's Bane</v>
      </c>
      <c r="H453" s="70">
        <f t="shared" ref="H453:H516" si="29">A453</f>
        <v>821</v>
      </c>
      <c r="I453" s="70">
        <f t="shared" ref="I453:I516" si="30">C453</f>
        <v>816</v>
      </c>
      <c r="J453">
        <v>3</v>
      </c>
      <c r="K453" s="3" t="str">
        <f ca="1">VLOOKUP(J453,ConstDLCIds!$A$4:$B$1000,2,FALSE)</f>
        <v>DLC_THIEVES_GUILD</v>
      </c>
      <c r="L453" s="3" t="str">
        <f ca="1">VLOOKUP(J453,ConstDLCIds!$A$4:$C$1000,3,FALSE)</f>
        <v>Thieves Guild</v>
      </c>
    </row>
    <row r="454" spans="1:12" x14ac:dyDescent="0.25">
      <c r="A454">
        <v>823</v>
      </c>
      <c r="B454">
        <v>449</v>
      </c>
      <c r="C454">
        <v>823</v>
      </c>
      <c r="D454" t="s">
        <v>873</v>
      </c>
      <c r="E454" t="str">
        <f>IF(NOT(ISERROR(VLOOKUP(D454,'ESO DungeonFinder'!$A$2:$A$999,1,FALSE))),"X","")</f>
        <v/>
      </c>
      <c r="F454" s="70" t="str">
        <f t="shared" si="28"/>
        <v>X</v>
      </c>
      <c r="G454" s="70" t="str">
        <f t="shared" ref="G454:G517" si="31">IF(A454&lt;&gt;C454,VLOOKUP(C454,$A$5:$D$9956,4,FALSE),"")</f>
        <v/>
      </c>
      <c r="H454" s="70">
        <f t="shared" si="29"/>
        <v>823</v>
      </c>
      <c r="I454" s="70">
        <f t="shared" si="30"/>
        <v>823</v>
      </c>
      <c r="J454">
        <v>20</v>
      </c>
      <c r="K454" s="3" t="str">
        <f ca="1">VLOOKUP(J454,ConstDLCIds!$A$4:$B$1000,2,FALSE)</f>
        <v>DLC_MARKARTH</v>
      </c>
      <c r="L454" s="3" t="str">
        <f ca="1">VLOOKUP(J454,ConstDLCIds!$A$4:$C$1000,3,FALSE)</f>
        <v>Markarth</v>
      </c>
    </row>
    <row r="455" spans="1:12" x14ac:dyDescent="0.25">
      <c r="A455">
        <v>824</v>
      </c>
      <c r="B455">
        <v>450</v>
      </c>
      <c r="C455">
        <v>823</v>
      </c>
      <c r="D455" t="s">
        <v>2570</v>
      </c>
      <c r="E455" t="str">
        <f>IF(NOT(ISERROR(VLOOKUP(D455,'ESO DungeonFinder'!$A$2:$A$999,1,FALSE))),"X","")</f>
        <v/>
      </c>
      <c r="F455" s="70" t="str">
        <f t="shared" si="28"/>
        <v/>
      </c>
      <c r="G455" s="70" t="str">
        <f t="shared" si="31"/>
        <v>Gold Coast</v>
      </c>
      <c r="H455" s="70">
        <f t="shared" si="29"/>
        <v>824</v>
      </c>
      <c r="I455" s="70">
        <f t="shared" si="30"/>
        <v>823</v>
      </c>
      <c r="J455">
        <v>4</v>
      </c>
      <c r="K455" s="3" t="str">
        <f ca="1">VLOOKUP(J455,ConstDLCIds!$A$4:$B$1000,2,FALSE)</f>
        <v>DLC_DARK_BROTHERHOOD</v>
      </c>
      <c r="L455" s="3" t="str">
        <f ca="1">VLOOKUP(J455,ConstDLCIds!$A$4:$C$1000,3,FALSE)</f>
        <v>Dark Brotherhood</v>
      </c>
    </row>
    <row r="456" spans="1:12" x14ac:dyDescent="0.25">
      <c r="A456">
        <v>825</v>
      </c>
      <c r="B456">
        <v>451</v>
      </c>
      <c r="C456">
        <v>823</v>
      </c>
      <c r="D456" t="s">
        <v>2571</v>
      </c>
      <c r="E456" t="str">
        <f>IF(NOT(ISERROR(VLOOKUP(D456,'ESO DungeonFinder'!$A$2:$A$999,1,FALSE))),"X","")</f>
        <v/>
      </c>
      <c r="F456" s="70" t="str">
        <f t="shared" si="28"/>
        <v/>
      </c>
      <c r="G456" s="70" t="str">
        <f t="shared" si="31"/>
        <v>Gold Coast</v>
      </c>
      <c r="H456" s="70">
        <f t="shared" si="29"/>
        <v>825</v>
      </c>
      <c r="I456" s="70">
        <f t="shared" si="30"/>
        <v>823</v>
      </c>
      <c r="J456">
        <v>4</v>
      </c>
      <c r="K456" s="3" t="str">
        <f ca="1">VLOOKUP(J456,ConstDLCIds!$A$4:$B$1000,2,FALSE)</f>
        <v>DLC_DARK_BROTHERHOOD</v>
      </c>
      <c r="L456" s="3" t="str">
        <f ca="1">VLOOKUP(J456,ConstDLCIds!$A$4:$C$1000,3,FALSE)</f>
        <v>Dark Brotherhood</v>
      </c>
    </row>
    <row r="457" spans="1:12" x14ac:dyDescent="0.25">
      <c r="A457">
        <v>826</v>
      </c>
      <c r="B457">
        <v>452</v>
      </c>
      <c r="C457">
        <v>823</v>
      </c>
      <c r="D457" t="s">
        <v>2572</v>
      </c>
      <c r="E457" t="str">
        <f>IF(NOT(ISERROR(VLOOKUP(D457,'ESO DungeonFinder'!$A$2:$A$999,1,FALSE))),"X","")</f>
        <v/>
      </c>
      <c r="F457" s="70" t="str">
        <f t="shared" si="28"/>
        <v/>
      </c>
      <c r="G457" s="70" t="str">
        <f t="shared" si="31"/>
        <v>Gold Coast</v>
      </c>
      <c r="H457" s="70">
        <f t="shared" si="29"/>
        <v>826</v>
      </c>
      <c r="I457" s="70">
        <f t="shared" si="30"/>
        <v>823</v>
      </c>
      <c r="J457">
        <v>4</v>
      </c>
      <c r="K457" s="3" t="str">
        <f ca="1">VLOOKUP(J457,ConstDLCIds!$A$4:$B$1000,2,FALSE)</f>
        <v>DLC_DARK_BROTHERHOOD</v>
      </c>
      <c r="L457" s="3" t="str">
        <f ca="1">VLOOKUP(J457,ConstDLCIds!$A$4:$C$1000,3,FALSE)</f>
        <v>Dark Brotherhood</v>
      </c>
    </row>
    <row r="458" spans="1:12" x14ac:dyDescent="0.25">
      <c r="A458">
        <v>827</v>
      </c>
      <c r="B458">
        <v>453</v>
      </c>
      <c r="C458">
        <v>823</v>
      </c>
      <c r="D458" t="s">
        <v>2573</v>
      </c>
      <c r="E458" t="str">
        <f>IF(NOT(ISERROR(VLOOKUP(D458,'ESO DungeonFinder'!$A$2:$A$999,1,FALSE))),"X","")</f>
        <v/>
      </c>
      <c r="F458" s="70" t="str">
        <f t="shared" si="28"/>
        <v/>
      </c>
      <c r="G458" s="70" t="str">
        <f t="shared" si="31"/>
        <v>Gold Coast</v>
      </c>
      <c r="H458" s="70">
        <f t="shared" si="29"/>
        <v>827</v>
      </c>
      <c r="I458" s="70">
        <f t="shared" si="30"/>
        <v>823</v>
      </c>
      <c r="J458">
        <v>4</v>
      </c>
      <c r="K458" s="3" t="str">
        <f ca="1">VLOOKUP(J458,ConstDLCIds!$A$4:$B$1000,2,FALSE)</f>
        <v>DLC_DARK_BROTHERHOOD</v>
      </c>
      <c r="L458" s="3" t="str">
        <f ca="1">VLOOKUP(J458,ConstDLCIds!$A$4:$C$1000,3,FALSE)</f>
        <v>Dark Brotherhood</v>
      </c>
    </row>
    <row r="459" spans="1:12" x14ac:dyDescent="0.25">
      <c r="A459">
        <v>828</v>
      </c>
      <c r="B459">
        <v>454</v>
      </c>
      <c r="C459">
        <v>823</v>
      </c>
      <c r="D459" t="s">
        <v>2574</v>
      </c>
      <c r="E459" t="str">
        <f>IF(NOT(ISERROR(VLOOKUP(D459,'ESO DungeonFinder'!$A$2:$A$999,1,FALSE))),"X","")</f>
        <v/>
      </c>
      <c r="F459" s="70" t="str">
        <f t="shared" si="28"/>
        <v/>
      </c>
      <c r="G459" s="70" t="str">
        <f t="shared" si="31"/>
        <v>Gold Coast</v>
      </c>
      <c r="H459" s="70">
        <f t="shared" si="29"/>
        <v>828</v>
      </c>
      <c r="I459" s="70">
        <f t="shared" si="30"/>
        <v>823</v>
      </c>
      <c r="J459">
        <v>4</v>
      </c>
      <c r="K459" s="3" t="str">
        <f ca="1">VLOOKUP(J459,ConstDLCIds!$A$4:$B$1000,2,FALSE)</f>
        <v>DLC_DARK_BROTHERHOOD</v>
      </c>
      <c r="L459" s="3" t="str">
        <f ca="1">VLOOKUP(J459,ConstDLCIds!$A$4:$C$1000,3,FALSE)</f>
        <v>Dark Brotherhood</v>
      </c>
    </row>
    <row r="460" spans="1:12" x14ac:dyDescent="0.25">
      <c r="A460">
        <v>829</v>
      </c>
      <c r="B460">
        <v>455</v>
      </c>
      <c r="C460">
        <v>823</v>
      </c>
      <c r="D460" t="s">
        <v>2575</v>
      </c>
      <c r="E460" t="str">
        <f>IF(NOT(ISERROR(VLOOKUP(D460,'ESO DungeonFinder'!$A$2:$A$999,1,FALSE))),"X","")</f>
        <v/>
      </c>
      <c r="F460" s="70" t="str">
        <f t="shared" si="28"/>
        <v/>
      </c>
      <c r="G460" s="70" t="str">
        <f t="shared" si="31"/>
        <v>Gold Coast</v>
      </c>
      <c r="H460" s="70">
        <f t="shared" si="29"/>
        <v>829</v>
      </c>
      <c r="I460" s="70">
        <f t="shared" si="30"/>
        <v>823</v>
      </c>
      <c r="J460">
        <v>4</v>
      </c>
      <c r="K460" s="3" t="str">
        <f ca="1">VLOOKUP(J460,ConstDLCIds!$A$4:$B$1000,2,FALSE)</f>
        <v>DLC_DARK_BROTHERHOOD</v>
      </c>
      <c r="L460" s="3" t="str">
        <f ca="1">VLOOKUP(J460,ConstDLCIds!$A$4:$C$1000,3,FALSE)</f>
        <v>Dark Brotherhood</v>
      </c>
    </row>
    <row r="461" spans="1:12" x14ac:dyDescent="0.25">
      <c r="A461">
        <v>831</v>
      </c>
      <c r="B461">
        <v>456</v>
      </c>
      <c r="C461">
        <v>823</v>
      </c>
      <c r="D461" t="s">
        <v>2576</v>
      </c>
      <c r="E461" t="str">
        <f>IF(NOT(ISERROR(VLOOKUP(D461,'ESO DungeonFinder'!$A$2:$A$999,1,FALSE))),"X","")</f>
        <v/>
      </c>
      <c r="F461" s="70" t="str">
        <f t="shared" si="28"/>
        <v/>
      </c>
      <c r="G461" s="70" t="str">
        <f t="shared" si="31"/>
        <v>Gold Coast</v>
      </c>
      <c r="H461" s="70">
        <f t="shared" si="29"/>
        <v>831</v>
      </c>
      <c r="I461" s="70">
        <f t="shared" si="30"/>
        <v>823</v>
      </c>
      <c r="J461">
        <v>4</v>
      </c>
      <c r="K461" s="3" t="str">
        <f ca="1">VLOOKUP(J461,ConstDLCIds!$A$4:$B$1000,2,FALSE)</f>
        <v>DLC_DARK_BROTHERHOOD</v>
      </c>
      <c r="L461" s="3" t="str">
        <f ca="1">VLOOKUP(J461,ConstDLCIds!$A$4:$C$1000,3,FALSE)</f>
        <v>Dark Brotherhood</v>
      </c>
    </row>
    <row r="462" spans="1:12" x14ac:dyDescent="0.25">
      <c r="A462">
        <v>832</v>
      </c>
      <c r="B462">
        <v>457</v>
      </c>
      <c r="C462">
        <v>823</v>
      </c>
      <c r="D462" t="s">
        <v>2577</v>
      </c>
      <c r="E462" t="str">
        <f>IF(NOT(ISERROR(VLOOKUP(D462,'ESO DungeonFinder'!$A$2:$A$999,1,FALSE))),"X","")</f>
        <v/>
      </c>
      <c r="F462" s="70" t="str">
        <f t="shared" si="28"/>
        <v/>
      </c>
      <c r="G462" s="70" t="str">
        <f t="shared" si="31"/>
        <v>Gold Coast</v>
      </c>
      <c r="H462" s="70">
        <f t="shared" si="29"/>
        <v>832</v>
      </c>
      <c r="I462" s="70">
        <f t="shared" si="30"/>
        <v>823</v>
      </c>
      <c r="J462">
        <v>4</v>
      </c>
      <c r="K462" s="3" t="str">
        <f ca="1">VLOOKUP(J462,ConstDLCIds!$A$4:$B$1000,2,FALSE)</f>
        <v>DLC_DARK_BROTHERHOOD</v>
      </c>
      <c r="L462" s="3" t="str">
        <f ca="1">VLOOKUP(J462,ConstDLCIds!$A$4:$C$1000,3,FALSE)</f>
        <v>Dark Brotherhood</v>
      </c>
    </row>
    <row r="463" spans="1:12" x14ac:dyDescent="0.25">
      <c r="A463">
        <v>833</v>
      </c>
      <c r="B463">
        <v>458</v>
      </c>
      <c r="C463">
        <v>823</v>
      </c>
      <c r="D463" t="s">
        <v>2578</v>
      </c>
      <c r="E463" t="str">
        <f>IF(NOT(ISERROR(VLOOKUP(D463,'ESO DungeonFinder'!$A$2:$A$999,1,FALSE))),"X","")</f>
        <v/>
      </c>
      <c r="F463" s="70" t="str">
        <f t="shared" si="28"/>
        <v/>
      </c>
      <c r="G463" s="70" t="str">
        <f t="shared" si="31"/>
        <v>Gold Coast</v>
      </c>
      <c r="H463" s="70">
        <f t="shared" si="29"/>
        <v>833</v>
      </c>
      <c r="I463" s="70">
        <f t="shared" si="30"/>
        <v>823</v>
      </c>
      <c r="J463">
        <v>4</v>
      </c>
      <c r="K463" s="3" t="str">
        <f ca="1">VLOOKUP(J463,ConstDLCIds!$A$4:$B$1000,2,FALSE)</f>
        <v>DLC_DARK_BROTHERHOOD</v>
      </c>
      <c r="L463" s="3" t="str">
        <f ca="1">VLOOKUP(J463,ConstDLCIds!$A$4:$C$1000,3,FALSE)</f>
        <v>Dark Brotherhood</v>
      </c>
    </row>
    <row r="464" spans="1:12" x14ac:dyDescent="0.25">
      <c r="A464">
        <v>834</v>
      </c>
      <c r="B464">
        <v>459</v>
      </c>
      <c r="C464">
        <v>816</v>
      </c>
      <c r="D464" t="s">
        <v>2579</v>
      </c>
      <c r="E464" t="str">
        <f>IF(NOT(ISERROR(VLOOKUP(D464,'ESO DungeonFinder'!$A$2:$A$999,1,FALSE))),"X","")</f>
        <v/>
      </c>
      <c r="F464" s="70" t="str">
        <f t="shared" si="28"/>
        <v/>
      </c>
      <c r="G464" s="70" t="str">
        <f t="shared" si="31"/>
        <v>Hew's Bane</v>
      </c>
      <c r="H464" s="70">
        <f t="shared" si="29"/>
        <v>834</v>
      </c>
      <c r="I464" s="70">
        <f t="shared" si="30"/>
        <v>816</v>
      </c>
      <c r="J464">
        <v>3</v>
      </c>
      <c r="K464" s="3" t="str">
        <f ca="1">VLOOKUP(J464,ConstDLCIds!$A$4:$B$1000,2,FALSE)</f>
        <v>DLC_THIEVES_GUILD</v>
      </c>
      <c r="L464" s="3" t="str">
        <f ca="1">VLOOKUP(J464,ConstDLCIds!$A$4:$C$1000,3,FALSE)</f>
        <v>Thieves Guild</v>
      </c>
    </row>
    <row r="465" spans="1:12" x14ac:dyDescent="0.25">
      <c r="A465">
        <v>836</v>
      </c>
      <c r="B465">
        <v>460</v>
      </c>
      <c r="C465">
        <v>823</v>
      </c>
      <c r="D465" t="s">
        <v>2580</v>
      </c>
      <c r="E465" t="str">
        <f>IF(NOT(ISERROR(VLOOKUP(D465,'ESO DungeonFinder'!$A$2:$A$999,1,FALSE))),"X","")</f>
        <v/>
      </c>
      <c r="F465" s="70" t="str">
        <f t="shared" si="28"/>
        <v/>
      </c>
      <c r="G465" s="70" t="str">
        <f t="shared" si="31"/>
        <v>Gold Coast</v>
      </c>
      <c r="H465" s="70">
        <f t="shared" si="29"/>
        <v>836</v>
      </c>
      <c r="I465" s="70">
        <f t="shared" si="30"/>
        <v>823</v>
      </c>
      <c r="J465">
        <v>4</v>
      </c>
      <c r="K465" s="3" t="str">
        <f ca="1">VLOOKUP(J465,ConstDLCIds!$A$4:$B$1000,2,FALSE)</f>
        <v>DLC_DARK_BROTHERHOOD</v>
      </c>
      <c r="L465" s="3" t="str">
        <f ca="1">VLOOKUP(J465,ConstDLCIds!$A$4:$C$1000,3,FALSE)</f>
        <v>Dark Brotherhood</v>
      </c>
    </row>
    <row r="466" spans="1:12" x14ac:dyDescent="0.25">
      <c r="A466">
        <v>837</v>
      </c>
      <c r="B466">
        <v>461</v>
      </c>
      <c r="C466">
        <v>823</v>
      </c>
      <c r="D466" t="s">
        <v>2581</v>
      </c>
      <c r="E466" t="str">
        <f>IF(NOT(ISERROR(VLOOKUP(D466,'ESO DungeonFinder'!$A$2:$A$999,1,FALSE))),"X","")</f>
        <v/>
      </c>
      <c r="F466" s="70" t="str">
        <f t="shared" si="28"/>
        <v/>
      </c>
      <c r="G466" s="70" t="str">
        <f t="shared" si="31"/>
        <v>Gold Coast</v>
      </c>
      <c r="H466" s="70">
        <f t="shared" si="29"/>
        <v>837</v>
      </c>
      <c r="I466" s="70">
        <f t="shared" si="30"/>
        <v>823</v>
      </c>
      <c r="J466">
        <v>4</v>
      </c>
      <c r="K466" s="3" t="str">
        <f ca="1">VLOOKUP(J466,ConstDLCIds!$A$4:$B$1000,2,FALSE)</f>
        <v>DLC_DARK_BROTHERHOOD</v>
      </c>
      <c r="L466" s="3" t="str">
        <f ca="1">VLOOKUP(J466,ConstDLCIds!$A$4:$C$1000,3,FALSE)</f>
        <v>Dark Brotherhood</v>
      </c>
    </row>
    <row r="467" spans="1:12" x14ac:dyDescent="0.25">
      <c r="A467">
        <v>841</v>
      </c>
      <c r="B467">
        <v>462</v>
      </c>
      <c r="C467">
        <v>823</v>
      </c>
      <c r="D467" t="s">
        <v>2582</v>
      </c>
      <c r="E467" t="str">
        <f>IF(NOT(ISERROR(VLOOKUP(D467,'ESO DungeonFinder'!$A$2:$A$999,1,FALSE))),"X","")</f>
        <v/>
      </c>
      <c r="F467" s="70" t="str">
        <f t="shared" si="28"/>
        <v/>
      </c>
      <c r="G467" s="70" t="str">
        <f t="shared" si="31"/>
        <v>Gold Coast</v>
      </c>
      <c r="H467" s="70">
        <f t="shared" si="29"/>
        <v>841</v>
      </c>
      <c r="I467" s="70">
        <f t="shared" si="30"/>
        <v>823</v>
      </c>
      <c r="J467">
        <v>4</v>
      </c>
      <c r="K467" s="3" t="str">
        <f ca="1">VLOOKUP(J467,ConstDLCIds!$A$4:$B$1000,2,FALSE)</f>
        <v>DLC_DARK_BROTHERHOOD</v>
      </c>
      <c r="L467" s="3" t="str">
        <f ca="1">VLOOKUP(J467,ConstDLCIds!$A$4:$C$1000,3,FALSE)</f>
        <v>Dark Brotherhood</v>
      </c>
    </row>
    <row r="468" spans="1:12" x14ac:dyDescent="0.25">
      <c r="A468">
        <v>842</v>
      </c>
      <c r="B468">
        <v>463</v>
      </c>
      <c r="C468">
        <v>823</v>
      </c>
      <c r="D468" t="s">
        <v>2583</v>
      </c>
      <c r="E468" t="str">
        <f>IF(NOT(ISERROR(VLOOKUP(D468,'ESO DungeonFinder'!$A$2:$A$999,1,FALSE))),"X","")</f>
        <v/>
      </c>
      <c r="F468" s="70" t="str">
        <f t="shared" si="28"/>
        <v/>
      </c>
      <c r="G468" s="70" t="str">
        <f t="shared" si="31"/>
        <v>Gold Coast</v>
      </c>
      <c r="H468" s="70">
        <f t="shared" si="29"/>
        <v>842</v>
      </c>
      <c r="I468" s="70">
        <f t="shared" si="30"/>
        <v>823</v>
      </c>
      <c r="J468">
        <v>4</v>
      </c>
      <c r="K468" s="3" t="str">
        <f ca="1">VLOOKUP(J468,ConstDLCIds!$A$4:$B$1000,2,FALSE)</f>
        <v>DLC_DARK_BROTHERHOOD</v>
      </c>
      <c r="L468" s="3" t="str">
        <f ca="1">VLOOKUP(J468,ConstDLCIds!$A$4:$C$1000,3,FALSE)</f>
        <v>Dark Brotherhood</v>
      </c>
    </row>
    <row r="469" spans="1:12" x14ac:dyDescent="0.25">
      <c r="A469">
        <v>843</v>
      </c>
      <c r="B469">
        <v>464</v>
      </c>
      <c r="C469">
        <v>117</v>
      </c>
      <c r="D469" t="s">
        <v>890</v>
      </c>
      <c r="E469" t="str">
        <f>IF(NOT(ISERROR(VLOOKUP(D469,'ESO DungeonFinder'!$A$2:$A$999,1,FALSE))),"X","")</f>
        <v>X</v>
      </c>
      <c r="F469" s="70" t="str">
        <f t="shared" si="28"/>
        <v/>
      </c>
      <c r="G469" s="70" t="str">
        <f t="shared" si="31"/>
        <v>Shadowfen</v>
      </c>
      <c r="H469" s="70">
        <f t="shared" si="29"/>
        <v>843</v>
      </c>
      <c r="I469" s="70">
        <f t="shared" si="30"/>
        <v>117</v>
      </c>
      <c r="J469">
        <v>5</v>
      </c>
      <c r="K469" s="3" t="str">
        <f ca="1">VLOOKUP(J469,ConstDLCIds!$A$4:$B$1000,2,FALSE)</f>
        <v>DLC_SHADOWS_OF_THE_HIST</v>
      </c>
      <c r="L469" s="3" t="str">
        <f ca="1">VLOOKUP(J469,ConstDLCIds!$A$4:$C$1000,3,FALSE)</f>
        <v>Shadows of the Hist</v>
      </c>
    </row>
    <row r="470" spans="1:12" x14ac:dyDescent="0.25">
      <c r="A470">
        <v>844</v>
      </c>
      <c r="B470">
        <v>465</v>
      </c>
      <c r="C470">
        <v>816</v>
      </c>
      <c r="D470" t="s">
        <v>2584</v>
      </c>
      <c r="E470" t="str">
        <f>IF(NOT(ISERROR(VLOOKUP(D470,'ESO DungeonFinder'!$A$2:$A$999,1,FALSE))),"X","")</f>
        <v/>
      </c>
      <c r="F470" s="70" t="str">
        <f t="shared" si="28"/>
        <v/>
      </c>
      <c r="G470" s="70" t="str">
        <f t="shared" si="31"/>
        <v>Hew's Bane</v>
      </c>
      <c r="H470" s="70">
        <f t="shared" si="29"/>
        <v>844</v>
      </c>
      <c r="I470" s="70">
        <f t="shared" si="30"/>
        <v>816</v>
      </c>
      <c r="J470">
        <v>3</v>
      </c>
      <c r="K470" s="3" t="str">
        <f ca="1">VLOOKUP(J470,ConstDLCIds!$A$4:$B$1000,2,FALSE)</f>
        <v>DLC_THIEVES_GUILD</v>
      </c>
      <c r="L470" s="3" t="str">
        <f ca="1">VLOOKUP(J470,ConstDLCIds!$A$4:$C$1000,3,FALSE)</f>
        <v>Thieves Guild</v>
      </c>
    </row>
    <row r="471" spans="1:12" x14ac:dyDescent="0.25">
      <c r="A471">
        <v>845</v>
      </c>
      <c r="B471">
        <v>466</v>
      </c>
      <c r="C471">
        <v>816</v>
      </c>
      <c r="D471" t="s">
        <v>2585</v>
      </c>
      <c r="E471" t="str">
        <f>IF(NOT(ISERROR(VLOOKUP(D471,'ESO DungeonFinder'!$A$2:$A$999,1,FALSE))),"X","")</f>
        <v/>
      </c>
      <c r="F471" s="70" t="str">
        <f t="shared" si="28"/>
        <v/>
      </c>
      <c r="G471" s="70" t="str">
        <f t="shared" si="31"/>
        <v>Hew's Bane</v>
      </c>
      <c r="H471" s="70">
        <f t="shared" si="29"/>
        <v>845</v>
      </c>
      <c r="I471" s="70">
        <f t="shared" si="30"/>
        <v>816</v>
      </c>
      <c r="J471">
        <v>3</v>
      </c>
      <c r="K471" s="3" t="str">
        <f ca="1">VLOOKUP(J471,ConstDLCIds!$A$4:$B$1000,2,FALSE)</f>
        <v>DLC_THIEVES_GUILD</v>
      </c>
      <c r="L471" s="3" t="str">
        <f ca="1">VLOOKUP(J471,ConstDLCIds!$A$4:$C$1000,3,FALSE)</f>
        <v>Thieves Guild</v>
      </c>
    </row>
    <row r="472" spans="1:12" x14ac:dyDescent="0.25">
      <c r="A472">
        <v>848</v>
      </c>
      <c r="B472">
        <v>467</v>
      </c>
      <c r="C472">
        <v>117</v>
      </c>
      <c r="D472" t="s">
        <v>894</v>
      </c>
      <c r="E472" t="str">
        <f>IF(NOT(ISERROR(VLOOKUP(D472,'ESO DungeonFinder'!$A$2:$A$999,1,FALSE))),"X","")</f>
        <v>X</v>
      </c>
      <c r="F472" s="70" t="str">
        <f t="shared" si="28"/>
        <v/>
      </c>
      <c r="G472" s="70" t="str">
        <f t="shared" si="31"/>
        <v>Shadowfen</v>
      </c>
      <c r="H472" s="70">
        <f t="shared" si="29"/>
        <v>848</v>
      </c>
      <c r="I472" s="70">
        <f t="shared" si="30"/>
        <v>117</v>
      </c>
      <c r="J472">
        <v>5</v>
      </c>
      <c r="K472" s="3" t="str">
        <f ca="1">VLOOKUP(J472,ConstDLCIds!$A$4:$B$1000,2,FALSE)</f>
        <v>DLC_SHADOWS_OF_THE_HIST</v>
      </c>
      <c r="L472" s="3" t="str">
        <f ca="1">VLOOKUP(J472,ConstDLCIds!$A$4:$C$1000,3,FALSE)</f>
        <v>Shadows of the Hist</v>
      </c>
    </row>
    <row r="473" spans="1:12" x14ac:dyDescent="0.25">
      <c r="A473">
        <v>849</v>
      </c>
      <c r="B473">
        <v>468</v>
      </c>
      <c r="C473">
        <v>849</v>
      </c>
      <c r="D473" t="s">
        <v>1037</v>
      </c>
      <c r="E473" t="str">
        <f>IF(NOT(ISERROR(VLOOKUP(D473,'ESO DungeonFinder'!$A$2:$A$999,1,FALSE))),"X","")</f>
        <v/>
      </c>
      <c r="F473" s="70" t="str">
        <f t="shared" si="28"/>
        <v>X</v>
      </c>
      <c r="G473" s="70" t="str">
        <f t="shared" si="31"/>
        <v/>
      </c>
      <c r="H473" s="70">
        <f t="shared" si="29"/>
        <v>849</v>
      </c>
      <c r="I473" s="70">
        <f t="shared" si="30"/>
        <v>849</v>
      </c>
      <c r="J473">
        <v>22</v>
      </c>
      <c r="K473" s="3" t="str">
        <f ca="1">VLOOKUP(J473,ConstDLCIds!$A$4:$B$1000,2,FALSE)</f>
        <v>DLC_BLACKWOOD</v>
      </c>
      <c r="L473" s="3" t="str">
        <f ca="1">VLOOKUP(J473,ConstDLCIds!$A$4:$C$1000,3,FALSE)</f>
        <v>Blackwood</v>
      </c>
    </row>
    <row r="474" spans="1:12" x14ac:dyDescent="0.25">
      <c r="A474">
        <v>852</v>
      </c>
      <c r="B474">
        <v>469</v>
      </c>
      <c r="C474">
        <v>3</v>
      </c>
      <c r="D474" t="s">
        <v>2586</v>
      </c>
      <c r="E474" t="str">
        <f>IF(NOT(ISERROR(VLOOKUP(D474,'ESO DungeonFinder'!$A$2:$A$999,1,FALSE))),"X","")</f>
        <v/>
      </c>
      <c r="F474" s="70" t="str">
        <f t="shared" si="28"/>
        <v/>
      </c>
      <c r="G474" s="70" t="str">
        <f t="shared" si="31"/>
        <v>Glenumbra</v>
      </c>
      <c r="H474" s="70">
        <f t="shared" si="29"/>
        <v>852</v>
      </c>
      <c r="I474" s="70">
        <f t="shared" si="30"/>
        <v>3</v>
      </c>
      <c r="J474">
        <v>0</v>
      </c>
      <c r="K474" s="3" t="str">
        <f>VLOOKUP(J474,ConstDLCIds!$A$4:$B$1000,2,FALSE)</f>
        <v>DLC_BASE_GAME</v>
      </c>
      <c r="L474" s="3" t="str">
        <f>VLOOKUP(J474,ConstDLCIds!$A$4:$C$1000,3,FALSE)</f>
        <v>Included in base game</v>
      </c>
    </row>
    <row r="475" spans="1:12" x14ac:dyDescent="0.25">
      <c r="A475">
        <v>853</v>
      </c>
      <c r="B475">
        <v>470</v>
      </c>
      <c r="C475">
        <v>20</v>
      </c>
      <c r="D475" t="s">
        <v>2587</v>
      </c>
      <c r="E475" t="str">
        <f>IF(NOT(ISERROR(VLOOKUP(D475,'ESO DungeonFinder'!$A$2:$A$999,1,FALSE))),"X","")</f>
        <v/>
      </c>
      <c r="F475" s="70" t="str">
        <f t="shared" si="28"/>
        <v/>
      </c>
      <c r="G475" s="70" t="str">
        <f t="shared" si="31"/>
        <v>Rivenspire</v>
      </c>
      <c r="H475" s="70">
        <f t="shared" si="29"/>
        <v>853</v>
      </c>
      <c r="I475" s="70">
        <f t="shared" si="30"/>
        <v>20</v>
      </c>
      <c r="J475">
        <v>0</v>
      </c>
      <c r="K475" s="3" t="str">
        <f>VLOOKUP(J475,ConstDLCIds!$A$4:$B$1000,2,FALSE)</f>
        <v>DLC_BASE_GAME</v>
      </c>
      <c r="L475" s="3" t="str">
        <f>VLOOKUP(J475,ConstDLCIds!$A$4:$C$1000,3,FALSE)</f>
        <v>Included in base game</v>
      </c>
    </row>
    <row r="476" spans="1:12" x14ac:dyDescent="0.25">
      <c r="A476">
        <v>854</v>
      </c>
      <c r="B476">
        <v>471</v>
      </c>
      <c r="C476">
        <v>92</v>
      </c>
      <c r="D476" t="s">
        <v>2588</v>
      </c>
      <c r="E476" t="str">
        <f>IF(NOT(ISERROR(VLOOKUP(D476,'ESO DungeonFinder'!$A$2:$A$999,1,FALSE))),"X","")</f>
        <v/>
      </c>
      <c r="F476" s="70" t="str">
        <f t="shared" si="28"/>
        <v/>
      </c>
      <c r="G476" s="70" t="str">
        <f t="shared" si="31"/>
        <v>Bangkorai</v>
      </c>
      <c r="H476" s="70">
        <f t="shared" si="29"/>
        <v>854</v>
      </c>
      <c r="I476" s="70">
        <f t="shared" si="30"/>
        <v>92</v>
      </c>
      <c r="J476">
        <v>0</v>
      </c>
      <c r="K476" s="3" t="str">
        <f>VLOOKUP(J476,ConstDLCIds!$A$4:$B$1000,2,FALSE)</f>
        <v>DLC_BASE_GAME</v>
      </c>
      <c r="L476" s="3" t="str">
        <f>VLOOKUP(J476,ConstDLCIds!$A$4:$C$1000,3,FALSE)</f>
        <v>Included in base game</v>
      </c>
    </row>
    <row r="477" spans="1:12" x14ac:dyDescent="0.25">
      <c r="A477">
        <v>855</v>
      </c>
      <c r="B477">
        <v>472</v>
      </c>
      <c r="C477">
        <v>19</v>
      </c>
      <c r="D477" t="s">
        <v>2589</v>
      </c>
      <c r="E477" t="str">
        <f>IF(NOT(ISERROR(VLOOKUP(D477,'ESO DungeonFinder'!$A$2:$A$999,1,FALSE))),"X","")</f>
        <v/>
      </c>
      <c r="F477" s="70" t="str">
        <f t="shared" si="28"/>
        <v/>
      </c>
      <c r="G477" s="70" t="str">
        <f t="shared" si="31"/>
        <v>Stormhaven</v>
      </c>
      <c r="H477" s="70">
        <f t="shared" si="29"/>
        <v>855</v>
      </c>
      <c r="I477" s="70">
        <f t="shared" si="30"/>
        <v>19</v>
      </c>
      <c r="J477">
        <v>0</v>
      </c>
      <c r="K477" s="3" t="str">
        <f>VLOOKUP(J477,ConstDLCIds!$A$4:$B$1000,2,FALSE)</f>
        <v>DLC_BASE_GAME</v>
      </c>
      <c r="L477" s="3" t="str">
        <f>VLOOKUP(J477,ConstDLCIds!$A$4:$C$1000,3,FALSE)</f>
        <v>Included in base game</v>
      </c>
    </row>
    <row r="478" spans="1:12" x14ac:dyDescent="0.25">
      <c r="A478">
        <v>856</v>
      </c>
      <c r="B478">
        <v>473</v>
      </c>
      <c r="C478">
        <v>92</v>
      </c>
      <c r="D478" t="s">
        <v>2590</v>
      </c>
      <c r="E478" t="str">
        <f>IF(NOT(ISERROR(VLOOKUP(D478,'ESO DungeonFinder'!$A$2:$A$999,1,FALSE))),"X","")</f>
        <v/>
      </c>
      <c r="F478" s="70" t="str">
        <f t="shared" si="28"/>
        <v/>
      </c>
      <c r="G478" s="70" t="str">
        <f t="shared" si="31"/>
        <v>Bangkorai</v>
      </c>
      <c r="H478" s="70">
        <f t="shared" si="29"/>
        <v>856</v>
      </c>
      <c r="I478" s="70">
        <f t="shared" si="30"/>
        <v>92</v>
      </c>
      <c r="J478">
        <v>0</v>
      </c>
      <c r="K478" s="3" t="str">
        <f>VLOOKUP(J478,ConstDLCIds!$A$4:$B$1000,2,FALSE)</f>
        <v>DLC_BASE_GAME</v>
      </c>
      <c r="L478" s="3" t="str">
        <f>VLOOKUP(J478,ConstDLCIds!$A$4:$C$1000,3,FALSE)</f>
        <v>Included in base game</v>
      </c>
    </row>
    <row r="479" spans="1:12" x14ac:dyDescent="0.25">
      <c r="A479">
        <v>857</v>
      </c>
      <c r="B479">
        <v>474</v>
      </c>
      <c r="C479">
        <v>104</v>
      </c>
      <c r="D479" t="s">
        <v>2591</v>
      </c>
      <c r="E479" t="str">
        <f>IF(NOT(ISERROR(VLOOKUP(D479,'ESO DungeonFinder'!$A$2:$A$999,1,FALSE))),"X","")</f>
        <v/>
      </c>
      <c r="F479" s="70" t="str">
        <f t="shared" si="28"/>
        <v/>
      </c>
      <c r="G479" s="70" t="str">
        <f t="shared" si="31"/>
        <v>Alik'r Desert</v>
      </c>
      <c r="H479" s="70">
        <f t="shared" si="29"/>
        <v>857</v>
      </c>
      <c r="I479" s="70">
        <f t="shared" si="30"/>
        <v>104</v>
      </c>
      <c r="J479">
        <v>0</v>
      </c>
      <c r="K479" s="3" t="str">
        <f>VLOOKUP(J479,ConstDLCIds!$A$4:$B$1000,2,FALSE)</f>
        <v>DLC_BASE_GAME</v>
      </c>
      <c r="L479" s="3" t="str">
        <f>VLOOKUP(J479,ConstDLCIds!$A$4:$C$1000,3,FALSE)</f>
        <v>Included in base game</v>
      </c>
    </row>
    <row r="480" spans="1:12" x14ac:dyDescent="0.25">
      <c r="A480">
        <v>858</v>
      </c>
      <c r="B480">
        <v>475</v>
      </c>
      <c r="C480">
        <v>108</v>
      </c>
      <c r="D480" t="s">
        <v>2592</v>
      </c>
      <c r="E480" t="str">
        <f>IF(NOT(ISERROR(VLOOKUP(D480,'ESO DungeonFinder'!$A$2:$A$999,1,FALSE))),"X","")</f>
        <v/>
      </c>
      <c r="F480" s="70" t="str">
        <f t="shared" si="28"/>
        <v/>
      </c>
      <c r="G480" s="70" t="str">
        <f t="shared" si="31"/>
        <v>Greenshade</v>
      </c>
      <c r="H480" s="70">
        <f t="shared" si="29"/>
        <v>858</v>
      </c>
      <c r="I480" s="70">
        <f t="shared" si="30"/>
        <v>108</v>
      </c>
      <c r="J480">
        <v>0</v>
      </c>
      <c r="K480" s="3" t="str">
        <f>VLOOKUP(J480,ConstDLCIds!$A$4:$B$1000,2,FALSE)</f>
        <v>DLC_BASE_GAME</v>
      </c>
      <c r="L480" s="3" t="str">
        <f>VLOOKUP(J480,ConstDLCIds!$A$4:$C$1000,3,FALSE)</f>
        <v>Included in base game</v>
      </c>
    </row>
    <row r="481" spans="1:12" x14ac:dyDescent="0.25">
      <c r="A481">
        <v>859</v>
      </c>
      <c r="B481">
        <v>476</v>
      </c>
      <c r="C481">
        <v>58</v>
      </c>
      <c r="D481" t="s">
        <v>2593</v>
      </c>
      <c r="E481" t="str">
        <f>IF(NOT(ISERROR(VLOOKUP(D481,'ESO DungeonFinder'!$A$2:$A$999,1,FALSE))),"X","")</f>
        <v/>
      </c>
      <c r="F481" s="70" t="str">
        <f t="shared" si="28"/>
        <v/>
      </c>
      <c r="G481" s="70" t="str">
        <f t="shared" si="31"/>
        <v>Malabal Tor</v>
      </c>
      <c r="H481" s="70">
        <f t="shared" si="29"/>
        <v>859</v>
      </c>
      <c r="I481" s="70">
        <f t="shared" si="30"/>
        <v>58</v>
      </c>
      <c r="J481">
        <v>0</v>
      </c>
      <c r="K481" s="3" t="str">
        <f>VLOOKUP(J481,ConstDLCIds!$A$4:$B$1000,2,FALSE)</f>
        <v>DLC_BASE_GAME</v>
      </c>
      <c r="L481" s="3" t="str">
        <f>VLOOKUP(J481,ConstDLCIds!$A$4:$C$1000,3,FALSE)</f>
        <v>Included in base game</v>
      </c>
    </row>
    <row r="482" spans="1:12" x14ac:dyDescent="0.25">
      <c r="A482">
        <v>860</v>
      </c>
      <c r="B482">
        <v>477</v>
      </c>
      <c r="C482">
        <v>383</v>
      </c>
      <c r="D482" t="s">
        <v>2594</v>
      </c>
      <c r="E482" t="str">
        <f>IF(NOT(ISERROR(VLOOKUP(D482,'ESO DungeonFinder'!$A$2:$A$999,1,FALSE))),"X","")</f>
        <v/>
      </c>
      <c r="F482" s="70" t="str">
        <f t="shared" si="28"/>
        <v/>
      </c>
      <c r="G482" s="70" t="str">
        <f t="shared" si="31"/>
        <v>Grahtwood</v>
      </c>
      <c r="H482" s="70">
        <f t="shared" si="29"/>
        <v>860</v>
      </c>
      <c r="I482" s="70">
        <f t="shared" si="30"/>
        <v>383</v>
      </c>
      <c r="J482">
        <v>0</v>
      </c>
      <c r="K482" s="3" t="str">
        <f>VLOOKUP(J482,ConstDLCIds!$A$4:$B$1000,2,FALSE)</f>
        <v>DLC_BASE_GAME</v>
      </c>
      <c r="L482" s="3" t="str">
        <f>VLOOKUP(J482,ConstDLCIds!$A$4:$C$1000,3,FALSE)</f>
        <v>Included in base game</v>
      </c>
    </row>
    <row r="483" spans="1:12" x14ac:dyDescent="0.25">
      <c r="A483">
        <v>861</v>
      </c>
      <c r="B483">
        <v>478</v>
      </c>
      <c r="C483">
        <v>108</v>
      </c>
      <c r="D483" t="s">
        <v>2595</v>
      </c>
      <c r="E483" t="str">
        <f>IF(NOT(ISERROR(VLOOKUP(D483,'ESO DungeonFinder'!$A$2:$A$999,1,FALSE))),"X","")</f>
        <v/>
      </c>
      <c r="F483" s="70" t="str">
        <f t="shared" si="28"/>
        <v/>
      </c>
      <c r="G483" s="70" t="str">
        <f t="shared" si="31"/>
        <v>Greenshade</v>
      </c>
      <c r="H483" s="70">
        <f t="shared" si="29"/>
        <v>861</v>
      </c>
      <c r="I483" s="70">
        <f t="shared" si="30"/>
        <v>108</v>
      </c>
      <c r="J483">
        <v>0</v>
      </c>
      <c r="K483" s="3" t="str">
        <f>VLOOKUP(J483,ConstDLCIds!$A$4:$B$1000,2,FALSE)</f>
        <v>DLC_BASE_GAME</v>
      </c>
      <c r="L483" s="3" t="str">
        <f>VLOOKUP(J483,ConstDLCIds!$A$4:$C$1000,3,FALSE)</f>
        <v>Included in base game</v>
      </c>
    </row>
    <row r="484" spans="1:12" x14ac:dyDescent="0.25">
      <c r="A484">
        <v>862</v>
      </c>
      <c r="B484">
        <v>479</v>
      </c>
      <c r="C484">
        <v>382</v>
      </c>
      <c r="D484" t="s">
        <v>2596</v>
      </c>
      <c r="E484" t="str">
        <f>IF(NOT(ISERROR(VLOOKUP(D484,'ESO DungeonFinder'!$A$2:$A$999,1,FALSE))),"X","")</f>
        <v/>
      </c>
      <c r="F484" s="70" t="str">
        <f t="shared" si="28"/>
        <v/>
      </c>
      <c r="G484" s="70" t="str">
        <f t="shared" si="31"/>
        <v>Reaper's March</v>
      </c>
      <c r="H484" s="70">
        <f t="shared" si="29"/>
        <v>862</v>
      </c>
      <c r="I484" s="70">
        <f t="shared" si="30"/>
        <v>382</v>
      </c>
      <c r="J484">
        <v>0</v>
      </c>
      <c r="K484" s="3" t="str">
        <f>VLOOKUP(J484,ConstDLCIds!$A$4:$B$1000,2,FALSE)</f>
        <v>DLC_BASE_GAME</v>
      </c>
      <c r="L484" s="3" t="str">
        <f>VLOOKUP(J484,ConstDLCIds!$A$4:$C$1000,3,FALSE)</f>
        <v>Included in base game</v>
      </c>
    </row>
    <row r="485" spans="1:12" x14ac:dyDescent="0.25">
      <c r="A485">
        <v>863</v>
      </c>
      <c r="B485">
        <v>480</v>
      </c>
      <c r="C485">
        <v>537</v>
      </c>
      <c r="D485" t="s">
        <v>2597</v>
      </c>
      <c r="E485" t="str">
        <f>IF(NOT(ISERROR(VLOOKUP(D485,'ESO DungeonFinder'!$A$2:$A$999,1,FALSE))),"X","")</f>
        <v/>
      </c>
      <c r="F485" s="70" t="str">
        <f t="shared" si="28"/>
        <v/>
      </c>
      <c r="G485" s="70" t="str">
        <f t="shared" si="31"/>
        <v>Khenarthi's Roost</v>
      </c>
      <c r="H485" s="70">
        <f t="shared" si="29"/>
        <v>863</v>
      </c>
      <c r="I485" s="70">
        <f t="shared" si="30"/>
        <v>537</v>
      </c>
      <c r="J485">
        <v>0</v>
      </c>
      <c r="K485" s="3" t="str">
        <f>VLOOKUP(J485,ConstDLCIds!$A$4:$B$1000,2,FALSE)</f>
        <v>DLC_BASE_GAME</v>
      </c>
      <c r="L485" s="3" t="str">
        <f>VLOOKUP(J485,ConstDLCIds!$A$4:$C$1000,3,FALSE)</f>
        <v>Included in base game</v>
      </c>
    </row>
    <row r="486" spans="1:12" x14ac:dyDescent="0.25">
      <c r="A486">
        <v>864</v>
      </c>
      <c r="B486">
        <v>481</v>
      </c>
      <c r="C486">
        <v>103</v>
      </c>
      <c r="D486" t="s">
        <v>2598</v>
      </c>
      <c r="E486" t="str">
        <f>IF(NOT(ISERROR(VLOOKUP(D486,'ESO DungeonFinder'!$A$2:$A$999,1,FALSE))),"X","")</f>
        <v/>
      </c>
      <c r="F486" s="70" t="str">
        <f t="shared" si="28"/>
        <v/>
      </c>
      <c r="G486" s="70" t="str">
        <f t="shared" si="31"/>
        <v>The Rift</v>
      </c>
      <c r="H486" s="70">
        <f t="shared" si="29"/>
        <v>864</v>
      </c>
      <c r="I486" s="70">
        <f t="shared" si="30"/>
        <v>103</v>
      </c>
      <c r="J486">
        <v>0</v>
      </c>
      <c r="K486" s="3" t="str">
        <f>VLOOKUP(J486,ConstDLCIds!$A$4:$B$1000,2,FALSE)</f>
        <v>DLC_BASE_GAME</v>
      </c>
      <c r="L486" s="3" t="str">
        <f>VLOOKUP(J486,ConstDLCIds!$A$4:$C$1000,3,FALSE)</f>
        <v>Included in base game</v>
      </c>
    </row>
    <row r="487" spans="1:12" x14ac:dyDescent="0.25">
      <c r="A487">
        <v>865</v>
      </c>
      <c r="B487">
        <v>482</v>
      </c>
      <c r="C487">
        <v>101</v>
      </c>
      <c r="D487" t="s">
        <v>2599</v>
      </c>
      <c r="E487" t="str">
        <f>IF(NOT(ISERROR(VLOOKUP(D487,'ESO DungeonFinder'!$A$2:$A$999,1,FALSE))),"X","")</f>
        <v/>
      </c>
      <c r="F487" s="70" t="str">
        <f t="shared" si="28"/>
        <v/>
      </c>
      <c r="G487" s="70" t="str">
        <f t="shared" si="31"/>
        <v>Eastmarch</v>
      </c>
      <c r="H487" s="70">
        <f t="shared" si="29"/>
        <v>865</v>
      </c>
      <c r="I487" s="70">
        <f t="shared" si="30"/>
        <v>101</v>
      </c>
      <c r="J487">
        <v>0</v>
      </c>
      <c r="K487" s="3" t="str">
        <f>VLOOKUP(J487,ConstDLCIds!$A$4:$B$1000,2,FALSE)</f>
        <v>DLC_BASE_GAME</v>
      </c>
      <c r="L487" s="3" t="str">
        <f>VLOOKUP(J487,ConstDLCIds!$A$4:$C$1000,3,FALSE)</f>
        <v>Included in base game</v>
      </c>
    </row>
    <row r="488" spans="1:12" x14ac:dyDescent="0.25">
      <c r="A488">
        <v>866</v>
      </c>
      <c r="B488">
        <v>483</v>
      </c>
      <c r="C488">
        <v>57</v>
      </c>
      <c r="D488" t="s">
        <v>2600</v>
      </c>
      <c r="E488" t="str">
        <f>IF(NOT(ISERROR(VLOOKUP(D488,'ESO DungeonFinder'!$A$2:$A$999,1,FALSE))),"X","")</f>
        <v/>
      </c>
      <c r="F488" s="70" t="str">
        <f t="shared" si="28"/>
        <v/>
      </c>
      <c r="G488" s="70" t="str">
        <f t="shared" si="31"/>
        <v>Deshaan</v>
      </c>
      <c r="H488" s="70">
        <f t="shared" si="29"/>
        <v>866</v>
      </c>
      <c r="I488" s="70">
        <f t="shared" si="30"/>
        <v>57</v>
      </c>
      <c r="J488">
        <v>0</v>
      </c>
      <c r="K488" s="3" t="str">
        <f>VLOOKUP(J488,ConstDLCIds!$A$4:$B$1000,2,FALSE)</f>
        <v>DLC_BASE_GAME</v>
      </c>
      <c r="L488" s="3" t="str">
        <f>VLOOKUP(J488,ConstDLCIds!$A$4:$C$1000,3,FALSE)</f>
        <v>Included in base game</v>
      </c>
    </row>
    <row r="489" spans="1:12" x14ac:dyDescent="0.25">
      <c r="A489">
        <v>867</v>
      </c>
      <c r="B489">
        <v>484</v>
      </c>
      <c r="C489">
        <v>41</v>
      </c>
      <c r="D489" t="s">
        <v>2601</v>
      </c>
      <c r="E489" t="str">
        <f>IF(NOT(ISERROR(VLOOKUP(D489,'ESO DungeonFinder'!$A$2:$A$999,1,FALSE))),"X","")</f>
        <v/>
      </c>
      <c r="F489" s="70" t="str">
        <f t="shared" si="28"/>
        <v/>
      </c>
      <c r="G489" s="70" t="str">
        <f t="shared" si="31"/>
        <v>Stonefalls</v>
      </c>
      <c r="H489" s="70">
        <f t="shared" si="29"/>
        <v>867</v>
      </c>
      <c r="I489" s="70">
        <f t="shared" si="30"/>
        <v>41</v>
      </c>
      <c r="J489">
        <v>0</v>
      </c>
      <c r="K489" s="3" t="str">
        <f>VLOOKUP(J489,ConstDLCIds!$A$4:$B$1000,2,FALSE)</f>
        <v>DLC_BASE_GAME</v>
      </c>
      <c r="L489" s="3" t="str">
        <f>VLOOKUP(J489,ConstDLCIds!$A$4:$C$1000,3,FALSE)</f>
        <v>Included in base game</v>
      </c>
    </row>
    <row r="490" spans="1:12" x14ac:dyDescent="0.25">
      <c r="A490">
        <v>868</v>
      </c>
      <c r="B490">
        <v>485</v>
      </c>
      <c r="C490">
        <v>281</v>
      </c>
      <c r="D490" t="s">
        <v>2602</v>
      </c>
      <c r="E490" t="str">
        <f>IF(NOT(ISERROR(VLOOKUP(D490,'ESO DungeonFinder'!$A$2:$A$999,1,FALSE))),"X","")</f>
        <v/>
      </c>
      <c r="F490" s="70" t="str">
        <f t="shared" si="28"/>
        <v/>
      </c>
      <c r="G490" s="70" t="str">
        <f t="shared" si="31"/>
        <v>Bal Foyen</v>
      </c>
      <c r="H490" s="70">
        <f t="shared" si="29"/>
        <v>868</v>
      </c>
      <c r="I490" s="70">
        <f t="shared" si="30"/>
        <v>281</v>
      </c>
      <c r="J490">
        <v>0</v>
      </c>
      <c r="K490" s="3" t="str">
        <f>VLOOKUP(J490,ConstDLCIds!$A$4:$B$1000,2,FALSE)</f>
        <v>DLC_BASE_GAME</v>
      </c>
      <c r="L490" s="3" t="str">
        <f>VLOOKUP(J490,ConstDLCIds!$A$4:$C$1000,3,FALSE)</f>
        <v>Included in base game</v>
      </c>
    </row>
    <row r="491" spans="1:12" x14ac:dyDescent="0.25">
      <c r="A491">
        <v>869</v>
      </c>
      <c r="B491">
        <v>486</v>
      </c>
      <c r="C491">
        <v>117</v>
      </c>
      <c r="D491" t="s">
        <v>2603</v>
      </c>
      <c r="E491" t="str">
        <f>IF(NOT(ISERROR(VLOOKUP(D491,'ESO DungeonFinder'!$A$2:$A$999,1,FALSE))),"X","")</f>
        <v/>
      </c>
      <c r="F491" s="70" t="str">
        <f t="shared" si="28"/>
        <v/>
      </c>
      <c r="G491" s="70" t="str">
        <f t="shared" si="31"/>
        <v>Shadowfen</v>
      </c>
      <c r="H491" s="70">
        <f t="shared" si="29"/>
        <v>869</v>
      </c>
      <c r="I491" s="70">
        <f t="shared" si="30"/>
        <v>117</v>
      </c>
      <c r="J491">
        <v>0</v>
      </c>
      <c r="K491" s="3" t="str">
        <f>VLOOKUP(J491,ConstDLCIds!$A$4:$B$1000,2,FALSE)</f>
        <v>DLC_BASE_GAME</v>
      </c>
      <c r="L491" s="3" t="str">
        <f>VLOOKUP(J491,ConstDLCIds!$A$4:$C$1000,3,FALSE)</f>
        <v>Included in base game</v>
      </c>
    </row>
    <row r="492" spans="1:12" x14ac:dyDescent="0.25">
      <c r="A492">
        <v>870</v>
      </c>
      <c r="B492">
        <v>487</v>
      </c>
      <c r="C492">
        <v>888</v>
      </c>
      <c r="D492" t="s">
        <v>2604</v>
      </c>
      <c r="E492" t="str">
        <f>IF(NOT(ISERROR(VLOOKUP(D492,'ESO DungeonFinder'!$A$2:$A$999,1,FALSE))),"X","")</f>
        <v/>
      </c>
      <c r="F492" s="70" t="str">
        <f t="shared" si="28"/>
        <v/>
      </c>
      <c r="G492" s="70" t="str">
        <f t="shared" si="31"/>
        <v>Craglorn</v>
      </c>
      <c r="H492" s="70">
        <f t="shared" si="29"/>
        <v>870</v>
      </c>
      <c r="I492" s="70">
        <f t="shared" si="30"/>
        <v>888</v>
      </c>
      <c r="J492">
        <v>0</v>
      </c>
      <c r="K492" s="3" t="str">
        <f>VLOOKUP(J492,ConstDLCIds!$A$4:$B$1000,2,FALSE)</f>
        <v>DLC_BASE_GAME</v>
      </c>
      <c r="L492" s="3" t="str">
        <f>VLOOKUP(J492,ConstDLCIds!$A$4:$C$1000,3,FALSE)</f>
        <v>Included in base game</v>
      </c>
    </row>
    <row r="493" spans="1:12" x14ac:dyDescent="0.25">
      <c r="A493">
        <v>871</v>
      </c>
      <c r="B493">
        <v>488</v>
      </c>
      <c r="C493">
        <v>58</v>
      </c>
      <c r="D493" t="s">
        <v>2605</v>
      </c>
      <c r="E493" t="str">
        <f>IF(NOT(ISERROR(VLOOKUP(D493,'ESO DungeonFinder'!$A$2:$A$999,1,FALSE))),"X","")</f>
        <v/>
      </c>
      <c r="F493" s="70" t="str">
        <f t="shared" si="28"/>
        <v/>
      </c>
      <c r="G493" s="70" t="str">
        <f t="shared" si="31"/>
        <v>Malabal Tor</v>
      </c>
      <c r="H493" s="70">
        <f t="shared" si="29"/>
        <v>871</v>
      </c>
      <c r="I493" s="70">
        <f t="shared" si="30"/>
        <v>58</v>
      </c>
      <c r="J493">
        <v>0</v>
      </c>
      <c r="K493" s="3" t="str">
        <f>VLOOKUP(J493,ConstDLCIds!$A$4:$B$1000,2,FALSE)</f>
        <v>DLC_BASE_GAME</v>
      </c>
      <c r="L493" s="3" t="str">
        <f>VLOOKUP(J493,ConstDLCIds!$A$4:$C$1000,3,FALSE)</f>
        <v>Included in base game</v>
      </c>
    </row>
    <row r="494" spans="1:12" x14ac:dyDescent="0.25">
      <c r="A494">
        <v>872</v>
      </c>
      <c r="B494">
        <v>489</v>
      </c>
      <c r="C494">
        <v>382</v>
      </c>
      <c r="D494" t="s">
        <v>2606</v>
      </c>
      <c r="E494" t="str">
        <f>IF(NOT(ISERROR(VLOOKUP(D494,'ESO DungeonFinder'!$A$2:$A$999,1,FALSE))),"X","")</f>
        <v/>
      </c>
      <c r="F494" s="70" t="str">
        <f t="shared" si="28"/>
        <v/>
      </c>
      <c r="G494" s="70" t="str">
        <f t="shared" si="31"/>
        <v>Reaper's March</v>
      </c>
      <c r="H494" s="70">
        <f t="shared" si="29"/>
        <v>872</v>
      </c>
      <c r="I494" s="70">
        <f t="shared" si="30"/>
        <v>382</v>
      </c>
      <c r="J494">
        <v>0</v>
      </c>
      <c r="K494" s="3" t="str">
        <f>VLOOKUP(J494,ConstDLCIds!$A$4:$B$1000,2,FALSE)</f>
        <v>DLC_BASE_GAME</v>
      </c>
      <c r="L494" s="3" t="str">
        <f>VLOOKUP(J494,ConstDLCIds!$A$4:$C$1000,3,FALSE)</f>
        <v>Included in base game</v>
      </c>
    </row>
    <row r="495" spans="1:12" x14ac:dyDescent="0.25">
      <c r="A495">
        <v>873</v>
      </c>
      <c r="B495">
        <v>490</v>
      </c>
      <c r="C495">
        <v>117</v>
      </c>
      <c r="D495" t="s">
        <v>2607</v>
      </c>
      <c r="E495" t="str">
        <f>IF(NOT(ISERROR(VLOOKUP(D495,'ESO DungeonFinder'!$A$2:$A$999,1,FALSE))),"X","")</f>
        <v/>
      </c>
      <c r="F495" s="70" t="str">
        <f t="shared" si="28"/>
        <v/>
      </c>
      <c r="G495" s="70" t="str">
        <f t="shared" si="31"/>
        <v>Shadowfen</v>
      </c>
      <c r="H495" s="70">
        <f t="shared" si="29"/>
        <v>873</v>
      </c>
      <c r="I495" s="70">
        <f t="shared" si="30"/>
        <v>117</v>
      </c>
      <c r="J495">
        <v>0</v>
      </c>
      <c r="K495" s="3" t="str">
        <f>VLOOKUP(J495,ConstDLCIds!$A$4:$B$1000,2,FALSE)</f>
        <v>DLC_BASE_GAME</v>
      </c>
      <c r="L495" s="3" t="str">
        <f>VLOOKUP(J495,ConstDLCIds!$A$4:$C$1000,3,FALSE)</f>
        <v>Included in base game</v>
      </c>
    </row>
    <row r="496" spans="1:12" x14ac:dyDescent="0.25">
      <c r="A496">
        <v>874</v>
      </c>
      <c r="B496">
        <v>491</v>
      </c>
      <c r="C496">
        <v>57</v>
      </c>
      <c r="D496" t="s">
        <v>2608</v>
      </c>
      <c r="E496" t="str">
        <f>IF(NOT(ISERROR(VLOOKUP(D496,'ESO DungeonFinder'!$A$2:$A$999,1,FALSE))),"X","")</f>
        <v/>
      </c>
      <c r="F496" s="70" t="str">
        <f t="shared" si="28"/>
        <v/>
      </c>
      <c r="G496" s="70" t="str">
        <f t="shared" si="31"/>
        <v>Deshaan</v>
      </c>
      <c r="H496" s="70">
        <f t="shared" si="29"/>
        <v>874</v>
      </c>
      <c r="I496" s="70">
        <f t="shared" si="30"/>
        <v>57</v>
      </c>
      <c r="J496">
        <v>0</v>
      </c>
      <c r="K496" s="3" t="str">
        <f>VLOOKUP(J496,ConstDLCIds!$A$4:$B$1000,2,FALSE)</f>
        <v>DLC_BASE_GAME</v>
      </c>
      <c r="L496" s="3" t="str">
        <f>VLOOKUP(J496,ConstDLCIds!$A$4:$C$1000,3,FALSE)</f>
        <v>Included in base game</v>
      </c>
    </row>
    <row r="497" spans="1:12" x14ac:dyDescent="0.25">
      <c r="A497">
        <v>875</v>
      </c>
      <c r="B497">
        <v>492</v>
      </c>
      <c r="C497">
        <v>103</v>
      </c>
      <c r="D497" t="s">
        <v>2609</v>
      </c>
      <c r="E497" t="str">
        <f>IF(NOT(ISERROR(VLOOKUP(D497,'ESO DungeonFinder'!$A$2:$A$999,1,FALSE))),"X","")</f>
        <v/>
      </c>
      <c r="F497" s="70" t="str">
        <f t="shared" si="28"/>
        <v/>
      </c>
      <c r="G497" s="70" t="str">
        <f t="shared" si="31"/>
        <v>The Rift</v>
      </c>
      <c r="H497" s="70">
        <f t="shared" si="29"/>
        <v>875</v>
      </c>
      <c r="I497" s="70">
        <f t="shared" si="30"/>
        <v>103</v>
      </c>
      <c r="J497">
        <v>0</v>
      </c>
      <c r="K497" s="3" t="str">
        <f>VLOOKUP(J497,ConstDLCIds!$A$4:$B$1000,2,FALSE)</f>
        <v>DLC_BASE_GAME</v>
      </c>
      <c r="L497" s="3" t="str">
        <f>VLOOKUP(J497,ConstDLCIds!$A$4:$C$1000,3,FALSE)</f>
        <v>Included in base game</v>
      </c>
    </row>
    <row r="498" spans="1:12" x14ac:dyDescent="0.25">
      <c r="A498">
        <v>876</v>
      </c>
      <c r="B498">
        <v>493</v>
      </c>
      <c r="C498">
        <v>382</v>
      </c>
      <c r="D498" t="s">
        <v>2610</v>
      </c>
      <c r="E498" t="str">
        <f>IF(NOT(ISERROR(VLOOKUP(D498,'ESO DungeonFinder'!$A$2:$A$999,1,FALSE))),"X","")</f>
        <v/>
      </c>
      <c r="F498" s="70" t="str">
        <f t="shared" si="28"/>
        <v/>
      </c>
      <c r="G498" s="70" t="str">
        <f t="shared" si="31"/>
        <v>Reaper's March</v>
      </c>
      <c r="H498" s="70">
        <f t="shared" si="29"/>
        <v>876</v>
      </c>
      <c r="I498" s="70">
        <f t="shared" si="30"/>
        <v>382</v>
      </c>
      <c r="J498">
        <v>0</v>
      </c>
      <c r="K498" s="3" t="str">
        <f>VLOOKUP(J498,ConstDLCIds!$A$4:$B$1000,2,FALSE)</f>
        <v>DLC_BASE_GAME</v>
      </c>
      <c r="L498" s="3" t="str">
        <f>VLOOKUP(J498,ConstDLCIds!$A$4:$C$1000,3,FALSE)</f>
        <v>Included in base game</v>
      </c>
    </row>
    <row r="499" spans="1:12" x14ac:dyDescent="0.25">
      <c r="A499">
        <v>877</v>
      </c>
      <c r="B499">
        <v>494</v>
      </c>
      <c r="C499">
        <v>383</v>
      </c>
      <c r="D499" t="s">
        <v>2611</v>
      </c>
      <c r="E499" t="str">
        <f>IF(NOT(ISERROR(VLOOKUP(D499,'ESO DungeonFinder'!$A$2:$A$999,1,FALSE))),"X","")</f>
        <v/>
      </c>
      <c r="F499" s="70" t="str">
        <f t="shared" si="28"/>
        <v/>
      </c>
      <c r="G499" s="70" t="str">
        <f t="shared" si="31"/>
        <v>Grahtwood</v>
      </c>
      <c r="H499" s="70">
        <f t="shared" si="29"/>
        <v>877</v>
      </c>
      <c r="I499" s="70">
        <f t="shared" si="30"/>
        <v>383</v>
      </c>
      <c r="J499">
        <v>0</v>
      </c>
      <c r="K499" s="3" t="str">
        <f>VLOOKUP(J499,ConstDLCIds!$A$4:$B$1000,2,FALSE)</f>
        <v>DLC_BASE_GAME</v>
      </c>
      <c r="L499" s="3" t="str">
        <f>VLOOKUP(J499,ConstDLCIds!$A$4:$C$1000,3,FALSE)</f>
        <v>Included in base game</v>
      </c>
    </row>
    <row r="500" spans="1:12" x14ac:dyDescent="0.25">
      <c r="A500">
        <v>878</v>
      </c>
      <c r="B500">
        <v>495</v>
      </c>
      <c r="C500">
        <v>381</v>
      </c>
      <c r="D500" t="s">
        <v>2612</v>
      </c>
      <c r="E500" t="str">
        <f>IF(NOT(ISERROR(VLOOKUP(D500,'ESO DungeonFinder'!$A$2:$A$999,1,FALSE))),"X","")</f>
        <v/>
      </c>
      <c r="F500" s="70" t="str">
        <f t="shared" si="28"/>
        <v/>
      </c>
      <c r="G500" s="70" t="str">
        <f t="shared" si="31"/>
        <v>Auridon</v>
      </c>
      <c r="H500" s="70">
        <f t="shared" si="29"/>
        <v>878</v>
      </c>
      <c r="I500" s="70">
        <f t="shared" si="30"/>
        <v>381</v>
      </c>
      <c r="J500">
        <v>0</v>
      </c>
      <c r="K500" s="3" t="str">
        <f>VLOOKUP(J500,ConstDLCIds!$A$4:$B$1000,2,FALSE)</f>
        <v>DLC_BASE_GAME</v>
      </c>
      <c r="L500" s="3" t="str">
        <f>VLOOKUP(J500,ConstDLCIds!$A$4:$C$1000,3,FALSE)</f>
        <v>Included in base game</v>
      </c>
    </row>
    <row r="501" spans="1:12" x14ac:dyDescent="0.25">
      <c r="A501">
        <v>879</v>
      </c>
      <c r="B501">
        <v>496</v>
      </c>
      <c r="C501">
        <v>534</v>
      </c>
      <c r="D501" t="s">
        <v>2613</v>
      </c>
      <c r="E501" t="str">
        <f>IF(NOT(ISERROR(VLOOKUP(D501,'ESO DungeonFinder'!$A$2:$A$999,1,FALSE))),"X","")</f>
        <v/>
      </c>
      <c r="F501" s="70" t="str">
        <f t="shared" si="28"/>
        <v/>
      </c>
      <c r="G501" s="70" t="str">
        <f t="shared" si="31"/>
        <v>Stros M'Kai</v>
      </c>
      <c r="H501" s="70">
        <f t="shared" si="29"/>
        <v>879</v>
      </c>
      <c r="I501" s="70">
        <f t="shared" si="30"/>
        <v>534</v>
      </c>
      <c r="J501">
        <v>22</v>
      </c>
      <c r="K501" s="3" t="str">
        <f ca="1">VLOOKUP(J501,ConstDLCIds!$A$4:$B$1000,2,FALSE)</f>
        <v>DLC_BLACKWOOD</v>
      </c>
      <c r="L501" s="3" t="str">
        <f ca="1">VLOOKUP(J501,ConstDLCIds!$A$4:$C$1000,3,FALSE)</f>
        <v>Blackwood</v>
      </c>
    </row>
    <row r="502" spans="1:12" x14ac:dyDescent="0.25">
      <c r="A502">
        <v>880</v>
      </c>
      <c r="B502">
        <v>497</v>
      </c>
      <c r="C502">
        <v>92</v>
      </c>
      <c r="D502" t="s">
        <v>2614</v>
      </c>
      <c r="E502" t="str">
        <f>IF(NOT(ISERROR(VLOOKUP(D502,'ESO DungeonFinder'!$A$2:$A$999,1,FALSE))),"X","")</f>
        <v/>
      </c>
      <c r="F502" s="70" t="str">
        <f t="shared" si="28"/>
        <v/>
      </c>
      <c r="G502" s="70" t="str">
        <f t="shared" si="31"/>
        <v>Bangkorai</v>
      </c>
      <c r="H502" s="70">
        <f t="shared" si="29"/>
        <v>880</v>
      </c>
      <c r="I502" s="70">
        <f t="shared" si="30"/>
        <v>92</v>
      </c>
      <c r="J502">
        <v>0</v>
      </c>
      <c r="K502" s="3" t="str">
        <f>VLOOKUP(J502,ConstDLCIds!$A$4:$B$1000,2,FALSE)</f>
        <v>DLC_BASE_GAME</v>
      </c>
      <c r="L502" s="3" t="str">
        <f>VLOOKUP(J502,ConstDLCIds!$A$4:$C$1000,3,FALSE)</f>
        <v>Included in base game</v>
      </c>
    </row>
    <row r="503" spans="1:12" x14ac:dyDescent="0.25">
      <c r="A503">
        <v>881</v>
      </c>
      <c r="B503">
        <v>498</v>
      </c>
      <c r="C503">
        <v>19</v>
      </c>
      <c r="D503" t="s">
        <v>2615</v>
      </c>
      <c r="E503" t="str">
        <f>IF(NOT(ISERROR(VLOOKUP(D503,'ESO DungeonFinder'!$A$2:$A$999,1,FALSE))),"X","")</f>
        <v/>
      </c>
      <c r="F503" s="70" t="str">
        <f t="shared" si="28"/>
        <v/>
      </c>
      <c r="G503" s="70" t="str">
        <f t="shared" si="31"/>
        <v>Stormhaven</v>
      </c>
      <c r="H503" s="70">
        <f t="shared" si="29"/>
        <v>881</v>
      </c>
      <c r="I503" s="70">
        <f t="shared" si="30"/>
        <v>19</v>
      </c>
      <c r="J503">
        <v>0</v>
      </c>
      <c r="K503" s="3" t="str">
        <f>VLOOKUP(J503,ConstDLCIds!$A$4:$B$1000,2,FALSE)</f>
        <v>DLC_BASE_GAME</v>
      </c>
      <c r="L503" s="3" t="str">
        <f>VLOOKUP(J503,ConstDLCIds!$A$4:$C$1000,3,FALSE)</f>
        <v>Included in base game</v>
      </c>
    </row>
    <row r="504" spans="1:12" x14ac:dyDescent="0.25">
      <c r="A504">
        <v>882</v>
      </c>
      <c r="B504">
        <v>499</v>
      </c>
      <c r="C504">
        <v>383</v>
      </c>
      <c r="D504" t="s">
        <v>2616</v>
      </c>
      <c r="E504" t="str">
        <f>IF(NOT(ISERROR(VLOOKUP(D504,'ESO DungeonFinder'!$A$2:$A$999,1,FALSE))),"X","")</f>
        <v/>
      </c>
      <c r="F504" s="70" t="str">
        <f t="shared" si="28"/>
        <v/>
      </c>
      <c r="G504" s="70" t="str">
        <f t="shared" si="31"/>
        <v>Grahtwood</v>
      </c>
      <c r="H504" s="70">
        <f t="shared" si="29"/>
        <v>882</v>
      </c>
      <c r="I504" s="70">
        <f t="shared" si="30"/>
        <v>383</v>
      </c>
      <c r="J504">
        <v>0</v>
      </c>
      <c r="K504" s="3" t="str">
        <f>VLOOKUP(J504,ConstDLCIds!$A$4:$B$1000,2,FALSE)</f>
        <v>DLC_BASE_GAME</v>
      </c>
      <c r="L504" s="3" t="str">
        <f>VLOOKUP(J504,ConstDLCIds!$A$4:$C$1000,3,FALSE)</f>
        <v>Included in base game</v>
      </c>
    </row>
    <row r="505" spans="1:12" x14ac:dyDescent="0.25">
      <c r="A505">
        <v>883</v>
      </c>
      <c r="B505">
        <v>500</v>
      </c>
      <c r="C505">
        <v>888</v>
      </c>
      <c r="D505" t="s">
        <v>2617</v>
      </c>
      <c r="E505" t="str">
        <f>IF(NOT(ISERROR(VLOOKUP(D505,'ESO DungeonFinder'!$A$2:$A$999,1,FALSE))),"X","")</f>
        <v/>
      </c>
      <c r="F505" s="70" t="str">
        <f t="shared" si="28"/>
        <v/>
      </c>
      <c r="G505" s="70" t="str">
        <f t="shared" si="31"/>
        <v>Craglorn</v>
      </c>
      <c r="H505" s="70">
        <f t="shared" si="29"/>
        <v>883</v>
      </c>
      <c r="I505" s="70">
        <f t="shared" si="30"/>
        <v>888</v>
      </c>
      <c r="J505">
        <v>0</v>
      </c>
      <c r="K505" s="3" t="str">
        <f>VLOOKUP(J505,ConstDLCIds!$A$4:$B$1000,2,FALSE)</f>
        <v>DLC_BASE_GAME</v>
      </c>
      <c r="L505" s="3" t="str">
        <f>VLOOKUP(J505,ConstDLCIds!$A$4:$C$1000,3,FALSE)</f>
        <v>Included in base game</v>
      </c>
    </row>
    <row r="506" spans="1:12" x14ac:dyDescent="0.25">
      <c r="A506">
        <v>888</v>
      </c>
      <c r="B506">
        <v>501</v>
      </c>
      <c r="C506">
        <v>888</v>
      </c>
      <c r="D506" t="s">
        <v>686</v>
      </c>
      <c r="E506" t="str">
        <f>IF(NOT(ISERROR(VLOOKUP(D506,'ESO DungeonFinder'!$A$2:$A$999,1,FALSE))),"X","")</f>
        <v/>
      </c>
      <c r="F506" s="70" t="str">
        <f t="shared" si="28"/>
        <v>X</v>
      </c>
      <c r="G506" s="70" t="str">
        <f t="shared" si="31"/>
        <v/>
      </c>
      <c r="H506" s="70">
        <f t="shared" si="29"/>
        <v>888</v>
      </c>
      <c r="I506" s="70">
        <f t="shared" si="30"/>
        <v>888</v>
      </c>
      <c r="J506">
        <v>22</v>
      </c>
      <c r="K506" s="3" t="str">
        <f ca="1">VLOOKUP(J506,ConstDLCIds!$A$4:$B$1000,2,FALSE)</f>
        <v>DLC_BLACKWOOD</v>
      </c>
      <c r="L506" s="3" t="str">
        <f ca="1">VLOOKUP(J506,ConstDLCIds!$A$4:$C$1000,3,FALSE)</f>
        <v>Blackwood</v>
      </c>
    </row>
    <row r="507" spans="1:12" x14ac:dyDescent="0.25">
      <c r="A507">
        <v>889</v>
      </c>
      <c r="B507">
        <v>502</v>
      </c>
      <c r="C507">
        <v>888</v>
      </c>
      <c r="D507" t="s">
        <v>2618</v>
      </c>
      <c r="E507" t="str">
        <f>IF(NOT(ISERROR(VLOOKUP(D507,'ESO DungeonFinder'!$A$2:$A$999,1,FALSE))),"X","")</f>
        <v/>
      </c>
      <c r="F507" s="70" t="str">
        <f t="shared" si="28"/>
        <v/>
      </c>
      <c r="G507" s="70" t="str">
        <f t="shared" si="31"/>
        <v>Craglorn</v>
      </c>
      <c r="H507" s="70">
        <f t="shared" si="29"/>
        <v>889</v>
      </c>
      <c r="I507" s="70">
        <f t="shared" si="30"/>
        <v>888</v>
      </c>
      <c r="J507">
        <v>0</v>
      </c>
      <c r="K507" s="3" t="str">
        <f>VLOOKUP(J507,ConstDLCIds!$A$4:$B$1000,2,FALSE)</f>
        <v>DLC_BASE_GAME</v>
      </c>
      <c r="L507" s="3" t="str">
        <f>VLOOKUP(J507,ConstDLCIds!$A$4:$C$1000,3,FALSE)</f>
        <v>Included in base game</v>
      </c>
    </row>
    <row r="508" spans="1:12" x14ac:dyDescent="0.25">
      <c r="A508">
        <v>890</v>
      </c>
      <c r="B508">
        <v>503</v>
      </c>
      <c r="C508">
        <v>888</v>
      </c>
      <c r="D508" t="s">
        <v>2619</v>
      </c>
      <c r="E508" t="str">
        <f>IF(NOT(ISERROR(VLOOKUP(D508,'ESO DungeonFinder'!$A$2:$A$999,1,FALSE))),"X","")</f>
        <v/>
      </c>
      <c r="F508" s="70" t="str">
        <f t="shared" si="28"/>
        <v/>
      </c>
      <c r="G508" s="70" t="str">
        <f t="shared" si="31"/>
        <v>Craglorn</v>
      </c>
      <c r="H508" s="70">
        <f t="shared" si="29"/>
        <v>890</v>
      </c>
      <c r="I508" s="70">
        <f t="shared" si="30"/>
        <v>888</v>
      </c>
      <c r="J508">
        <v>0</v>
      </c>
      <c r="K508" s="3" t="str">
        <f>VLOOKUP(J508,ConstDLCIds!$A$4:$B$1000,2,FALSE)</f>
        <v>DLC_BASE_GAME</v>
      </c>
      <c r="L508" s="3" t="str">
        <f>VLOOKUP(J508,ConstDLCIds!$A$4:$C$1000,3,FALSE)</f>
        <v>Included in base game</v>
      </c>
    </row>
    <row r="509" spans="1:12" x14ac:dyDescent="0.25">
      <c r="A509">
        <v>891</v>
      </c>
      <c r="B509">
        <v>504</v>
      </c>
      <c r="C509">
        <v>888</v>
      </c>
      <c r="D509" t="s">
        <v>2620</v>
      </c>
      <c r="E509" t="str">
        <f>IF(NOT(ISERROR(VLOOKUP(D509,'ESO DungeonFinder'!$A$2:$A$999,1,FALSE))),"X","")</f>
        <v/>
      </c>
      <c r="F509" s="70" t="str">
        <f t="shared" si="28"/>
        <v/>
      </c>
      <c r="G509" s="70" t="str">
        <f t="shared" si="31"/>
        <v>Craglorn</v>
      </c>
      <c r="H509" s="70">
        <f t="shared" si="29"/>
        <v>891</v>
      </c>
      <c r="I509" s="70">
        <f t="shared" si="30"/>
        <v>888</v>
      </c>
      <c r="J509">
        <v>0</v>
      </c>
      <c r="K509" s="3" t="str">
        <f>VLOOKUP(J509,ConstDLCIds!$A$4:$B$1000,2,FALSE)</f>
        <v>DLC_BASE_GAME</v>
      </c>
      <c r="L509" s="3" t="str">
        <f>VLOOKUP(J509,ConstDLCIds!$A$4:$C$1000,3,FALSE)</f>
        <v>Included in base game</v>
      </c>
    </row>
    <row r="510" spans="1:12" x14ac:dyDescent="0.25">
      <c r="A510">
        <v>892</v>
      </c>
      <c r="B510">
        <v>505</v>
      </c>
      <c r="C510">
        <v>888</v>
      </c>
      <c r="D510" t="s">
        <v>2621</v>
      </c>
      <c r="E510" t="str">
        <f>IF(NOT(ISERROR(VLOOKUP(D510,'ESO DungeonFinder'!$A$2:$A$999,1,FALSE))),"X","")</f>
        <v/>
      </c>
      <c r="F510" s="70" t="str">
        <f t="shared" si="28"/>
        <v/>
      </c>
      <c r="G510" s="70" t="str">
        <f t="shared" si="31"/>
        <v>Craglorn</v>
      </c>
      <c r="H510" s="70">
        <f t="shared" si="29"/>
        <v>892</v>
      </c>
      <c r="I510" s="70">
        <f t="shared" si="30"/>
        <v>888</v>
      </c>
      <c r="J510">
        <v>0</v>
      </c>
      <c r="K510" s="3" t="str">
        <f>VLOOKUP(J510,ConstDLCIds!$A$4:$B$1000,2,FALSE)</f>
        <v>DLC_BASE_GAME</v>
      </c>
      <c r="L510" s="3" t="str">
        <f>VLOOKUP(J510,ConstDLCIds!$A$4:$C$1000,3,FALSE)</f>
        <v>Included in base game</v>
      </c>
    </row>
    <row r="511" spans="1:12" x14ac:dyDescent="0.25">
      <c r="A511">
        <v>893</v>
      </c>
      <c r="B511">
        <v>506</v>
      </c>
      <c r="C511">
        <v>888</v>
      </c>
      <c r="D511" t="s">
        <v>2622</v>
      </c>
      <c r="E511" t="str">
        <f>IF(NOT(ISERROR(VLOOKUP(D511,'ESO DungeonFinder'!$A$2:$A$999,1,FALSE))),"X","")</f>
        <v/>
      </c>
      <c r="F511" s="70" t="str">
        <f t="shared" si="28"/>
        <v/>
      </c>
      <c r="G511" s="70" t="str">
        <f t="shared" si="31"/>
        <v>Craglorn</v>
      </c>
      <c r="H511" s="70">
        <f t="shared" si="29"/>
        <v>893</v>
      </c>
      <c r="I511" s="70">
        <f t="shared" si="30"/>
        <v>888</v>
      </c>
      <c r="J511">
        <v>0</v>
      </c>
      <c r="K511" s="3" t="str">
        <f>VLOOKUP(J511,ConstDLCIds!$A$4:$B$1000,2,FALSE)</f>
        <v>DLC_BASE_GAME</v>
      </c>
      <c r="L511" s="3" t="str">
        <f>VLOOKUP(J511,ConstDLCIds!$A$4:$C$1000,3,FALSE)</f>
        <v>Included in base game</v>
      </c>
    </row>
    <row r="512" spans="1:12" x14ac:dyDescent="0.25">
      <c r="A512">
        <v>894</v>
      </c>
      <c r="B512">
        <v>507</v>
      </c>
      <c r="C512">
        <v>888</v>
      </c>
      <c r="D512" t="s">
        <v>2623</v>
      </c>
      <c r="E512" t="str">
        <f>IF(NOT(ISERROR(VLOOKUP(D512,'ESO DungeonFinder'!$A$2:$A$999,1,FALSE))),"X","")</f>
        <v/>
      </c>
      <c r="F512" s="70" t="str">
        <f t="shared" si="28"/>
        <v/>
      </c>
      <c r="G512" s="70" t="str">
        <f t="shared" si="31"/>
        <v>Craglorn</v>
      </c>
      <c r="H512" s="70">
        <f t="shared" si="29"/>
        <v>894</v>
      </c>
      <c r="I512" s="70">
        <f t="shared" si="30"/>
        <v>888</v>
      </c>
      <c r="J512">
        <v>0</v>
      </c>
      <c r="K512" s="3" t="str">
        <f>VLOOKUP(J512,ConstDLCIds!$A$4:$B$1000,2,FALSE)</f>
        <v>DLC_BASE_GAME</v>
      </c>
      <c r="L512" s="3" t="str">
        <f>VLOOKUP(J512,ConstDLCIds!$A$4:$C$1000,3,FALSE)</f>
        <v>Included in base game</v>
      </c>
    </row>
    <row r="513" spans="1:12" x14ac:dyDescent="0.25">
      <c r="A513">
        <v>895</v>
      </c>
      <c r="B513">
        <v>508</v>
      </c>
      <c r="C513">
        <v>888</v>
      </c>
      <c r="D513" t="s">
        <v>2624</v>
      </c>
      <c r="E513" t="str">
        <f>IF(NOT(ISERROR(VLOOKUP(D513,'ESO DungeonFinder'!$A$2:$A$999,1,FALSE))),"X","")</f>
        <v/>
      </c>
      <c r="F513" s="70" t="str">
        <f t="shared" si="28"/>
        <v/>
      </c>
      <c r="G513" s="70" t="str">
        <f t="shared" si="31"/>
        <v>Craglorn</v>
      </c>
      <c r="H513" s="70">
        <f t="shared" si="29"/>
        <v>895</v>
      </c>
      <c r="I513" s="70">
        <f t="shared" si="30"/>
        <v>888</v>
      </c>
      <c r="J513">
        <v>0</v>
      </c>
      <c r="K513" s="3" t="str">
        <f>VLOOKUP(J513,ConstDLCIds!$A$4:$B$1000,2,FALSE)</f>
        <v>DLC_BASE_GAME</v>
      </c>
      <c r="L513" s="3" t="str">
        <f>VLOOKUP(J513,ConstDLCIds!$A$4:$C$1000,3,FALSE)</f>
        <v>Included in base game</v>
      </c>
    </row>
    <row r="514" spans="1:12" x14ac:dyDescent="0.25">
      <c r="A514">
        <v>896</v>
      </c>
      <c r="B514">
        <v>509</v>
      </c>
      <c r="C514">
        <v>888</v>
      </c>
      <c r="D514" t="s">
        <v>2625</v>
      </c>
      <c r="E514" t="str">
        <f>IF(NOT(ISERROR(VLOOKUP(D514,'ESO DungeonFinder'!$A$2:$A$999,1,FALSE))),"X","")</f>
        <v/>
      </c>
      <c r="F514" s="70" t="str">
        <f t="shared" si="28"/>
        <v/>
      </c>
      <c r="G514" s="70" t="str">
        <f t="shared" si="31"/>
        <v>Craglorn</v>
      </c>
      <c r="H514" s="70">
        <f t="shared" si="29"/>
        <v>896</v>
      </c>
      <c r="I514" s="70">
        <f t="shared" si="30"/>
        <v>888</v>
      </c>
      <c r="J514">
        <v>0</v>
      </c>
      <c r="K514" s="3" t="str">
        <f>VLOOKUP(J514,ConstDLCIds!$A$4:$B$1000,2,FALSE)</f>
        <v>DLC_BASE_GAME</v>
      </c>
      <c r="L514" s="3" t="str">
        <f>VLOOKUP(J514,ConstDLCIds!$A$4:$C$1000,3,FALSE)</f>
        <v>Included in base game</v>
      </c>
    </row>
    <row r="515" spans="1:12" x14ac:dyDescent="0.25">
      <c r="A515">
        <v>897</v>
      </c>
      <c r="B515">
        <v>510</v>
      </c>
      <c r="C515">
        <v>888</v>
      </c>
      <c r="D515" t="s">
        <v>2626</v>
      </c>
      <c r="E515" t="str">
        <f>IF(NOT(ISERROR(VLOOKUP(D515,'ESO DungeonFinder'!$A$2:$A$999,1,FALSE))),"X","")</f>
        <v/>
      </c>
      <c r="F515" s="70" t="str">
        <f t="shared" si="28"/>
        <v/>
      </c>
      <c r="G515" s="70" t="str">
        <f t="shared" si="31"/>
        <v>Craglorn</v>
      </c>
      <c r="H515" s="70">
        <f t="shared" si="29"/>
        <v>897</v>
      </c>
      <c r="I515" s="70">
        <f t="shared" si="30"/>
        <v>888</v>
      </c>
      <c r="J515">
        <v>0</v>
      </c>
      <c r="K515" s="3" t="str">
        <f>VLOOKUP(J515,ConstDLCIds!$A$4:$B$1000,2,FALSE)</f>
        <v>DLC_BASE_GAME</v>
      </c>
      <c r="L515" s="3" t="str">
        <f>VLOOKUP(J515,ConstDLCIds!$A$4:$C$1000,3,FALSE)</f>
        <v>Included in base game</v>
      </c>
    </row>
    <row r="516" spans="1:12" x14ac:dyDescent="0.25">
      <c r="A516">
        <v>898</v>
      </c>
      <c r="B516">
        <v>511</v>
      </c>
      <c r="C516">
        <v>888</v>
      </c>
      <c r="D516" t="s">
        <v>2627</v>
      </c>
      <c r="E516" t="str">
        <f>IF(NOT(ISERROR(VLOOKUP(D516,'ESO DungeonFinder'!$A$2:$A$999,1,FALSE))),"X","")</f>
        <v/>
      </c>
      <c r="F516" s="70" t="str">
        <f t="shared" si="28"/>
        <v/>
      </c>
      <c r="G516" s="70" t="str">
        <f t="shared" si="31"/>
        <v>Craglorn</v>
      </c>
      <c r="H516" s="70">
        <f t="shared" si="29"/>
        <v>898</v>
      </c>
      <c r="I516" s="70">
        <f t="shared" si="30"/>
        <v>888</v>
      </c>
      <c r="J516">
        <v>0</v>
      </c>
      <c r="K516" s="3" t="str">
        <f>VLOOKUP(J516,ConstDLCIds!$A$4:$B$1000,2,FALSE)</f>
        <v>DLC_BASE_GAME</v>
      </c>
      <c r="L516" s="3" t="str">
        <f>VLOOKUP(J516,ConstDLCIds!$A$4:$C$1000,3,FALSE)</f>
        <v>Included in base game</v>
      </c>
    </row>
    <row r="517" spans="1:12" x14ac:dyDescent="0.25">
      <c r="A517">
        <v>899</v>
      </c>
      <c r="B517">
        <v>512</v>
      </c>
      <c r="C517">
        <v>888</v>
      </c>
      <c r="D517" t="s">
        <v>2628</v>
      </c>
      <c r="E517" t="str">
        <f>IF(NOT(ISERROR(VLOOKUP(D517,'ESO DungeonFinder'!$A$2:$A$999,1,FALSE))),"X","")</f>
        <v/>
      </c>
      <c r="F517" s="70" t="str">
        <f t="shared" ref="F517:F580" si="32">IF(EXACT(A517,C517),"X","")</f>
        <v/>
      </c>
      <c r="G517" s="70" t="str">
        <f t="shared" si="31"/>
        <v>Craglorn</v>
      </c>
      <c r="H517" s="70">
        <f t="shared" ref="H517:H580" si="33">A517</f>
        <v>899</v>
      </c>
      <c r="I517" s="70">
        <f t="shared" ref="I517:I580" si="34">C517</f>
        <v>888</v>
      </c>
      <c r="J517">
        <v>0</v>
      </c>
      <c r="K517" s="3" t="str">
        <f>VLOOKUP(J517,ConstDLCIds!$A$4:$B$1000,2,FALSE)</f>
        <v>DLC_BASE_GAME</v>
      </c>
      <c r="L517" s="3" t="str">
        <f>VLOOKUP(J517,ConstDLCIds!$A$4:$C$1000,3,FALSE)</f>
        <v>Included in base game</v>
      </c>
    </row>
    <row r="518" spans="1:12" x14ac:dyDescent="0.25">
      <c r="A518">
        <v>900</v>
      </c>
      <c r="B518">
        <v>513</v>
      </c>
      <c r="C518">
        <v>888</v>
      </c>
      <c r="D518" t="s">
        <v>2629</v>
      </c>
      <c r="E518" t="str">
        <f>IF(NOT(ISERROR(VLOOKUP(D518,'ESO DungeonFinder'!$A$2:$A$999,1,FALSE))),"X","")</f>
        <v/>
      </c>
      <c r="F518" s="70" t="str">
        <f t="shared" si="32"/>
        <v/>
      </c>
      <c r="G518" s="70" t="str">
        <f t="shared" ref="G518:G581" si="35">IF(A518&lt;&gt;C518,VLOOKUP(C518,$A$5:$D$9956,4,FALSE),"")</f>
        <v>Craglorn</v>
      </c>
      <c r="H518" s="70">
        <f t="shared" si="33"/>
        <v>900</v>
      </c>
      <c r="I518" s="70">
        <f t="shared" si="34"/>
        <v>888</v>
      </c>
      <c r="J518">
        <v>0</v>
      </c>
      <c r="K518" s="3" t="str">
        <f>VLOOKUP(J518,ConstDLCIds!$A$4:$B$1000,2,FALSE)</f>
        <v>DLC_BASE_GAME</v>
      </c>
      <c r="L518" s="3" t="str">
        <f>VLOOKUP(J518,ConstDLCIds!$A$4:$C$1000,3,FALSE)</f>
        <v>Included in base game</v>
      </c>
    </row>
    <row r="519" spans="1:12" x14ac:dyDescent="0.25">
      <c r="A519">
        <v>901</v>
      </c>
      <c r="B519">
        <v>514</v>
      </c>
      <c r="C519">
        <v>888</v>
      </c>
      <c r="D519" t="s">
        <v>2630</v>
      </c>
      <c r="E519" t="str">
        <f>IF(NOT(ISERROR(VLOOKUP(D519,'ESO DungeonFinder'!$A$2:$A$999,1,FALSE))),"X","")</f>
        <v/>
      </c>
      <c r="F519" s="70" t="str">
        <f t="shared" si="32"/>
        <v/>
      </c>
      <c r="G519" s="70" t="str">
        <f t="shared" si="35"/>
        <v>Craglorn</v>
      </c>
      <c r="H519" s="70">
        <f t="shared" si="33"/>
        <v>901</v>
      </c>
      <c r="I519" s="70">
        <f t="shared" si="34"/>
        <v>888</v>
      </c>
      <c r="J519">
        <v>0</v>
      </c>
      <c r="K519" s="3" t="str">
        <f>VLOOKUP(J519,ConstDLCIds!$A$4:$B$1000,2,FALSE)</f>
        <v>DLC_BASE_GAME</v>
      </c>
      <c r="L519" s="3" t="str">
        <f>VLOOKUP(J519,ConstDLCIds!$A$4:$C$1000,3,FALSE)</f>
        <v>Included in base game</v>
      </c>
    </row>
    <row r="520" spans="1:12" x14ac:dyDescent="0.25">
      <c r="A520">
        <v>902</v>
      </c>
      <c r="B520">
        <v>515</v>
      </c>
      <c r="C520">
        <v>888</v>
      </c>
      <c r="D520" t="s">
        <v>2631</v>
      </c>
      <c r="E520" t="str">
        <f>IF(NOT(ISERROR(VLOOKUP(D520,'ESO DungeonFinder'!$A$2:$A$999,1,FALSE))),"X","")</f>
        <v/>
      </c>
      <c r="F520" s="70" t="str">
        <f t="shared" si="32"/>
        <v/>
      </c>
      <c r="G520" s="70" t="str">
        <f t="shared" si="35"/>
        <v>Craglorn</v>
      </c>
      <c r="H520" s="70">
        <f t="shared" si="33"/>
        <v>902</v>
      </c>
      <c r="I520" s="70">
        <f t="shared" si="34"/>
        <v>888</v>
      </c>
      <c r="J520">
        <v>0</v>
      </c>
      <c r="K520" s="3" t="str">
        <f>VLOOKUP(J520,ConstDLCIds!$A$4:$B$1000,2,FALSE)</f>
        <v>DLC_BASE_GAME</v>
      </c>
      <c r="L520" s="3" t="str">
        <f>VLOOKUP(J520,ConstDLCIds!$A$4:$C$1000,3,FALSE)</f>
        <v>Included in base game</v>
      </c>
    </row>
    <row r="521" spans="1:12" x14ac:dyDescent="0.25">
      <c r="A521">
        <v>903</v>
      </c>
      <c r="B521">
        <v>516</v>
      </c>
      <c r="C521">
        <v>888</v>
      </c>
      <c r="D521" t="s">
        <v>2632</v>
      </c>
      <c r="E521" t="str">
        <f>IF(NOT(ISERROR(VLOOKUP(D521,'ESO DungeonFinder'!$A$2:$A$999,1,FALSE))),"X","")</f>
        <v/>
      </c>
      <c r="F521" s="70" t="str">
        <f t="shared" si="32"/>
        <v/>
      </c>
      <c r="G521" s="70" t="str">
        <f t="shared" si="35"/>
        <v>Craglorn</v>
      </c>
      <c r="H521" s="70">
        <f t="shared" si="33"/>
        <v>903</v>
      </c>
      <c r="I521" s="70">
        <f t="shared" si="34"/>
        <v>888</v>
      </c>
      <c r="J521">
        <v>0</v>
      </c>
      <c r="K521" s="3" t="str">
        <f>VLOOKUP(J521,ConstDLCIds!$A$4:$B$1000,2,FALSE)</f>
        <v>DLC_BASE_GAME</v>
      </c>
      <c r="L521" s="3" t="str">
        <f>VLOOKUP(J521,ConstDLCIds!$A$4:$C$1000,3,FALSE)</f>
        <v>Included in base game</v>
      </c>
    </row>
    <row r="522" spans="1:12" x14ac:dyDescent="0.25">
      <c r="A522">
        <v>904</v>
      </c>
      <c r="B522">
        <v>517</v>
      </c>
      <c r="C522">
        <v>888</v>
      </c>
      <c r="D522" t="s">
        <v>2633</v>
      </c>
      <c r="E522" t="str">
        <f>IF(NOT(ISERROR(VLOOKUP(D522,'ESO DungeonFinder'!$A$2:$A$999,1,FALSE))),"X","")</f>
        <v/>
      </c>
      <c r="F522" s="70" t="str">
        <f t="shared" si="32"/>
        <v/>
      </c>
      <c r="G522" s="70" t="str">
        <f t="shared" si="35"/>
        <v>Craglorn</v>
      </c>
      <c r="H522" s="70">
        <f t="shared" si="33"/>
        <v>904</v>
      </c>
      <c r="I522" s="70">
        <f t="shared" si="34"/>
        <v>888</v>
      </c>
      <c r="J522">
        <v>0</v>
      </c>
      <c r="K522" s="3" t="str">
        <f>VLOOKUP(J522,ConstDLCIds!$A$4:$B$1000,2,FALSE)</f>
        <v>DLC_BASE_GAME</v>
      </c>
      <c r="L522" s="3" t="str">
        <f>VLOOKUP(J522,ConstDLCIds!$A$4:$C$1000,3,FALSE)</f>
        <v>Included in base game</v>
      </c>
    </row>
    <row r="523" spans="1:12" x14ac:dyDescent="0.25">
      <c r="A523">
        <v>905</v>
      </c>
      <c r="B523">
        <v>518</v>
      </c>
      <c r="C523">
        <v>888</v>
      </c>
      <c r="D523" t="s">
        <v>2634</v>
      </c>
      <c r="E523" t="str">
        <f>IF(NOT(ISERROR(VLOOKUP(D523,'ESO DungeonFinder'!$A$2:$A$999,1,FALSE))),"X","")</f>
        <v/>
      </c>
      <c r="F523" s="70" t="str">
        <f t="shared" si="32"/>
        <v/>
      </c>
      <c r="G523" s="70" t="str">
        <f t="shared" si="35"/>
        <v>Craglorn</v>
      </c>
      <c r="H523" s="70">
        <f t="shared" si="33"/>
        <v>905</v>
      </c>
      <c r="I523" s="70">
        <f t="shared" si="34"/>
        <v>888</v>
      </c>
      <c r="J523">
        <v>0</v>
      </c>
      <c r="K523" s="3" t="str">
        <f>VLOOKUP(J523,ConstDLCIds!$A$4:$B$1000,2,FALSE)</f>
        <v>DLC_BASE_GAME</v>
      </c>
      <c r="L523" s="3" t="str">
        <f>VLOOKUP(J523,ConstDLCIds!$A$4:$C$1000,3,FALSE)</f>
        <v>Included in base game</v>
      </c>
    </row>
    <row r="524" spans="1:12" x14ac:dyDescent="0.25">
      <c r="A524">
        <v>906</v>
      </c>
      <c r="B524">
        <v>519</v>
      </c>
      <c r="C524">
        <v>888</v>
      </c>
      <c r="D524" t="s">
        <v>2635</v>
      </c>
      <c r="E524" t="str">
        <f>IF(NOT(ISERROR(VLOOKUP(D524,'ESO DungeonFinder'!$A$2:$A$999,1,FALSE))),"X","")</f>
        <v/>
      </c>
      <c r="F524" s="70" t="str">
        <f t="shared" si="32"/>
        <v/>
      </c>
      <c r="G524" s="70" t="str">
        <f t="shared" si="35"/>
        <v>Craglorn</v>
      </c>
      <c r="H524" s="70">
        <f t="shared" si="33"/>
        <v>906</v>
      </c>
      <c r="I524" s="70">
        <f t="shared" si="34"/>
        <v>888</v>
      </c>
      <c r="J524">
        <v>0</v>
      </c>
      <c r="K524" s="3" t="str">
        <f>VLOOKUP(J524,ConstDLCIds!$A$4:$B$1000,2,FALSE)</f>
        <v>DLC_BASE_GAME</v>
      </c>
      <c r="L524" s="3" t="str">
        <f>VLOOKUP(J524,ConstDLCIds!$A$4:$C$1000,3,FALSE)</f>
        <v>Included in base game</v>
      </c>
    </row>
    <row r="525" spans="1:12" x14ac:dyDescent="0.25">
      <c r="A525">
        <v>907</v>
      </c>
      <c r="B525">
        <v>520</v>
      </c>
      <c r="C525">
        <v>888</v>
      </c>
      <c r="D525" t="s">
        <v>2636</v>
      </c>
      <c r="E525" t="str">
        <f>IF(NOT(ISERROR(VLOOKUP(D525,'ESO DungeonFinder'!$A$2:$A$999,1,FALSE))),"X","")</f>
        <v/>
      </c>
      <c r="F525" s="70" t="str">
        <f t="shared" si="32"/>
        <v/>
      </c>
      <c r="G525" s="70" t="str">
        <f t="shared" si="35"/>
        <v>Craglorn</v>
      </c>
      <c r="H525" s="70">
        <f t="shared" si="33"/>
        <v>907</v>
      </c>
      <c r="I525" s="70">
        <f t="shared" si="34"/>
        <v>888</v>
      </c>
      <c r="J525">
        <v>0</v>
      </c>
      <c r="K525" s="3" t="str">
        <f>VLOOKUP(J525,ConstDLCIds!$A$4:$B$1000,2,FALSE)</f>
        <v>DLC_BASE_GAME</v>
      </c>
      <c r="L525" s="3" t="str">
        <f>VLOOKUP(J525,ConstDLCIds!$A$4:$C$1000,3,FALSE)</f>
        <v>Included in base game</v>
      </c>
    </row>
    <row r="526" spans="1:12" x14ac:dyDescent="0.25">
      <c r="A526">
        <v>908</v>
      </c>
      <c r="B526">
        <v>521</v>
      </c>
      <c r="C526">
        <v>888</v>
      </c>
      <c r="D526" t="s">
        <v>2637</v>
      </c>
      <c r="E526" t="str">
        <f>IF(NOT(ISERROR(VLOOKUP(D526,'ESO DungeonFinder'!$A$2:$A$999,1,FALSE))),"X","")</f>
        <v/>
      </c>
      <c r="F526" s="70" t="str">
        <f t="shared" si="32"/>
        <v/>
      </c>
      <c r="G526" s="70" t="str">
        <f t="shared" si="35"/>
        <v>Craglorn</v>
      </c>
      <c r="H526" s="70">
        <f t="shared" si="33"/>
        <v>908</v>
      </c>
      <c r="I526" s="70">
        <f t="shared" si="34"/>
        <v>888</v>
      </c>
      <c r="J526">
        <v>0</v>
      </c>
      <c r="K526" s="3" t="str">
        <f>VLOOKUP(J526,ConstDLCIds!$A$4:$B$1000,2,FALSE)</f>
        <v>DLC_BASE_GAME</v>
      </c>
      <c r="L526" s="3" t="str">
        <f>VLOOKUP(J526,ConstDLCIds!$A$4:$C$1000,3,FALSE)</f>
        <v>Included in base game</v>
      </c>
    </row>
    <row r="527" spans="1:12" x14ac:dyDescent="0.25">
      <c r="A527">
        <v>909</v>
      </c>
      <c r="B527">
        <v>522</v>
      </c>
      <c r="C527">
        <v>888</v>
      </c>
      <c r="D527" t="s">
        <v>2638</v>
      </c>
      <c r="E527" t="str">
        <f>IF(NOT(ISERROR(VLOOKUP(D527,'ESO DungeonFinder'!$A$2:$A$999,1,FALSE))),"X","")</f>
        <v/>
      </c>
      <c r="F527" s="70" t="str">
        <f t="shared" si="32"/>
        <v/>
      </c>
      <c r="G527" s="70" t="str">
        <f t="shared" si="35"/>
        <v>Craglorn</v>
      </c>
      <c r="H527" s="70">
        <f t="shared" si="33"/>
        <v>909</v>
      </c>
      <c r="I527" s="70">
        <f t="shared" si="34"/>
        <v>888</v>
      </c>
      <c r="J527">
        <v>0</v>
      </c>
      <c r="K527" s="3" t="str">
        <f>VLOOKUP(J527,ConstDLCIds!$A$4:$B$1000,2,FALSE)</f>
        <v>DLC_BASE_GAME</v>
      </c>
      <c r="L527" s="3" t="str">
        <f>VLOOKUP(J527,ConstDLCIds!$A$4:$C$1000,3,FALSE)</f>
        <v>Included in base game</v>
      </c>
    </row>
    <row r="528" spans="1:12" x14ac:dyDescent="0.25">
      <c r="A528">
        <v>910</v>
      </c>
      <c r="B528">
        <v>523</v>
      </c>
      <c r="C528">
        <v>888</v>
      </c>
      <c r="D528" t="s">
        <v>2639</v>
      </c>
      <c r="E528" t="str">
        <f>IF(NOT(ISERROR(VLOOKUP(D528,'ESO DungeonFinder'!$A$2:$A$999,1,FALSE))),"X","")</f>
        <v/>
      </c>
      <c r="F528" s="70" t="str">
        <f t="shared" si="32"/>
        <v/>
      </c>
      <c r="G528" s="70" t="str">
        <f t="shared" si="35"/>
        <v>Craglorn</v>
      </c>
      <c r="H528" s="70">
        <f t="shared" si="33"/>
        <v>910</v>
      </c>
      <c r="I528" s="70">
        <f t="shared" si="34"/>
        <v>888</v>
      </c>
      <c r="J528">
        <v>0</v>
      </c>
      <c r="K528" s="3" t="str">
        <f>VLOOKUP(J528,ConstDLCIds!$A$4:$B$1000,2,FALSE)</f>
        <v>DLC_BASE_GAME</v>
      </c>
      <c r="L528" s="3" t="str">
        <f>VLOOKUP(J528,ConstDLCIds!$A$4:$C$1000,3,FALSE)</f>
        <v>Included in base game</v>
      </c>
    </row>
    <row r="529" spans="1:12" x14ac:dyDescent="0.25">
      <c r="A529">
        <v>911</v>
      </c>
      <c r="B529">
        <v>524</v>
      </c>
      <c r="C529">
        <v>888</v>
      </c>
      <c r="D529" t="s">
        <v>2640</v>
      </c>
      <c r="E529" t="str">
        <f>IF(NOT(ISERROR(VLOOKUP(D529,'ESO DungeonFinder'!$A$2:$A$999,1,FALSE))),"X","")</f>
        <v/>
      </c>
      <c r="F529" s="70" t="str">
        <f t="shared" si="32"/>
        <v/>
      </c>
      <c r="G529" s="70" t="str">
        <f t="shared" si="35"/>
        <v>Craglorn</v>
      </c>
      <c r="H529" s="70">
        <f t="shared" si="33"/>
        <v>911</v>
      </c>
      <c r="I529" s="70">
        <f t="shared" si="34"/>
        <v>888</v>
      </c>
      <c r="J529">
        <v>0</v>
      </c>
      <c r="K529" s="3" t="str">
        <f>VLOOKUP(J529,ConstDLCIds!$A$4:$B$1000,2,FALSE)</f>
        <v>DLC_BASE_GAME</v>
      </c>
      <c r="L529" s="3" t="str">
        <f>VLOOKUP(J529,ConstDLCIds!$A$4:$C$1000,3,FALSE)</f>
        <v>Included in base game</v>
      </c>
    </row>
    <row r="530" spans="1:12" x14ac:dyDescent="0.25">
      <c r="A530">
        <v>913</v>
      </c>
      <c r="B530">
        <v>525</v>
      </c>
      <c r="C530">
        <v>888</v>
      </c>
      <c r="D530" t="s">
        <v>2641</v>
      </c>
      <c r="E530" t="str">
        <f>IF(NOT(ISERROR(VLOOKUP(D530,'ESO DungeonFinder'!$A$2:$A$999,1,FALSE))),"X","")</f>
        <v/>
      </c>
      <c r="F530" s="70" t="str">
        <f t="shared" si="32"/>
        <v/>
      </c>
      <c r="G530" s="70" t="str">
        <f t="shared" si="35"/>
        <v>Craglorn</v>
      </c>
      <c r="H530" s="70">
        <f t="shared" si="33"/>
        <v>913</v>
      </c>
      <c r="I530" s="70">
        <f t="shared" si="34"/>
        <v>888</v>
      </c>
      <c r="J530">
        <v>0</v>
      </c>
      <c r="K530" s="3" t="str">
        <f>VLOOKUP(J530,ConstDLCIds!$A$4:$B$1000,2,FALSE)</f>
        <v>DLC_BASE_GAME</v>
      </c>
      <c r="L530" s="3" t="str">
        <f>VLOOKUP(J530,ConstDLCIds!$A$4:$C$1000,3,FALSE)</f>
        <v>Included in base game</v>
      </c>
    </row>
    <row r="531" spans="1:12" x14ac:dyDescent="0.25">
      <c r="A531">
        <v>914</v>
      </c>
      <c r="B531">
        <v>526</v>
      </c>
      <c r="C531">
        <v>888</v>
      </c>
      <c r="D531" t="s">
        <v>2642</v>
      </c>
      <c r="E531" t="str">
        <f>IF(NOT(ISERROR(VLOOKUP(D531,'ESO DungeonFinder'!$A$2:$A$999,1,FALSE))),"X","")</f>
        <v/>
      </c>
      <c r="F531" s="70" t="str">
        <f t="shared" si="32"/>
        <v/>
      </c>
      <c r="G531" s="70" t="str">
        <f t="shared" si="35"/>
        <v>Craglorn</v>
      </c>
      <c r="H531" s="70">
        <f t="shared" si="33"/>
        <v>914</v>
      </c>
      <c r="I531" s="70">
        <f t="shared" si="34"/>
        <v>888</v>
      </c>
      <c r="J531">
        <v>0</v>
      </c>
      <c r="K531" s="3" t="str">
        <f>VLOOKUP(J531,ConstDLCIds!$A$4:$B$1000,2,FALSE)</f>
        <v>DLC_BASE_GAME</v>
      </c>
      <c r="L531" s="3" t="str">
        <f>VLOOKUP(J531,ConstDLCIds!$A$4:$C$1000,3,FALSE)</f>
        <v>Included in base game</v>
      </c>
    </row>
    <row r="532" spans="1:12" x14ac:dyDescent="0.25">
      <c r="A532">
        <v>915</v>
      </c>
      <c r="B532">
        <v>527</v>
      </c>
      <c r="C532">
        <v>888</v>
      </c>
      <c r="D532" t="s">
        <v>2643</v>
      </c>
      <c r="E532" t="str">
        <f>IF(NOT(ISERROR(VLOOKUP(D532,'ESO DungeonFinder'!$A$2:$A$999,1,FALSE))),"X","")</f>
        <v/>
      </c>
      <c r="F532" s="70" t="str">
        <f t="shared" si="32"/>
        <v/>
      </c>
      <c r="G532" s="70" t="str">
        <f t="shared" si="35"/>
        <v>Craglorn</v>
      </c>
      <c r="H532" s="70">
        <f t="shared" si="33"/>
        <v>915</v>
      </c>
      <c r="I532" s="70">
        <f t="shared" si="34"/>
        <v>888</v>
      </c>
      <c r="J532">
        <v>0</v>
      </c>
      <c r="K532" s="3" t="str">
        <f>VLOOKUP(J532,ConstDLCIds!$A$4:$B$1000,2,FALSE)</f>
        <v>DLC_BASE_GAME</v>
      </c>
      <c r="L532" s="3" t="str">
        <f>VLOOKUP(J532,ConstDLCIds!$A$4:$C$1000,3,FALSE)</f>
        <v>Included in base game</v>
      </c>
    </row>
    <row r="533" spans="1:12" x14ac:dyDescent="0.25">
      <c r="A533">
        <v>916</v>
      </c>
      <c r="B533">
        <v>528</v>
      </c>
      <c r="C533">
        <v>888</v>
      </c>
      <c r="D533" t="s">
        <v>2644</v>
      </c>
      <c r="E533" t="str">
        <f>IF(NOT(ISERROR(VLOOKUP(D533,'ESO DungeonFinder'!$A$2:$A$999,1,FALSE))),"X","")</f>
        <v/>
      </c>
      <c r="F533" s="70" t="str">
        <f t="shared" si="32"/>
        <v/>
      </c>
      <c r="G533" s="70" t="str">
        <f t="shared" si="35"/>
        <v>Craglorn</v>
      </c>
      <c r="H533" s="70">
        <f t="shared" si="33"/>
        <v>916</v>
      </c>
      <c r="I533" s="70">
        <f t="shared" si="34"/>
        <v>888</v>
      </c>
      <c r="J533">
        <v>0</v>
      </c>
      <c r="K533" s="3" t="str">
        <f>VLOOKUP(J533,ConstDLCIds!$A$4:$B$1000,2,FALSE)</f>
        <v>DLC_BASE_GAME</v>
      </c>
      <c r="L533" s="3" t="str">
        <f>VLOOKUP(J533,ConstDLCIds!$A$4:$C$1000,3,FALSE)</f>
        <v>Included in base game</v>
      </c>
    </row>
    <row r="534" spans="1:12" x14ac:dyDescent="0.25">
      <c r="A534">
        <v>917</v>
      </c>
      <c r="B534">
        <v>529</v>
      </c>
      <c r="C534">
        <v>917</v>
      </c>
      <c r="D534" t="s">
        <v>2645</v>
      </c>
      <c r="E534" t="str">
        <f>IF(NOT(ISERROR(VLOOKUP(D534,'ESO DungeonFinder'!$A$2:$A$999,1,FALSE))),"X","")</f>
        <v/>
      </c>
      <c r="F534" s="70" t="str">
        <f t="shared" si="32"/>
        <v>X</v>
      </c>
      <c r="G534" s="70" t="str">
        <f t="shared" si="35"/>
        <v/>
      </c>
      <c r="H534" s="70">
        <f t="shared" si="33"/>
        <v>917</v>
      </c>
      <c r="I534" s="70">
        <f t="shared" si="34"/>
        <v>917</v>
      </c>
      <c r="J534">
        <v>25</v>
      </c>
      <c r="K534" s="3" t="str">
        <f ca="1">VLOOKUP(J534,ConstDLCIds!$A$4:$B$1000,2,FALSE)</f>
        <v>DLC_ASCENDING_TIDE</v>
      </c>
      <c r="L534" s="3" t="str">
        <f ca="1">VLOOKUP(J534,ConstDLCIds!$A$4:$C$1000,3,FALSE)</f>
        <v>Ascending Tide</v>
      </c>
    </row>
    <row r="535" spans="1:12" x14ac:dyDescent="0.25">
      <c r="A535">
        <v>918</v>
      </c>
      <c r="B535">
        <v>530</v>
      </c>
      <c r="C535">
        <v>849</v>
      </c>
      <c r="D535" t="s">
        <v>1038</v>
      </c>
      <c r="E535" t="str">
        <f>IF(NOT(ISERROR(VLOOKUP(D535,'ESO DungeonFinder'!$A$2:$A$999,1,FALSE))),"X","")</f>
        <v/>
      </c>
      <c r="F535" s="70" t="str">
        <f t="shared" si="32"/>
        <v/>
      </c>
      <c r="G535" s="70" t="str">
        <f t="shared" si="35"/>
        <v>Vvardenfell</v>
      </c>
      <c r="H535" s="70">
        <f t="shared" si="33"/>
        <v>918</v>
      </c>
      <c r="I535" s="70">
        <f t="shared" si="34"/>
        <v>849</v>
      </c>
      <c r="J535">
        <v>6</v>
      </c>
      <c r="K535" s="3" t="str">
        <f ca="1">VLOOKUP(J535,ConstDLCIds!$A$4:$B$1000,2,FALSE)</f>
        <v>DLC_MORROWIND</v>
      </c>
      <c r="L535" s="3" t="str">
        <f ca="1">VLOOKUP(J535,ConstDLCIds!$A$4:$C$1000,3,FALSE)</f>
        <v>Morrowind</v>
      </c>
    </row>
    <row r="536" spans="1:12" x14ac:dyDescent="0.25">
      <c r="A536">
        <v>919</v>
      </c>
      <c r="B536">
        <v>531</v>
      </c>
      <c r="C536">
        <v>849</v>
      </c>
      <c r="D536" t="s">
        <v>2189</v>
      </c>
      <c r="E536" t="str">
        <f>IF(NOT(ISERROR(VLOOKUP(D536,'ESO DungeonFinder'!$A$2:$A$999,1,FALSE))),"X","")</f>
        <v/>
      </c>
      <c r="F536" s="70" t="str">
        <f t="shared" si="32"/>
        <v/>
      </c>
      <c r="G536" s="70" t="str">
        <f t="shared" si="35"/>
        <v>Vvardenfell</v>
      </c>
      <c r="H536" s="70">
        <f t="shared" si="33"/>
        <v>919</v>
      </c>
      <c r="I536" s="70">
        <f t="shared" si="34"/>
        <v>849</v>
      </c>
      <c r="J536">
        <v>6</v>
      </c>
      <c r="K536" s="3" t="str">
        <f ca="1">VLOOKUP(J536,ConstDLCIds!$A$4:$B$1000,2,FALSE)</f>
        <v>DLC_MORROWIND</v>
      </c>
      <c r="L536" s="3" t="str">
        <f ca="1">VLOOKUP(J536,ConstDLCIds!$A$4:$C$1000,3,FALSE)</f>
        <v>Morrowind</v>
      </c>
    </row>
    <row r="537" spans="1:12" x14ac:dyDescent="0.25">
      <c r="A537">
        <v>920</v>
      </c>
      <c r="B537">
        <v>532</v>
      </c>
      <c r="C537">
        <v>849</v>
      </c>
      <c r="D537" t="s">
        <v>2646</v>
      </c>
      <c r="E537" t="str">
        <f>IF(NOT(ISERROR(VLOOKUP(D537,'ESO DungeonFinder'!$A$2:$A$999,1,FALSE))),"X","")</f>
        <v/>
      </c>
      <c r="F537" s="70" t="str">
        <f t="shared" si="32"/>
        <v/>
      </c>
      <c r="G537" s="70" t="str">
        <f t="shared" si="35"/>
        <v>Vvardenfell</v>
      </c>
      <c r="H537" s="70">
        <f t="shared" si="33"/>
        <v>920</v>
      </c>
      <c r="I537" s="70">
        <f t="shared" si="34"/>
        <v>849</v>
      </c>
      <c r="J537">
        <v>6</v>
      </c>
      <c r="K537" s="3" t="str">
        <f ca="1">VLOOKUP(J537,ConstDLCIds!$A$4:$B$1000,2,FALSE)</f>
        <v>DLC_MORROWIND</v>
      </c>
      <c r="L537" s="3" t="str">
        <f ca="1">VLOOKUP(J537,ConstDLCIds!$A$4:$C$1000,3,FALSE)</f>
        <v>Morrowind</v>
      </c>
    </row>
    <row r="538" spans="1:12" x14ac:dyDescent="0.25">
      <c r="A538">
        <v>921</v>
      </c>
      <c r="B538">
        <v>533</v>
      </c>
      <c r="C538">
        <v>849</v>
      </c>
      <c r="D538" t="s">
        <v>2647</v>
      </c>
      <c r="E538" t="str">
        <f>IF(NOT(ISERROR(VLOOKUP(D538,'ESO DungeonFinder'!$A$2:$A$999,1,FALSE))),"X","")</f>
        <v/>
      </c>
      <c r="F538" s="70" t="str">
        <f t="shared" si="32"/>
        <v/>
      </c>
      <c r="G538" s="70" t="str">
        <f t="shared" si="35"/>
        <v>Vvardenfell</v>
      </c>
      <c r="H538" s="70">
        <f t="shared" si="33"/>
        <v>921</v>
      </c>
      <c r="I538" s="70">
        <f t="shared" si="34"/>
        <v>849</v>
      </c>
      <c r="J538">
        <v>6</v>
      </c>
      <c r="K538" s="3" t="str">
        <f ca="1">VLOOKUP(J538,ConstDLCIds!$A$4:$B$1000,2,FALSE)</f>
        <v>DLC_MORROWIND</v>
      </c>
      <c r="L538" s="3" t="str">
        <f ca="1">VLOOKUP(J538,ConstDLCIds!$A$4:$C$1000,3,FALSE)</f>
        <v>Morrowind</v>
      </c>
    </row>
    <row r="539" spans="1:12" x14ac:dyDescent="0.25">
      <c r="A539">
        <v>922</v>
      </c>
      <c r="B539">
        <v>534</v>
      </c>
      <c r="C539">
        <v>849</v>
      </c>
      <c r="D539" t="s">
        <v>2648</v>
      </c>
      <c r="E539" t="str">
        <f>IF(NOT(ISERROR(VLOOKUP(D539,'ESO DungeonFinder'!$A$2:$A$999,1,FALSE))),"X","")</f>
        <v/>
      </c>
      <c r="F539" s="70" t="str">
        <f t="shared" si="32"/>
        <v/>
      </c>
      <c r="G539" s="70" t="str">
        <f t="shared" si="35"/>
        <v>Vvardenfell</v>
      </c>
      <c r="H539" s="70">
        <f t="shared" si="33"/>
        <v>922</v>
      </c>
      <c r="I539" s="70">
        <f t="shared" si="34"/>
        <v>849</v>
      </c>
      <c r="J539">
        <v>6</v>
      </c>
      <c r="K539" s="3" t="str">
        <f ca="1">VLOOKUP(J539,ConstDLCIds!$A$4:$B$1000,2,FALSE)</f>
        <v>DLC_MORROWIND</v>
      </c>
      <c r="L539" s="3" t="str">
        <f ca="1">VLOOKUP(J539,ConstDLCIds!$A$4:$C$1000,3,FALSE)</f>
        <v>Morrowind</v>
      </c>
    </row>
    <row r="540" spans="1:12" x14ac:dyDescent="0.25">
      <c r="A540">
        <v>923</v>
      </c>
      <c r="B540">
        <v>535</v>
      </c>
      <c r="C540">
        <v>849</v>
      </c>
      <c r="D540" t="s">
        <v>2649</v>
      </c>
      <c r="E540" t="str">
        <f>IF(NOT(ISERROR(VLOOKUP(D540,'ESO DungeonFinder'!$A$2:$A$999,1,FALSE))),"X","")</f>
        <v/>
      </c>
      <c r="F540" s="70" t="str">
        <f t="shared" si="32"/>
        <v/>
      </c>
      <c r="G540" s="70" t="str">
        <f t="shared" si="35"/>
        <v>Vvardenfell</v>
      </c>
      <c r="H540" s="70">
        <f t="shared" si="33"/>
        <v>923</v>
      </c>
      <c r="I540" s="70">
        <f t="shared" si="34"/>
        <v>849</v>
      </c>
      <c r="J540">
        <v>6</v>
      </c>
      <c r="K540" s="3" t="str">
        <f ca="1">VLOOKUP(J540,ConstDLCIds!$A$4:$B$1000,2,FALSE)</f>
        <v>DLC_MORROWIND</v>
      </c>
      <c r="L540" s="3" t="str">
        <f ca="1">VLOOKUP(J540,ConstDLCIds!$A$4:$C$1000,3,FALSE)</f>
        <v>Morrowind</v>
      </c>
    </row>
    <row r="541" spans="1:12" x14ac:dyDescent="0.25">
      <c r="A541">
        <v>924</v>
      </c>
      <c r="B541">
        <v>536</v>
      </c>
      <c r="C541">
        <v>849</v>
      </c>
      <c r="D541" t="s">
        <v>2650</v>
      </c>
      <c r="E541" t="str">
        <f>IF(NOT(ISERROR(VLOOKUP(D541,'ESO DungeonFinder'!$A$2:$A$999,1,FALSE))),"X","")</f>
        <v/>
      </c>
      <c r="F541" s="70" t="str">
        <f t="shared" si="32"/>
        <v/>
      </c>
      <c r="G541" s="70" t="str">
        <f t="shared" si="35"/>
        <v>Vvardenfell</v>
      </c>
      <c r="H541" s="70">
        <f t="shared" si="33"/>
        <v>924</v>
      </c>
      <c r="I541" s="70">
        <f t="shared" si="34"/>
        <v>849</v>
      </c>
      <c r="J541">
        <v>6</v>
      </c>
      <c r="K541" s="3" t="str">
        <f ca="1">VLOOKUP(J541,ConstDLCIds!$A$4:$B$1000,2,FALSE)</f>
        <v>DLC_MORROWIND</v>
      </c>
      <c r="L541" s="3" t="str">
        <f ca="1">VLOOKUP(J541,ConstDLCIds!$A$4:$C$1000,3,FALSE)</f>
        <v>Morrowind</v>
      </c>
    </row>
    <row r="542" spans="1:12" x14ac:dyDescent="0.25">
      <c r="A542">
        <v>925</v>
      </c>
      <c r="B542">
        <v>537</v>
      </c>
      <c r="C542">
        <v>849</v>
      </c>
      <c r="D542" t="s">
        <v>2651</v>
      </c>
      <c r="E542" t="str">
        <f>IF(NOT(ISERROR(VLOOKUP(D542,'ESO DungeonFinder'!$A$2:$A$999,1,FALSE))),"X","")</f>
        <v/>
      </c>
      <c r="F542" s="70" t="str">
        <f t="shared" si="32"/>
        <v/>
      </c>
      <c r="G542" s="70" t="str">
        <f t="shared" si="35"/>
        <v>Vvardenfell</v>
      </c>
      <c r="H542" s="70">
        <f t="shared" si="33"/>
        <v>925</v>
      </c>
      <c r="I542" s="70">
        <f t="shared" si="34"/>
        <v>849</v>
      </c>
      <c r="J542">
        <v>6</v>
      </c>
      <c r="K542" s="3" t="str">
        <f ca="1">VLOOKUP(J542,ConstDLCIds!$A$4:$B$1000,2,FALSE)</f>
        <v>DLC_MORROWIND</v>
      </c>
      <c r="L542" s="3" t="str">
        <f ca="1">VLOOKUP(J542,ConstDLCIds!$A$4:$C$1000,3,FALSE)</f>
        <v>Morrowind</v>
      </c>
    </row>
    <row r="543" spans="1:12" x14ac:dyDescent="0.25">
      <c r="A543">
        <v>926</v>
      </c>
      <c r="B543">
        <v>538</v>
      </c>
      <c r="C543">
        <v>849</v>
      </c>
      <c r="D543" t="s">
        <v>2652</v>
      </c>
      <c r="E543" t="str">
        <f>IF(NOT(ISERROR(VLOOKUP(D543,'ESO DungeonFinder'!$A$2:$A$999,1,FALSE))),"X","")</f>
        <v/>
      </c>
      <c r="F543" s="70" t="str">
        <f t="shared" si="32"/>
        <v/>
      </c>
      <c r="G543" s="70" t="str">
        <f t="shared" si="35"/>
        <v>Vvardenfell</v>
      </c>
      <c r="H543" s="70">
        <f t="shared" si="33"/>
        <v>926</v>
      </c>
      <c r="I543" s="70">
        <f t="shared" si="34"/>
        <v>849</v>
      </c>
      <c r="J543">
        <v>6</v>
      </c>
      <c r="K543" s="3" t="str">
        <f ca="1">VLOOKUP(J543,ConstDLCIds!$A$4:$B$1000,2,FALSE)</f>
        <v>DLC_MORROWIND</v>
      </c>
      <c r="L543" s="3" t="str">
        <f ca="1">VLOOKUP(J543,ConstDLCIds!$A$4:$C$1000,3,FALSE)</f>
        <v>Morrowind</v>
      </c>
    </row>
    <row r="544" spans="1:12" x14ac:dyDescent="0.25">
      <c r="A544">
        <v>927</v>
      </c>
      <c r="B544">
        <v>539</v>
      </c>
      <c r="C544">
        <v>849</v>
      </c>
      <c r="D544" t="s">
        <v>2653</v>
      </c>
      <c r="E544" t="str">
        <f>IF(NOT(ISERROR(VLOOKUP(D544,'ESO DungeonFinder'!$A$2:$A$999,1,FALSE))),"X","")</f>
        <v/>
      </c>
      <c r="F544" s="70" t="str">
        <f t="shared" si="32"/>
        <v/>
      </c>
      <c r="G544" s="70" t="str">
        <f t="shared" si="35"/>
        <v>Vvardenfell</v>
      </c>
      <c r="H544" s="70">
        <f t="shared" si="33"/>
        <v>927</v>
      </c>
      <c r="I544" s="70">
        <f t="shared" si="34"/>
        <v>849</v>
      </c>
      <c r="J544">
        <v>6</v>
      </c>
      <c r="K544" s="3" t="str">
        <f ca="1">VLOOKUP(J544,ConstDLCIds!$A$4:$B$1000,2,FALSE)</f>
        <v>DLC_MORROWIND</v>
      </c>
      <c r="L544" s="3" t="str">
        <f ca="1">VLOOKUP(J544,ConstDLCIds!$A$4:$C$1000,3,FALSE)</f>
        <v>Morrowind</v>
      </c>
    </row>
    <row r="545" spans="1:12" x14ac:dyDescent="0.25">
      <c r="A545">
        <v>928</v>
      </c>
      <c r="B545">
        <v>540</v>
      </c>
      <c r="C545">
        <v>849</v>
      </c>
      <c r="D545" t="s">
        <v>2654</v>
      </c>
      <c r="E545" t="str">
        <f>IF(NOT(ISERROR(VLOOKUP(D545,'ESO DungeonFinder'!$A$2:$A$999,1,FALSE))),"X","")</f>
        <v/>
      </c>
      <c r="F545" s="70" t="str">
        <f t="shared" si="32"/>
        <v/>
      </c>
      <c r="G545" s="70" t="str">
        <f t="shared" si="35"/>
        <v>Vvardenfell</v>
      </c>
      <c r="H545" s="70">
        <f t="shared" si="33"/>
        <v>928</v>
      </c>
      <c r="I545" s="70">
        <f t="shared" si="34"/>
        <v>849</v>
      </c>
      <c r="J545">
        <v>6</v>
      </c>
      <c r="K545" s="3" t="str">
        <f ca="1">VLOOKUP(J545,ConstDLCIds!$A$4:$B$1000,2,FALSE)</f>
        <v>DLC_MORROWIND</v>
      </c>
      <c r="L545" s="3" t="str">
        <f ca="1">VLOOKUP(J545,ConstDLCIds!$A$4:$C$1000,3,FALSE)</f>
        <v>Morrowind</v>
      </c>
    </row>
    <row r="546" spans="1:12" x14ac:dyDescent="0.25">
      <c r="A546">
        <v>929</v>
      </c>
      <c r="B546">
        <v>541</v>
      </c>
      <c r="C546">
        <v>849</v>
      </c>
      <c r="D546" t="s">
        <v>2655</v>
      </c>
      <c r="E546" t="str">
        <f>IF(NOT(ISERROR(VLOOKUP(D546,'ESO DungeonFinder'!$A$2:$A$999,1,FALSE))),"X","")</f>
        <v/>
      </c>
      <c r="F546" s="70" t="str">
        <f t="shared" si="32"/>
        <v/>
      </c>
      <c r="G546" s="70" t="str">
        <f t="shared" si="35"/>
        <v>Vvardenfell</v>
      </c>
      <c r="H546" s="70">
        <f t="shared" si="33"/>
        <v>929</v>
      </c>
      <c r="I546" s="70">
        <f t="shared" si="34"/>
        <v>849</v>
      </c>
      <c r="J546">
        <v>6</v>
      </c>
      <c r="K546" s="3" t="str">
        <f ca="1">VLOOKUP(J546,ConstDLCIds!$A$4:$B$1000,2,FALSE)</f>
        <v>DLC_MORROWIND</v>
      </c>
      <c r="L546" s="3" t="str">
        <f ca="1">VLOOKUP(J546,ConstDLCIds!$A$4:$C$1000,3,FALSE)</f>
        <v>Morrowind</v>
      </c>
    </row>
    <row r="547" spans="1:12" x14ac:dyDescent="0.25">
      <c r="A547">
        <v>930</v>
      </c>
      <c r="B547">
        <v>542</v>
      </c>
      <c r="C547">
        <v>57</v>
      </c>
      <c r="D547" t="s">
        <v>732</v>
      </c>
      <c r="E547" t="str">
        <f>IF(NOT(ISERROR(VLOOKUP(D547,'ESO DungeonFinder'!$A$2:$A$999,1,FALSE))),"X","")</f>
        <v>X</v>
      </c>
      <c r="F547" s="70" t="str">
        <f t="shared" si="32"/>
        <v/>
      </c>
      <c r="G547" s="70" t="str">
        <f t="shared" si="35"/>
        <v>Deshaan</v>
      </c>
      <c r="H547" s="70">
        <f t="shared" si="33"/>
        <v>930</v>
      </c>
      <c r="I547" s="70">
        <f t="shared" si="34"/>
        <v>57</v>
      </c>
      <c r="J547">
        <v>0</v>
      </c>
      <c r="K547" s="3" t="str">
        <f>VLOOKUP(J547,ConstDLCIds!$A$4:$B$1000,2,FALSE)</f>
        <v>DLC_BASE_GAME</v>
      </c>
      <c r="L547" s="3" t="str">
        <f>VLOOKUP(J547,ConstDLCIds!$A$4:$C$1000,3,FALSE)</f>
        <v>Included in base game</v>
      </c>
    </row>
    <row r="548" spans="1:12" x14ac:dyDescent="0.25">
      <c r="A548">
        <v>931</v>
      </c>
      <c r="B548">
        <v>543</v>
      </c>
      <c r="C548">
        <v>383</v>
      </c>
      <c r="D548" t="s">
        <v>737</v>
      </c>
      <c r="E548" t="str">
        <f>IF(NOT(ISERROR(VLOOKUP(D548,'ESO DungeonFinder'!$A$2:$A$999,1,FALSE))),"X","")</f>
        <v>X</v>
      </c>
      <c r="F548" s="70" t="str">
        <f t="shared" si="32"/>
        <v/>
      </c>
      <c r="G548" s="70" t="str">
        <f t="shared" si="35"/>
        <v>Grahtwood</v>
      </c>
      <c r="H548" s="70">
        <f t="shared" si="33"/>
        <v>931</v>
      </c>
      <c r="I548" s="70">
        <f t="shared" si="34"/>
        <v>383</v>
      </c>
      <c r="J548">
        <v>0</v>
      </c>
      <c r="K548" s="3" t="str">
        <f>VLOOKUP(J548,ConstDLCIds!$A$4:$B$1000,2,FALSE)</f>
        <v>DLC_BASE_GAME</v>
      </c>
      <c r="L548" s="3" t="str">
        <f>VLOOKUP(J548,ConstDLCIds!$A$4:$C$1000,3,FALSE)</f>
        <v>Included in base game</v>
      </c>
    </row>
    <row r="549" spans="1:12" x14ac:dyDescent="0.25">
      <c r="A549">
        <v>932</v>
      </c>
      <c r="B549">
        <v>544</v>
      </c>
      <c r="C549">
        <v>20</v>
      </c>
      <c r="D549" t="s">
        <v>742</v>
      </c>
      <c r="E549" t="str">
        <f>IF(NOT(ISERROR(VLOOKUP(D549,'ESO DungeonFinder'!$A$2:$A$999,1,FALSE))),"X","")</f>
        <v>X</v>
      </c>
      <c r="F549" s="70" t="str">
        <f t="shared" si="32"/>
        <v/>
      </c>
      <c r="G549" s="70" t="str">
        <f t="shared" si="35"/>
        <v>Rivenspire</v>
      </c>
      <c r="H549" s="70">
        <f t="shared" si="33"/>
        <v>932</v>
      </c>
      <c r="I549" s="70">
        <f t="shared" si="34"/>
        <v>20</v>
      </c>
      <c r="J549">
        <v>0</v>
      </c>
      <c r="K549" s="3" t="str">
        <f>VLOOKUP(J549,ConstDLCIds!$A$4:$B$1000,2,FALSE)</f>
        <v>DLC_BASE_GAME</v>
      </c>
      <c r="L549" s="3" t="str">
        <f>VLOOKUP(J549,ConstDLCIds!$A$4:$C$1000,3,FALSE)</f>
        <v>Included in base game</v>
      </c>
    </row>
    <row r="550" spans="1:12" x14ac:dyDescent="0.25">
      <c r="A550">
        <v>933</v>
      </c>
      <c r="B550">
        <v>545</v>
      </c>
      <c r="C550">
        <v>19</v>
      </c>
      <c r="D550" t="s">
        <v>727</v>
      </c>
      <c r="E550" t="str">
        <f>IF(NOT(ISERROR(VLOOKUP(D550,'ESO DungeonFinder'!$A$2:$A$999,1,FALSE))),"X","")</f>
        <v>X</v>
      </c>
      <c r="F550" s="70" t="str">
        <f t="shared" si="32"/>
        <v/>
      </c>
      <c r="G550" s="70" t="str">
        <f t="shared" si="35"/>
        <v>Stormhaven</v>
      </c>
      <c r="H550" s="70">
        <f t="shared" si="33"/>
        <v>933</v>
      </c>
      <c r="I550" s="70">
        <f t="shared" si="34"/>
        <v>19</v>
      </c>
      <c r="J550">
        <v>0</v>
      </c>
      <c r="K550" s="3" t="str">
        <f>VLOOKUP(J550,ConstDLCIds!$A$4:$B$1000,2,FALSE)</f>
        <v>DLC_BASE_GAME</v>
      </c>
      <c r="L550" s="3" t="str">
        <f>VLOOKUP(J550,ConstDLCIds!$A$4:$C$1000,3,FALSE)</f>
        <v>Included in base game</v>
      </c>
    </row>
    <row r="551" spans="1:12" x14ac:dyDescent="0.25">
      <c r="A551">
        <v>934</v>
      </c>
      <c r="B551">
        <v>546</v>
      </c>
      <c r="C551">
        <v>41</v>
      </c>
      <c r="D551" t="s">
        <v>713</v>
      </c>
      <c r="E551" t="str">
        <f>IF(NOT(ISERROR(VLOOKUP(D551,'ESO DungeonFinder'!$A$2:$A$999,1,FALSE))),"X","")</f>
        <v>X</v>
      </c>
      <c r="F551" s="70" t="str">
        <f t="shared" si="32"/>
        <v/>
      </c>
      <c r="G551" s="70" t="str">
        <f t="shared" si="35"/>
        <v>Stonefalls</v>
      </c>
      <c r="H551" s="70">
        <f t="shared" si="33"/>
        <v>934</v>
      </c>
      <c r="I551" s="70">
        <f t="shared" si="34"/>
        <v>41</v>
      </c>
      <c r="J551">
        <v>0</v>
      </c>
      <c r="K551" s="3" t="str">
        <f>VLOOKUP(J551,ConstDLCIds!$A$4:$B$1000,2,FALSE)</f>
        <v>DLC_BASE_GAME</v>
      </c>
      <c r="L551" s="3" t="str">
        <f>VLOOKUP(J551,ConstDLCIds!$A$4:$C$1000,3,FALSE)</f>
        <v>Included in base game</v>
      </c>
    </row>
    <row r="552" spans="1:12" x14ac:dyDescent="0.25">
      <c r="A552">
        <v>935</v>
      </c>
      <c r="B552">
        <v>547</v>
      </c>
      <c r="C552">
        <v>381</v>
      </c>
      <c r="D552" t="s">
        <v>747</v>
      </c>
      <c r="E552" t="str">
        <f>IF(NOT(ISERROR(VLOOKUP(D552,'ESO DungeonFinder'!$A$2:$A$999,1,FALSE))),"X","")</f>
        <v>X</v>
      </c>
      <c r="F552" s="70" t="str">
        <f t="shared" si="32"/>
        <v/>
      </c>
      <c r="G552" s="70" t="str">
        <f t="shared" si="35"/>
        <v>Auridon</v>
      </c>
      <c r="H552" s="70">
        <f t="shared" si="33"/>
        <v>935</v>
      </c>
      <c r="I552" s="70">
        <f t="shared" si="34"/>
        <v>381</v>
      </c>
      <c r="J552">
        <v>0</v>
      </c>
      <c r="K552" s="3" t="str">
        <f>VLOOKUP(J552,ConstDLCIds!$A$4:$B$1000,2,FALSE)</f>
        <v>DLC_BASE_GAME</v>
      </c>
      <c r="L552" s="3" t="str">
        <f>VLOOKUP(J552,ConstDLCIds!$A$4:$C$1000,3,FALSE)</f>
        <v>Included in base game</v>
      </c>
    </row>
    <row r="553" spans="1:12" x14ac:dyDescent="0.25">
      <c r="A553">
        <v>936</v>
      </c>
      <c r="B553">
        <v>548</v>
      </c>
      <c r="C553">
        <v>3</v>
      </c>
      <c r="D553" t="s">
        <v>717</v>
      </c>
      <c r="E553" t="str">
        <f>IF(NOT(ISERROR(VLOOKUP(D553,'ESO DungeonFinder'!$A$2:$A$999,1,FALSE))),"X","")</f>
        <v>X</v>
      </c>
      <c r="F553" s="70" t="str">
        <f t="shared" si="32"/>
        <v/>
      </c>
      <c r="G553" s="70" t="str">
        <f t="shared" si="35"/>
        <v>Glenumbra</v>
      </c>
      <c r="H553" s="70">
        <f t="shared" si="33"/>
        <v>936</v>
      </c>
      <c r="I553" s="70">
        <f t="shared" si="34"/>
        <v>3</v>
      </c>
      <c r="J553">
        <v>0</v>
      </c>
      <c r="K553" s="3" t="str">
        <f>VLOOKUP(J553,ConstDLCIds!$A$4:$B$1000,2,FALSE)</f>
        <v>DLC_BASE_GAME</v>
      </c>
      <c r="L553" s="3" t="str">
        <f>VLOOKUP(J553,ConstDLCIds!$A$4:$C$1000,3,FALSE)</f>
        <v>Included in base game</v>
      </c>
    </row>
    <row r="554" spans="1:12" x14ac:dyDescent="0.25">
      <c r="A554">
        <v>937</v>
      </c>
      <c r="B554">
        <v>549</v>
      </c>
      <c r="C554">
        <v>57</v>
      </c>
      <c r="D554" t="s">
        <v>2656</v>
      </c>
      <c r="E554" t="str">
        <f>IF(NOT(ISERROR(VLOOKUP(D554,'ESO DungeonFinder'!$A$2:$A$999,1,FALSE))),"X","")</f>
        <v/>
      </c>
      <c r="F554" s="70" t="str">
        <f t="shared" si="32"/>
        <v/>
      </c>
      <c r="G554" s="70" t="str">
        <f t="shared" si="35"/>
        <v>Deshaan</v>
      </c>
      <c r="H554" s="70">
        <f t="shared" si="33"/>
        <v>937</v>
      </c>
      <c r="I554" s="70">
        <f t="shared" si="34"/>
        <v>57</v>
      </c>
      <c r="J554">
        <v>0</v>
      </c>
      <c r="K554" s="3" t="str">
        <f>VLOOKUP(J554,ConstDLCIds!$A$4:$B$1000,2,FALSE)</f>
        <v>DLC_BASE_GAME</v>
      </c>
      <c r="L554" s="3" t="str">
        <f>VLOOKUP(J554,ConstDLCIds!$A$4:$C$1000,3,FALSE)</f>
        <v>Included in base game</v>
      </c>
    </row>
    <row r="555" spans="1:12" x14ac:dyDescent="0.25">
      <c r="A555">
        <v>938</v>
      </c>
      <c r="B555">
        <v>550</v>
      </c>
      <c r="C555">
        <v>104</v>
      </c>
      <c r="D555" t="s">
        <v>2657</v>
      </c>
      <c r="E555" t="str">
        <f>IF(NOT(ISERROR(VLOOKUP(D555,'ESO DungeonFinder'!$A$2:$A$999,1,FALSE))),"X","")</f>
        <v/>
      </c>
      <c r="F555" s="70" t="str">
        <f t="shared" si="32"/>
        <v/>
      </c>
      <c r="G555" s="70" t="str">
        <f t="shared" si="35"/>
        <v>Alik'r Desert</v>
      </c>
      <c r="H555" s="70">
        <f t="shared" si="33"/>
        <v>938</v>
      </c>
      <c r="I555" s="70">
        <f t="shared" si="34"/>
        <v>104</v>
      </c>
      <c r="J555">
        <v>0</v>
      </c>
      <c r="K555" s="3" t="str">
        <f>VLOOKUP(J555,ConstDLCIds!$A$4:$B$1000,2,FALSE)</f>
        <v>DLC_BASE_GAME</v>
      </c>
      <c r="L555" s="3" t="str">
        <f>VLOOKUP(J555,ConstDLCIds!$A$4:$C$1000,3,FALSE)</f>
        <v>Included in base game</v>
      </c>
    </row>
    <row r="556" spans="1:12" x14ac:dyDescent="0.25">
      <c r="A556">
        <v>939</v>
      </c>
      <c r="B556">
        <v>551</v>
      </c>
      <c r="C556">
        <v>381</v>
      </c>
      <c r="D556" t="s">
        <v>2658</v>
      </c>
      <c r="E556" t="str">
        <f>IF(NOT(ISERROR(VLOOKUP(D556,'ESO DungeonFinder'!$A$2:$A$999,1,FALSE))),"X","")</f>
        <v/>
      </c>
      <c r="F556" s="70" t="str">
        <f t="shared" si="32"/>
        <v/>
      </c>
      <c r="G556" s="70" t="str">
        <f t="shared" si="35"/>
        <v>Auridon</v>
      </c>
      <c r="H556" s="70">
        <f t="shared" si="33"/>
        <v>939</v>
      </c>
      <c r="I556" s="70">
        <f t="shared" si="34"/>
        <v>381</v>
      </c>
      <c r="J556">
        <v>0</v>
      </c>
      <c r="K556" s="3" t="str">
        <f>VLOOKUP(J556,ConstDLCIds!$A$4:$B$1000,2,FALSE)</f>
        <v>DLC_BASE_GAME</v>
      </c>
      <c r="L556" s="3" t="str">
        <f>VLOOKUP(J556,ConstDLCIds!$A$4:$C$1000,3,FALSE)</f>
        <v>Included in base game</v>
      </c>
    </row>
    <row r="557" spans="1:12" x14ac:dyDescent="0.25">
      <c r="A557">
        <v>940</v>
      </c>
      <c r="B557">
        <v>552</v>
      </c>
      <c r="C557">
        <v>381</v>
      </c>
      <c r="D557" t="s">
        <v>2659</v>
      </c>
      <c r="E557" t="str">
        <f>IF(NOT(ISERROR(VLOOKUP(D557,'ESO DungeonFinder'!$A$2:$A$999,1,FALSE))),"X","")</f>
        <v/>
      </c>
      <c r="F557" s="70" t="str">
        <f t="shared" si="32"/>
        <v/>
      </c>
      <c r="G557" s="70" t="str">
        <f t="shared" si="35"/>
        <v>Auridon</v>
      </c>
      <c r="H557" s="70">
        <f t="shared" si="33"/>
        <v>940</v>
      </c>
      <c r="I557" s="70">
        <f t="shared" si="34"/>
        <v>381</v>
      </c>
      <c r="J557">
        <v>0</v>
      </c>
      <c r="K557" s="3" t="str">
        <f>VLOOKUP(J557,ConstDLCIds!$A$4:$B$1000,2,FALSE)</f>
        <v>DLC_BASE_GAME</v>
      </c>
      <c r="L557" s="3" t="str">
        <f>VLOOKUP(J557,ConstDLCIds!$A$4:$C$1000,3,FALSE)</f>
        <v>Included in base game</v>
      </c>
    </row>
    <row r="558" spans="1:12" x14ac:dyDescent="0.25">
      <c r="A558">
        <v>941</v>
      </c>
      <c r="B558">
        <v>553</v>
      </c>
      <c r="C558">
        <v>41</v>
      </c>
      <c r="D558" t="s">
        <v>2660</v>
      </c>
      <c r="E558" t="str">
        <f>IF(NOT(ISERROR(VLOOKUP(D558,'ESO DungeonFinder'!$A$2:$A$999,1,FALSE))),"X","")</f>
        <v/>
      </c>
      <c r="F558" s="70" t="str">
        <f t="shared" si="32"/>
        <v/>
      </c>
      <c r="G558" s="70" t="str">
        <f t="shared" si="35"/>
        <v>Stonefalls</v>
      </c>
      <c r="H558" s="70">
        <f t="shared" si="33"/>
        <v>941</v>
      </c>
      <c r="I558" s="70">
        <f t="shared" si="34"/>
        <v>41</v>
      </c>
      <c r="J558">
        <v>0</v>
      </c>
      <c r="K558" s="3" t="str">
        <f>VLOOKUP(J558,ConstDLCIds!$A$4:$B$1000,2,FALSE)</f>
        <v>DLC_BASE_GAME</v>
      </c>
      <c r="L558" s="3" t="str">
        <f>VLOOKUP(J558,ConstDLCIds!$A$4:$C$1000,3,FALSE)</f>
        <v>Included in base game</v>
      </c>
    </row>
    <row r="559" spans="1:12" x14ac:dyDescent="0.25">
      <c r="A559">
        <v>942</v>
      </c>
      <c r="B559">
        <v>554</v>
      </c>
      <c r="C559">
        <v>3</v>
      </c>
      <c r="D559" t="s">
        <v>2661</v>
      </c>
      <c r="E559" t="str">
        <f>IF(NOT(ISERROR(VLOOKUP(D559,'ESO DungeonFinder'!$A$2:$A$999,1,FALSE))),"X","")</f>
        <v/>
      </c>
      <c r="F559" s="70" t="str">
        <f t="shared" si="32"/>
        <v/>
      </c>
      <c r="G559" s="70" t="str">
        <f t="shared" si="35"/>
        <v>Glenumbra</v>
      </c>
      <c r="H559" s="70">
        <f t="shared" si="33"/>
        <v>942</v>
      </c>
      <c r="I559" s="70">
        <f t="shared" si="34"/>
        <v>3</v>
      </c>
      <c r="J559">
        <v>0</v>
      </c>
      <c r="K559" s="3" t="str">
        <f>VLOOKUP(J559,ConstDLCIds!$A$4:$B$1000,2,FALSE)</f>
        <v>DLC_BASE_GAME</v>
      </c>
      <c r="L559" s="3" t="str">
        <f>VLOOKUP(J559,ConstDLCIds!$A$4:$C$1000,3,FALSE)</f>
        <v>Included in base game</v>
      </c>
    </row>
    <row r="560" spans="1:12" x14ac:dyDescent="0.25">
      <c r="A560">
        <v>943</v>
      </c>
      <c r="B560">
        <v>555</v>
      </c>
      <c r="C560">
        <v>3</v>
      </c>
      <c r="D560" t="s">
        <v>2662</v>
      </c>
      <c r="E560" t="str">
        <f>IF(NOT(ISERROR(VLOOKUP(D560,'ESO DungeonFinder'!$A$2:$A$999,1,FALSE))),"X","")</f>
        <v/>
      </c>
      <c r="F560" s="70" t="str">
        <f t="shared" si="32"/>
        <v/>
      </c>
      <c r="G560" s="70" t="str">
        <f t="shared" si="35"/>
        <v>Glenumbra</v>
      </c>
      <c r="H560" s="70">
        <f t="shared" si="33"/>
        <v>943</v>
      </c>
      <c r="I560" s="70">
        <f t="shared" si="34"/>
        <v>3</v>
      </c>
      <c r="J560">
        <v>0</v>
      </c>
      <c r="K560" s="3" t="str">
        <f>VLOOKUP(J560,ConstDLCIds!$A$4:$B$1000,2,FALSE)</f>
        <v>DLC_BASE_GAME</v>
      </c>
      <c r="L560" s="3" t="str">
        <f>VLOOKUP(J560,ConstDLCIds!$A$4:$C$1000,3,FALSE)</f>
        <v>Included in base game</v>
      </c>
    </row>
    <row r="561" spans="1:12" x14ac:dyDescent="0.25">
      <c r="A561">
        <v>944</v>
      </c>
      <c r="B561">
        <v>556</v>
      </c>
      <c r="C561">
        <v>382</v>
      </c>
      <c r="D561" t="s">
        <v>2663</v>
      </c>
      <c r="E561" t="str">
        <f>IF(NOT(ISERROR(VLOOKUP(D561,'ESO DungeonFinder'!$A$2:$A$999,1,FALSE))),"X","")</f>
        <v/>
      </c>
      <c r="F561" s="70" t="str">
        <f t="shared" si="32"/>
        <v/>
      </c>
      <c r="G561" s="70" t="str">
        <f t="shared" si="35"/>
        <v>Reaper's March</v>
      </c>
      <c r="H561" s="70">
        <f t="shared" si="33"/>
        <v>944</v>
      </c>
      <c r="I561" s="70">
        <f t="shared" si="34"/>
        <v>382</v>
      </c>
      <c r="J561">
        <v>0</v>
      </c>
      <c r="K561" s="3" t="str">
        <f>VLOOKUP(J561,ConstDLCIds!$A$4:$B$1000,2,FALSE)</f>
        <v>DLC_BASE_GAME</v>
      </c>
      <c r="L561" s="3" t="str">
        <f>VLOOKUP(J561,ConstDLCIds!$A$4:$C$1000,3,FALSE)</f>
        <v>Included in base game</v>
      </c>
    </row>
    <row r="562" spans="1:12" x14ac:dyDescent="0.25">
      <c r="A562">
        <v>945</v>
      </c>
      <c r="B562">
        <v>557</v>
      </c>
      <c r="C562">
        <v>41</v>
      </c>
      <c r="D562" t="s">
        <v>2664</v>
      </c>
      <c r="E562" t="str">
        <f>IF(NOT(ISERROR(VLOOKUP(D562,'ESO DungeonFinder'!$A$2:$A$999,1,FALSE))),"X","")</f>
        <v/>
      </c>
      <c r="F562" s="70" t="str">
        <f t="shared" si="32"/>
        <v/>
      </c>
      <c r="G562" s="70" t="str">
        <f t="shared" si="35"/>
        <v>Stonefalls</v>
      </c>
      <c r="H562" s="70">
        <f t="shared" si="33"/>
        <v>945</v>
      </c>
      <c r="I562" s="70">
        <f t="shared" si="34"/>
        <v>41</v>
      </c>
      <c r="J562">
        <v>0</v>
      </c>
      <c r="K562" s="3" t="str">
        <f>VLOOKUP(J562,ConstDLCIds!$A$4:$B$1000,2,FALSE)</f>
        <v>DLC_BASE_GAME</v>
      </c>
      <c r="L562" s="3" t="str">
        <f>VLOOKUP(J562,ConstDLCIds!$A$4:$C$1000,3,FALSE)</f>
        <v>Included in base game</v>
      </c>
    </row>
    <row r="563" spans="1:12" x14ac:dyDescent="0.25">
      <c r="A563">
        <v>946</v>
      </c>
      <c r="B563">
        <v>558</v>
      </c>
      <c r="C563">
        <v>849</v>
      </c>
      <c r="D563" t="s">
        <v>2665</v>
      </c>
      <c r="E563" t="str">
        <f>IF(NOT(ISERROR(VLOOKUP(D563,'ESO DungeonFinder'!$A$2:$A$999,1,FALSE))),"X","")</f>
        <v/>
      </c>
      <c r="F563" s="70" t="str">
        <f t="shared" si="32"/>
        <v/>
      </c>
      <c r="G563" s="70" t="str">
        <f t="shared" si="35"/>
        <v>Vvardenfell</v>
      </c>
      <c r="H563" s="70">
        <f t="shared" si="33"/>
        <v>946</v>
      </c>
      <c r="I563" s="70">
        <f t="shared" si="34"/>
        <v>849</v>
      </c>
      <c r="J563">
        <v>6</v>
      </c>
      <c r="K563" s="3" t="str">
        <f ca="1">VLOOKUP(J563,ConstDLCIds!$A$4:$B$1000,2,FALSE)</f>
        <v>DLC_MORROWIND</v>
      </c>
      <c r="L563" s="3" t="str">
        <f ca="1">VLOOKUP(J563,ConstDLCIds!$A$4:$C$1000,3,FALSE)</f>
        <v>Morrowind</v>
      </c>
    </row>
    <row r="564" spans="1:12" x14ac:dyDescent="0.25">
      <c r="A564">
        <v>947</v>
      </c>
      <c r="B564">
        <v>559</v>
      </c>
      <c r="C564">
        <v>849</v>
      </c>
      <c r="D564" t="s">
        <v>2666</v>
      </c>
      <c r="E564" t="str">
        <f>IF(NOT(ISERROR(VLOOKUP(D564,'ESO DungeonFinder'!$A$2:$A$999,1,FALSE))),"X","")</f>
        <v/>
      </c>
      <c r="F564" s="70" t="str">
        <f t="shared" si="32"/>
        <v/>
      </c>
      <c r="G564" s="70" t="str">
        <f t="shared" si="35"/>
        <v>Vvardenfell</v>
      </c>
      <c r="H564" s="70">
        <f t="shared" si="33"/>
        <v>947</v>
      </c>
      <c r="I564" s="70">
        <f t="shared" si="34"/>
        <v>849</v>
      </c>
      <c r="J564">
        <v>6</v>
      </c>
      <c r="K564" s="3" t="str">
        <f ca="1">VLOOKUP(J564,ConstDLCIds!$A$4:$B$1000,2,FALSE)</f>
        <v>DLC_MORROWIND</v>
      </c>
      <c r="L564" s="3" t="str">
        <f ca="1">VLOOKUP(J564,ConstDLCIds!$A$4:$C$1000,3,FALSE)</f>
        <v>Morrowind</v>
      </c>
    </row>
    <row r="565" spans="1:12" x14ac:dyDescent="0.25">
      <c r="A565">
        <v>948</v>
      </c>
      <c r="B565">
        <v>560</v>
      </c>
      <c r="C565">
        <v>849</v>
      </c>
      <c r="D565" t="s">
        <v>2667</v>
      </c>
      <c r="E565" t="str">
        <f>IF(NOT(ISERROR(VLOOKUP(D565,'ESO DungeonFinder'!$A$2:$A$999,1,FALSE))),"X","")</f>
        <v/>
      </c>
      <c r="F565" s="70" t="str">
        <f t="shared" si="32"/>
        <v/>
      </c>
      <c r="G565" s="70" t="str">
        <f t="shared" si="35"/>
        <v>Vvardenfell</v>
      </c>
      <c r="H565" s="70">
        <f t="shared" si="33"/>
        <v>948</v>
      </c>
      <c r="I565" s="70">
        <f t="shared" si="34"/>
        <v>849</v>
      </c>
      <c r="J565">
        <v>6</v>
      </c>
      <c r="K565" s="3" t="str">
        <f ca="1">VLOOKUP(J565,ConstDLCIds!$A$4:$B$1000,2,FALSE)</f>
        <v>DLC_MORROWIND</v>
      </c>
      <c r="L565" s="3" t="str">
        <f ca="1">VLOOKUP(J565,ConstDLCIds!$A$4:$C$1000,3,FALSE)</f>
        <v>Morrowind</v>
      </c>
    </row>
    <row r="566" spans="1:12" x14ac:dyDescent="0.25">
      <c r="A566">
        <v>949</v>
      </c>
      <c r="B566">
        <v>561</v>
      </c>
      <c r="C566">
        <v>849</v>
      </c>
      <c r="D566" t="s">
        <v>2668</v>
      </c>
      <c r="E566" t="str">
        <f>IF(NOT(ISERROR(VLOOKUP(D566,'ESO DungeonFinder'!$A$2:$A$999,1,FALSE))),"X","")</f>
        <v/>
      </c>
      <c r="F566" s="70" t="str">
        <f t="shared" si="32"/>
        <v/>
      </c>
      <c r="G566" s="70" t="str">
        <f t="shared" si="35"/>
        <v>Vvardenfell</v>
      </c>
      <c r="H566" s="70">
        <f t="shared" si="33"/>
        <v>949</v>
      </c>
      <c r="I566" s="70">
        <f t="shared" si="34"/>
        <v>849</v>
      </c>
      <c r="J566">
        <v>6</v>
      </c>
      <c r="K566" s="3" t="str">
        <f ca="1">VLOOKUP(J566,ConstDLCIds!$A$4:$B$1000,2,FALSE)</f>
        <v>DLC_MORROWIND</v>
      </c>
      <c r="L566" s="3" t="str">
        <f ca="1">VLOOKUP(J566,ConstDLCIds!$A$4:$C$1000,3,FALSE)</f>
        <v>Morrowind</v>
      </c>
    </row>
    <row r="567" spans="1:12" x14ac:dyDescent="0.25">
      <c r="A567">
        <v>950</v>
      </c>
      <c r="B567">
        <v>562</v>
      </c>
      <c r="C567">
        <v>849</v>
      </c>
      <c r="D567" t="s">
        <v>2669</v>
      </c>
      <c r="E567" t="str">
        <f>IF(NOT(ISERROR(VLOOKUP(D567,'ESO DungeonFinder'!$A$2:$A$999,1,FALSE))),"X","")</f>
        <v/>
      </c>
      <c r="F567" s="70" t="str">
        <f t="shared" si="32"/>
        <v/>
      </c>
      <c r="G567" s="70" t="str">
        <f t="shared" si="35"/>
        <v>Vvardenfell</v>
      </c>
      <c r="H567" s="70">
        <f t="shared" si="33"/>
        <v>950</v>
      </c>
      <c r="I567" s="70">
        <f t="shared" si="34"/>
        <v>849</v>
      </c>
      <c r="J567">
        <v>6</v>
      </c>
      <c r="K567" s="3" t="str">
        <f ca="1">VLOOKUP(J567,ConstDLCIds!$A$4:$B$1000,2,FALSE)</f>
        <v>DLC_MORROWIND</v>
      </c>
      <c r="L567" s="3" t="str">
        <f ca="1">VLOOKUP(J567,ConstDLCIds!$A$4:$C$1000,3,FALSE)</f>
        <v>Morrowind</v>
      </c>
    </row>
    <row r="568" spans="1:12" x14ac:dyDescent="0.25">
      <c r="A568">
        <v>951</v>
      </c>
      <c r="B568">
        <v>563</v>
      </c>
      <c r="C568">
        <v>849</v>
      </c>
      <c r="D568" t="s">
        <v>2670</v>
      </c>
      <c r="E568" t="str">
        <f>IF(NOT(ISERROR(VLOOKUP(D568,'ESO DungeonFinder'!$A$2:$A$999,1,FALSE))),"X","")</f>
        <v/>
      </c>
      <c r="F568" s="70" t="str">
        <f t="shared" si="32"/>
        <v/>
      </c>
      <c r="G568" s="70" t="str">
        <f t="shared" si="35"/>
        <v>Vvardenfell</v>
      </c>
      <c r="H568" s="70">
        <f t="shared" si="33"/>
        <v>951</v>
      </c>
      <c r="I568" s="70">
        <f t="shared" si="34"/>
        <v>849</v>
      </c>
      <c r="J568">
        <v>6</v>
      </c>
      <c r="K568" s="3" t="str">
        <f ca="1">VLOOKUP(J568,ConstDLCIds!$A$4:$B$1000,2,FALSE)</f>
        <v>DLC_MORROWIND</v>
      </c>
      <c r="L568" s="3" t="str">
        <f ca="1">VLOOKUP(J568,ConstDLCIds!$A$4:$C$1000,3,FALSE)</f>
        <v>Morrowind</v>
      </c>
    </row>
    <row r="569" spans="1:12" x14ac:dyDescent="0.25">
      <c r="A569">
        <v>952</v>
      </c>
      <c r="B569">
        <v>564</v>
      </c>
      <c r="C569">
        <v>849</v>
      </c>
      <c r="D569" t="s">
        <v>2671</v>
      </c>
      <c r="E569" t="str">
        <f>IF(NOT(ISERROR(VLOOKUP(D569,'ESO DungeonFinder'!$A$2:$A$999,1,FALSE))),"X","")</f>
        <v/>
      </c>
      <c r="F569" s="70" t="str">
        <f t="shared" si="32"/>
        <v/>
      </c>
      <c r="G569" s="70" t="str">
        <f t="shared" si="35"/>
        <v>Vvardenfell</v>
      </c>
      <c r="H569" s="70">
        <f t="shared" si="33"/>
        <v>952</v>
      </c>
      <c r="I569" s="70">
        <f t="shared" si="34"/>
        <v>849</v>
      </c>
      <c r="J569">
        <v>6</v>
      </c>
      <c r="K569" s="3" t="str">
        <f ca="1">VLOOKUP(J569,ConstDLCIds!$A$4:$B$1000,2,FALSE)</f>
        <v>DLC_MORROWIND</v>
      </c>
      <c r="L569" s="3" t="str">
        <f ca="1">VLOOKUP(J569,ConstDLCIds!$A$4:$C$1000,3,FALSE)</f>
        <v>Morrowind</v>
      </c>
    </row>
    <row r="570" spans="1:12" x14ac:dyDescent="0.25">
      <c r="A570">
        <v>953</v>
      </c>
      <c r="B570">
        <v>565</v>
      </c>
      <c r="C570">
        <v>849</v>
      </c>
      <c r="D570" t="s">
        <v>2672</v>
      </c>
      <c r="E570" t="str">
        <f>IF(NOT(ISERROR(VLOOKUP(D570,'ESO DungeonFinder'!$A$2:$A$999,1,FALSE))),"X","")</f>
        <v/>
      </c>
      <c r="F570" s="70" t="str">
        <f t="shared" si="32"/>
        <v/>
      </c>
      <c r="G570" s="70" t="str">
        <f t="shared" si="35"/>
        <v>Vvardenfell</v>
      </c>
      <c r="H570" s="70">
        <f t="shared" si="33"/>
        <v>953</v>
      </c>
      <c r="I570" s="70">
        <f t="shared" si="34"/>
        <v>849</v>
      </c>
      <c r="J570">
        <v>6</v>
      </c>
      <c r="K570" s="3" t="str">
        <f ca="1">VLOOKUP(J570,ConstDLCIds!$A$4:$B$1000,2,FALSE)</f>
        <v>DLC_MORROWIND</v>
      </c>
      <c r="L570" s="3" t="str">
        <f ca="1">VLOOKUP(J570,ConstDLCIds!$A$4:$C$1000,3,FALSE)</f>
        <v>Morrowind</v>
      </c>
    </row>
    <row r="571" spans="1:12" x14ac:dyDescent="0.25">
      <c r="A571">
        <v>954</v>
      </c>
      <c r="B571">
        <v>566</v>
      </c>
      <c r="C571">
        <v>849</v>
      </c>
      <c r="D571" t="s">
        <v>2673</v>
      </c>
      <c r="E571" t="str">
        <f>IF(NOT(ISERROR(VLOOKUP(D571,'ESO DungeonFinder'!$A$2:$A$999,1,FALSE))),"X","")</f>
        <v/>
      </c>
      <c r="F571" s="70" t="str">
        <f t="shared" si="32"/>
        <v/>
      </c>
      <c r="G571" s="70" t="str">
        <f t="shared" si="35"/>
        <v>Vvardenfell</v>
      </c>
      <c r="H571" s="70">
        <f t="shared" si="33"/>
        <v>954</v>
      </c>
      <c r="I571" s="70">
        <f t="shared" si="34"/>
        <v>849</v>
      </c>
      <c r="J571">
        <v>6</v>
      </c>
      <c r="K571" s="3" t="str">
        <f ca="1">VLOOKUP(J571,ConstDLCIds!$A$4:$B$1000,2,FALSE)</f>
        <v>DLC_MORROWIND</v>
      </c>
      <c r="L571" s="3" t="str">
        <f ca="1">VLOOKUP(J571,ConstDLCIds!$A$4:$C$1000,3,FALSE)</f>
        <v>Morrowind</v>
      </c>
    </row>
    <row r="572" spans="1:12" x14ac:dyDescent="0.25">
      <c r="A572">
        <v>955</v>
      </c>
      <c r="B572">
        <v>567</v>
      </c>
      <c r="C572">
        <v>849</v>
      </c>
      <c r="D572" t="s">
        <v>2674</v>
      </c>
      <c r="E572" t="str">
        <f>IF(NOT(ISERROR(VLOOKUP(D572,'ESO DungeonFinder'!$A$2:$A$999,1,FALSE))),"X","")</f>
        <v/>
      </c>
      <c r="F572" s="70" t="str">
        <f t="shared" si="32"/>
        <v/>
      </c>
      <c r="G572" s="70" t="str">
        <f t="shared" si="35"/>
        <v>Vvardenfell</v>
      </c>
      <c r="H572" s="70">
        <f t="shared" si="33"/>
        <v>955</v>
      </c>
      <c r="I572" s="70">
        <f t="shared" si="34"/>
        <v>849</v>
      </c>
      <c r="J572">
        <v>6</v>
      </c>
      <c r="K572" s="3" t="str">
        <f ca="1">VLOOKUP(J572,ConstDLCIds!$A$4:$B$1000,2,FALSE)</f>
        <v>DLC_MORROWIND</v>
      </c>
      <c r="L572" s="3" t="str">
        <f ca="1">VLOOKUP(J572,ConstDLCIds!$A$4:$C$1000,3,FALSE)</f>
        <v>Morrowind</v>
      </c>
    </row>
    <row r="573" spans="1:12" x14ac:dyDescent="0.25">
      <c r="A573">
        <v>956</v>
      </c>
      <c r="B573">
        <v>568</v>
      </c>
      <c r="C573">
        <v>849</v>
      </c>
      <c r="D573" t="s">
        <v>2675</v>
      </c>
      <c r="E573" t="str">
        <f>IF(NOT(ISERROR(VLOOKUP(D573,'ESO DungeonFinder'!$A$2:$A$999,1,FALSE))),"X","")</f>
        <v/>
      </c>
      <c r="F573" s="70" t="str">
        <f t="shared" si="32"/>
        <v/>
      </c>
      <c r="G573" s="70" t="str">
        <f t="shared" si="35"/>
        <v>Vvardenfell</v>
      </c>
      <c r="H573" s="70">
        <f t="shared" si="33"/>
        <v>956</v>
      </c>
      <c r="I573" s="70">
        <f t="shared" si="34"/>
        <v>849</v>
      </c>
      <c r="J573">
        <v>6</v>
      </c>
      <c r="K573" s="3" t="str">
        <f ca="1">VLOOKUP(J573,ConstDLCIds!$A$4:$B$1000,2,FALSE)</f>
        <v>DLC_MORROWIND</v>
      </c>
      <c r="L573" s="3" t="str">
        <f ca="1">VLOOKUP(J573,ConstDLCIds!$A$4:$C$1000,3,FALSE)</f>
        <v>Morrowind</v>
      </c>
    </row>
    <row r="574" spans="1:12" x14ac:dyDescent="0.25">
      <c r="A574">
        <v>957</v>
      </c>
      <c r="B574">
        <v>569</v>
      </c>
      <c r="C574">
        <v>849</v>
      </c>
      <c r="D574" t="s">
        <v>2676</v>
      </c>
      <c r="E574" t="str">
        <f>IF(NOT(ISERROR(VLOOKUP(D574,'ESO DungeonFinder'!$A$2:$A$999,1,FALSE))),"X","")</f>
        <v/>
      </c>
      <c r="F574" s="70" t="str">
        <f t="shared" si="32"/>
        <v/>
      </c>
      <c r="G574" s="70" t="str">
        <f t="shared" si="35"/>
        <v>Vvardenfell</v>
      </c>
      <c r="H574" s="70">
        <f t="shared" si="33"/>
        <v>957</v>
      </c>
      <c r="I574" s="70">
        <f t="shared" si="34"/>
        <v>849</v>
      </c>
      <c r="J574">
        <v>6</v>
      </c>
      <c r="K574" s="3" t="str">
        <f ca="1">VLOOKUP(J574,ConstDLCIds!$A$4:$B$1000,2,FALSE)</f>
        <v>DLC_MORROWIND</v>
      </c>
      <c r="L574" s="3" t="str">
        <f ca="1">VLOOKUP(J574,ConstDLCIds!$A$4:$C$1000,3,FALSE)</f>
        <v>Morrowind</v>
      </c>
    </row>
    <row r="575" spans="1:12" x14ac:dyDescent="0.25">
      <c r="A575">
        <v>958</v>
      </c>
      <c r="B575">
        <v>570</v>
      </c>
      <c r="C575">
        <v>849</v>
      </c>
      <c r="D575" t="s">
        <v>2677</v>
      </c>
      <c r="E575" t="str">
        <f>IF(NOT(ISERROR(VLOOKUP(D575,'ESO DungeonFinder'!$A$2:$A$999,1,FALSE))),"X","")</f>
        <v/>
      </c>
      <c r="F575" s="70" t="str">
        <f t="shared" si="32"/>
        <v/>
      </c>
      <c r="G575" s="70" t="str">
        <f t="shared" si="35"/>
        <v>Vvardenfell</v>
      </c>
      <c r="H575" s="70">
        <f t="shared" si="33"/>
        <v>958</v>
      </c>
      <c r="I575" s="70">
        <f t="shared" si="34"/>
        <v>849</v>
      </c>
      <c r="J575">
        <v>6</v>
      </c>
      <c r="K575" s="3" t="str">
        <f ca="1">VLOOKUP(J575,ConstDLCIds!$A$4:$B$1000,2,FALSE)</f>
        <v>DLC_MORROWIND</v>
      </c>
      <c r="L575" s="3" t="str">
        <f ca="1">VLOOKUP(J575,ConstDLCIds!$A$4:$C$1000,3,FALSE)</f>
        <v>Morrowind</v>
      </c>
    </row>
    <row r="576" spans="1:12" x14ac:dyDescent="0.25">
      <c r="A576">
        <v>959</v>
      </c>
      <c r="B576">
        <v>571</v>
      </c>
      <c r="C576">
        <v>849</v>
      </c>
      <c r="D576" t="s">
        <v>2678</v>
      </c>
      <c r="E576" t="str">
        <f>IF(NOT(ISERROR(VLOOKUP(D576,'ESO DungeonFinder'!$A$2:$A$999,1,FALSE))),"X","")</f>
        <v/>
      </c>
      <c r="F576" s="70" t="str">
        <f t="shared" si="32"/>
        <v/>
      </c>
      <c r="G576" s="70" t="str">
        <f t="shared" si="35"/>
        <v>Vvardenfell</v>
      </c>
      <c r="H576" s="70">
        <f t="shared" si="33"/>
        <v>959</v>
      </c>
      <c r="I576" s="70">
        <f t="shared" si="34"/>
        <v>849</v>
      </c>
      <c r="J576">
        <v>6</v>
      </c>
      <c r="K576" s="3" t="str">
        <f ca="1">VLOOKUP(J576,ConstDLCIds!$A$4:$B$1000,2,FALSE)</f>
        <v>DLC_MORROWIND</v>
      </c>
      <c r="L576" s="3" t="str">
        <f ca="1">VLOOKUP(J576,ConstDLCIds!$A$4:$C$1000,3,FALSE)</f>
        <v>Morrowind</v>
      </c>
    </row>
    <row r="577" spans="1:12" x14ac:dyDescent="0.25">
      <c r="A577">
        <v>960</v>
      </c>
      <c r="B577">
        <v>572</v>
      </c>
      <c r="C577">
        <v>849</v>
      </c>
      <c r="D577" t="s">
        <v>2679</v>
      </c>
      <c r="E577" t="str">
        <f>IF(NOT(ISERROR(VLOOKUP(D577,'ESO DungeonFinder'!$A$2:$A$999,1,FALSE))),"X","")</f>
        <v/>
      </c>
      <c r="F577" s="70" t="str">
        <f t="shared" si="32"/>
        <v/>
      </c>
      <c r="G577" s="70" t="str">
        <f t="shared" si="35"/>
        <v>Vvardenfell</v>
      </c>
      <c r="H577" s="70">
        <f t="shared" si="33"/>
        <v>960</v>
      </c>
      <c r="I577" s="70">
        <f t="shared" si="34"/>
        <v>849</v>
      </c>
      <c r="J577">
        <v>6</v>
      </c>
      <c r="K577" s="3" t="str">
        <f ca="1">VLOOKUP(J577,ConstDLCIds!$A$4:$B$1000,2,FALSE)</f>
        <v>DLC_MORROWIND</v>
      </c>
      <c r="L577" s="3" t="str">
        <f ca="1">VLOOKUP(J577,ConstDLCIds!$A$4:$C$1000,3,FALSE)</f>
        <v>Morrowind</v>
      </c>
    </row>
    <row r="578" spans="1:12" x14ac:dyDescent="0.25">
      <c r="A578">
        <v>961</v>
      </c>
      <c r="B578">
        <v>573</v>
      </c>
      <c r="C578">
        <v>849</v>
      </c>
      <c r="D578" t="s">
        <v>2680</v>
      </c>
      <c r="E578" t="str">
        <f>IF(NOT(ISERROR(VLOOKUP(D578,'ESO DungeonFinder'!$A$2:$A$999,1,FALSE))),"X","")</f>
        <v/>
      </c>
      <c r="F578" s="70" t="str">
        <f t="shared" si="32"/>
        <v/>
      </c>
      <c r="G578" s="70" t="str">
        <f t="shared" si="35"/>
        <v>Vvardenfell</v>
      </c>
      <c r="H578" s="70">
        <f t="shared" si="33"/>
        <v>961</v>
      </c>
      <c r="I578" s="70">
        <f t="shared" si="34"/>
        <v>849</v>
      </c>
      <c r="J578">
        <v>6</v>
      </c>
      <c r="K578" s="3" t="str">
        <f ca="1">VLOOKUP(J578,ConstDLCIds!$A$4:$B$1000,2,FALSE)</f>
        <v>DLC_MORROWIND</v>
      </c>
      <c r="L578" s="3" t="str">
        <f ca="1">VLOOKUP(J578,ConstDLCIds!$A$4:$C$1000,3,FALSE)</f>
        <v>Morrowind</v>
      </c>
    </row>
    <row r="579" spans="1:12" x14ac:dyDescent="0.25">
      <c r="A579">
        <v>962</v>
      </c>
      <c r="B579">
        <v>574</v>
      </c>
      <c r="C579">
        <v>849</v>
      </c>
      <c r="D579" t="s">
        <v>2681</v>
      </c>
      <c r="E579" t="str">
        <f>IF(NOT(ISERROR(VLOOKUP(D579,'ESO DungeonFinder'!$A$2:$A$999,1,FALSE))),"X","")</f>
        <v/>
      </c>
      <c r="F579" s="70" t="str">
        <f t="shared" si="32"/>
        <v/>
      </c>
      <c r="G579" s="70" t="str">
        <f t="shared" si="35"/>
        <v>Vvardenfell</v>
      </c>
      <c r="H579" s="70">
        <f t="shared" si="33"/>
        <v>962</v>
      </c>
      <c r="I579" s="70">
        <f t="shared" si="34"/>
        <v>849</v>
      </c>
      <c r="J579">
        <v>6</v>
      </c>
      <c r="K579" s="3" t="str">
        <f ca="1">VLOOKUP(J579,ConstDLCIds!$A$4:$B$1000,2,FALSE)</f>
        <v>DLC_MORROWIND</v>
      </c>
      <c r="L579" s="3" t="str">
        <f ca="1">VLOOKUP(J579,ConstDLCIds!$A$4:$C$1000,3,FALSE)</f>
        <v>Morrowind</v>
      </c>
    </row>
    <row r="580" spans="1:12" x14ac:dyDescent="0.25">
      <c r="A580">
        <v>963</v>
      </c>
      <c r="B580">
        <v>575</v>
      </c>
      <c r="C580">
        <v>849</v>
      </c>
      <c r="D580" t="s">
        <v>2682</v>
      </c>
      <c r="E580" t="str">
        <f>IF(NOT(ISERROR(VLOOKUP(D580,'ESO DungeonFinder'!$A$2:$A$999,1,FALSE))),"X","")</f>
        <v/>
      </c>
      <c r="F580" s="70" t="str">
        <f t="shared" si="32"/>
        <v/>
      </c>
      <c r="G580" s="70" t="str">
        <f t="shared" si="35"/>
        <v>Vvardenfell</v>
      </c>
      <c r="H580" s="70">
        <f t="shared" si="33"/>
        <v>963</v>
      </c>
      <c r="I580" s="70">
        <f t="shared" si="34"/>
        <v>849</v>
      </c>
      <c r="J580">
        <v>6</v>
      </c>
      <c r="K580" s="3" t="str">
        <f ca="1">VLOOKUP(J580,ConstDLCIds!$A$4:$B$1000,2,FALSE)</f>
        <v>DLC_MORROWIND</v>
      </c>
      <c r="L580" s="3" t="str">
        <f ca="1">VLOOKUP(J580,ConstDLCIds!$A$4:$C$1000,3,FALSE)</f>
        <v>Morrowind</v>
      </c>
    </row>
    <row r="581" spans="1:12" x14ac:dyDescent="0.25">
      <c r="A581">
        <v>964</v>
      </c>
      <c r="B581">
        <v>576</v>
      </c>
      <c r="C581">
        <v>849</v>
      </c>
      <c r="D581" t="s">
        <v>2683</v>
      </c>
      <c r="E581" t="str">
        <f>IF(NOT(ISERROR(VLOOKUP(D581,'ESO DungeonFinder'!$A$2:$A$999,1,FALSE))),"X","")</f>
        <v/>
      </c>
      <c r="F581" s="70" t="str">
        <f t="shared" ref="F581:F644" si="36">IF(EXACT(A581,C581),"X","")</f>
        <v/>
      </c>
      <c r="G581" s="70" t="str">
        <f t="shared" si="35"/>
        <v>Vvardenfell</v>
      </c>
      <c r="H581" s="70">
        <f t="shared" ref="H581:H644" si="37">A581</f>
        <v>964</v>
      </c>
      <c r="I581" s="70">
        <f t="shared" ref="I581:I644" si="38">C581</f>
        <v>849</v>
      </c>
      <c r="J581">
        <v>6</v>
      </c>
      <c r="K581" s="3" t="str">
        <f ca="1">VLOOKUP(J581,ConstDLCIds!$A$4:$B$1000,2,FALSE)</f>
        <v>DLC_MORROWIND</v>
      </c>
      <c r="L581" s="3" t="str">
        <f ca="1">VLOOKUP(J581,ConstDLCIds!$A$4:$C$1000,3,FALSE)</f>
        <v>Morrowind</v>
      </c>
    </row>
    <row r="582" spans="1:12" x14ac:dyDescent="0.25">
      <c r="A582">
        <v>965</v>
      </c>
      <c r="B582">
        <v>577</v>
      </c>
      <c r="C582">
        <v>849</v>
      </c>
      <c r="D582" t="s">
        <v>2684</v>
      </c>
      <c r="E582" t="str">
        <f>IF(NOT(ISERROR(VLOOKUP(D582,'ESO DungeonFinder'!$A$2:$A$999,1,FALSE))),"X","")</f>
        <v/>
      </c>
      <c r="F582" s="70" t="str">
        <f t="shared" si="36"/>
        <v/>
      </c>
      <c r="G582" s="70" t="str">
        <f t="shared" ref="G582:G645" si="39">IF(A582&lt;&gt;C582,VLOOKUP(C582,$A$5:$D$9956,4,FALSE),"")</f>
        <v>Vvardenfell</v>
      </c>
      <c r="H582" s="70">
        <f t="shared" si="37"/>
        <v>965</v>
      </c>
      <c r="I582" s="70">
        <f t="shared" si="38"/>
        <v>849</v>
      </c>
      <c r="J582">
        <v>6</v>
      </c>
      <c r="K582" s="3" t="str">
        <f ca="1">VLOOKUP(J582,ConstDLCIds!$A$4:$B$1000,2,FALSE)</f>
        <v>DLC_MORROWIND</v>
      </c>
      <c r="L582" s="3" t="str">
        <f ca="1">VLOOKUP(J582,ConstDLCIds!$A$4:$C$1000,3,FALSE)</f>
        <v>Morrowind</v>
      </c>
    </row>
    <row r="583" spans="1:12" x14ac:dyDescent="0.25">
      <c r="A583">
        <v>966</v>
      </c>
      <c r="B583">
        <v>578</v>
      </c>
      <c r="C583">
        <v>849</v>
      </c>
      <c r="D583" t="s">
        <v>2685</v>
      </c>
      <c r="E583" t="str">
        <f>IF(NOT(ISERROR(VLOOKUP(D583,'ESO DungeonFinder'!$A$2:$A$999,1,FALSE))),"X","")</f>
        <v/>
      </c>
      <c r="F583" s="70" t="str">
        <f t="shared" si="36"/>
        <v/>
      </c>
      <c r="G583" s="70" t="str">
        <f t="shared" si="39"/>
        <v>Vvardenfell</v>
      </c>
      <c r="H583" s="70">
        <f t="shared" si="37"/>
        <v>966</v>
      </c>
      <c r="I583" s="70">
        <f t="shared" si="38"/>
        <v>849</v>
      </c>
      <c r="J583">
        <v>6</v>
      </c>
      <c r="K583" s="3" t="str">
        <f ca="1">VLOOKUP(J583,ConstDLCIds!$A$4:$B$1000,2,FALSE)</f>
        <v>DLC_MORROWIND</v>
      </c>
      <c r="L583" s="3" t="str">
        <f ca="1">VLOOKUP(J583,ConstDLCIds!$A$4:$C$1000,3,FALSE)</f>
        <v>Morrowind</v>
      </c>
    </row>
    <row r="584" spans="1:12" x14ac:dyDescent="0.25">
      <c r="A584">
        <v>967</v>
      </c>
      <c r="B584">
        <v>579</v>
      </c>
      <c r="C584">
        <v>849</v>
      </c>
      <c r="D584" t="s">
        <v>2686</v>
      </c>
      <c r="E584" t="str">
        <f>IF(NOT(ISERROR(VLOOKUP(D584,'ESO DungeonFinder'!$A$2:$A$999,1,FALSE))),"X","")</f>
        <v/>
      </c>
      <c r="F584" s="70" t="str">
        <f t="shared" si="36"/>
        <v/>
      </c>
      <c r="G584" s="70" t="str">
        <f t="shared" si="39"/>
        <v>Vvardenfell</v>
      </c>
      <c r="H584" s="70">
        <f t="shared" si="37"/>
        <v>967</v>
      </c>
      <c r="I584" s="70">
        <f t="shared" si="38"/>
        <v>849</v>
      </c>
      <c r="J584">
        <v>6</v>
      </c>
      <c r="K584" s="3" t="str">
        <f ca="1">VLOOKUP(J584,ConstDLCIds!$A$4:$B$1000,2,FALSE)</f>
        <v>DLC_MORROWIND</v>
      </c>
      <c r="L584" s="3" t="str">
        <f ca="1">VLOOKUP(J584,ConstDLCIds!$A$4:$C$1000,3,FALSE)</f>
        <v>Morrowind</v>
      </c>
    </row>
    <row r="585" spans="1:12" x14ac:dyDescent="0.25">
      <c r="A585">
        <v>968</v>
      </c>
      <c r="B585">
        <v>580</v>
      </c>
      <c r="C585">
        <v>849</v>
      </c>
      <c r="D585" t="s">
        <v>2687</v>
      </c>
      <c r="E585" t="str">
        <f>IF(NOT(ISERROR(VLOOKUP(D585,'ESO DungeonFinder'!$A$2:$A$999,1,FALSE))),"X","")</f>
        <v/>
      </c>
      <c r="F585" s="70" t="str">
        <f t="shared" si="36"/>
        <v/>
      </c>
      <c r="G585" s="70" t="str">
        <f t="shared" si="39"/>
        <v>Vvardenfell</v>
      </c>
      <c r="H585" s="70">
        <f t="shared" si="37"/>
        <v>968</v>
      </c>
      <c r="I585" s="70">
        <f t="shared" si="38"/>
        <v>849</v>
      </c>
      <c r="J585">
        <v>6</v>
      </c>
      <c r="K585" s="3" t="str">
        <f ca="1">VLOOKUP(J585,ConstDLCIds!$A$4:$B$1000,2,FALSE)</f>
        <v>DLC_MORROWIND</v>
      </c>
      <c r="L585" s="3" t="str">
        <f ca="1">VLOOKUP(J585,ConstDLCIds!$A$4:$C$1000,3,FALSE)</f>
        <v>Morrowind</v>
      </c>
    </row>
    <row r="586" spans="1:12" x14ac:dyDescent="0.25">
      <c r="A586">
        <v>969</v>
      </c>
      <c r="B586">
        <v>581</v>
      </c>
      <c r="C586">
        <v>849</v>
      </c>
      <c r="D586" t="s">
        <v>2688</v>
      </c>
      <c r="E586" t="str">
        <f>IF(NOT(ISERROR(VLOOKUP(D586,'ESO DungeonFinder'!$A$2:$A$999,1,FALSE))),"X","")</f>
        <v/>
      </c>
      <c r="F586" s="70" t="str">
        <f t="shared" si="36"/>
        <v/>
      </c>
      <c r="G586" s="70" t="str">
        <f t="shared" si="39"/>
        <v>Vvardenfell</v>
      </c>
      <c r="H586" s="70">
        <f t="shared" si="37"/>
        <v>969</v>
      </c>
      <c r="I586" s="70">
        <f t="shared" si="38"/>
        <v>849</v>
      </c>
      <c r="J586">
        <v>6</v>
      </c>
      <c r="K586" s="3" t="str">
        <f ca="1">VLOOKUP(J586,ConstDLCIds!$A$4:$B$1000,2,FALSE)</f>
        <v>DLC_MORROWIND</v>
      </c>
      <c r="L586" s="3" t="str">
        <f ca="1">VLOOKUP(J586,ConstDLCIds!$A$4:$C$1000,3,FALSE)</f>
        <v>Morrowind</v>
      </c>
    </row>
    <row r="587" spans="1:12" x14ac:dyDescent="0.25">
      <c r="A587">
        <v>970</v>
      </c>
      <c r="B587">
        <v>582</v>
      </c>
      <c r="C587">
        <v>849</v>
      </c>
      <c r="D587" t="s">
        <v>2689</v>
      </c>
      <c r="E587" t="str">
        <f>IF(NOT(ISERROR(VLOOKUP(D587,'ESO DungeonFinder'!$A$2:$A$999,1,FALSE))),"X","")</f>
        <v/>
      </c>
      <c r="F587" s="70" t="str">
        <f t="shared" si="36"/>
        <v/>
      </c>
      <c r="G587" s="70" t="str">
        <f t="shared" si="39"/>
        <v>Vvardenfell</v>
      </c>
      <c r="H587" s="70">
        <f t="shared" si="37"/>
        <v>970</v>
      </c>
      <c r="I587" s="70">
        <f t="shared" si="38"/>
        <v>849</v>
      </c>
      <c r="J587">
        <v>6</v>
      </c>
      <c r="K587" s="3" t="str">
        <f ca="1">VLOOKUP(J587,ConstDLCIds!$A$4:$B$1000,2,FALSE)</f>
        <v>DLC_MORROWIND</v>
      </c>
      <c r="L587" s="3" t="str">
        <f ca="1">VLOOKUP(J587,ConstDLCIds!$A$4:$C$1000,3,FALSE)</f>
        <v>Morrowind</v>
      </c>
    </row>
    <row r="588" spans="1:12" x14ac:dyDescent="0.25">
      <c r="A588">
        <v>971</v>
      </c>
      <c r="B588">
        <v>583</v>
      </c>
      <c r="C588">
        <v>849</v>
      </c>
      <c r="D588" t="s">
        <v>2690</v>
      </c>
      <c r="E588" t="str">
        <f>IF(NOT(ISERROR(VLOOKUP(D588,'ESO DungeonFinder'!$A$2:$A$999,1,FALSE))),"X","")</f>
        <v/>
      </c>
      <c r="F588" s="70" t="str">
        <f t="shared" si="36"/>
        <v/>
      </c>
      <c r="G588" s="70" t="str">
        <f t="shared" si="39"/>
        <v>Vvardenfell</v>
      </c>
      <c r="H588" s="70">
        <f t="shared" si="37"/>
        <v>971</v>
      </c>
      <c r="I588" s="70">
        <f t="shared" si="38"/>
        <v>849</v>
      </c>
      <c r="J588">
        <v>6</v>
      </c>
      <c r="K588" s="3" t="str">
        <f ca="1">VLOOKUP(J588,ConstDLCIds!$A$4:$B$1000,2,FALSE)</f>
        <v>DLC_MORROWIND</v>
      </c>
      <c r="L588" s="3" t="str">
        <f ca="1">VLOOKUP(J588,ConstDLCIds!$A$4:$C$1000,3,FALSE)</f>
        <v>Morrowind</v>
      </c>
    </row>
    <row r="589" spans="1:12" x14ac:dyDescent="0.25">
      <c r="A589">
        <v>972</v>
      </c>
      <c r="B589">
        <v>584</v>
      </c>
      <c r="C589">
        <v>849</v>
      </c>
      <c r="D589" t="s">
        <v>2691</v>
      </c>
      <c r="E589" t="str">
        <f>IF(NOT(ISERROR(VLOOKUP(D589,'ESO DungeonFinder'!$A$2:$A$999,1,FALSE))),"X","")</f>
        <v/>
      </c>
      <c r="F589" s="70" t="str">
        <f t="shared" si="36"/>
        <v/>
      </c>
      <c r="G589" s="70" t="str">
        <f t="shared" si="39"/>
        <v>Vvardenfell</v>
      </c>
      <c r="H589" s="70">
        <f t="shared" si="37"/>
        <v>972</v>
      </c>
      <c r="I589" s="70">
        <f t="shared" si="38"/>
        <v>849</v>
      </c>
      <c r="J589">
        <v>6</v>
      </c>
      <c r="K589" s="3" t="str">
        <f ca="1">VLOOKUP(J589,ConstDLCIds!$A$4:$B$1000,2,FALSE)</f>
        <v>DLC_MORROWIND</v>
      </c>
      <c r="L589" s="3" t="str">
        <f ca="1">VLOOKUP(J589,ConstDLCIds!$A$4:$C$1000,3,FALSE)</f>
        <v>Morrowind</v>
      </c>
    </row>
    <row r="590" spans="1:12" x14ac:dyDescent="0.25">
      <c r="A590">
        <v>973</v>
      </c>
      <c r="B590">
        <v>585</v>
      </c>
      <c r="C590">
        <v>888</v>
      </c>
      <c r="D590" t="s">
        <v>1078</v>
      </c>
      <c r="E590" t="str">
        <f>IF(NOT(ISERROR(VLOOKUP(D590,'ESO DungeonFinder'!$A$2:$A$999,1,FALSE))),"X","")</f>
        <v>X</v>
      </c>
      <c r="F590" s="70" t="str">
        <f t="shared" si="36"/>
        <v/>
      </c>
      <c r="G590" s="70" t="str">
        <f t="shared" si="39"/>
        <v>Craglorn</v>
      </c>
      <c r="H590" s="70">
        <f t="shared" si="37"/>
        <v>973</v>
      </c>
      <c r="I590" s="70">
        <f t="shared" si="38"/>
        <v>888</v>
      </c>
      <c r="J590">
        <v>7</v>
      </c>
      <c r="K590" s="3" t="str">
        <f ca="1">VLOOKUP(J590,ConstDLCIds!$A$4:$B$1000,2,FALSE)</f>
        <v>DLC_HORNS_OF_THE_REACH</v>
      </c>
      <c r="L590" s="3" t="str">
        <f ca="1">VLOOKUP(J590,ConstDLCIds!$A$4:$C$1000,3,FALSE)</f>
        <v>Horns of the Reach</v>
      </c>
    </row>
    <row r="591" spans="1:12" x14ac:dyDescent="0.25">
      <c r="A591">
        <v>974</v>
      </c>
      <c r="B591">
        <v>586</v>
      </c>
      <c r="C591">
        <v>888</v>
      </c>
      <c r="D591" t="s">
        <v>1071</v>
      </c>
      <c r="E591" t="str">
        <f>IF(NOT(ISERROR(VLOOKUP(D591,'ESO DungeonFinder'!$A$2:$A$999,1,FALSE))),"X","")</f>
        <v>X</v>
      </c>
      <c r="F591" s="70" t="str">
        <f t="shared" si="36"/>
        <v/>
      </c>
      <c r="G591" s="70" t="str">
        <f t="shared" si="39"/>
        <v>Craglorn</v>
      </c>
      <c r="H591" s="70">
        <f t="shared" si="37"/>
        <v>974</v>
      </c>
      <c r="I591" s="70">
        <f t="shared" si="38"/>
        <v>888</v>
      </c>
      <c r="J591">
        <v>7</v>
      </c>
      <c r="K591" s="3" t="str">
        <f ca="1">VLOOKUP(J591,ConstDLCIds!$A$4:$B$1000,2,FALSE)</f>
        <v>DLC_HORNS_OF_THE_REACH</v>
      </c>
      <c r="L591" s="3" t="str">
        <f ca="1">VLOOKUP(J591,ConstDLCIds!$A$4:$C$1000,3,FALSE)</f>
        <v>Horns of the Reach</v>
      </c>
    </row>
    <row r="592" spans="1:12" x14ac:dyDescent="0.25">
      <c r="A592">
        <v>975</v>
      </c>
      <c r="B592">
        <v>587</v>
      </c>
      <c r="C592">
        <v>849</v>
      </c>
      <c r="D592" t="s">
        <v>1060</v>
      </c>
      <c r="E592" t="str">
        <f>IF(NOT(ISERROR(VLOOKUP(D592,'ESO DungeonFinder'!$A$2:$A$999,1,FALSE))),"X","")</f>
        <v/>
      </c>
      <c r="F592" s="70" t="str">
        <f t="shared" si="36"/>
        <v/>
      </c>
      <c r="G592" s="70" t="str">
        <f t="shared" si="39"/>
        <v>Vvardenfell</v>
      </c>
      <c r="H592" s="70">
        <f t="shared" si="37"/>
        <v>975</v>
      </c>
      <c r="I592" s="70">
        <f t="shared" si="38"/>
        <v>849</v>
      </c>
      <c r="J592">
        <v>8</v>
      </c>
      <c r="K592" s="3" t="str">
        <f ca="1">VLOOKUP(J592,ConstDLCIds!$A$4:$B$1000,2,FALSE)</f>
        <v>DLC_CLOCKWORK_CITY</v>
      </c>
      <c r="L592" s="3" t="str">
        <f ca="1">VLOOKUP(J592,ConstDLCIds!$A$4:$C$1000,3,FALSE)</f>
        <v>Clockwork City</v>
      </c>
    </row>
    <row r="593" spans="1:12" x14ac:dyDescent="0.25">
      <c r="A593">
        <v>977</v>
      </c>
      <c r="B593">
        <v>588</v>
      </c>
      <c r="C593">
        <v>849</v>
      </c>
      <c r="D593" t="s">
        <v>2692</v>
      </c>
      <c r="E593" t="str">
        <f>IF(NOT(ISERROR(VLOOKUP(D593,'ESO DungeonFinder'!$A$2:$A$999,1,FALSE))),"X","")</f>
        <v/>
      </c>
      <c r="F593" s="70" t="str">
        <f t="shared" si="36"/>
        <v/>
      </c>
      <c r="G593" s="70" t="str">
        <f t="shared" si="39"/>
        <v>Vvardenfell</v>
      </c>
      <c r="H593" s="70">
        <f t="shared" si="37"/>
        <v>977</v>
      </c>
      <c r="I593" s="70">
        <f t="shared" si="38"/>
        <v>849</v>
      </c>
      <c r="J593">
        <v>6</v>
      </c>
      <c r="K593" s="3" t="str">
        <f ca="1">VLOOKUP(J593,ConstDLCIds!$A$4:$B$1000,2,FALSE)</f>
        <v>DLC_MORROWIND</v>
      </c>
      <c r="L593" s="3" t="str">
        <f ca="1">VLOOKUP(J593,ConstDLCIds!$A$4:$C$1000,3,FALSE)</f>
        <v>Morrowind</v>
      </c>
    </row>
    <row r="594" spans="1:12" x14ac:dyDescent="0.25">
      <c r="A594">
        <v>979</v>
      </c>
      <c r="B594">
        <v>589</v>
      </c>
      <c r="C594">
        <v>849</v>
      </c>
      <c r="D594" t="s">
        <v>2686</v>
      </c>
      <c r="E594" t="str">
        <f>IF(NOT(ISERROR(VLOOKUP(D594,'ESO DungeonFinder'!$A$2:$A$999,1,FALSE))),"X","")</f>
        <v/>
      </c>
      <c r="F594" s="70" t="str">
        <f t="shared" si="36"/>
        <v/>
      </c>
      <c r="G594" s="70" t="str">
        <f t="shared" si="39"/>
        <v>Vvardenfell</v>
      </c>
      <c r="H594" s="70">
        <f t="shared" si="37"/>
        <v>979</v>
      </c>
      <c r="I594" s="70">
        <f t="shared" si="38"/>
        <v>849</v>
      </c>
      <c r="J594">
        <v>6</v>
      </c>
      <c r="K594" s="3" t="str">
        <f ca="1">VLOOKUP(J594,ConstDLCIds!$A$4:$B$1000,2,FALSE)</f>
        <v>DLC_MORROWIND</v>
      </c>
      <c r="L594" s="3" t="str">
        <f ca="1">VLOOKUP(J594,ConstDLCIds!$A$4:$C$1000,3,FALSE)</f>
        <v>Morrowind</v>
      </c>
    </row>
    <row r="595" spans="1:12" x14ac:dyDescent="0.25">
      <c r="A595">
        <v>980</v>
      </c>
      <c r="B595">
        <v>590</v>
      </c>
      <c r="C595">
        <v>980</v>
      </c>
      <c r="D595" t="s">
        <v>32</v>
      </c>
      <c r="E595" t="str">
        <f>IF(NOT(ISERROR(VLOOKUP(D595,'ESO DungeonFinder'!$A$2:$A$999,1,FALSE))),"X","")</f>
        <v/>
      </c>
      <c r="F595" s="70" t="str">
        <f t="shared" si="36"/>
        <v>X</v>
      </c>
      <c r="G595" s="70" t="str">
        <f t="shared" si="39"/>
        <v/>
      </c>
      <c r="H595" s="70">
        <f t="shared" si="37"/>
        <v>980</v>
      </c>
      <c r="I595" s="70">
        <f t="shared" si="38"/>
        <v>980</v>
      </c>
      <c r="J595">
        <v>30</v>
      </c>
      <c r="K595" s="3" t="str">
        <f ca="1">VLOOKUP(J595,ConstDLCIds!$A$4:$B$1000,2,FALSE)</f>
        <v>DLC_NECROM</v>
      </c>
      <c r="L595" s="3" t="str">
        <f ca="1">VLOOKUP(J595,ConstDLCIds!$A$4:$C$1000,3,FALSE)</f>
        <v>Necrom</v>
      </c>
    </row>
    <row r="596" spans="1:12" x14ac:dyDescent="0.25">
      <c r="A596">
        <v>981</v>
      </c>
      <c r="B596">
        <v>591</v>
      </c>
      <c r="C596">
        <v>980</v>
      </c>
      <c r="D596" t="s">
        <v>2693</v>
      </c>
      <c r="E596" t="str">
        <f>IF(NOT(ISERROR(VLOOKUP(D596,'ESO DungeonFinder'!$A$2:$A$999,1,FALSE))),"X","")</f>
        <v/>
      </c>
      <c r="F596" s="70" t="str">
        <f t="shared" si="36"/>
        <v/>
      </c>
      <c r="G596" s="70" t="str">
        <f t="shared" si="39"/>
        <v>Clockwork City</v>
      </c>
      <c r="H596" s="70">
        <f t="shared" si="37"/>
        <v>981</v>
      </c>
      <c r="I596" s="70">
        <f t="shared" si="38"/>
        <v>980</v>
      </c>
      <c r="J596">
        <v>8</v>
      </c>
      <c r="K596" s="3" t="str">
        <f ca="1">VLOOKUP(J596,ConstDLCIds!$A$4:$B$1000,2,FALSE)</f>
        <v>DLC_CLOCKWORK_CITY</v>
      </c>
      <c r="L596" s="3" t="str">
        <f ca="1">VLOOKUP(J596,ConstDLCIds!$A$4:$C$1000,3,FALSE)</f>
        <v>Clockwork City</v>
      </c>
    </row>
    <row r="597" spans="1:12" x14ac:dyDescent="0.25">
      <c r="A597">
        <v>982</v>
      </c>
      <c r="B597">
        <v>592</v>
      </c>
      <c r="C597">
        <v>980</v>
      </c>
      <c r="D597" t="s">
        <v>2694</v>
      </c>
      <c r="E597" t="str">
        <f>IF(NOT(ISERROR(VLOOKUP(D597,'ESO DungeonFinder'!$A$2:$A$999,1,FALSE))),"X","")</f>
        <v/>
      </c>
      <c r="F597" s="70" t="str">
        <f t="shared" si="36"/>
        <v/>
      </c>
      <c r="G597" s="70" t="str">
        <f t="shared" si="39"/>
        <v>Clockwork City</v>
      </c>
      <c r="H597" s="70">
        <f t="shared" si="37"/>
        <v>982</v>
      </c>
      <c r="I597" s="70">
        <f t="shared" si="38"/>
        <v>980</v>
      </c>
      <c r="J597">
        <v>8</v>
      </c>
      <c r="K597" s="3" t="str">
        <f ca="1">VLOOKUP(J597,ConstDLCIds!$A$4:$B$1000,2,FALSE)</f>
        <v>DLC_CLOCKWORK_CITY</v>
      </c>
      <c r="L597" s="3" t="str">
        <f ca="1">VLOOKUP(J597,ConstDLCIds!$A$4:$C$1000,3,FALSE)</f>
        <v>Clockwork City</v>
      </c>
    </row>
    <row r="598" spans="1:12" x14ac:dyDescent="0.25">
      <c r="A598">
        <v>983</v>
      </c>
      <c r="B598">
        <v>593</v>
      </c>
      <c r="C598">
        <v>980</v>
      </c>
      <c r="D598" t="s">
        <v>2695</v>
      </c>
      <c r="E598" t="str">
        <f>IF(NOT(ISERROR(VLOOKUP(D598,'ESO DungeonFinder'!$A$2:$A$999,1,FALSE))),"X","")</f>
        <v/>
      </c>
      <c r="F598" s="70" t="str">
        <f t="shared" si="36"/>
        <v/>
      </c>
      <c r="G598" s="70" t="str">
        <f t="shared" si="39"/>
        <v>Clockwork City</v>
      </c>
      <c r="H598" s="70">
        <f t="shared" si="37"/>
        <v>983</v>
      </c>
      <c r="I598" s="70">
        <f t="shared" si="38"/>
        <v>980</v>
      </c>
      <c r="J598">
        <v>8</v>
      </c>
      <c r="K598" s="3" t="str">
        <f ca="1">VLOOKUP(J598,ConstDLCIds!$A$4:$B$1000,2,FALSE)</f>
        <v>DLC_CLOCKWORK_CITY</v>
      </c>
      <c r="L598" s="3" t="str">
        <f ca="1">VLOOKUP(J598,ConstDLCIds!$A$4:$C$1000,3,FALSE)</f>
        <v>Clockwork City</v>
      </c>
    </row>
    <row r="599" spans="1:12" x14ac:dyDescent="0.25">
      <c r="A599">
        <v>984</v>
      </c>
      <c r="B599">
        <v>594</v>
      </c>
      <c r="C599">
        <v>980</v>
      </c>
      <c r="D599" t="s">
        <v>2696</v>
      </c>
      <c r="E599" t="str">
        <f>IF(NOT(ISERROR(VLOOKUP(D599,'ESO DungeonFinder'!$A$2:$A$999,1,FALSE))),"X","")</f>
        <v/>
      </c>
      <c r="F599" s="70" t="str">
        <f t="shared" si="36"/>
        <v/>
      </c>
      <c r="G599" s="70" t="str">
        <f t="shared" si="39"/>
        <v>Clockwork City</v>
      </c>
      <c r="H599" s="70">
        <f t="shared" si="37"/>
        <v>984</v>
      </c>
      <c r="I599" s="70">
        <f t="shared" si="38"/>
        <v>980</v>
      </c>
      <c r="J599">
        <v>8</v>
      </c>
      <c r="K599" s="3" t="str">
        <f ca="1">VLOOKUP(J599,ConstDLCIds!$A$4:$B$1000,2,FALSE)</f>
        <v>DLC_CLOCKWORK_CITY</v>
      </c>
      <c r="L599" s="3" t="str">
        <f ca="1">VLOOKUP(J599,ConstDLCIds!$A$4:$C$1000,3,FALSE)</f>
        <v>Clockwork City</v>
      </c>
    </row>
    <row r="600" spans="1:12" x14ac:dyDescent="0.25">
      <c r="A600">
        <v>985</v>
      </c>
      <c r="B600">
        <v>595</v>
      </c>
      <c r="C600">
        <v>980</v>
      </c>
      <c r="D600" t="s">
        <v>2697</v>
      </c>
      <c r="E600" t="str">
        <f>IF(NOT(ISERROR(VLOOKUP(D600,'ESO DungeonFinder'!$A$2:$A$999,1,FALSE))),"X","")</f>
        <v/>
      </c>
      <c r="F600" s="70" t="str">
        <f t="shared" si="36"/>
        <v/>
      </c>
      <c r="G600" s="70" t="str">
        <f t="shared" si="39"/>
        <v>Clockwork City</v>
      </c>
      <c r="H600" s="70">
        <f t="shared" si="37"/>
        <v>985</v>
      </c>
      <c r="I600" s="70">
        <f t="shared" si="38"/>
        <v>980</v>
      </c>
      <c r="J600">
        <v>8</v>
      </c>
      <c r="K600" s="3" t="str">
        <f ca="1">VLOOKUP(J600,ConstDLCIds!$A$4:$B$1000,2,FALSE)</f>
        <v>DLC_CLOCKWORK_CITY</v>
      </c>
      <c r="L600" s="3" t="str">
        <f ca="1">VLOOKUP(J600,ConstDLCIds!$A$4:$C$1000,3,FALSE)</f>
        <v>Clockwork City</v>
      </c>
    </row>
    <row r="601" spans="1:12" x14ac:dyDescent="0.25">
      <c r="A601">
        <v>986</v>
      </c>
      <c r="B601">
        <v>596</v>
      </c>
      <c r="C601">
        <v>980</v>
      </c>
      <c r="D601" t="s">
        <v>2698</v>
      </c>
      <c r="E601" t="str">
        <f>IF(NOT(ISERROR(VLOOKUP(D601,'ESO DungeonFinder'!$A$2:$A$999,1,FALSE))),"X","")</f>
        <v/>
      </c>
      <c r="F601" s="70" t="str">
        <f t="shared" si="36"/>
        <v/>
      </c>
      <c r="G601" s="70" t="str">
        <f t="shared" si="39"/>
        <v>Clockwork City</v>
      </c>
      <c r="H601" s="70">
        <f t="shared" si="37"/>
        <v>986</v>
      </c>
      <c r="I601" s="70">
        <f t="shared" si="38"/>
        <v>980</v>
      </c>
      <c r="J601">
        <v>8</v>
      </c>
      <c r="K601" s="3" t="str">
        <f ca="1">VLOOKUP(J601,ConstDLCIds!$A$4:$B$1000,2,FALSE)</f>
        <v>DLC_CLOCKWORK_CITY</v>
      </c>
      <c r="L601" s="3" t="str">
        <f ca="1">VLOOKUP(J601,ConstDLCIds!$A$4:$C$1000,3,FALSE)</f>
        <v>Clockwork City</v>
      </c>
    </row>
    <row r="602" spans="1:12" x14ac:dyDescent="0.25">
      <c r="A602">
        <v>988</v>
      </c>
      <c r="B602">
        <v>597</v>
      </c>
      <c r="C602">
        <v>980</v>
      </c>
      <c r="D602" t="s">
        <v>2699</v>
      </c>
      <c r="E602" t="str">
        <f>IF(NOT(ISERROR(VLOOKUP(D602,'ESO DungeonFinder'!$A$2:$A$999,1,FALSE))),"X","")</f>
        <v/>
      </c>
      <c r="F602" s="70" t="str">
        <f t="shared" si="36"/>
        <v/>
      </c>
      <c r="G602" s="70" t="str">
        <f t="shared" si="39"/>
        <v>Clockwork City</v>
      </c>
      <c r="H602" s="70">
        <f t="shared" si="37"/>
        <v>988</v>
      </c>
      <c r="I602" s="70">
        <f t="shared" si="38"/>
        <v>980</v>
      </c>
      <c r="J602">
        <v>8</v>
      </c>
      <c r="K602" s="3" t="str">
        <f ca="1">VLOOKUP(J602,ConstDLCIds!$A$4:$B$1000,2,FALSE)</f>
        <v>DLC_CLOCKWORK_CITY</v>
      </c>
      <c r="L602" s="3" t="str">
        <f ca="1">VLOOKUP(J602,ConstDLCIds!$A$4:$C$1000,3,FALSE)</f>
        <v>Clockwork City</v>
      </c>
    </row>
    <row r="603" spans="1:12" x14ac:dyDescent="0.25">
      <c r="A603">
        <v>989</v>
      </c>
      <c r="B603">
        <v>598</v>
      </c>
      <c r="C603">
        <v>980</v>
      </c>
      <c r="D603" t="s">
        <v>2700</v>
      </c>
      <c r="E603" t="str">
        <f>IF(NOT(ISERROR(VLOOKUP(D603,'ESO DungeonFinder'!$A$2:$A$999,1,FALSE))),"X","")</f>
        <v/>
      </c>
      <c r="F603" s="70" t="str">
        <f t="shared" si="36"/>
        <v/>
      </c>
      <c r="G603" s="70" t="str">
        <f t="shared" si="39"/>
        <v>Clockwork City</v>
      </c>
      <c r="H603" s="70">
        <f t="shared" si="37"/>
        <v>989</v>
      </c>
      <c r="I603" s="70">
        <f t="shared" si="38"/>
        <v>980</v>
      </c>
      <c r="J603">
        <v>8</v>
      </c>
      <c r="K603" s="3" t="str">
        <f ca="1">VLOOKUP(J603,ConstDLCIds!$A$4:$B$1000,2,FALSE)</f>
        <v>DLC_CLOCKWORK_CITY</v>
      </c>
      <c r="L603" s="3" t="str">
        <f ca="1">VLOOKUP(J603,ConstDLCIds!$A$4:$C$1000,3,FALSE)</f>
        <v>Clockwork City</v>
      </c>
    </row>
    <row r="604" spans="1:12" x14ac:dyDescent="0.25">
      <c r="A604">
        <v>990</v>
      </c>
      <c r="B604">
        <v>599</v>
      </c>
      <c r="C604">
        <v>980</v>
      </c>
      <c r="D604" t="s">
        <v>2701</v>
      </c>
      <c r="E604" t="str">
        <f>IF(NOT(ISERROR(VLOOKUP(D604,'ESO DungeonFinder'!$A$2:$A$999,1,FALSE))),"X","")</f>
        <v/>
      </c>
      <c r="F604" s="70" t="str">
        <f t="shared" si="36"/>
        <v/>
      </c>
      <c r="G604" s="70" t="str">
        <f t="shared" si="39"/>
        <v>Clockwork City</v>
      </c>
      <c r="H604" s="70">
        <f t="shared" si="37"/>
        <v>990</v>
      </c>
      <c r="I604" s="70">
        <f t="shared" si="38"/>
        <v>980</v>
      </c>
      <c r="J604">
        <v>8</v>
      </c>
      <c r="K604" s="3" t="str">
        <f ca="1">VLOOKUP(J604,ConstDLCIds!$A$4:$B$1000,2,FALSE)</f>
        <v>DLC_CLOCKWORK_CITY</v>
      </c>
      <c r="L604" s="3" t="str">
        <f ca="1">VLOOKUP(J604,ConstDLCIds!$A$4:$C$1000,3,FALSE)</f>
        <v>Clockwork City</v>
      </c>
    </row>
    <row r="605" spans="1:12" x14ac:dyDescent="0.25">
      <c r="A605">
        <v>991</v>
      </c>
      <c r="B605">
        <v>600</v>
      </c>
      <c r="C605">
        <v>980</v>
      </c>
      <c r="D605" t="s">
        <v>2702</v>
      </c>
      <c r="E605" t="str">
        <f>IF(NOT(ISERROR(VLOOKUP(D605,'ESO DungeonFinder'!$A$2:$A$999,1,FALSE))),"X","")</f>
        <v/>
      </c>
      <c r="F605" s="70" t="str">
        <f t="shared" si="36"/>
        <v/>
      </c>
      <c r="G605" s="70" t="str">
        <f t="shared" si="39"/>
        <v>Clockwork City</v>
      </c>
      <c r="H605" s="70">
        <f t="shared" si="37"/>
        <v>991</v>
      </c>
      <c r="I605" s="70">
        <f t="shared" si="38"/>
        <v>980</v>
      </c>
      <c r="J605">
        <v>8</v>
      </c>
      <c r="K605" s="3" t="str">
        <f ca="1">VLOOKUP(J605,ConstDLCIds!$A$4:$B$1000,2,FALSE)</f>
        <v>DLC_CLOCKWORK_CITY</v>
      </c>
      <c r="L605" s="3" t="str">
        <f ca="1">VLOOKUP(J605,ConstDLCIds!$A$4:$C$1000,3,FALSE)</f>
        <v>Clockwork City</v>
      </c>
    </row>
    <row r="606" spans="1:12" x14ac:dyDescent="0.25">
      <c r="A606">
        <v>992</v>
      </c>
      <c r="B606">
        <v>601</v>
      </c>
      <c r="C606">
        <v>980</v>
      </c>
      <c r="D606" t="s">
        <v>2703</v>
      </c>
      <c r="E606" t="str">
        <f>IF(NOT(ISERROR(VLOOKUP(D606,'ESO DungeonFinder'!$A$2:$A$999,1,FALSE))),"X","")</f>
        <v/>
      </c>
      <c r="F606" s="70" t="str">
        <f t="shared" si="36"/>
        <v/>
      </c>
      <c r="G606" s="70" t="str">
        <f t="shared" si="39"/>
        <v>Clockwork City</v>
      </c>
      <c r="H606" s="70">
        <f t="shared" si="37"/>
        <v>992</v>
      </c>
      <c r="I606" s="70">
        <f t="shared" si="38"/>
        <v>980</v>
      </c>
      <c r="J606">
        <v>8</v>
      </c>
      <c r="K606" s="3" t="str">
        <f ca="1">VLOOKUP(J606,ConstDLCIds!$A$4:$B$1000,2,FALSE)</f>
        <v>DLC_CLOCKWORK_CITY</v>
      </c>
      <c r="L606" s="3" t="str">
        <f ca="1">VLOOKUP(J606,ConstDLCIds!$A$4:$C$1000,3,FALSE)</f>
        <v>Clockwork City</v>
      </c>
    </row>
    <row r="607" spans="1:12" x14ac:dyDescent="0.25">
      <c r="A607">
        <v>993</v>
      </c>
      <c r="B607">
        <v>602</v>
      </c>
      <c r="C607">
        <v>980</v>
      </c>
      <c r="D607" t="s">
        <v>2704</v>
      </c>
      <c r="E607" t="str">
        <f>IF(NOT(ISERROR(VLOOKUP(D607,'ESO DungeonFinder'!$A$2:$A$999,1,FALSE))),"X","")</f>
        <v/>
      </c>
      <c r="F607" s="70" t="str">
        <f t="shared" si="36"/>
        <v/>
      </c>
      <c r="G607" s="70" t="str">
        <f t="shared" si="39"/>
        <v>Clockwork City</v>
      </c>
      <c r="H607" s="70">
        <f t="shared" si="37"/>
        <v>993</v>
      </c>
      <c r="I607" s="70">
        <f t="shared" si="38"/>
        <v>980</v>
      </c>
      <c r="J607">
        <v>8</v>
      </c>
      <c r="K607" s="3" t="str">
        <f ca="1">VLOOKUP(J607,ConstDLCIds!$A$4:$B$1000,2,FALSE)</f>
        <v>DLC_CLOCKWORK_CITY</v>
      </c>
      <c r="L607" s="3" t="str">
        <f ca="1">VLOOKUP(J607,ConstDLCIds!$A$4:$C$1000,3,FALSE)</f>
        <v>Clockwork City</v>
      </c>
    </row>
    <row r="608" spans="1:12" x14ac:dyDescent="0.25">
      <c r="A608">
        <v>994</v>
      </c>
      <c r="B608">
        <v>603</v>
      </c>
      <c r="C608">
        <v>849</v>
      </c>
      <c r="D608" t="s">
        <v>2705</v>
      </c>
      <c r="E608" t="str">
        <f>IF(NOT(ISERROR(VLOOKUP(D608,'ESO DungeonFinder'!$A$2:$A$999,1,FALSE))),"X","")</f>
        <v/>
      </c>
      <c r="F608" s="70" t="str">
        <f t="shared" si="36"/>
        <v/>
      </c>
      <c r="G608" s="70" t="str">
        <f t="shared" si="39"/>
        <v>Vvardenfell</v>
      </c>
      <c r="H608" s="70">
        <f t="shared" si="37"/>
        <v>994</v>
      </c>
      <c r="I608" s="70">
        <f t="shared" si="38"/>
        <v>849</v>
      </c>
      <c r="J608">
        <v>6</v>
      </c>
      <c r="K608" s="3" t="str">
        <f ca="1">VLOOKUP(J608,ConstDLCIds!$A$4:$B$1000,2,FALSE)</f>
        <v>DLC_MORROWIND</v>
      </c>
      <c r="L608" s="3" t="str">
        <f ca="1">VLOOKUP(J608,ConstDLCIds!$A$4:$C$1000,3,FALSE)</f>
        <v>Morrowind</v>
      </c>
    </row>
    <row r="609" spans="1:12" x14ac:dyDescent="0.25">
      <c r="A609">
        <v>995</v>
      </c>
      <c r="B609">
        <v>604</v>
      </c>
      <c r="C609">
        <v>849</v>
      </c>
      <c r="D609" t="s">
        <v>2706</v>
      </c>
      <c r="E609" t="str">
        <f>IF(NOT(ISERROR(VLOOKUP(D609,'ESO DungeonFinder'!$A$2:$A$999,1,FALSE))),"X","")</f>
        <v/>
      </c>
      <c r="F609" s="70" t="str">
        <f t="shared" si="36"/>
        <v/>
      </c>
      <c r="G609" s="70" t="str">
        <f t="shared" si="39"/>
        <v>Vvardenfell</v>
      </c>
      <c r="H609" s="70">
        <f t="shared" si="37"/>
        <v>995</v>
      </c>
      <c r="I609" s="70">
        <f t="shared" si="38"/>
        <v>849</v>
      </c>
      <c r="J609">
        <v>6</v>
      </c>
      <c r="K609" s="3" t="str">
        <f ca="1">VLOOKUP(J609,ConstDLCIds!$A$4:$B$1000,2,FALSE)</f>
        <v>DLC_MORROWIND</v>
      </c>
      <c r="L609" s="3" t="str">
        <f ca="1">VLOOKUP(J609,ConstDLCIds!$A$4:$C$1000,3,FALSE)</f>
        <v>Morrowind</v>
      </c>
    </row>
    <row r="610" spans="1:12" x14ac:dyDescent="0.25">
      <c r="A610">
        <v>996</v>
      </c>
      <c r="B610">
        <v>605</v>
      </c>
      <c r="C610">
        <v>849</v>
      </c>
      <c r="D610" t="s">
        <v>2707</v>
      </c>
      <c r="E610" t="str">
        <f>IF(NOT(ISERROR(VLOOKUP(D610,'ESO DungeonFinder'!$A$2:$A$999,1,FALSE))),"X","")</f>
        <v/>
      </c>
      <c r="F610" s="70" t="str">
        <f t="shared" si="36"/>
        <v/>
      </c>
      <c r="G610" s="70" t="str">
        <f t="shared" si="39"/>
        <v>Vvardenfell</v>
      </c>
      <c r="H610" s="70">
        <f t="shared" si="37"/>
        <v>996</v>
      </c>
      <c r="I610" s="70">
        <f t="shared" si="38"/>
        <v>849</v>
      </c>
      <c r="J610">
        <v>6</v>
      </c>
      <c r="K610" s="3" t="str">
        <f ca="1">VLOOKUP(J610,ConstDLCIds!$A$4:$B$1000,2,FALSE)</f>
        <v>DLC_MORROWIND</v>
      </c>
      <c r="L610" s="3" t="str">
        <f ca="1">VLOOKUP(J610,ConstDLCIds!$A$4:$C$1000,3,FALSE)</f>
        <v>Morrowind</v>
      </c>
    </row>
    <row r="611" spans="1:12" x14ac:dyDescent="0.25">
      <c r="A611">
        <v>997</v>
      </c>
      <c r="B611">
        <v>606</v>
      </c>
      <c r="C611">
        <v>849</v>
      </c>
      <c r="D611" t="s">
        <v>2708</v>
      </c>
      <c r="E611" t="str">
        <f>IF(NOT(ISERROR(VLOOKUP(D611,'ESO DungeonFinder'!$A$2:$A$999,1,FALSE))),"X","")</f>
        <v/>
      </c>
      <c r="F611" s="70" t="str">
        <f t="shared" si="36"/>
        <v/>
      </c>
      <c r="G611" s="70" t="str">
        <f t="shared" si="39"/>
        <v>Vvardenfell</v>
      </c>
      <c r="H611" s="70">
        <f t="shared" si="37"/>
        <v>997</v>
      </c>
      <c r="I611" s="70">
        <f t="shared" si="38"/>
        <v>849</v>
      </c>
      <c r="J611">
        <v>6</v>
      </c>
      <c r="K611" s="3" t="str">
        <f ca="1">VLOOKUP(J611,ConstDLCIds!$A$4:$B$1000,2,FALSE)</f>
        <v>DLC_MORROWIND</v>
      </c>
      <c r="L611" s="3" t="str">
        <f ca="1">VLOOKUP(J611,ConstDLCIds!$A$4:$C$1000,3,FALSE)</f>
        <v>Morrowind</v>
      </c>
    </row>
    <row r="612" spans="1:12" x14ac:dyDescent="0.25">
      <c r="A612">
        <v>998</v>
      </c>
      <c r="B612">
        <v>607</v>
      </c>
      <c r="C612">
        <v>381</v>
      </c>
      <c r="D612" t="s">
        <v>2709</v>
      </c>
      <c r="E612" t="str">
        <f>IF(NOT(ISERROR(VLOOKUP(D612,'ESO DungeonFinder'!$A$2:$A$999,1,FALSE))),"X","")</f>
        <v/>
      </c>
      <c r="F612" s="70" t="str">
        <f t="shared" si="36"/>
        <v/>
      </c>
      <c r="G612" s="70" t="str">
        <f t="shared" si="39"/>
        <v>Auridon</v>
      </c>
      <c r="H612" s="70">
        <f t="shared" si="37"/>
        <v>998</v>
      </c>
      <c r="I612" s="70">
        <f t="shared" si="38"/>
        <v>381</v>
      </c>
      <c r="J612">
        <v>0</v>
      </c>
      <c r="K612" s="3" t="str">
        <f>VLOOKUP(J612,ConstDLCIds!$A$4:$B$1000,2,FALSE)</f>
        <v>DLC_BASE_GAME</v>
      </c>
      <c r="L612" s="3" t="str">
        <f>VLOOKUP(J612,ConstDLCIds!$A$4:$C$1000,3,FALSE)</f>
        <v>Included in base game</v>
      </c>
    </row>
    <row r="613" spans="1:12" x14ac:dyDescent="0.25">
      <c r="A613">
        <v>999</v>
      </c>
      <c r="B613">
        <v>608</v>
      </c>
      <c r="C613">
        <v>980</v>
      </c>
      <c r="D613" t="s">
        <v>2710</v>
      </c>
      <c r="E613" t="str">
        <f>IF(NOT(ISERROR(VLOOKUP(D613,'ESO DungeonFinder'!$A$2:$A$999,1,FALSE))),"X","")</f>
        <v/>
      </c>
      <c r="F613" s="70" t="str">
        <f t="shared" si="36"/>
        <v/>
      </c>
      <c r="G613" s="70" t="str">
        <f t="shared" si="39"/>
        <v>Clockwork City</v>
      </c>
      <c r="H613" s="70">
        <f t="shared" si="37"/>
        <v>999</v>
      </c>
      <c r="I613" s="70">
        <f t="shared" si="38"/>
        <v>980</v>
      </c>
      <c r="J613">
        <v>8</v>
      </c>
      <c r="K613" s="3" t="str">
        <f ca="1">VLOOKUP(J613,ConstDLCIds!$A$4:$B$1000,2,FALSE)</f>
        <v>DLC_CLOCKWORK_CITY</v>
      </c>
      <c r="L613" s="3" t="str">
        <f ca="1">VLOOKUP(J613,ConstDLCIds!$A$4:$C$1000,3,FALSE)</f>
        <v>Clockwork City</v>
      </c>
    </row>
    <row r="614" spans="1:12" x14ac:dyDescent="0.25">
      <c r="A614">
        <v>1000</v>
      </c>
      <c r="B614">
        <v>609</v>
      </c>
      <c r="C614">
        <v>980</v>
      </c>
      <c r="D614" t="s">
        <v>1121</v>
      </c>
      <c r="E614" t="str">
        <f>IF(NOT(ISERROR(VLOOKUP(D614,'ESO DungeonFinder'!$A$2:$A$999,1,FALSE))),"X","")</f>
        <v/>
      </c>
      <c r="F614" s="70" t="str">
        <f t="shared" si="36"/>
        <v/>
      </c>
      <c r="G614" s="70" t="str">
        <f t="shared" si="39"/>
        <v>Clockwork City</v>
      </c>
      <c r="H614" s="70">
        <f t="shared" si="37"/>
        <v>1000</v>
      </c>
      <c r="I614" s="70">
        <f t="shared" si="38"/>
        <v>980</v>
      </c>
      <c r="J614">
        <v>8</v>
      </c>
      <c r="K614" s="3" t="str">
        <f ca="1">VLOOKUP(J614,ConstDLCIds!$A$4:$B$1000,2,FALSE)</f>
        <v>DLC_CLOCKWORK_CITY</v>
      </c>
      <c r="L614" s="3" t="str">
        <f ca="1">VLOOKUP(J614,ConstDLCIds!$A$4:$C$1000,3,FALSE)</f>
        <v>Clockwork City</v>
      </c>
    </row>
    <row r="615" spans="1:12" x14ac:dyDescent="0.25">
      <c r="A615">
        <v>1004</v>
      </c>
      <c r="B615">
        <v>610</v>
      </c>
      <c r="C615">
        <v>980</v>
      </c>
      <c r="D615" t="s">
        <v>2711</v>
      </c>
      <c r="E615" t="str">
        <f>IF(NOT(ISERROR(VLOOKUP(D615,'ESO DungeonFinder'!$A$2:$A$999,1,FALSE))),"X","")</f>
        <v/>
      </c>
      <c r="F615" s="70" t="str">
        <f t="shared" si="36"/>
        <v/>
      </c>
      <c r="G615" s="70" t="str">
        <f t="shared" si="39"/>
        <v>Clockwork City</v>
      </c>
      <c r="H615" s="70">
        <f t="shared" si="37"/>
        <v>1004</v>
      </c>
      <c r="I615" s="70">
        <f t="shared" si="38"/>
        <v>980</v>
      </c>
      <c r="J615">
        <v>8</v>
      </c>
      <c r="K615" s="3" t="str">
        <f ca="1">VLOOKUP(J615,ConstDLCIds!$A$4:$B$1000,2,FALSE)</f>
        <v>DLC_CLOCKWORK_CITY</v>
      </c>
      <c r="L615" s="3" t="str">
        <f ca="1">VLOOKUP(J615,ConstDLCIds!$A$4:$C$1000,3,FALSE)</f>
        <v>Clockwork City</v>
      </c>
    </row>
    <row r="616" spans="1:12" x14ac:dyDescent="0.25">
      <c r="A616">
        <v>1005</v>
      </c>
      <c r="B616">
        <v>611</v>
      </c>
      <c r="C616">
        <v>823</v>
      </c>
      <c r="D616" t="s">
        <v>2712</v>
      </c>
      <c r="E616" t="str">
        <f>IF(NOT(ISERROR(VLOOKUP(D616,'ESO DungeonFinder'!$A$2:$A$999,1,FALSE))),"X","")</f>
        <v/>
      </c>
      <c r="F616" s="70" t="str">
        <f t="shared" si="36"/>
        <v/>
      </c>
      <c r="G616" s="70" t="str">
        <f t="shared" si="39"/>
        <v>Gold Coast</v>
      </c>
      <c r="H616" s="70">
        <f t="shared" si="37"/>
        <v>1005</v>
      </c>
      <c r="I616" s="70">
        <f t="shared" si="38"/>
        <v>823</v>
      </c>
      <c r="J616">
        <v>4</v>
      </c>
      <c r="K616" s="3" t="str">
        <f ca="1">VLOOKUP(J616,ConstDLCIds!$A$4:$B$1000,2,FALSE)</f>
        <v>DLC_DARK_BROTHERHOOD</v>
      </c>
      <c r="L616" s="3" t="str">
        <f ca="1">VLOOKUP(J616,ConstDLCIds!$A$4:$C$1000,3,FALSE)</f>
        <v>Dark Brotherhood</v>
      </c>
    </row>
    <row r="617" spans="1:12" x14ac:dyDescent="0.25">
      <c r="A617">
        <v>1006</v>
      </c>
      <c r="B617">
        <v>612</v>
      </c>
      <c r="C617">
        <v>3</v>
      </c>
      <c r="D617" t="s">
        <v>2713</v>
      </c>
      <c r="E617" t="str">
        <f>IF(NOT(ISERROR(VLOOKUP(D617,'ESO DungeonFinder'!$A$2:$A$999,1,FALSE))),"X","")</f>
        <v/>
      </c>
      <c r="F617" s="70" t="str">
        <f t="shared" si="36"/>
        <v/>
      </c>
      <c r="G617" s="70" t="str">
        <f t="shared" si="39"/>
        <v>Glenumbra</v>
      </c>
      <c r="H617" s="70">
        <f t="shared" si="37"/>
        <v>1006</v>
      </c>
      <c r="I617" s="70">
        <f t="shared" si="38"/>
        <v>3</v>
      </c>
      <c r="J617">
        <v>0</v>
      </c>
      <c r="K617" s="3" t="str">
        <f>VLOOKUP(J617,ConstDLCIds!$A$4:$B$1000,2,FALSE)</f>
        <v>DLC_BASE_GAME</v>
      </c>
      <c r="L617" s="3" t="str">
        <f>VLOOKUP(J617,ConstDLCIds!$A$4:$C$1000,3,FALSE)</f>
        <v>Included in base game</v>
      </c>
    </row>
    <row r="618" spans="1:12" x14ac:dyDescent="0.25">
      <c r="A618">
        <v>1007</v>
      </c>
      <c r="B618">
        <v>613</v>
      </c>
      <c r="C618">
        <v>888</v>
      </c>
      <c r="D618" t="s">
        <v>2714</v>
      </c>
      <c r="E618" t="str">
        <f>IF(NOT(ISERROR(VLOOKUP(D618,'ESO DungeonFinder'!$A$2:$A$999,1,FALSE))),"X","")</f>
        <v/>
      </c>
      <c r="F618" s="70" t="str">
        <f t="shared" si="36"/>
        <v/>
      </c>
      <c r="G618" s="70" t="str">
        <f t="shared" si="39"/>
        <v>Craglorn</v>
      </c>
      <c r="H618" s="70">
        <f t="shared" si="37"/>
        <v>1007</v>
      </c>
      <c r="I618" s="70">
        <f t="shared" si="38"/>
        <v>888</v>
      </c>
      <c r="J618">
        <v>0</v>
      </c>
      <c r="K618" s="3" t="str">
        <f>VLOOKUP(J618,ConstDLCIds!$A$4:$B$1000,2,FALSE)</f>
        <v>DLC_BASE_GAME</v>
      </c>
      <c r="L618" s="3" t="str">
        <f>VLOOKUP(J618,ConstDLCIds!$A$4:$C$1000,3,FALSE)</f>
        <v>Included in base game</v>
      </c>
    </row>
    <row r="619" spans="1:12" x14ac:dyDescent="0.25">
      <c r="A619">
        <v>1008</v>
      </c>
      <c r="B619">
        <v>614</v>
      </c>
      <c r="C619">
        <v>347</v>
      </c>
      <c r="D619" t="s">
        <v>2715</v>
      </c>
      <c r="E619" t="str">
        <f>IF(NOT(ISERROR(VLOOKUP(D619,'ESO DungeonFinder'!$A$2:$A$999,1,FALSE))),"X","")</f>
        <v/>
      </c>
      <c r="F619" s="70" t="str">
        <f t="shared" si="36"/>
        <v/>
      </c>
      <c r="G619" s="70" t="str">
        <f t="shared" si="39"/>
        <v>Coldharbour</v>
      </c>
      <c r="H619" s="70">
        <f t="shared" si="37"/>
        <v>1008</v>
      </c>
      <c r="I619" s="70">
        <f t="shared" si="38"/>
        <v>347</v>
      </c>
      <c r="J619">
        <v>0</v>
      </c>
      <c r="K619" s="3" t="str">
        <f>VLOOKUP(J619,ConstDLCIds!$A$4:$B$1000,2,FALSE)</f>
        <v>DLC_BASE_GAME</v>
      </c>
      <c r="L619" s="3" t="str">
        <f>VLOOKUP(J619,ConstDLCIds!$A$4:$C$1000,3,FALSE)</f>
        <v>Included in base game</v>
      </c>
    </row>
    <row r="620" spans="1:12" x14ac:dyDescent="0.25">
      <c r="A620">
        <v>1009</v>
      </c>
      <c r="B620">
        <v>615</v>
      </c>
      <c r="C620">
        <v>92</v>
      </c>
      <c r="D620" t="s">
        <v>1092</v>
      </c>
      <c r="E620" t="str">
        <f>IF(NOT(ISERROR(VLOOKUP(D620,'ESO DungeonFinder'!$A$2:$A$999,1,FALSE))),"X","")</f>
        <v>X</v>
      </c>
      <c r="F620" s="70" t="str">
        <f t="shared" si="36"/>
        <v/>
      </c>
      <c r="G620" s="70" t="str">
        <f t="shared" si="39"/>
        <v>Bangkorai</v>
      </c>
      <c r="H620" s="70">
        <f t="shared" si="37"/>
        <v>1009</v>
      </c>
      <c r="I620" s="70">
        <f t="shared" si="38"/>
        <v>92</v>
      </c>
      <c r="J620">
        <v>9</v>
      </c>
      <c r="K620" s="3" t="str">
        <f ca="1">VLOOKUP(J620,ConstDLCIds!$A$4:$B$1000,2,FALSE)</f>
        <v>DLC_DRAGON_BONES</v>
      </c>
      <c r="L620" s="3" t="str">
        <f ca="1">VLOOKUP(J620,ConstDLCIds!$A$4:$C$1000,3,FALSE)</f>
        <v>Dragon Bones</v>
      </c>
    </row>
    <row r="621" spans="1:12" x14ac:dyDescent="0.25">
      <c r="A621">
        <v>1010</v>
      </c>
      <c r="B621">
        <v>616</v>
      </c>
      <c r="C621">
        <v>19</v>
      </c>
      <c r="D621" t="s">
        <v>1099</v>
      </c>
      <c r="E621" t="str">
        <f>IF(NOT(ISERROR(VLOOKUP(D621,'ESO DungeonFinder'!$A$2:$A$999,1,FALSE))),"X","")</f>
        <v>X</v>
      </c>
      <c r="F621" s="70" t="str">
        <f t="shared" si="36"/>
        <v/>
      </c>
      <c r="G621" s="70" t="str">
        <f t="shared" si="39"/>
        <v>Stormhaven</v>
      </c>
      <c r="H621" s="70">
        <f t="shared" si="37"/>
        <v>1010</v>
      </c>
      <c r="I621" s="70">
        <f t="shared" si="38"/>
        <v>19</v>
      </c>
      <c r="J621">
        <v>9</v>
      </c>
      <c r="K621" s="3" t="str">
        <f ca="1">VLOOKUP(J621,ConstDLCIds!$A$4:$B$1000,2,FALSE)</f>
        <v>DLC_DRAGON_BONES</v>
      </c>
      <c r="L621" s="3" t="str">
        <f ca="1">VLOOKUP(J621,ConstDLCIds!$A$4:$C$1000,3,FALSE)</f>
        <v>Dragon Bones</v>
      </c>
    </row>
    <row r="622" spans="1:12" x14ac:dyDescent="0.25">
      <c r="A622">
        <v>1011</v>
      </c>
      <c r="B622">
        <v>617</v>
      </c>
      <c r="C622">
        <v>1011</v>
      </c>
      <c r="D622" t="s">
        <v>38</v>
      </c>
      <c r="E622" t="str">
        <f>IF(NOT(ISERROR(VLOOKUP(D622,'ESO DungeonFinder'!$A$2:$A$999,1,FALSE))),"X","")</f>
        <v/>
      </c>
      <c r="F622" s="70" t="str">
        <f t="shared" si="36"/>
        <v>X</v>
      </c>
      <c r="G622" s="70" t="str">
        <f t="shared" si="39"/>
        <v/>
      </c>
      <c r="H622" s="70">
        <f t="shared" si="37"/>
        <v>1011</v>
      </c>
      <c r="I622" s="70">
        <f t="shared" si="38"/>
        <v>1011</v>
      </c>
      <c r="J622">
        <v>30</v>
      </c>
      <c r="K622" s="3" t="str">
        <f ca="1">VLOOKUP(J622,ConstDLCIds!$A$4:$B$1000,2,FALSE)</f>
        <v>DLC_NECROM</v>
      </c>
      <c r="L622" s="3" t="str">
        <f ca="1">VLOOKUP(J622,ConstDLCIds!$A$4:$C$1000,3,FALSE)</f>
        <v>Necrom</v>
      </c>
    </row>
    <row r="623" spans="1:12" x14ac:dyDescent="0.25">
      <c r="A623">
        <v>1012</v>
      </c>
      <c r="B623">
        <v>618</v>
      </c>
      <c r="C623">
        <v>381</v>
      </c>
      <c r="D623" t="s">
        <v>2716</v>
      </c>
      <c r="E623" t="str">
        <f>IF(NOT(ISERROR(VLOOKUP(D623,'ESO DungeonFinder'!$A$2:$A$999,1,FALSE))),"X","")</f>
        <v/>
      </c>
      <c r="F623" s="70" t="str">
        <f t="shared" si="36"/>
        <v/>
      </c>
      <c r="G623" s="70" t="str">
        <f t="shared" si="39"/>
        <v>Auridon</v>
      </c>
      <c r="H623" s="70">
        <f t="shared" si="37"/>
        <v>1012</v>
      </c>
      <c r="I623" s="70">
        <f t="shared" si="38"/>
        <v>381</v>
      </c>
      <c r="J623">
        <v>0</v>
      </c>
      <c r="K623" s="3" t="str">
        <f>VLOOKUP(J623,ConstDLCIds!$A$4:$B$1000,2,FALSE)</f>
        <v>DLC_BASE_GAME</v>
      </c>
      <c r="L623" s="3" t="str">
        <f>VLOOKUP(J623,ConstDLCIds!$A$4:$C$1000,3,FALSE)</f>
        <v>Included in base game</v>
      </c>
    </row>
    <row r="624" spans="1:12" x14ac:dyDescent="0.25">
      <c r="A624">
        <v>1013</v>
      </c>
      <c r="B624">
        <v>619</v>
      </c>
      <c r="C624">
        <v>1011</v>
      </c>
      <c r="D624" t="s">
        <v>2717</v>
      </c>
      <c r="E624" t="str">
        <f>IF(NOT(ISERROR(VLOOKUP(D624,'ESO DungeonFinder'!$A$2:$A$999,1,FALSE))),"X","")</f>
        <v/>
      </c>
      <c r="F624" s="70" t="str">
        <f t="shared" si="36"/>
        <v/>
      </c>
      <c r="G624" s="70" t="str">
        <f t="shared" si="39"/>
        <v>Summerset</v>
      </c>
      <c r="H624" s="70">
        <f t="shared" si="37"/>
        <v>1013</v>
      </c>
      <c r="I624" s="70">
        <f t="shared" si="38"/>
        <v>1011</v>
      </c>
      <c r="J624">
        <v>10</v>
      </c>
      <c r="K624" s="3" t="str">
        <f ca="1">VLOOKUP(J624,ConstDLCIds!$A$4:$B$1000,2,FALSE)</f>
        <v>DLC_SUMMERSET</v>
      </c>
      <c r="L624" s="3" t="str">
        <f ca="1">VLOOKUP(J624,ConstDLCIds!$A$4:$C$1000,3,FALSE)</f>
        <v>Summerset</v>
      </c>
    </row>
    <row r="625" spans="1:12" x14ac:dyDescent="0.25">
      <c r="A625">
        <v>1014</v>
      </c>
      <c r="B625">
        <v>620</v>
      </c>
      <c r="C625">
        <v>1011</v>
      </c>
      <c r="D625" t="s">
        <v>2718</v>
      </c>
      <c r="E625" t="str">
        <f>IF(NOT(ISERROR(VLOOKUP(D625,'ESO DungeonFinder'!$A$2:$A$999,1,FALSE))),"X","")</f>
        <v/>
      </c>
      <c r="F625" s="70" t="str">
        <f t="shared" si="36"/>
        <v/>
      </c>
      <c r="G625" s="70" t="str">
        <f t="shared" si="39"/>
        <v>Summerset</v>
      </c>
      <c r="H625" s="70">
        <f t="shared" si="37"/>
        <v>1014</v>
      </c>
      <c r="I625" s="70">
        <f t="shared" si="38"/>
        <v>1011</v>
      </c>
      <c r="J625">
        <v>10</v>
      </c>
      <c r="K625" s="3" t="str">
        <f ca="1">VLOOKUP(J625,ConstDLCIds!$A$4:$B$1000,2,FALSE)</f>
        <v>DLC_SUMMERSET</v>
      </c>
      <c r="L625" s="3" t="str">
        <f ca="1">VLOOKUP(J625,ConstDLCIds!$A$4:$C$1000,3,FALSE)</f>
        <v>Summerset</v>
      </c>
    </row>
    <row r="626" spans="1:12" x14ac:dyDescent="0.25">
      <c r="A626">
        <v>1015</v>
      </c>
      <c r="B626">
        <v>621</v>
      </c>
      <c r="C626">
        <v>1011</v>
      </c>
      <c r="D626" t="s">
        <v>2719</v>
      </c>
      <c r="E626" t="str">
        <f>IF(NOT(ISERROR(VLOOKUP(D626,'ESO DungeonFinder'!$A$2:$A$999,1,FALSE))),"X","")</f>
        <v/>
      </c>
      <c r="F626" s="70" t="str">
        <f t="shared" si="36"/>
        <v/>
      </c>
      <c r="G626" s="70" t="str">
        <f t="shared" si="39"/>
        <v>Summerset</v>
      </c>
      <c r="H626" s="70">
        <f t="shared" si="37"/>
        <v>1015</v>
      </c>
      <c r="I626" s="70">
        <f t="shared" si="38"/>
        <v>1011</v>
      </c>
      <c r="J626">
        <v>10</v>
      </c>
      <c r="K626" s="3" t="str">
        <f ca="1">VLOOKUP(J626,ConstDLCIds!$A$4:$B$1000,2,FALSE)</f>
        <v>DLC_SUMMERSET</v>
      </c>
      <c r="L626" s="3" t="str">
        <f ca="1">VLOOKUP(J626,ConstDLCIds!$A$4:$C$1000,3,FALSE)</f>
        <v>Summerset</v>
      </c>
    </row>
    <row r="627" spans="1:12" x14ac:dyDescent="0.25">
      <c r="A627">
        <v>1016</v>
      </c>
      <c r="B627">
        <v>622</v>
      </c>
      <c r="C627">
        <v>1011</v>
      </c>
      <c r="D627" t="s">
        <v>2720</v>
      </c>
      <c r="E627" t="str">
        <f>IF(NOT(ISERROR(VLOOKUP(D627,'ESO DungeonFinder'!$A$2:$A$999,1,FALSE))),"X","")</f>
        <v/>
      </c>
      <c r="F627" s="70" t="str">
        <f t="shared" si="36"/>
        <v/>
      </c>
      <c r="G627" s="70" t="str">
        <f t="shared" si="39"/>
        <v>Summerset</v>
      </c>
      <c r="H627" s="70">
        <f t="shared" si="37"/>
        <v>1016</v>
      </c>
      <c r="I627" s="70">
        <f t="shared" si="38"/>
        <v>1011</v>
      </c>
      <c r="J627">
        <v>10</v>
      </c>
      <c r="K627" s="3" t="str">
        <f ca="1">VLOOKUP(J627,ConstDLCIds!$A$4:$B$1000,2,FALSE)</f>
        <v>DLC_SUMMERSET</v>
      </c>
      <c r="L627" s="3" t="str">
        <f ca="1">VLOOKUP(J627,ConstDLCIds!$A$4:$C$1000,3,FALSE)</f>
        <v>Summerset</v>
      </c>
    </row>
    <row r="628" spans="1:12" x14ac:dyDescent="0.25">
      <c r="A628">
        <v>1017</v>
      </c>
      <c r="B628">
        <v>623</v>
      </c>
      <c r="C628">
        <v>1011</v>
      </c>
      <c r="D628" t="s">
        <v>2721</v>
      </c>
      <c r="E628" t="str">
        <f>IF(NOT(ISERROR(VLOOKUP(D628,'ESO DungeonFinder'!$A$2:$A$999,1,FALSE))),"X","")</f>
        <v/>
      </c>
      <c r="F628" s="70" t="str">
        <f t="shared" si="36"/>
        <v/>
      </c>
      <c r="G628" s="70" t="str">
        <f t="shared" si="39"/>
        <v>Summerset</v>
      </c>
      <c r="H628" s="70">
        <f t="shared" si="37"/>
        <v>1017</v>
      </c>
      <c r="I628" s="70">
        <f t="shared" si="38"/>
        <v>1011</v>
      </c>
      <c r="J628">
        <v>10</v>
      </c>
      <c r="K628" s="3" t="str">
        <f ca="1">VLOOKUP(J628,ConstDLCIds!$A$4:$B$1000,2,FALSE)</f>
        <v>DLC_SUMMERSET</v>
      </c>
      <c r="L628" s="3" t="str">
        <f ca="1">VLOOKUP(J628,ConstDLCIds!$A$4:$C$1000,3,FALSE)</f>
        <v>Summerset</v>
      </c>
    </row>
    <row r="629" spans="1:12" x14ac:dyDescent="0.25">
      <c r="A629">
        <v>1018</v>
      </c>
      <c r="B629">
        <v>624</v>
      </c>
      <c r="C629">
        <v>1011</v>
      </c>
      <c r="D629" t="s">
        <v>2722</v>
      </c>
      <c r="E629" t="str">
        <f>IF(NOT(ISERROR(VLOOKUP(D629,'ESO DungeonFinder'!$A$2:$A$999,1,FALSE))),"X","")</f>
        <v/>
      </c>
      <c r="F629" s="70" t="str">
        <f t="shared" si="36"/>
        <v/>
      </c>
      <c r="G629" s="70" t="str">
        <f t="shared" si="39"/>
        <v>Summerset</v>
      </c>
      <c r="H629" s="70">
        <f t="shared" si="37"/>
        <v>1018</v>
      </c>
      <c r="I629" s="70">
        <f t="shared" si="38"/>
        <v>1011</v>
      </c>
      <c r="J629">
        <v>10</v>
      </c>
      <c r="K629" s="3" t="str">
        <f ca="1">VLOOKUP(J629,ConstDLCIds!$A$4:$B$1000,2,FALSE)</f>
        <v>DLC_SUMMERSET</v>
      </c>
      <c r="L629" s="3" t="str">
        <f ca="1">VLOOKUP(J629,ConstDLCIds!$A$4:$C$1000,3,FALSE)</f>
        <v>Summerset</v>
      </c>
    </row>
    <row r="630" spans="1:12" x14ac:dyDescent="0.25">
      <c r="A630">
        <v>1019</v>
      </c>
      <c r="B630">
        <v>625</v>
      </c>
      <c r="C630">
        <v>1011</v>
      </c>
      <c r="D630" t="s">
        <v>2723</v>
      </c>
      <c r="E630" t="str">
        <f>IF(NOT(ISERROR(VLOOKUP(D630,'ESO DungeonFinder'!$A$2:$A$999,1,FALSE))),"X","")</f>
        <v/>
      </c>
      <c r="F630" s="70" t="str">
        <f t="shared" si="36"/>
        <v/>
      </c>
      <c r="G630" s="70" t="str">
        <f t="shared" si="39"/>
        <v>Summerset</v>
      </c>
      <c r="H630" s="70">
        <f t="shared" si="37"/>
        <v>1019</v>
      </c>
      <c r="I630" s="70">
        <f t="shared" si="38"/>
        <v>1011</v>
      </c>
      <c r="J630">
        <v>10</v>
      </c>
      <c r="K630" s="3" t="str">
        <f ca="1">VLOOKUP(J630,ConstDLCIds!$A$4:$B$1000,2,FALSE)</f>
        <v>DLC_SUMMERSET</v>
      </c>
      <c r="L630" s="3" t="str">
        <f ca="1">VLOOKUP(J630,ConstDLCIds!$A$4:$C$1000,3,FALSE)</f>
        <v>Summerset</v>
      </c>
    </row>
    <row r="631" spans="1:12" x14ac:dyDescent="0.25">
      <c r="A631">
        <v>1020</v>
      </c>
      <c r="B631">
        <v>626</v>
      </c>
      <c r="C631">
        <v>1011</v>
      </c>
      <c r="D631" t="s">
        <v>1405</v>
      </c>
      <c r="E631" t="str">
        <f>IF(NOT(ISERROR(VLOOKUP(D631,'ESO DungeonFinder'!$A$2:$A$999,1,FALSE))),"X","")</f>
        <v/>
      </c>
      <c r="F631" s="70" t="str">
        <f t="shared" si="36"/>
        <v/>
      </c>
      <c r="G631" s="70" t="str">
        <f t="shared" si="39"/>
        <v>Summerset</v>
      </c>
      <c r="H631" s="70">
        <f t="shared" si="37"/>
        <v>1020</v>
      </c>
      <c r="I631" s="70">
        <f t="shared" si="38"/>
        <v>1011</v>
      </c>
      <c r="J631">
        <v>10</v>
      </c>
      <c r="K631" s="3" t="str">
        <f ca="1">VLOOKUP(J631,ConstDLCIds!$A$4:$B$1000,2,FALSE)</f>
        <v>DLC_SUMMERSET</v>
      </c>
      <c r="L631" s="3" t="str">
        <f ca="1">VLOOKUP(J631,ConstDLCIds!$A$4:$C$1000,3,FALSE)</f>
        <v>Summerset</v>
      </c>
    </row>
    <row r="632" spans="1:12" x14ac:dyDescent="0.25">
      <c r="A632">
        <v>1021</v>
      </c>
      <c r="B632">
        <v>627</v>
      </c>
      <c r="C632">
        <v>1011</v>
      </c>
      <c r="D632" t="s">
        <v>1165</v>
      </c>
      <c r="E632" t="str">
        <f>IF(NOT(ISERROR(VLOOKUP(D632,'ESO DungeonFinder'!$A$2:$A$999,1,FALSE))),"X","")</f>
        <v/>
      </c>
      <c r="F632" s="70" t="str">
        <f t="shared" si="36"/>
        <v/>
      </c>
      <c r="G632" s="70" t="str">
        <f t="shared" si="39"/>
        <v>Summerset</v>
      </c>
      <c r="H632" s="70">
        <f t="shared" si="37"/>
        <v>1021</v>
      </c>
      <c r="I632" s="70">
        <f t="shared" si="38"/>
        <v>1011</v>
      </c>
      <c r="J632">
        <v>10</v>
      </c>
      <c r="K632" s="3" t="str">
        <f ca="1">VLOOKUP(J632,ConstDLCIds!$A$4:$B$1000,2,FALSE)</f>
        <v>DLC_SUMMERSET</v>
      </c>
      <c r="L632" s="3" t="str">
        <f ca="1">VLOOKUP(J632,ConstDLCIds!$A$4:$C$1000,3,FALSE)</f>
        <v>Summerset</v>
      </c>
    </row>
    <row r="633" spans="1:12" x14ac:dyDescent="0.25">
      <c r="A633">
        <v>1022</v>
      </c>
      <c r="B633">
        <v>628</v>
      </c>
      <c r="C633">
        <v>1011</v>
      </c>
      <c r="D633" t="s">
        <v>2724</v>
      </c>
      <c r="E633" t="str">
        <f>IF(NOT(ISERROR(VLOOKUP(D633,'ESO DungeonFinder'!$A$2:$A$999,1,FALSE))),"X","")</f>
        <v/>
      </c>
      <c r="F633" s="70" t="str">
        <f t="shared" si="36"/>
        <v/>
      </c>
      <c r="G633" s="70" t="str">
        <f t="shared" si="39"/>
        <v>Summerset</v>
      </c>
      <c r="H633" s="70">
        <f t="shared" si="37"/>
        <v>1022</v>
      </c>
      <c r="I633" s="70">
        <f t="shared" si="38"/>
        <v>1011</v>
      </c>
      <c r="J633">
        <v>10</v>
      </c>
      <c r="K633" s="3" t="str">
        <f ca="1">VLOOKUP(J633,ConstDLCIds!$A$4:$B$1000,2,FALSE)</f>
        <v>DLC_SUMMERSET</v>
      </c>
      <c r="L633" s="3" t="str">
        <f ca="1">VLOOKUP(J633,ConstDLCIds!$A$4:$C$1000,3,FALSE)</f>
        <v>Summerset</v>
      </c>
    </row>
    <row r="634" spans="1:12" x14ac:dyDescent="0.25">
      <c r="A634">
        <v>1023</v>
      </c>
      <c r="B634">
        <v>629</v>
      </c>
      <c r="C634">
        <v>1011</v>
      </c>
      <c r="D634" t="s">
        <v>2725</v>
      </c>
      <c r="E634" t="str">
        <f>IF(NOT(ISERROR(VLOOKUP(D634,'ESO DungeonFinder'!$A$2:$A$999,1,FALSE))),"X","")</f>
        <v/>
      </c>
      <c r="F634" s="70" t="str">
        <f t="shared" si="36"/>
        <v/>
      </c>
      <c r="G634" s="70" t="str">
        <f t="shared" si="39"/>
        <v>Summerset</v>
      </c>
      <c r="H634" s="70">
        <f t="shared" si="37"/>
        <v>1023</v>
      </c>
      <c r="I634" s="70">
        <f t="shared" si="38"/>
        <v>1011</v>
      </c>
      <c r="J634">
        <v>10</v>
      </c>
      <c r="K634" s="3" t="str">
        <f ca="1">VLOOKUP(J634,ConstDLCIds!$A$4:$B$1000,2,FALSE)</f>
        <v>DLC_SUMMERSET</v>
      </c>
      <c r="L634" s="3" t="str">
        <f ca="1">VLOOKUP(J634,ConstDLCIds!$A$4:$C$1000,3,FALSE)</f>
        <v>Summerset</v>
      </c>
    </row>
    <row r="635" spans="1:12" x14ac:dyDescent="0.25">
      <c r="A635">
        <v>1024</v>
      </c>
      <c r="B635">
        <v>630</v>
      </c>
      <c r="C635">
        <v>1011</v>
      </c>
      <c r="D635" t="s">
        <v>2726</v>
      </c>
      <c r="E635" t="str">
        <f>IF(NOT(ISERROR(VLOOKUP(D635,'ESO DungeonFinder'!$A$2:$A$999,1,FALSE))),"X","")</f>
        <v/>
      </c>
      <c r="F635" s="70" t="str">
        <f t="shared" si="36"/>
        <v/>
      </c>
      <c r="G635" s="70" t="str">
        <f t="shared" si="39"/>
        <v>Summerset</v>
      </c>
      <c r="H635" s="70">
        <f t="shared" si="37"/>
        <v>1024</v>
      </c>
      <c r="I635" s="70">
        <f t="shared" si="38"/>
        <v>1011</v>
      </c>
      <c r="J635">
        <v>10</v>
      </c>
      <c r="K635" s="3" t="str">
        <f ca="1">VLOOKUP(J635,ConstDLCIds!$A$4:$B$1000,2,FALSE)</f>
        <v>DLC_SUMMERSET</v>
      </c>
      <c r="L635" s="3" t="str">
        <f ca="1">VLOOKUP(J635,ConstDLCIds!$A$4:$C$1000,3,FALSE)</f>
        <v>Summerset</v>
      </c>
    </row>
    <row r="636" spans="1:12" x14ac:dyDescent="0.25">
      <c r="A636">
        <v>1025</v>
      </c>
      <c r="B636">
        <v>631</v>
      </c>
      <c r="C636">
        <v>1011</v>
      </c>
      <c r="D636" t="s">
        <v>2727</v>
      </c>
      <c r="E636" t="str">
        <f>IF(NOT(ISERROR(VLOOKUP(D636,'ESO DungeonFinder'!$A$2:$A$999,1,FALSE))),"X","")</f>
        <v/>
      </c>
      <c r="F636" s="70" t="str">
        <f t="shared" si="36"/>
        <v/>
      </c>
      <c r="G636" s="70" t="str">
        <f t="shared" si="39"/>
        <v>Summerset</v>
      </c>
      <c r="H636" s="70">
        <f t="shared" si="37"/>
        <v>1025</v>
      </c>
      <c r="I636" s="70">
        <f t="shared" si="38"/>
        <v>1011</v>
      </c>
      <c r="J636">
        <v>10</v>
      </c>
      <c r="K636" s="3" t="str">
        <f ca="1">VLOOKUP(J636,ConstDLCIds!$A$4:$B$1000,2,FALSE)</f>
        <v>DLC_SUMMERSET</v>
      </c>
      <c r="L636" s="3" t="str">
        <f ca="1">VLOOKUP(J636,ConstDLCIds!$A$4:$C$1000,3,FALSE)</f>
        <v>Summerset</v>
      </c>
    </row>
    <row r="637" spans="1:12" x14ac:dyDescent="0.25">
      <c r="A637">
        <v>1026</v>
      </c>
      <c r="B637">
        <v>632</v>
      </c>
      <c r="C637">
        <v>1011</v>
      </c>
      <c r="D637" t="s">
        <v>2728</v>
      </c>
      <c r="E637" t="str">
        <f>IF(NOT(ISERROR(VLOOKUP(D637,'ESO DungeonFinder'!$A$2:$A$999,1,FALSE))),"X","")</f>
        <v/>
      </c>
      <c r="F637" s="70" t="str">
        <f t="shared" si="36"/>
        <v/>
      </c>
      <c r="G637" s="70" t="str">
        <f t="shared" si="39"/>
        <v>Summerset</v>
      </c>
      <c r="H637" s="70">
        <f t="shared" si="37"/>
        <v>1026</v>
      </c>
      <c r="I637" s="70">
        <f t="shared" si="38"/>
        <v>1011</v>
      </c>
      <c r="J637">
        <v>10</v>
      </c>
      <c r="K637" s="3" t="str">
        <f ca="1">VLOOKUP(J637,ConstDLCIds!$A$4:$B$1000,2,FALSE)</f>
        <v>DLC_SUMMERSET</v>
      </c>
      <c r="L637" s="3" t="str">
        <f ca="1">VLOOKUP(J637,ConstDLCIds!$A$4:$C$1000,3,FALSE)</f>
        <v>Summerset</v>
      </c>
    </row>
    <row r="638" spans="1:12" x14ac:dyDescent="0.25">
      <c r="A638">
        <v>1027</v>
      </c>
      <c r="B638">
        <v>633</v>
      </c>
      <c r="C638">
        <v>1011</v>
      </c>
      <c r="D638" t="s">
        <v>1166</v>
      </c>
      <c r="E638" t="str">
        <f>IF(NOT(ISERROR(VLOOKUP(D638,'ESO DungeonFinder'!$A$2:$A$999,1,FALSE))),"X","")</f>
        <v/>
      </c>
      <c r="F638" s="70" t="str">
        <f t="shared" si="36"/>
        <v/>
      </c>
      <c r="G638" s="70" t="str">
        <f t="shared" si="39"/>
        <v>Summerset</v>
      </c>
      <c r="H638" s="70">
        <f t="shared" si="37"/>
        <v>1027</v>
      </c>
      <c r="I638" s="70">
        <f t="shared" si="38"/>
        <v>1011</v>
      </c>
      <c r="J638">
        <v>10</v>
      </c>
      <c r="K638" s="3" t="str">
        <f ca="1">VLOOKUP(J638,ConstDLCIds!$A$4:$B$1000,2,FALSE)</f>
        <v>DLC_SUMMERSET</v>
      </c>
      <c r="L638" s="3" t="str">
        <f ca="1">VLOOKUP(J638,ConstDLCIds!$A$4:$C$1000,3,FALSE)</f>
        <v>Summerset</v>
      </c>
    </row>
    <row r="639" spans="1:12" x14ac:dyDescent="0.25">
      <c r="A639">
        <v>1028</v>
      </c>
      <c r="B639">
        <v>634</v>
      </c>
      <c r="C639">
        <v>1011</v>
      </c>
      <c r="D639" t="s">
        <v>2729</v>
      </c>
      <c r="E639" t="str">
        <f>IF(NOT(ISERROR(VLOOKUP(D639,'ESO DungeonFinder'!$A$2:$A$999,1,FALSE))),"X","")</f>
        <v/>
      </c>
      <c r="F639" s="70" t="str">
        <f t="shared" si="36"/>
        <v/>
      </c>
      <c r="G639" s="70" t="str">
        <f t="shared" si="39"/>
        <v>Summerset</v>
      </c>
      <c r="H639" s="70">
        <f t="shared" si="37"/>
        <v>1028</v>
      </c>
      <c r="I639" s="70">
        <f t="shared" si="38"/>
        <v>1011</v>
      </c>
      <c r="J639">
        <v>10</v>
      </c>
      <c r="K639" s="3" t="str">
        <f ca="1">VLOOKUP(J639,ConstDLCIds!$A$4:$B$1000,2,FALSE)</f>
        <v>DLC_SUMMERSET</v>
      </c>
      <c r="L639" s="3" t="str">
        <f ca="1">VLOOKUP(J639,ConstDLCIds!$A$4:$C$1000,3,FALSE)</f>
        <v>Summerset</v>
      </c>
    </row>
    <row r="640" spans="1:12" x14ac:dyDescent="0.25">
      <c r="A640">
        <v>1029</v>
      </c>
      <c r="B640">
        <v>635</v>
      </c>
      <c r="C640">
        <v>1011</v>
      </c>
      <c r="D640" t="s">
        <v>2730</v>
      </c>
      <c r="E640" t="str">
        <f>IF(NOT(ISERROR(VLOOKUP(D640,'ESO DungeonFinder'!$A$2:$A$999,1,FALSE))),"X","")</f>
        <v/>
      </c>
      <c r="F640" s="70" t="str">
        <f t="shared" si="36"/>
        <v/>
      </c>
      <c r="G640" s="70" t="str">
        <f t="shared" si="39"/>
        <v>Summerset</v>
      </c>
      <c r="H640" s="70">
        <f t="shared" si="37"/>
        <v>1029</v>
      </c>
      <c r="I640" s="70">
        <f t="shared" si="38"/>
        <v>1011</v>
      </c>
      <c r="J640">
        <v>10</v>
      </c>
      <c r="K640" s="3" t="str">
        <f ca="1">VLOOKUP(J640,ConstDLCIds!$A$4:$B$1000,2,FALSE)</f>
        <v>DLC_SUMMERSET</v>
      </c>
      <c r="L640" s="3" t="str">
        <f ca="1">VLOOKUP(J640,ConstDLCIds!$A$4:$C$1000,3,FALSE)</f>
        <v>Summerset</v>
      </c>
    </row>
    <row r="641" spans="1:12" x14ac:dyDescent="0.25">
      <c r="A641">
        <v>1030</v>
      </c>
      <c r="B641">
        <v>636</v>
      </c>
      <c r="C641">
        <v>1011</v>
      </c>
      <c r="D641" t="s">
        <v>2731</v>
      </c>
      <c r="E641" t="str">
        <f>IF(NOT(ISERROR(VLOOKUP(D641,'ESO DungeonFinder'!$A$2:$A$999,1,FALSE))),"X","")</f>
        <v/>
      </c>
      <c r="F641" s="70" t="str">
        <f t="shared" si="36"/>
        <v/>
      </c>
      <c r="G641" s="70" t="str">
        <f t="shared" si="39"/>
        <v>Summerset</v>
      </c>
      <c r="H641" s="70">
        <f t="shared" si="37"/>
        <v>1030</v>
      </c>
      <c r="I641" s="70">
        <f t="shared" si="38"/>
        <v>1011</v>
      </c>
      <c r="J641">
        <v>10</v>
      </c>
      <c r="K641" s="3" t="str">
        <f ca="1">VLOOKUP(J641,ConstDLCIds!$A$4:$B$1000,2,FALSE)</f>
        <v>DLC_SUMMERSET</v>
      </c>
      <c r="L641" s="3" t="str">
        <f ca="1">VLOOKUP(J641,ConstDLCIds!$A$4:$C$1000,3,FALSE)</f>
        <v>Summerset</v>
      </c>
    </row>
    <row r="642" spans="1:12" x14ac:dyDescent="0.25">
      <c r="A642">
        <v>1031</v>
      </c>
      <c r="B642">
        <v>637</v>
      </c>
      <c r="C642">
        <v>1011</v>
      </c>
      <c r="D642" t="s">
        <v>2732</v>
      </c>
      <c r="E642" t="str">
        <f>IF(NOT(ISERROR(VLOOKUP(D642,'ESO DungeonFinder'!$A$2:$A$999,1,FALSE))),"X","")</f>
        <v/>
      </c>
      <c r="F642" s="70" t="str">
        <f t="shared" si="36"/>
        <v/>
      </c>
      <c r="G642" s="70" t="str">
        <f t="shared" si="39"/>
        <v>Summerset</v>
      </c>
      <c r="H642" s="70">
        <f t="shared" si="37"/>
        <v>1031</v>
      </c>
      <c r="I642" s="70">
        <f t="shared" si="38"/>
        <v>1011</v>
      </c>
      <c r="J642">
        <v>10</v>
      </c>
      <c r="K642" s="3" t="str">
        <f ca="1">VLOOKUP(J642,ConstDLCIds!$A$4:$B$1000,2,FALSE)</f>
        <v>DLC_SUMMERSET</v>
      </c>
      <c r="L642" s="3" t="str">
        <f ca="1">VLOOKUP(J642,ConstDLCIds!$A$4:$C$1000,3,FALSE)</f>
        <v>Summerset</v>
      </c>
    </row>
    <row r="643" spans="1:12" x14ac:dyDescent="0.25">
      <c r="A643">
        <v>1032</v>
      </c>
      <c r="B643">
        <v>638</v>
      </c>
      <c r="C643">
        <v>1011</v>
      </c>
      <c r="D643" t="s">
        <v>2733</v>
      </c>
      <c r="E643" t="str">
        <f>IF(NOT(ISERROR(VLOOKUP(D643,'ESO DungeonFinder'!$A$2:$A$999,1,FALSE))),"X","")</f>
        <v/>
      </c>
      <c r="F643" s="70" t="str">
        <f t="shared" si="36"/>
        <v/>
      </c>
      <c r="G643" s="70" t="str">
        <f t="shared" si="39"/>
        <v>Summerset</v>
      </c>
      <c r="H643" s="70">
        <f t="shared" si="37"/>
        <v>1032</v>
      </c>
      <c r="I643" s="70">
        <f t="shared" si="38"/>
        <v>1011</v>
      </c>
      <c r="J643">
        <v>10</v>
      </c>
      <c r="K643" s="3" t="str">
        <f ca="1">VLOOKUP(J643,ConstDLCIds!$A$4:$B$1000,2,FALSE)</f>
        <v>DLC_SUMMERSET</v>
      </c>
      <c r="L643" s="3" t="str">
        <f ca="1">VLOOKUP(J643,ConstDLCIds!$A$4:$C$1000,3,FALSE)</f>
        <v>Summerset</v>
      </c>
    </row>
    <row r="644" spans="1:12" x14ac:dyDescent="0.25">
      <c r="A644">
        <v>1033</v>
      </c>
      <c r="B644">
        <v>639</v>
      </c>
      <c r="C644">
        <v>1011</v>
      </c>
      <c r="D644" t="s">
        <v>2734</v>
      </c>
      <c r="E644" t="str">
        <f>IF(NOT(ISERROR(VLOOKUP(D644,'ESO DungeonFinder'!$A$2:$A$999,1,FALSE))),"X","")</f>
        <v/>
      </c>
      <c r="F644" s="70" t="str">
        <f t="shared" si="36"/>
        <v/>
      </c>
      <c r="G644" s="70" t="str">
        <f t="shared" si="39"/>
        <v>Summerset</v>
      </c>
      <c r="H644" s="70">
        <f t="shared" si="37"/>
        <v>1033</v>
      </c>
      <c r="I644" s="70">
        <f t="shared" si="38"/>
        <v>1011</v>
      </c>
      <c r="J644">
        <v>10</v>
      </c>
      <c r="K644" s="3" t="str">
        <f ca="1">VLOOKUP(J644,ConstDLCIds!$A$4:$B$1000,2,FALSE)</f>
        <v>DLC_SUMMERSET</v>
      </c>
      <c r="L644" s="3" t="str">
        <f ca="1">VLOOKUP(J644,ConstDLCIds!$A$4:$C$1000,3,FALSE)</f>
        <v>Summerset</v>
      </c>
    </row>
    <row r="645" spans="1:12" x14ac:dyDescent="0.25">
      <c r="A645">
        <v>1034</v>
      </c>
      <c r="B645">
        <v>640</v>
      </c>
      <c r="C645">
        <v>1011</v>
      </c>
      <c r="D645" t="s">
        <v>2735</v>
      </c>
      <c r="E645" t="str">
        <f>IF(NOT(ISERROR(VLOOKUP(D645,'ESO DungeonFinder'!$A$2:$A$999,1,FALSE))),"X","")</f>
        <v/>
      </c>
      <c r="F645" s="70" t="str">
        <f t="shared" ref="F645:F708" si="40">IF(EXACT(A645,C645),"X","")</f>
        <v/>
      </c>
      <c r="G645" s="70" t="str">
        <f t="shared" si="39"/>
        <v>Summerset</v>
      </c>
      <c r="H645" s="70">
        <f t="shared" ref="H645:H708" si="41">A645</f>
        <v>1034</v>
      </c>
      <c r="I645" s="70">
        <f t="shared" ref="I645:I708" si="42">C645</f>
        <v>1011</v>
      </c>
      <c r="J645">
        <v>10</v>
      </c>
      <c r="K645" s="3" t="str">
        <f ca="1">VLOOKUP(J645,ConstDLCIds!$A$4:$B$1000,2,FALSE)</f>
        <v>DLC_SUMMERSET</v>
      </c>
      <c r="L645" s="3" t="str">
        <f ca="1">VLOOKUP(J645,ConstDLCIds!$A$4:$C$1000,3,FALSE)</f>
        <v>Summerset</v>
      </c>
    </row>
    <row r="646" spans="1:12" x14ac:dyDescent="0.25">
      <c r="A646">
        <v>1035</v>
      </c>
      <c r="B646">
        <v>641</v>
      </c>
      <c r="C646">
        <v>1011</v>
      </c>
      <c r="D646" t="s">
        <v>2716</v>
      </c>
      <c r="E646" t="str">
        <f>IF(NOT(ISERROR(VLOOKUP(D646,'ESO DungeonFinder'!$A$2:$A$999,1,FALSE))),"X","")</f>
        <v/>
      </c>
      <c r="F646" s="70" t="str">
        <f t="shared" si="40"/>
        <v/>
      </c>
      <c r="G646" s="70" t="str">
        <f t="shared" ref="G646:G709" si="43">IF(A646&lt;&gt;C646,VLOOKUP(C646,$A$5:$D$9956,4,FALSE),"")</f>
        <v>Summerset</v>
      </c>
      <c r="H646" s="70">
        <f t="shared" si="41"/>
        <v>1035</v>
      </c>
      <c r="I646" s="70">
        <f t="shared" si="42"/>
        <v>1011</v>
      </c>
      <c r="J646">
        <v>10</v>
      </c>
      <c r="K646" s="3" t="str">
        <f ca="1">VLOOKUP(J646,ConstDLCIds!$A$4:$B$1000,2,FALSE)</f>
        <v>DLC_SUMMERSET</v>
      </c>
      <c r="L646" s="3" t="str">
        <f ca="1">VLOOKUP(J646,ConstDLCIds!$A$4:$C$1000,3,FALSE)</f>
        <v>Summerset</v>
      </c>
    </row>
    <row r="647" spans="1:12" x14ac:dyDescent="0.25">
      <c r="A647">
        <v>1036</v>
      </c>
      <c r="B647">
        <v>642</v>
      </c>
      <c r="C647">
        <v>1011</v>
      </c>
      <c r="D647" t="s">
        <v>2736</v>
      </c>
      <c r="E647" t="str">
        <f>IF(NOT(ISERROR(VLOOKUP(D647,'ESO DungeonFinder'!$A$2:$A$999,1,FALSE))),"X","")</f>
        <v/>
      </c>
      <c r="F647" s="70" t="str">
        <f t="shared" si="40"/>
        <v/>
      </c>
      <c r="G647" s="70" t="str">
        <f t="shared" si="43"/>
        <v>Summerset</v>
      </c>
      <c r="H647" s="70">
        <f t="shared" si="41"/>
        <v>1036</v>
      </c>
      <c r="I647" s="70">
        <f t="shared" si="42"/>
        <v>1011</v>
      </c>
      <c r="J647">
        <v>10</v>
      </c>
      <c r="K647" s="3" t="str">
        <f ca="1">VLOOKUP(J647,ConstDLCIds!$A$4:$B$1000,2,FALSE)</f>
        <v>DLC_SUMMERSET</v>
      </c>
      <c r="L647" s="3" t="str">
        <f ca="1">VLOOKUP(J647,ConstDLCIds!$A$4:$C$1000,3,FALSE)</f>
        <v>Summerset</v>
      </c>
    </row>
    <row r="648" spans="1:12" x14ac:dyDescent="0.25">
      <c r="A648">
        <v>1037</v>
      </c>
      <c r="B648">
        <v>643</v>
      </c>
      <c r="C648">
        <v>1011</v>
      </c>
      <c r="D648" t="s">
        <v>2737</v>
      </c>
      <c r="E648" t="str">
        <f>IF(NOT(ISERROR(VLOOKUP(D648,'ESO DungeonFinder'!$A$2:$A$999,1,FALSE))),"X","")</f>
        <v/>
      </c>
      <c r="F648" s="70" t="str">
        <f t="shared" si="40"/>
        <v/>
      </c>
      <c r="G648" s="70" t="str">
        <f t="shared" si="43"/>
        <v>Summerset</v>
      </c>
      <c r="H648" s="70">
        <f t="shared" si="41"/>
        <v>1037</v>
      </c>
      <c r="I648" s="70">
        <f t="shared" si="42"/>
        <v>1011</v>
      </c>
      <c r="J648">
        <v>10</v>
      </c>
      <c r="K648" s="3" t="str">
        <f ca="1">VLOOKUP(J648,ConstDLCIds!$A$4:$B$1000,2,FALSE)</f>
        <v>DLC_SUMMERSET</v>
      </c>
      <c r="L648" s="3" t="str">
        <f ca="1">VLOOKUP(J648,ConstDLCIds!$A$4:$C$1000,3,FALSE)</f>
        <v>Summerset</v>
      </c>
    </row>
    <row r="649" spans="1:12" x14ac:dyDescent="0.25">
      <c r="A649">
        <v>1038</v>
      </c>
      <c r="B649">
        <v>644</v>
      </c>
      <c r="C649">
        <v>1011</v>
      </c>
      <c r="D649" t="s">
        <v>2738</v>
      </c>
      <c r="E649" t="str">
        <f>IF(NOT(ISERROR(VLOOKUP(D649,'ESO DungeonFinder'!$A$2:$A$999,1,FALSE))),"X","")</f>
        <v/>
      </c>
      <c r="F649" s="70" t="str">
        <f t="shared" si="40"/>
        <v/>
      </c>
      <c r="G649" s="70" t="str">
        <f t="shared" si="43"/>
        <v>Summerset</v>
      </c>
      <c r="H649" s="70">
        <f t="shared" si="41"/>
        <v>1038</v>
      </c>
      <c r="I649" s="70">
        <f t="shared" si="42"/>
        <v>1011</v>
      </c>
      <c r="J649">
        <v>10</v>
      </c>
      <c r="K649" s="3" t="str">
        <f ca="1">VLOOKUP(J649,ConstDLCIds!$A$4:$B$1000,2,FALSE)</f>
        <v>DLC_SUMMERSET</v>
      </c>
      <c r="L649" s="3" t="str">
        <f ca="1">VLOOKUP(J649,ConstDLCIds!$A$4:$C$1000,3,FALSE)</f>
        <v>Summerset</v>
      </c>
    </row>
    <row r="650" spans="1:12" x14ac:dyDescent="0.25">
      <c r="A650">
        <v>1039</v>
      </c>
      <c r="B650">
        <v>645</v>
      </c>
      <c r="C650">
        <v>1011</v>
      </c>
      <c r="D650" t="s">
        <v>2739</v>
      </c>
      <c r="E650" t="str">
        <f>IF(NOT(ISERROR(VLOOKUP(D650,'ESO DungeonFinder'!$A$2:$A$999,1,FALSE))),"X","")</f>
        <v/>
      </c>
      <c r="F650" s="70" t="str">
        <f t="shared" si="40"/>
        <v/>
      </c>
      <c r="G650" s="70" t="str">
        <f t="shared" si="43"/>
        <v>Summerset</v>
      </c>
      <c r="H650" s="70">
        <f t="shared" si="41"/>
        <v>1039</v>
      </c>
      <c r="I650" s="70">
        <f t="shared" si="42"/>
        <v>1011</v>
      </c>
      <c r="J650">
        <v>10</v>
      </c>
      <c r="K650" s="3" t="str">
        <f ca="1">VLOOKUP(J650,ConstDLCIds!$A$4:$B$1000,2,FALSE)</f>
        <v>DLC_SUMMERSET</v>
      </c>
      <c r="L650" s="3" t="str">
        <f ca="1">VLOOKUP(J650,ConstDLCIds!$A$4:$C$1000,3,FALSE)</f>
        <v>Summerset</v>
      </c>
    </row>
    <row r="651" spans="1:12" x14ac:dyDescent="0.25">
      <c r="A651">
        <v>1040</v>
      </c>
      <c r="B651">
        <v>646</v>
      </c>
      <c r="C651">
        <v>1011</v>
      </c>
      <c r="D651" t="s">
        <v>2710</v>
      </c>
      <c r="E651" t="str">
        <f>IF(NOT(ISERROR(VLOOKUP(D651,'ESO DungeonFinder'!$A$2:$A$999,1,FALSE))),"X","")</f>
        <v/>
      </c>
      <c r="F651" s="70" t="str">
        <f t="shared" si="40"/>
        <v/>
      </c>
      <c r="G651" s="70" t="str">
        <f t="shared" si="43"/>
        <v>Summerset</v>
      </c>
      <c r="H651" s="70">
        <f t="shared" si="41"/>
        <v>1040</v>
      </c>
      <c r="I651" s="70">
        <f t="shared" si="42"/>
        <v>1011</v>
      </c>
      <c r="J651">
        <v>10</v>
      </c>
      <c r="K651" s="3" t="str">
        <f ca="1">VLOOKUP(J651,ConstDLCIds!$A$4:$B$1000,2,FALSE)</f>
        <v>DLC_SUMMERSET</v>
      </c>
      <c r="L651" s="3" t="str">
        <f ca="1">VLOOKUP(J651,ConstDLCIds!$A$4:$C$1000,3,FALSE)</f>
        <v>Summerset</v>
      </c>
    </row>
    <row r="652" spans="1:12" x14ac:dyDescent="0.25">
      <c r="A652">
        <v>1042</v>
      </c>
      <c r="B652">
        <v>647</v>
      </c>
      <c r="C652">
        <v>684</v>
      </c>
      <c r="D652" t="s">
        <v>2740</v>
      </c>
      <c r="E652" t="str">
        <f>IF(NOT(ISERROR(VLOOKUP(D652,'ESO DungeonFinder'!$A$2:$A$999,1,FALSE))),"X","")</f>
        <v/>
      </c>
      <c r="F652" s="70" t="str">
        <f t="shared" si="40"/>
        <v/>
      </c>
      <c r="G652" s="70" t="str">
        <f t="shared" si="43"/>
        <v>Wrothgar</v>
      </c>
      <c r="H652" s="70">
        <f t="shared" si="41"/>
        <v>1042</v>
      </c>
      <c r="I652" s="70">
        <f t="shared" si="42"/>
        <v>684</v>
      </c>
      <c r="J652">
        <v>2</v>
      </c>
      <c r="K652" s="3" t="str">
        <f ca="1">VLOOKUP(J652,ConstDLCIds!$A$4:$B$1000,2,FALSE)</f>
        <v>DLC_ORSINIUM</v>
      </c>
      <c r="L652" s="3" t="str">
        <f ca="1">VLOOKUP(J652,ConstDLCIds!$A$4:$C$1000,3,FALSE)</f>
        <v>Orsinium</v>
      </c>
    </row>
    <row r="653" spans="1:12" x14ac:dyDescent="0.25">
      <c r="A653">
        <v>1043</v>
      </c>
      <c r="B653">
        <v>648</v>
      </c>
      <c r="C653">
        <v>980</v>
      </c>
      <c r="D653" t="s">
        <v>2741</v>
      </c>
      <c r="E653" t="str">
        <f>IF(NOT(ISERROR(VLOOKUP(D653,'ESO DungeonFinder'!$A$2:$A$999,1,FALSE))),"X","")</f>
        <v/>
      </c>
      <c r="F653" s="70" t="str">
        <f t="shared" si="40"/>
        <v/>
      </c>
      <c r="G653" s="70" t="str">
        <f t="shared" si="43"/>
        <v>Clockwork City</v>
      </c>
      <c r="H653" s="70">
        <f t="shared" si="41"/>
        <v>1043</v>
      </c>
      <c r="I653" s="70">
        <f t="shared" si="42"/>
        <v>980</v>
      </c>
      <c r="J653">
        <v>8</v>
      </c>
      <c r="K653" s="3" t="str">
        <f ca="1">VLOOKUP(J653,ConstDLCIds!$A$4:$B$1000,2,FALSE)</f>
        <v>DLC_CLOCKWORK_CITY</v>
      </c>
      <c r="L653" s="3" t="str">
        <f ca="1">VLOOKUP(J653,ConstDLCIds!$A$4:$C$1000,3,FALSE)</f>
        <v>Clockwork City</v>
      </c>
    </row>
    <row r="654" spans="1:12" x14ac:dyDescent="0.25">
      <c r="A654">
        <v>1044</v>
      </c>
      <c r="B654">
        <v>649</v>
      </c>
      <c r="C654">
        <v>823</v>
      </c>
      <c r="D654" t="s">
        <v>2742</v>
      </c>
      <c r="E654" t="str">
        <f>IF(NOT(ISERROR(VLOOKUP(D654,'ESO DungeonFinder'!$A$2:$A$999,1,FALSE))),"X","")</f>
        <v/>
      </c>
      <c r="F654" s="70" t="str">
        <f t="shared" si="40"/>
        <v/>
      </c>
      <c r="G654" s="70" t="str">
        <f t="shared" si="43"/>
        <v>Gold Coast</v>
      </c>
      <c r="H654" s="70">
        <f t="shared" si="41"/>
        <v>1044</v>
      </c>
      <c r="I654" s="70">
        <f t="shared" si="42"/>
        <v>823</v>
      </c>
      <c r="J654">
        <v>4</v>
      </c>
      <c r="K654" s="3" t="str">
        <f ca="1">VLOOKUP(J654,ConstDLCIds!$A$4:$B$1000,2,FALSE)</f>
        <v>DLC_DARK_BROTHERHOOD</v>
      </c>
      <c r="L654" s="3" t="str">
        <f ca="1">VLOOKUP(J654,ConstDLCIds!$A$4:$C$1000,3,FALSE)</f>
        <v>Dark Brotherhood</v>
      </c>
    </row>
    <row r="655" spans="1:12" x14ac:dyDescent="0.25">
      <c r="A655">
        <v>1045</v>
      </c>
      <c r="B655">
        <v>650</v>
      </c>
      <c r="C655">
        <v>816</v>
      </c>
      <c r="D655" t="s">
        <v>2743</v>
      </c>
      <c r="E655" t="str">
        <f>IF(NOT(ISERROR(VLOOKUP(D655,'ESO DungeonFinder'!$A$2:$A$999,1,FALSE))),"X","")</f>
        <v/>
      </c>
      <c r="F655" s="70" t="str">
        <f t="shared" si="40"/>
        <v/>
      </c>
      <c r="G655" s="70" t="str">
        <f t="shared" si="43"/>
        <v>Hew's Bane</v>
      </c>
      <c r="H655" s="70">
        <f t="shared" si="41"/>
        <v>1045</v>
      </c>
      <c r="I655" s="70">
        <f t="shared" si="42"/>
        <v>816</v>
      </c>
      <c r="J655">
        <v>3</v>
      </c>
      <c r="K655" s="3" t="str">
        <f ca="1">VLOOKUP(J655,ConstDLCIds!$A$4:$B$1000,2,FALSE)</f>
        <v>DLC_THIEVES_GUILD</v>
      </c>
      <c r="L655" s="3" t="str">
        <f ca="1">VLOOKUP(J655,ConstDLCIds!$A$4:$C$1000,3,FALSE)</f>
        <v>Thieves Guild</v>
      </c>
    </row>
    <row r="656" spans="1:12" x14ac:dyDescent="0.25">
      <c r="A656">
        <v>1046</v>
      </c>
      <c r="B656">
        <v>651</v>
      </c>
      <c r="C656">
        <v>1011</v>
      </c>
      <c r="D656" t="s">
        <v>2744</v>
      </c>
      <c r="E656" t="str">
        <f>IF(NOT(ISERROR(VLOOKUP(D656,'ESO DungeonFinder'!$A$2:$A$999,1,FALSE))),"X","")</f>
        <v/>
      </c>
      <c r="F656" s="70" t="str">
        <f t="shared" si="40"/>
        <v/>
      </c>
      <c r="G656" s="70" t="str">
        <f t="shared" si="43"/>
        <v>Summerset</v>
      </c>
      <c r="H656" s="70">
        <f t="shared" si="41"/>
        <v>1046</v>
      </c>
      <c r="I656" s="70">
        <f t="shared" si="42"/>
        <v>1011</v>
      </c>
      <c r="J656">
        <v>10</v>
      </c>
      <c r="K656" s="3" t="str">
        <f ca="1">VLOOKUP(J656,ConstDLCIds!$A$4:$B$1000,2,FALSE)</f>
        <v>DLC_SUMMERSET</v>
      </c>
      <c r="L656" s="3" t="str">
        <f ca="1">VLOOKUP(J656,ConstDLCIds!$A$4:$C$1000,3,FALSE)</f>
        <v>Summerset</v>
      </c>
    </row>
    <row r="657" spans="1:12" x14ac:dyDescent="0.25">
      <c r="A657">
        <v>1047</v>
      </c>
      <c r="B657">
        <v>652</v>
      </c>
      <c r="C657">
        <v>1011</v>
      </c>
      <c r="D657" t="s">
        <v>2745</v>
      </c>
      <c r="E657" t="str">
        <f>IF(NOT(ISERROR(VLOOKUP(D657,'ESO DungeonFinder'!$A$2:$A$999,1,FALSE))),"X","")</f>
        <v/>
      </c>
      <c r="F657" s="70" t="str">
        <f t="shared" si="40"/>
        <v/>
      </c>
      <c r="G657" s="70" t="str">
        <f t="shared" si="43"/>
        <v>Summerset</v>
      </c>
      <c r="H657" s="70">
        <f t="shared" si="41"/>
        <v>1047</v>
      </c>
      <c r="I657" s="70">
        <f t="shared" si="42"/>
        <v>1011</v>
      </c>
      <c r="J657">
        <v>10</v>
      </c>
      <c r="K657" s="3" t="str">
        <f ca="1">VLOOKUP(J657,ConstDLCIds!$A$4:$B$1000,2,FALSE)</f>
        <v>DLC_SUMMERSET</v>
      </c>
      <c r="L657" s="3" t="str">
        <f ca="1">VLOOKUP(J657,ConstDLCIds!$A$4:$C$1000,3,FALSE)</f>
        <v>Summerset</v>
      </c>
    </row>
    <row r="658" spans="1:12" x14ac:dyDescent="0.25">
      <c r="A658">
        <v>1048</v>
      </c>
      <c r="B658">
        <v>653</v>
      </c>
      <c r="C658">
        <v>1011</v>
      </c>
      <c r="D658" t="s">
        <v>2746</v>
      </c>
      <c r="E658" t="str">
        <f>IF(NOT(ISERROR(VLOOKUP(D658,'ESO DungeonFinder'!$A$2:$A$999,1,FALSE))),"X","")</f>
        <v/>
      </c>
      <c r="F658" s="70" t="str">
        <f t="shared" si="40"/>
        <v/>
      </c>
      <c r="G658" s="70" t="str">
        <f t="shared" si="43"/>
        <v>Summerset</v>
      </c>
      <c r="H658" s="70">
        <f t="shared" si="41"/>
        <v>1048</v>
      </c>
      <c r="I658" s="70">
        <f t="shared" si="42"/>
        <v>1011</v>
      </c>
      <c r="J658">
        <v>10</v>
      </c>
      <c r="K658" s="3" t="str">
        <f ca="1">VLOOKUP(J658,ConstDLCIds!$A$4:$B$1000,2,FALSE)</f>
        <v>DLC_SUMMERSET</v>
      </c>
      <c r="L658" s="3" t="str">
        <f ca="1">VLOOKUP(J658,ConstDLCIds!$A$4:$C$1000,3,FALSE)</f>
        <v>Summerset</v>
      </c>
    </row>
    <row r="659" spans="1:12" x14ac:dyDescent="0.25">
      <c r="A659">
        <v>1051</v>
      </c>
      <c r="B659">
        <v>654</v>
      </c>
      <c r="C659">
        <v>1011</v>
      </c>
      <c r="D659" t="s">
        <v>1179</v>
      </c>
      <c r="E659" t="str">
        <f>IF(NOT(ISERROR(VLOOKUP(D659,'ESO DungeonFinder'!$A$2:$A$999,1,FALSE))),"X","")</f>
        <v/>
      </c>
      <c r="F659" s="70" t="str">
        <f t="shared" si="40"/>
        <v/>
      </c>
      <c r="G659" s="70" t="str">
        <f t="shared" si="43"/>
        <v>Summerset</v>
      </c>
      <c r="H659" s="70">
        <f t="shared" si="41"/>
        <v>1051</v>
      </c>
      <c r="I659" s="70">
        <f t="shared" si="42"/>
        <v>1011</v>
      </c>
      <c r="J659">
        <v>10</v>
      </c>
      <c r="K659" s="3" t="str">
        <f ca="1">VLOOKUP(J659,ConstDLCIds!$A$4:$B$1000,2,FALSE)</f>
        <v>DLC_SUMMERSET</v>
      </c>
      <c r="L659" s="3" t="str">
        <f ca="1">VLOOKUP(J659,ConstDLCIds!$A$4:$C$1000,3,FALSE)</f>
        <v>Summerset</v>
      </c>
    </row>
    <row r="660" spans="1:12" x14ac:dyDescent="0.25">
      <c r="A660">
        <v>1052</v>
      </c>
      <c r="B660">
        <v>655</v>
      </c>
      <c r="C660">
        <v>382</v>
      </c>
      <c r="D660" t="s">
        <v>1197</v>
      </c>
      <c r="E660" t="str">
        <f>IF(NOT(ISERROR(VLOOKUP(D660,'ESO DungeonFinder'!$A$2:$A$999,1,FALSE))),"X","")</f>
        <v>X</v>
      </c>
      <c r="F660" s="70" t="str">
        <f t="shared" si="40"/>
        <v/>
      </c>
      <c r="G660" s="70" t="str">
        <f t="shared" si="43"/>
        <v>Reaper's March</v>
      </c>
      <c r="H660" s="70">
        <f t="shared" si="41"/>
        <v>1052</v>
      </c>
      <c r="I660" s="70">
        <f t="shared" si="42"/>
        <v>382</v>
      </c>
      <c r="J660">
        <v>11</v>
      </c>
      <c r="K660" s="3" t="str">
        <f ca="1">VLOOKUP(J660,ConstDLCIds!$A$4:$B$1000,2,FALSE)</f>
        <v>DLC_WOLFHUNTER</v>
      </c>
      <c r="L660" s="3" t="str">
        <f ca="1">VLOOKUP(J660,ConstDLCIds!$A$4:$C$1000,3,FALSE)</f>
        <v>Wolfhunter</v>
      </c>
    </row>
    <row r="661" spans="1:12" x14ac:dyDescent="0.25">
      <c r="A661">
        <v>1055</v>
      </c>
      <c r="B661">
        <v>656</v>
      </c>
      <c r="C661">
        <v>108</v>
      </c>
      <c r="D661" t="s">
        <v>1195</v>
      </c>
      <c r="E661" t="str">
        <f>IF(NOT(ISERROR(VLOOKUP(D661,'ESO DungeonFinder'!$A$2:$A$999,1,FALSE))),"X","")</f>
        <v>X</v>
      </c>
      <c r="F661" s="70" t="str">
        <f t="shared" si="40"/>
        <v/>
      </c>
      <c r="G661" s="70" t="str">
        <f t="shared" si="43"/>
        <v>Greenshade</v>
      </c>
      <c r="H661" s="70">
        <f t="shared" si="41"/>
        <v>1055</v>
      </c>
      <c r="I661" s="70">
        <f t="shared" si="42"/>
        <v>108</v>
      </c>
      <c r="J661">
        <v>11</v>
      </c>
      <c r="K661" s="3" t="str">
        <f ca="1">VLOOKUP(J661,ConstDLCIds!$A$4:$B$1000,2,FALSE)</f>
        <v>DLC_WOLFHUNTER</v>
      </c>
      <c r="L661" s="3" t="str">
        <f ca="1">VLOOKUP(J661,ConstDLCIds!$A$4:$C$1000,3,FALSE)</f>
        <v>Wolfhunter</v>
      </c>
    </row>
    <row r="662" spans="1:12" x14ac:dyDescent="0.25">
      <c r="A662">
        <v>1059</v>
      </c>
      <c r="B662">
        <v>657</v>
      </c>
      <c r="C662">
        <v>1011</v>
      </c>
      <c r="D662" t="s">
        <v>2747</v>
      </c>
      <c r="E662" t="str">
        <f>IF(NOT(ISERROR(VLOOKUP(D662,'ESO DungeonFinder'!$A$2:$A$999,1,FALSE))),"X","")</f>
        <v/>
      </c>
      <c r="F662" s="70" t="str">
        <f t="shared" si="40"/>
        <v/>
      </c>
      <c r="G662" s="70" t="str">
        <f t="shared" si="43"/>
        <v>Summerset</v>
      </c>
      <c r="H662" s="70">
        <f t="shared" si="41"/>
        <v>1059</v>
      </c>
      <c r="I662" s="70">
        <f t="shared" si="42"/>
        <v>1011</v>
      </c>
      <c r="J662">
        <v>10</v>
      </c>
      <c r="K662" s="3" t="str">
        <f ca="1">VLOOKUP(J662,ConstDLCIds!$A$4:$B$1000,2,FALSE)</f>
        <v>DLC_SUMMERSET</v>
      </c>
      <c r="L662" s="3" t="str">
        <f ca="1">VLOOKUP(J662,ConstDLCIds!$A$4:$C$1000,3,FALSE)</f>
        <v>Summerset</v>
      </c>
    </row>
    <row r="663" spans="1:12" x14ac:dyDescent="0.25">
      <c r="A663">
        <v>1060</v>
      </c>
      <c r="B663">
        <v>658</v>
      </c>
      <c r="C663">
        <v>1011</v>
      </c>
      <c r="D663" t="s">
        <v>2748</v>
      </c>
      <c r="E663" t="str">
        <f>IF(NOT(ISERROR(VLOOKUP(D663,'ESO DungeonFinder'!$A$2:$A$999,1,FALSE))),"X","")</f>
        <v/>
      </c>
      <c r="F663" s="70" t="str">
        <f t="shared" si="40"/>
        <v/>
      </c>
      <c r="G663" s="70" t="str">
        <f t="shared" si="43"/>
        <v>Summerset</v>
      </c>
      <c r="H663" s="70">
        <f t="shared" si="41"/>
        <v>1060</v>
      </c>
      <c r="I663" s="70">
        <f t="shared" si="42"/>
        <v>1011</v>
      </c>
      <c r="J663">
        <v>10</v>
      </c>
      <c r="K663" s="3" t="str">
        <f ca="1">VLOOKUP(J663,ConstDLCIds!$A$4:$B$1000,2,FALSE)</f>
        <v>DLC_SUMMERSET</v>
      </c>
      <c r="L663" s="3" t="str">
        <f ca="1">VLOOKUP(J663,ConstDLCIds!$A$4:$C$1000,3,FALSE)</f>
        <v>Summerset</v>
      </c>
    </row>
    <row r="664" spans="1:12" x14ac:dyDescent="0.25">
      <c r="A664">
        <v>1061</v>
      </c>
      <c r="B664">
        <v>659</v>
      </c>
      <c r="C664">
        <v>1011</v>
      </c>
      <c r="D664" t="s">
        <v>2749</v>
      </c>
      <c r="E664" t="str">
        <f>IF(NOT(ISERROR(VLOOKUP(D664,'ESO DungeonFinder'!$A$2:$A$999,1,FALSE))),"X","")</f>
        <v/>
      </c>
      <c r="F664" s="70" t="str">
        <f t="shared" si="40"/>
        <v/>
      </c>
      <c r="G664" s="70" t="str">
        <f t="shared" si="43"/>
        <v>Summerset</v>
      </c>
      <c r="H664" s="70">
        <f t="shared" si="41"/>
        <v>1061</v>
      </c>
      <c r="I664" s="70">
        <f t="shared" si="42"/>
        <v>1011</v>
      </c>
      <c r="J664">
        <v>10</v>
      </c>
      <c r="K664" s="3" t="str">
        <f ca="1">VLOOKUP(J664,ConstDLCIds!$A$4:$B$1000,2,FALSE)</f>
        <v>DLC_SUMMERSET</v>
      </c>
      <c r="L664" s="3" t="str">
        <f ca="1">VLOOKUP(J664,ConstDLCIds!$A$4:$C$1000,3,FALSE)</f>
        <v>Summerset</v>
      </c>
    </row>
    <row r="665" spans="1:12" x14ac:dyDescent="0.25">
      <c r="A665">
        <v>1063</v>
      </c>
      <c r="B665">
        <v>660</v>
      </c>
      <c r="C665">
        <v>1027</v>
      </c>
      <c r="D665" t="s">
        <v>2750</v>
      </c>
      <c r="E665" t="str">
        <f>IF(NOT(ISERROR(VLOOKUP(D665,'ESO DungeonFinder'!$A$2:$A$999,1,FALSE))),"X","")</f>
        <v/>
      </c>
      <c r="F665" s="70" t="str">
        <f t="shared" si="40"/>
        <v/>
      </c>
      <c r="G665" s="70" t="str">
        <f t="shared" si="43"/>
        <v>Artaeum</v>
      </c>
      <c r="H665" s="70">
        <f t="shared" si="41"/>
        <v>1063</v>
      </c>
      <c r="I665" s="70">
        <f t="shared" si="42"/>
        <v>1027</v>
      </c>
      <c r="J665">
        <v>0</v>
      </c>
      <c r="K665" s="3" t="str">
        <f>VLOOKUP(J665,ConstDLCIds!$A$4:$B$1000,2,FALSE)</f>
        <v>DLC_BASE_GAME</v>
      </c>
      <c r="L665" s="3" t="str">
        <f>VLOOKUP(J665,ConstDLCIds!$A$4:$C$1000,3,FALSE)</f>
        <v>Included in base game</v>
      </c>
    </row>
    <row r="666" spans="1:12" x14ac:dyDescent="0.25">
      <c r="A666">
        <v>1064</v>
      </c>
      <c r="B666">
        <v>661</v>
      </c>
      <c r="C666">
        <v>103</v>
      </c>
      <c r="D666" t="s">
        <v>2751</v>
      </c>
      <c r="E666" t="str">
        <f>IF(NOT(ISERROR(VLOOKUP(D666,'ESO DungeonFinder'!$A$2:$A$999,1,FALSE))),"X","")</f>
        <v/>
      </c>
      <c r="F666" s="70" t="str">
        <f t="shared" si="40"/>
        <v/>
      </c>
      <c r="G666" s="70" t="str">
        <f t="shared" si="43"/>
        <v>The Rift</v>
      </c>
      <c r="H666" s="70">
        <f t="shared" si="41"/>
        <v>1064</v>
      </c>
      <c r="I666" s="70">
        <f t="shared" si="42"/>
        <v>103</v>
      </c>
      <c r="J666">
        <v>0</v>
      </c>
      <c r="K666" s="3" t="str">
        <f>VLOOKUP(J666,ConstDLCIds!$A$4:$B$1000,2,FALSE)</f>
        <v>DLC_BASE_GAME</v>
      </c>
      <c r="L666" s="3" t="str">
        <f>VLOOKUP(J666,ConstDLCIds!$A$4:$C$1000,3,FALSE)</f>
        <v>Included in base game</v>
      </c>
    </row>
    <row r="667" spans="1:12" x14ac:dyDescent="0.25">
      <c r="A667">
        <v>1065</v>
      </c>
      <c r="B667">
        <v>662</v>
      </c>
      <c r="C667">
        <v>726</v>
      </c>
      <c r="D667" t="s">
        <v>2752</v>
      </c>
      <c r="E667" t="str">
        <f>IF(NOT(ISERROR(VLOOKUP(D667,'ESO DungeonFinder'!$A$2:$A$999,1,FALSE))),"X","")</f>
        <v/>
      </c>
      <c r="F667" s="70" t="str">
        <f t="shared" si="40"/>
        <v/>
      </c>
      <c r="G667" s="70" t="str">
        <f t="shared" si="43"/>
        <v>Murkmire</v>
      </c>
      <c r="H667" s="70">
        <f t="shared" si="41"/>
        <v>1065</v>
      </c>
      <c r="I667" s="70">
        <f t="shared" si="42"/>
        <v>726</v>
      </c>
      <c r="J667">
        <v>12</v>
      </c>
      <c r="K667" s="3" t="str">
        <f ca="1">VLOOKUP(J667,ConstDLCIds!$A$4:$B$1000,2,FALSE)</f>
        <v>DLC_MURKMIRE</v>
      </c>
      <c r="L667" s="3" t="str">
        <f ca="1">VLOOKUP(J667,ConstDLCIds!$A$4:$C$1000,3,FALSE)</f>
        <v>Murkmire</v>
      </c>
    </row>
    <row r="668" spans="1:12" x14ac:dyDescent="0.25">
      <c r="A668">
        <v>1066</v>
      </c>
      <c r="B668">
        <v>663</v>
      </c>
      <c r="C668">
        <v>726</v>
      </c>
      <c r="D668" t="s">
        <v>2753</v>
      </c>
      <c r="E668" t="str">
        <f>IF(NOT(ISERROR(VLOOKUP(D668,'ESO DungeonFinder'!$A$2:$A$999,1,FALSE))),"X","")</f>
        <v/>
      </c>
      <c r="F668" s="70" t="str">
        <f t="shared" si="40"/>
        <v/>
      </c>
      <c r="G668" s="70" t="str">
        <f t="shared" si="43"/>
        <v>Murkmire</v>
      </c>
      <c r="H668" s="70">
        <f t="shared" si="41"/>
        <v>1066</v>
      </c>
      <c r="I668" s="70">
        <f t="shared" si="42"/>
        <v>726</v>
      </c>
      <c r="J668">
        <v>12</v>
      </c>
      <c r="K668" s="3" t="str">
        <f ca="1">VLOOKUP(J668,ConstDLCIds!$A$4:$B$1000,2,FALSE)</f>
        <v>DLC_MURKMIRE</v>
      </c>
      <c r="L668" s="3" t="str">
        <f ca="1">VLOOKUP(J668,ConstDLCIds!$A$4:$C$1000,3,FALSE)</f>
        <v>Murkmire</v>
      </c>
    </row>
    <row r="669" spans="1:12" x14ac:dyDescent="0.25">
      <c r="A669">
        <v>1067</v>
      </c>
      <c r="B669">
        <v>664</v>
      </c>
      <c r="C669">
        <v>726</v>
      </c>
      <c r="D669" t="s">
        <v>2754</v>
      </c>
      <c r="E669" t="str">
        <f>IF(NOT(ISERROR(VLOOKUP(D669,'ESO DungeonFinder'!$A$2:$A$999,1,FALSE))),"X","")</f>
        <v/>
      </c>
      <c r="F669" s="70" t="str">
        <f t="shared" si="40"/>
        <v/>
      </c>
      <c r="G669" s="70" t="str">
        <f t="shared" si="43"/>
        <v>Murkmire</v>
      </c>
      <c r="H669" s="70">
        <f t="shared" si="41"/>
        <v>1067</v>
      </c>
      <c r="I669" s="70">
        <f t="shared" si="42"/>
        <v>726</v>
      </c>
      <c r="J669">
        <v>12</v>
      </c>
      <c r="K669" s="3" t="str">
        <f ca="1">VLOOKUP(J669,ConstDLCIds!$A$4:$B$1000,2,FALSE)</f>
        <v>DLC_MURKMIRE</v>
      </c>
      <c r="L669" s="3" t="str">
        <f ca="1">VLOOKUP(J669,ConstDLCIds!$A$4:$C$1000,3,FALSE)</f>
        <v>Murkmire</v>
      </c>
    </row>
    <row r="670" spans="1:12" x14ac:dyDescent="0.25">
      <c r="A670">
        <v>1068</v>
      </c>
      <c r="B670">
        <v>665</v>
      </c>
      <c r="C670">
        <v>726</v>
      </c>
      <c r="D670" t="s">
        <v>2755</v>
      </c>
      <c r="E670" t="str">
        <f>IF(NOT(ISERROR(VLOOKUP(D670,'ESO DungeonFinder'!$A$2:$A$999,1,FALSE))),"X","")</f>
        <v/>
      </c>
      <c r="F670" s="70" t="str">
        <f t="shared" si="40"/>
        <v/>
      </c>
      <c r="G670" s="70" t="str">
        <f t="shared" si="43"/>
        <v>Murkmire</v>
      </c>
      <c r="H670" s="70">
        <f t="shared" si="41"/>
        <v>1068</v>
      </c>
      <c r="I670" s="70">
        <f t="shared" si="42"/>
        <v>726</v>
      </c>
      <c r="J670">
        <v>12</v>
      </c>
      <c r="K670" s="3" t="str">
        <f ca="1">VLOOKUP(J670,ConstDLCIds!$A$4:$B$1000,2,FALSE)</f>
        <v>DLC_MURKMIRE</v>
      </c>
      <c r="L670" s="3" t="str">
        <f ca="1">VLOOKUP(J670,ConstDLCIds!$A$4:$C$1000,3,FALSE)</f>
        <v>Murkmire</v>
      </c>
    </row>
    <row r="671" spans="1:12" x14ac:dyDescent="0.25">
      <c r="A671">
        <v>1069</v>
      </c>
      <c r="B671">
        <v>666</v>
      </c>
      <c r="C671">
        <v>726</v>
      </c>
      <c r="D671" t="s">
        <v>2756</v>
      </c>
      <c r="E671" t="str">
        <f>IF(NOT(ISERROR(VLOOKUP(D671,'ESO DungeonFinder'!$A$2:$A$999,1,FALSE))),"X","")</f>
        <v/>
      </c>
      <c r="F671" s="70" t="str">
        <f t="shared" si="40"/>
        <v/>
      </c>
      <c r="G671" s="70" t="str">
        <f t="shared" si="43"/>
        <v>Murkmire</v>
      </c>
      <c r="H671" s="70">
        <f t="shared" si="41"/>
        <v>1069</v>
      </c>
      <c r="I671" s="70">
        <f t="shared" si="42"/>
        <v>726</v>
      </c>
      <c r="J671">
        <v>12</v>
      </c>
      <c r="K671" s="3" t="str">
        <f ca="1">VLOOKUP(J671,ConstDLCIds!$A$4:$B$1000,2,FALSE)</f>
        <v>DLC_MURKMIRE</v>
      </c>
      <c r="L671" s="3" t="str">
        <f ca="1">VLOOKUP(J671,ConstDLCIds!$A$4:$C$1000,3,FALSE)</f>
        <v>Murkmire</v>
      </c>
    </row>
    <row r="672" spans="1:12" x14ac:dyDescent="0.25">
      <c r="A672">
        <v>1070</v>
      </c>
      <c r="B672">
        <v>667</v>
      </c>
      <c r="C672">
        <v>726</v>
      </c>
      <c r="D672" t="s">
        <v>2757</v>
      </c>
      <c r="E672" t="str">
        <f>IF(NOT(ISERROR(VLOOKUP(D672,'ESO DungeonFinder'!$A$2:$A$999,1,FALSE))),"X","")</f>
        <v/>
      </c>
      <c r="F672" s="70" t="str">
        <f t="shared" si="40"/>
        <v/>
      </c>
      <c r="G672" s="70" t="str">
        <f t="shared" si="43"/>
        <v>Murkmire</v>
      </c>
      <c r="H672" s="70">
        <f t="shared" si="41"/>
        <v>1070</v>
      </c>
      <c r="I672" s="70">
        <f t="shared" si="42"/>
        <v>726</v>
      </c>
      <c r="J672">
        <v>12</v>
      </c>
      <c r="K672" s="3" t="str">
        <f ca="1">VLOOKUP(J672,ConstDLCIds!$A$4:$B$1000,2,FALSE)</f>
        <v>DLC_MURKMIRE</v>
      </c>
      <c r="L672" s="3" t="str">
        <f ca="1">VLOOKUP(J672,ConstDLCIds!$A$4:$C$1000,3,FALSE)</f>
        <v>Murkmire</v>
      </c>
    </row>
    <row r="673" spans="1:12" x14ac:dyDescent="0.25">
      <c r="A673">
        <v>1071</v>
      </c>
      <c r="B673">
        <v>668</v>
      </c>
      <c r="C673">
        <v>726</v>
      </c>
      <c r="D673" t="s">
        <v>2758</v>
      </c>
      <c r="E673" t="str">
        <f>IF(NOT(ISERROR(VLOOKUP(D673,'ESO DungeonFinder'!$A$2:$A$999,1,FALSE))),"X","")</f>
        <v/>
      </c>
      <c r="F673" s="70" t="str">
        <f t="shared" si="40"/>
        <v/>
      </c>
      <c r="G673" s="70" t="str">
        <f t="shared" si="43"/>
        <v>Murkmire</v>
      </c>
      <c r="H673" s="70">
        <f t="shared" si="41"/>
        <v>1071</v>
      </c>
      <c r="I673" s="70">
        <f t="shared" si="42"/>
        <v>726</v>
      </c>
      <c r="J673">
        <v>12</v>
      </c>
      <c r="K673" s="3" t="str">
        <f ca="1">VLOOKUP(J673,ConstDLCIds!$A$4:$B$1000,2,FALSE)</f>
        <v>DLC_MURKMIRE</v>
      </c>
      <c r="L673" s="3" t="str">
        <f ca="1">VLOOKUP(J673,ConstDLCIds!$A$4:$C$1000,3,FALSE)</f>
        <v>Murkmire</v>
      </c>
    </row>
    <row r="674" spans="1:12" x14ac:dyDescent="0.25">
      <c r="A674">
        <v>1072</v>
      </c>
      <c r="B674">
        <v>669</v>
      </c>
      <c r="C674">
        <v>117</v>
      </c>
      <c r="D674" t="s">
        <v>2759</v>
      </c>
      <c r="E674" t="str">
        <f>IF(NOT(ISERROR(VLOOKUP(D674,'ESO DungeonFinder'!$A$2:$A$999,1,FALSE))),"X","")</f>
        <v/>
      </c>
      <c r="F674" s="70" t="str">
        <f t="shared" si="40"/>
        <v/>
      </c>
      <c r="G674" s="70" t="str">
        <f t="shared" si="43"/>
        <v>Shadowfen</v>
      </c>
      <c r="H674" s="70">
        <f t="shared" si="41"/>
        <v>1072</v>
      </c>
      <c r="I674" s="70">
        <f t="shared" si="42"/>
        <v>117</v>
      </c>
      <c r="J674">
        <v>0</v>
      </c>
      <c r="K674" s="3" t="str">
        <f>VLOOKUP(J674,ConstDLCIds!$A$4:$B$1000,2,FALSE)</f>
        <v>DLC_BASE_GAME</v>
      </c>
      <c r="L674" s="3" t="str">
        <f>VLOOKUP(J674,ConstDLCIds!$A$4:$C$1000,3,FALSE)</f>
        <v>Included in base game</v>
      </c>
    </row>
    <row r="675" spans="1:12" x14ac:dyDescent="0.25">
      <c r="A675">
        <v>1073</v>
      </c>
      <c r="B675">
        <v>670</v>
      </c>
      <c r="C675">
        <v>726</v>
      </c>
      <c r="D675" t="s">
        <v>2760</v>
      </c>
      <c r="E675" t="str">
        <f>IF(NOT(ISERROR(VLOOKUP(D675,'ESO DungeonFinder'!$A$2:$A$999,1,FALSE))),"X","")</f>
        <v/>
      </c>
      <c r="F675" s="70" t="str">
        <f t="shared" si="40"/>
        <v/>
      </c>
      <c r="G675" s="70" t="str">
        <f t="shared" si="43"/>
        <v>Murkmire</v>
      </c>
      <c r="H675" s="70">
        <f t="shared" si="41"/>
        <v>1073</v>
      </c>
      <c r="I675" s="70">
        <f t="shared" si="42"/>
        <v>726</v>
      </c>
      <c r="J675">
        <v>12</v>
      </c>
      <c r="K675" s="3" t="str">
        <f ca="1">VLOOKUP(J675,ConstDLCIds!$A$4:$B$1000,2,FALSE)</f>
        <v>DLC_MURKMIRE</v>
      </c>
      <c r="L675" s="3" t="str">
        <f ca="1">VLOOKUP(J675,ConstDLCIds!$A$4:$C$1000,3,FALSE)</f>
        <v>Murkmire</v>
      </c>
    </row>
    <row r="676" spans="1:12" x14ac:dyDescent="0.25">
      <c r="A676">
        <v>1074</v>
      </c>
      <c r="B676">
        <v>671</v>
      </c>
      <c r="C676">
        <v>41</v>
      </c>
      <c r="D676" t="s">
        <v>2761</v>
      </c>
      <c r="E676" t="str">
        <f>IF(NOT(ISERROR(VLOOKUP(D676,'ESO DungeonFinder'!$A$2:$A$999,1,FALSE))),"X","")</f>
        <v/>
      </c>
      <c r="F676" s="70" t="str">
        <f t="shared" si="40"/>
        <v/>
      </c>
      <c r="G676" s="70" t="str">
        <f t="shared" si="43"/>
        <v>Stonefalls</v>
      </c>
      <c r="H676" s="70">
        <f t="shared" si="41"/>
        <v>1074</v>
      </c>
      <c r="I676" s="70">
        <f t="shared" si="42"/>
        <v>41</v>
      </c>
      <c r="J676">
        <v>0</v>
      </c>
      <c r="K676" s="3" t="str">
        <f>VLOOKUP(J676,ConstDLCIds!$A$4:$B$1000,2,FALSE)</f>
        <v>DLC_BASE_GAME</v>
      </c>
      <c r="L676" s="3" t="str">
        <f>VLOOKUP(J676,ConstDLCIds!$A$4:$C$1000,3,FALSE)</f>
        <v>Included in base game</v>
      </c>
    </row>
    <row r="677" spans="1:12" x14ac:dyDescent="0.25">
      <c r="A677">
        <v>1075</v>
      </c>
      <c r="B677">
        <v>672</v>
      </c>
      <c r="C677">
        <v>381</v>
      </c>
      <c r="D677" t="s">
        <v>2761</v>
      </c>
      <c r="E677" t="str">
        <f>IF(NOT(ISERROR(VLOOKUP(D677,'ESO DungeonFinder'!$A$2:$A$999,1,FALSE))),"X","")</f>
        <v/>
      </c>
      <c r="F677" s="70" t="str">
        <f t="shared" si="40"/>
        <v/>
      </c>
      <c r="G677" s="70" t="str">
        <f t="shared" si="43"/>
        <v>Auridon</v>
      </c>
      <c r="H677" s="70">
        <f t="shared" si="41"/>
        <v>1075</v>
      </c>
      <c r="I677" s="70">
        <f t="shared" si="42"/>
        <v>381</v>
      </c>
      <c r="J677">
        <v>0</v>
      </c>
      <c r="K677" s="3" t="str">
        <f>VLOOKUP(J677,ConstDLCIds!$A$4:$B$1000,2,FALSE)</f>
        <v>DLC_BASE_GAME</v>
      </c>
      <c r="L677" s="3" t="str">
        <f>VLOOKUP(J677,ConstDLCIds!$A$4:$C$1000,3,FALSE)</f>
        <v>Included in base game</v>
      </c>
    </row>
    <row r="678" spans="1:12" x14ac:dyDescent="0.25">
      <c r="A678">
        <v>1076</v>
      </c>
      <c r="B678">
        <v>673</v>
      </c>
      <c r="C678">
        <v>3</v>
      </c>
      <c r="D678" t="s">
        <v>2761</v>
      </c>
      <c r="E678" t="str">
        <f>IF(NOT(ISERROR(VLOOKUP(D678,'ESO DungeonFinder'!$A$2:$A$999,1,FALSE))),"X","")</f>
        <v/>
      </c>
      <c r="F678" s="70" t="str">
        <f t="shared" si="40"/>
        <v/>
      </c>
      <c r="G678" s="70" t="str">
        <f t="shared" si="43"/>
        <v>Glenumbra</v>
      </c>
      <c r="H678" s="70">
        <f t="shared" si="41"/>
        <v>1076</v>
      </c>
      <c r="I678" s="70">
        <f t="shared" si="42"/>
        <v>3</v>
      </c>
      <c r="J678">
        <v>0</v>
      </c>
      <c r="K678" s="3" t="str">
        <f>VLOOKUP(J678,ConstDLCIds!$A$4:$B$1000,2,FALSE)</f>
        <v>DLC_BASE_GAME</v>
      </c>
      <c r="L678" s="3" t="str">
        <f>VLOOKUP(J678,ConstDLCIds!$A$4:$C$1000,3,FALSE)</f>
        <v>Included in base game</v>
      </c>
    </row>
    <row r="679" spans="1:12" x14ac:dyDescent="0.25">
      <c r="A679">
        <v>1077</v>
      </c>
      <c r="B679">
        <v>674</v>
      </c>
      <c r="C679">
        <v>726</v>
      </c>
      <c r="D679" t="s">
        <v>2762</v>
      </c>
      <c r="E679" t="str">
        <f>IF(NOT(ISERROR(VLOOKUP(D679,'ESO DungeonFinder'!$A$2:$A$999,1,FALSE))),"X","")</f>
        <v/>
      </c>
      <c r="F679" s="70" t="str">
        <f t="shared" si="40"/>
        <v/>
      </c>
      <c r="G679" s="70" t="str">
        <f t="shared" si="43"/>
        <v>Murkmire</v>
      </c>
      <c r="H679" s="70">
        <f t="shared" si="41"/>
        <v>1077</v>
      </c>
      <c r="I679" s="70">
        <f t="shared" si="42"/>
        <v>726</v>
      </c>
      <c r="J679">
        <v>12</v>
      </c>
      <c r="K679" s="3" t="str">
        <f ca="1">VLOOKUP(J679,ConstDLCIds!$A$4:$B$1000,2,FALSE)</f>
        <v>DLC_MURKMIRE</v>
      </c>
      <c r="L679" s="3" t="str">
        <f ca="1">VLOOKUP(J679,ConstDLCIds!$A$4:$C$1000,3,FALSE)</f>
        <v>Murkmire</v>
      </c>
    </row>
    <row r="680" spans="1:12" x14ac:dyDescent="0.25">
      <c r="A680">
        <v>1078</v>
      </c>
      <c r="B680">
        <v>675</v>
      </c>
      <c r="C680">
        <v>726</v>
      </c>
      <c r="D680" t="s">
        <v>2763</v>
      </c>
      <c r="E680" t="str">
        <f>IF(NOT(ISERROR(VLOOKUP(D680,'ESO DungeonFinder'!$A$2:$A$999,1,FALSE))),"X","")</f>
        <v/>
      </c>
      <c r="F680" s="70" t="str">
        <f t="shared" si="40"/>
        <v/>
      </c>
      <c r="G680" s="70" t="str">
        <f t="shared" si="43"/>
        <v>Murkmire</v>
      </c>
      <c r="H680" s="70">
        <f t="shared" si="41"/>
        <v>1078</v>
      </c>
      <c r="I680" s="70">
        <f t="shared" si="42"/>
        <v>726</v>
      </c>
      <c r="J680">
        <v>12</v>
      </c>
      <c r="K680" s="3" t="str">
        <f ca="1">VLOOKUP(J680,ConstDLCIds!$A$4:$B$1000,2,FALSE)</f>
        <v>DLC_MURKMIRE</v>
      </c>
      <c r="L680" s="3" t="str">
        <f ca="1">VLOOKUP(J680,ConstDLCIds!$A$4:$C$1000,3,FALSE)</f>
        <v>Murkmire</v>
      </c>
    </row>
    <row r="681" spans="1:12" x14ac:dyDescent="0.25">
      <c r="A681">
        <v>1079</v>
      </c>
      <c r="B681">
        <v>676</v>
      </c>
      <c r="C681">
        <v>726</v>
      </c>
      <c r="D681" t="s">
        <v>2764</v>
      </c>
      <c r="E681" t="str">
        <f>IF(NOT(ISERROR(VLOOKUP(D681,'ESO DungeonFinder'!$A$2:$A$999,1,FALSE))),"X","")</f>
        <v/>
      </c>
      <c r="F681" s="70" t="str">
        <f t="shared" si="40"/>
        <v/>
      </c>
      <c r="G681" s="70" t="str">
        <f t="shared" si="43"/>
        <v>Murkmire</v>
      </c>
      <c r="H681" s="70">
        <f t="shared" si="41"/>
        <v>1079</v>
      </c>
      <c r="I681" s="70">
        <f t="shared" si="42"/>
        <v>726</v>
      </c>
      <c r="J681">
        <v>12</v>
      </c>
      <c r="K681" s="3" t="str">
        <f ca="1">VLOOKUP(J681,ConstDLCIds!$A$4:$B$1000,2,FALSE)</f>
        <v>DLC_MURKMIRE</v>
      </c>
      <c r="L681" s="3" t="str">
        <f ca="1">VLOOKUP(J681,ConstDLCIds!$A$4:$C$1000,3,FALSE)</f>
        <v>Murkmire</v>
      </c>
    </row>
    <row r="682" spans="1:12" x14ac:dyDescent="0.25">
      <c r="A682">
        <v>1080</v>
      </c>
      <c r="B682">
        <v>677</v>
      </c>
      <c r="C682">
        <v>101</v>
      </c>
      <c r="D682" t="s">
        <v>1261</v>
      </c>
      <c r="E682" t="str">
        <f>IF(NOT(ISERROR(VLOOKUP(D682,'ESO DungeonFinder'!$A$2:$A$999,1,FALSE))),"X","")</f>
        <v>X</v>
      </c>
      <c r="F682" s="70" t="str">
        <f t="shared" si="40"/>
        <v/>
      </c>
      <c r="G682" s="70" t="str">
        <f t="shared" si="43"/>
        <v>Eastmarch</v>
      </c>
      <c r="H682" s="70">
        <f t="shared" si="41"/>
        <v>1080</v>
      </c>
      <c r="I682" s="70">
        <f t="shared" si="42"/>
        <v>101</v>
      </c>
      <c r="J682">
        <v>13</v>
      </c>
      <c r="K682" s="3" t="str">
        <f ca="1">VLOOKUP(J682,ConstDLCIds!$A$4:$B$1000,2,FALSE)</f>
        <v>DLC_WRATHSTONE</v>
      </c>
      <c r="L682" s="3" t="str">
        <f ca="1">VLOOKUP(J682,ConstDLCIds!$A$4:$C$1000,3,FALSE)</f>
        <v>Wrathstone</v>
      </c>
    </row>
    <row r="683" spans="1:12" x14ac:dyDescent="0.25">
      <c r="A683">
        <v>1081</v>
      </c>
      <c r="B683">
        <v>678</v>
      </c>
      <c r="C683">
        <v>823</v>
      </c>
      <c r="D683" t="s">
        <v>1272</v>
      </c>
      <c r="E683" t="str">
        <f>IF(NOT(ISERROR(VLOOKUP(D683,'ESO DungeonFinder'!$A$2:$A$999,1,FALSE))),"X","")</f>
        <v>X</v>
      </c>
      <c r="F683" s="70" t="str">
        <f t="shared" si="40"/>
        <v/>
      </c>
      <c r="G683" s="70" t="str">
        <f t="shared" si="43"/>
        <v>Gold Coast</v>
      </c>
      <c r="H683" s="70">
        <f t="shared" si="41"/>
        <v>1081</v>
      </c>
      <c r="I683" s="70">
        <f t="shared" si="42"/>
        <v>823</v>
      </c>
      <c r="J683">
        <v>13</v>
      </c>
      <c r="K683" s="3" t="str">
        <f ca="1">VLOOKUP(J683,ConstDLCIds!$A$4:$B$1000,2,FALSE)</f>
        <v>DLC_WRATHSTONE</v>
      </c>
      <c r="L683" s="3" t="str">
        <f ca="1">VLOOKUP(J683,ConstDLCIds!$A$4:$C$1000,3,FALSE)</f>
        <v>Wrathstone</v>
      </c>
    </row>
    <row r="684" spans="1:12" x14ac:dyDescent="0.25">
      <c r="A684">
        <v>1082</v>
      </c>
      <c r="B684">
        <v>679</v>
      </c>
      <c r="C684">
        <v>726</v>
      </c>
      <c r="D684" t="s">
        <v>1224</v>
      </c>
      <c r="E684" t="str">
        <f>IF(NOT(ISERROR(VLOOKUP(D684,'ESO DungeonFinder'!$A$2:$A$999,1,FALSE))),"X","")</f>
        <v/>
      </c>
      <c r="F684" s="70" t="str">
        <f t="shared" si="40"/>
        <v/>
      </c>
      <c r="G684" s="70" t="str">
        <f t="shared" si="43"/>
        <v>Murkmire</v>
      </c>
      <c r="H684" s="70">
        <f t="shared" si="41"/>
        <v>1082</v>
      </c>
      <c r="I684" s="70">
        <f t="shared" si="42"/>
        <v>726</v>
      </c>
      <c r="J684">
        <v>12</v>
      </c>
      <c r="K684" s="3" t="str">
        <f ca="1">VLOOKUP(J684,ConstDLCIds!$A$4:$B$1000,2,FALSE)</f>
        <v>DLC_MURKMIRE</v>
      </c>
      <c r="L684" s="3" t="str">
        <f ca="1">VLOOKUP(J684,ConstDLCIds!$A$4:$C$1000,3,FALSE)</f>
        <v>Murkmire</v>
      </c>
    </row>
    <row r="685" spans="1:12" x14ac:dyDescent="0.25">
      <c r="A685">
        <v>1083</v>
      </c>
      <c r="B685">
        <v>680</v>
      </c>
      <c r="C685">
        <v>726</v>
      </c>
      <c r="D685" t="s">
        <v>2765</v>
      </c>
      <c r="E685" t="str">
        <f>IF(NOT(ISERROR(VLOOKUP(D685,'ESO DungeonFinder'!$A$2:$A$999,1,FALSE))),"X","")</f>
        <v/>
      </c>
      <c r="F685" s="70" t="str">
        <f t="shared" si="40"/>
        <v/>
      </c>
      <c r="G685" s="70" t="str">
        <f t="shared" si="43"/>
        <v>Murkmire</v>
      </c>
      <c r="H685" s="70">
        <f t="shared" si="41"/>
        <v>1083</v>
      </c>
      <c r="I685" s="70">
        <f t="shared" si="42"/>
        <v>726</v>
      </c>
      <c r="J685">
        <v>12</v>
      </c>
      <c r="K685" s="3" t="str">
        <f ca="1">VLOOKUP(J685,ConstDLCIds!$A$4:$B$1000,2,FALSE)</f>
        <v>DLC_MURKMIRE</v>
      </c>
      <c r="L685" s="3" t="str">
        <f ca="1">VLOOKUP(J685,ConstDLCIds!$A$4:$C$1000,3,FALSE)</f>
        <v>Murkmire</v>
      </c>
    </row>
    <row r="686" spans="1:12" x14ac:dyDescent="0.25">
      <c r="A686">
        <v>1085</v>
      </c>
      <c r="B686">
        <v>681</v>
      </c>
      <c r="C686">
        <v>1086</v>
      </c>
      <c r="D686" t="s">
        <v>2766</v>
      </c>
      <c r="E686" t="str">
        <f>IF(NOT(ISERROR(VLOOKUP(D686,'ESO DungeonFinder'!$A$2:$A$999,1,FALSE))),"X","")</f>
        <v/>
      </c>
      <c r="F686" s="70" t="str">
        <f t="shared" si="40"/>
        <v/>
      </c>
      <c r="G686" s="70" t="str">
        <f t="shared" si="43"/>
        <v>Northern Elsweyr</v>
      </c>
      <c r="H686" s="70">
        <f t="shared" si="41"/>
        <v>1085</v>
      </c>
      <c r="I686" s="70">
        <f t="shared" si="42"/>
        <v>1086</v>
      </c>
      <c r="J686">
        <v>14</v>
      </c>
      <c r="K686" s="3" t="str">
        <f ca="1">VLOOKUP(J686,ConstDLCIds!$A$4:$B$1000,2,FALSE)</f>
        <v>DLC_ELSWEYR</v>
      </c>
      <c r="L686" s="3" t="str">
        <f ca="1">VLOOKUP(J686,ConstDLCIds!$A$4:$C$1000,3,FALSE)</f>
        <v>Elsweyr</v>
      </c>
    </row>
    <row r="687" spans="1:12" x14ac:dyDescent="0.25">
      <c r="A687">
        <v>1086</v>
      </c>
      <c r="B687">
        <v>682</v>
      </c>
      <c r="C687">
        <v>1086</v>
      </c>
      <c r="D687" t="s">
        <v>1288</v>
      </c>
      <c r="E687" t="str">
        <f>IF(NOT(ISERROR(VLOOKUP(D687,'ESO DungeonFinder'!$A$2:$A$999,1,FALSE))),"X","")</f>
        <v/>
      </c>
      <c r="F687" s="70" t="str">
        <f t="shared" si="40"/>
        <v>X</v>
      </c>
      <c r="G687" s="70" t="str">
        <f t="shared" si="43"/>
        <v/>
      </c>
      <c r="H687" s="70">
        <f t="shared" si="41"/>
        <v>1086</v>
      </c>
      <c r="I687" s="70">
        <f t="shared" si="42"/>
        <v>1086</v>
      </c>
      <c r="J687">
        <v>4</v>
      </c>
      <c r="K687" s="3" t="str">
        <f ca="1">VLOOKUP(J687,ConstDLCIds!$A$4:$B$1000,2,FALSE)</f>
        <v>DLC_DARK_BROTHERHOOD</v>
      </c>
      <c r="L687" s="3" t="str">
        <f ca="1">VLOOKUP(J687,ConstDLCIds!$A$4:$C$1000,3,FALSE)</f>
        <v>Dark Brotherhood</v>
      </c>
    </row>
    <row r="688" spans="1:12" x14ac:dyDescent="0.25">
      <c r="A688">
        <v>1088</v>
      </c>
      <c r="B688">
        <v>683</v>
      </c>
      <c r="C688">
        <v>1086</v>
      </c>
      <c r="D688" t="s">
        <v>2767</v>
      </c>
      <c r="E688" t="str">
        <f>IF(NOT(ISERROR(VLOOKUP(D688,'ESO DungeonFinder'!$A$2:$A$999,1,FALSE))),"X","")</f>
        <v/>
      </c>
      <c r="F688" s="70" t="str">
        <f t="shared" si="40"/>
        <v/>
      </c>
      <c r="G688" s="70" t="str">
        <f t="shared" si="43"/>
        <v>Northern Elsweyr</v>
      </c>
      <c r="H688" s="70">
        <f t="shared" si="41"/>
        <v>1088</v>
      </c>
      <c r="I688" s="70">
        <f t="shared" si="42"/>
        <v>1086</v>
      </c>
      <c r="J688">
        <v>14</v>
      </c>
      <c r="K688" s="3" t="str">
        <f ca="1">VLOOKUP(J688,ConstDLCIds!$A$4:$B$1000,2,FALSE)</f>
        <v>DLC_ELSWEYR</v>
      </c>
      <c r="L688" s="3" t="str">
        <f ca="1">VLOOKUP(J688,ConstDLCIds!$A$4:$C$1000,3,FALSE)</f>
        <v>Elsweyr</v>
      </c>
    </row>
    <row r="689" spans="1:12" x14ac:dyDescent="0.25">
      <c r="A689">
        <v>1089</v>
      </c>
      <c r="B689">
        <v>684</v>
      </c>
      <c r="C689">
        <v>1086</v>
      </c>
      <c r="D689" t="s">
        <v>1289</v>
      </c>
      <c r="E689" t="str">
        <f>IF(NOT(ISERROR(VLOOKUP(D689,'ESO DungeonFinder'!$A$2:$A$999,1,FALSE))),"X","")</f>
        <v/>
      </c>
      <c r="F689" s="70" t="str">
        <f t="shared" si="40"/>
        <v/>
      </c>
      <c r="G689" s="70" t="str">
        <f t="shared" si="43"/>
        <v>Northern Elsweyr</v>
      </c>
      <c r="H689" s="70">
        <f t="shared" si="41"/>
        <v>1089</v>
      </c>
      <c r="I689" s="70">
        <f t="shared" si="42"/>
        <v>1086</v>
      </c>
      <c r="J689">
        <v>14</v>
      </c>
      <c r="K689" s="3" t="str">
        <f ca="1">VLOOKUP(J689,ConstDLCIds!$A$4:$B$1000,2,FALSE)</f>
        <v>DLC_ELSWEYR</v>
      </c>
      <c r="L689" s="3" t="str">
        <f ca="1">VLOOKUP(J689,ConstDLCIds!$A$4:$C$1000,3,FALSE)</f>
        <v>Elsweyr</v>
      </c>
    </row>
    <row r="690" spans="1:12" x14ac:dyDescent="0.25">
      <c r="A690">
        <v>1090</v>
      </c>
      <c r="B690">
        <v>685</v>
      </c>
      <c r="C690">
        <v>1086</v>
      </c>
      <c r="D690" t="s">
        <v>1984</v>
      </c>
      <c r="E690" t="str">
        <f>IF(NOT(ISERROR(VLOOKUP(D690,'ESO DungeonFinder'!$A$2:$A$999,1,FALSE))),"X","")</f>
        <v/>
      </c>
      <c r="F690" s="70" t="str">
        <f t="shared" si="40"/>
        <v/>
      </c>
      <c r="G690" s="70" t="str">
        <f t="shared" si="43"/>
        <v>Northern Elsweyr</v>
      </c>
      <c r="H690" s="70">
        <f t="shared" si="41"/>
        <v>1090</v>
      </c>
      <c r="I690" s="70">
        <f t="shared" si="42"/>
        <v>1086</v>
      </c>
      <c r="J690">
        <v>14</v>
      </c>
      <c r="K690" s="3" t="str">
        <f ca="1">VLOOKUP(J690,ConstDLCIds!$A$4:$B$1000,2,FALSE)</f>
        <v>DLC_ELSWEYR</v>
      </c>
      <c r="L690" s="3" t="str">
        <f ca="1">VLOOKUP(J690,ConstDLCIds!$A$4:$C$1000,3,FALSE)</f>
        <v>Elsweyr</v>
      </c>
    </row>
    <row r="691" spans="1:12" x14ac:dyDescent="0.25">
      <c r="A691">
        <v>1091</v>
      </c>
      <c r="B691">
        <v>686</v>
      </c>
      <c r="C691">
        <v>1086</v>
      </c>
      <c r="D691" t="s">
        <v>2768</v>
      </c>
      <c r="E691" t="str">
        <f>IF(NOT(ISERROR(VLOOKUP(D691,'ESO DungeonFinder'!$A$2:$A$999,1,FALSE))),"X","")</f>
        <v/>
      </c>
      <c r="F691" s="70" t="str">
        <f t="shared" si="40"/>
        <v/>
      </c>
      <c r="G691" s="70" t="str">
        <f t="shared" si="43"/>
        <v>Northern Elsweyr</v>
      </c>
      <c r="H691" s="70">
        <f t="shared" si="41"/>
        <v>1091</v>
      </c>
      <c r="I691" s="70">
        <f t="shared" si="42"/>
        <v>1086</v>
      </c>
      <c r="J691">
        <v>14</v>
      </c>
      <c r="K691" s="3" t="str">
        <f ca="1">VLOOKUP(J691,ConstDLCIds!$A$4:$B$1000,2,FALSE)</f>
        <v>DLC_ELSWEYR</v>
      </c>
      <c r="L691" s="3" t="str">
        <f ca="1">VLOOKUP(J691,ConstDLCIds!$A$4:$C$1000,3,FALSE)</f>
        <v>Elsweyr</v>
      </c>
    </row>
    <row r="692" spans="1:12" x14ac:dyDescent="0.25">
      <c r="A692">
        <v>1092</v>
      </c>
      <c r="B692">
        <v>687</v>
      </c>
      <c r="C692">
        <v>1086</v>
      </c>
      <c r="D692" t="s">
        <v>2769</v>
      </c>
      <c r="E692" t="str">
        <f>IF(NOT(ISERROR(VLOOKUP(D692,'ESO DungeonFinder'!$A$2:$A$999,1,FALSE))),"X","")</f>
        <v/>
      </c>
      <c r="F692" s="70" t="str">
        <f t="shared" si="40"/>
        <v/>
      </c>
      <c r="G692" s="70" t="str">
        <f t="shared" si="43"/>
        <v>Northern Elsweyr</v>
      </c>
      <c r="H692" s="70">
        <f t="shared" si="41"/>
        <v>1092</v>
      </c>
      <c r="I692" s="70">
        <f t="shared" si="42"/>
        <v>1086</v>
      </c>
      <c r="J692">
        <v>14</v>
      </c>
      <c r="K692" s="3" t="str">
        <f ca="1">VLOOKUP(J692,ConstDLCIds!$A$4:$B$1000,2,FALSE)</f>
        <v>DLC_ELSWEYR</v>
      </c>
      <c r="L692" s="3" t="str">
        <f ca="1">VLOOKUP(J692,ConstDLCIds!$A$4:$C$1000,3,FALSE)</f>
        <v>Elsweyr</v>
      </c>
    </row>
    <row r="693" spans="1:12" x14ac:dyDescent="0.25">
      <c r="A693">
        <v>1094</v>
      </c>
      <c r="B693">
        <v>688</v>
      </c>
      <c r="C693">
        <v>1086</v>
      </c>
      <c r="D693" t="s">
        <v>2770</v>
      </c>
      <c r="E693" t="str">
        <f>IF(NOT(ISERROR(VLOOKUP(D693,'ESO DungeonFinder'!$A$2:$A$999,1,FALSE))),"X","")</f>
        <v/>
      </c>
      <c r="F693" s="70" t="str">
        <f t="shared" si="40"/>
        <v/>
      </c>
      <c r="G693" s="70" t="str">
        <f t="shared" si="43"/>
        <v>Northern Elsweyr</v>
      </c>
      <c r="H693" s="70">
        <f t="shared" si="41"/>
        <v>1094</v>
      </c>
      <c r="I693" s="70">
        <f t="shared" si="42"/>
        <v>1086</v>
      </c>
      <c r="J693">
        <v>14</v>
      </c>
      <c r="K693" s="3" t="str">
        <f ca="1">VLOOKUP(J693,ConstDLCIds!$A$4:$B$1000,2,FALSE)</f>
        <v>DLC_ELSWEYR</v>
      </c>
      <c r="L693" s="3" t="str">
        <f ca="1">VLOOKUP(J693,ConstDLCIds!$A$4:$C$1000,3,FALSE)</f>
        <v>Elsweyr</v>
      </c>
    </row>
    <row r="694" spans="1:12" x14ac:dyDescent="0.25">
      <c r="A694">
        <v>1095</v>
      </c>
      <c r="B694">
        <v>689</v>
      </c>
      <c r="C694">
        <v>1086</v>
      </c>
      <c r="D694" t="s">
        <v>2771</v>
      </c>
      <c r="E694" t="str">
        <f>IF(NOT(ISERROR(VLOOKUP(D694,'ESO DungeonFinder'!$A$2:$A$999,1,FALSE))),"X","")</f>
        <v/>
      </c>
      <c r="F694" s="70" t="str">
        <f t="shared" si="40"/>
        <v/>
      </c>
      <c r="G694" s="70" t="str">
        <f t="shared" si="43"/>
        <v>Northern Elsweyr</v>
      </c>
      <c r="H694" s="70">
        <f t="shared" si="41"/>
        <v>1095</v>
      </c>
      <c r="I694" s="70">
        <f t="shared" si="42"/>
        <v>1086</v>
      </c>
      <c r="J694">
        <v>14</v>
      </c>
      <c r="K694" s="3" t="str">
        <f ca="1">VLOOKUP(J694,ConstDLCIds!$A$4:$B$1000,2,FALSE)</f>
        <v>DLC_ELSWEYR</v>
      </c>
      <c r="L694" s="3" t="str">
        <f ca="1">VLOOKUP(J694,ConstDLCIds!$A$4:$C$1000,3,FALSE)</f>
        <v>Elsweyr</v>
      </c>
    </row>
    <row r="695" spans="1:12" x14ac:dyDescent="0.25">
      <c r="A695">
        <v>1096</v>
      </c>
      <c r="B695">
        <v>690</v>
      </c>
      <c r="C695">
        <v>1086</v>
      </c>
      <c r="D695" t="s">
        <v>2772</v>
      </c>
      <c r="E695" t="str">
        <f>IF(NOT(ISERROR(VLOOKUP(D695,'ESO DungeonFinder'!$A$2:$A$999,1,FALSE))),"X","")</f>
        <v/>
      </c>
      <c r="F695" s="70" t="str">
        <f t="shared" si="40"/>
        <v/>
      </c>
      <c r="G695" s="70" t="str">
        <f t="shared" si="43"/>
        <v>Northern Elsweyr</v>
      </c>
      <c r="H695" s="70">
        <f t="shared" si="41"/>
        <v>1096</v>
      </c>
      <c r="I695" s="70">
        <f t="shared" si="42"/>
        <v>1086</v>
      </c>
      <c r="J695">
        <v>14</v>
      </c>
      <c r="K695" s="3" t="str">
        <f ca="1">VLOOKUP(J695,ConstDLCIds!$A$4:$B$1000,2,FALSE)</f>
        <v>DLC_ELSWEYR</v>
      </c>
      <c r="L695" s="3" t="str">
        <f ca="1">VLOOKUP(J695,ConstDLCIds!$A$4:$C$1000,3,FALSE)</f>
        <v>Elsweyr</v>
      </c>
    </row>
    <row r="696" spans="1:12" x14ac:dyDescent="0.25">
      <c r="A696">
        <v>1097</v>
      </c>
      <c r="B696">
        <v>691</v>
      </c>
      <c r="C696">
        <v>1086</v>
      </c>
      <c r="D696" t="s">
        <v>2773</v>
      </c>
      <c r="E696" t="str">
        <f>IF(NOT(ISERROR(VLOOKUP(D696,'ESO DungeonFinder'!$A$2:$A$999,1,FALSE))),"X","")</f>
        <v/>
      </c>
      <c r="F696" s="70" t="str">
        <f t="shared" si="40"/>
        <v/>
      </c>
      <c r="G696" s="70" t="str">
        <f t="shared" si="43"/>
        <v>Northern Elsweyr</v>
      </c>
      <c r="H696" s="70">
        <f t="shared" si="41"/>
        <v>1097</v>
      </c>
      <c r="I696" s="70">
        <f t="shared" si="42"/>
        <v>1086</v>
      </c>
      <c r="J696">
        <v>14</v>
      </c>
      <c r="K696" s="3" t="str">
        <f ca="1">VLOOKUP(J696,ConstDLCIds!$A$4:$B$1000,2,FALSE)</f>
        <v>DLC_ELSWEYR</v>
      </c>
      <c r="L696" s="3" t="str">
        <f ca="1">VLOOKUP(J696,ConstDLCIds!$A$4:$C$1000,3,FALSE)</f>
        <v>Elsweyr</v>
      </c>
    </row>
    <row r="697" spans="1:12" x14ac:dyDescent="0.25">
      <c r="A697">
        <v>1098</v>
      </c>
      <c r="B697">
        <v>692</v>
      </c>
      <c r="C697">
        <v>1086</v>
      </c>
      <c r="D697" t="s">
        <v>2774</v>
      </c>
      <c r="E697" t="str">
        <f>IF(NOT(ISERROR(VLOOKUP(D697,'ESO DungeonFinder'!$A$2:$A$999,1,FALSE))),"X","")</f>
        <v/>
      </c>
      <c r="F697" s="70" t="str">
        <f t="shared" si="40"/>
        <v/>
      </c>
      <c r="G697" s="70" t="str">
        <f t="shared" si="43"/>
        <v>Northern Elsweyr</v>
      </c>
      <c r="H697" s="70">
        <f t="shared" si="41"/>
        <v>1098</v>
      </c>
      <c r="I697" s="70">
        <f t="shared" si="42"/>
        <v>1086</v>
      </c>
      <c r="J697">
        <v>14</v>
      </c>
      <c r="K697" s="3" t="str">
        <f ca="1">VLOOKUP(J697,ConstDLCIds!$A$4:$B$1000,2,FALSE)</f>
        <v>DLC_ELSWEYR</v>
      </c>
      <c r="L697" s="3" t="str">
        <f ca="1">VLOOKUP(J697,ConstDLCIds!$A$4:$C$1000,3,FALSE)</f>
        <v>Elsweyr</v>
      </c>
    </row>
    <row r="698" spans="1:12" x14ac:dyDescent="0.25">
      <c r="A698">
        <v>1099</v>
      </c>
      <c r="B698">
        <v>693</v>
      </c>
      <c r="C698">
        <v>1086</v>
      </c>
      <c r="D698" t="s">
        <v>2775</v>
      </c>
      <c r="E698" t="str">
        <f>IF(NOT(ISERROR(VLOOKUP(D698,'ESO DungeonFinder'!$A$2:$A$999,1,FALSE))),"X","")</f>
        <v/>
      </c>
      <c r="F698" s="70" t="str">
        <f t="shared" si="40"/>
        <v/>
      </c>
      <c r="G698" s="70" t="str">
        <f t="shared" si="43"/>
        <v>Northern Elsweyr</v>
      </c>
      <c r="H698" s="70">
        <f t="shared" si="41"/>
        <v>1099</v>
      </c>
      <c r="I698" s="70">
        <f t="shared" si="42"/>
        <v>1086</v>
      </c>
      <c r="J698">
        <v>14</v>
      </c>
      <c r="K698" s="3" t="str">
        <f ca="1">VLOOKUP(J698,ConstDLCIds!$A$4:$B$1000,2,FALSE)</f>
        <v>DLC_ELSWEYR</v>
      </c>
      <c r="L698" s="3" t="str">
        <f ca="1">VLOOKUP(J698,ConstDLCIds!$A$4:$C$1000,3,FALSE)</f>
        <v>Elsweyr</v>
      </c>
    </row>
    <row r="699" spans="1:12" x14ac:dyDescent="0.25">
      <c r="A699">
        <v>1101</v>
      </c>
      <c r="B699">
        <v>694</v>
      </c>
      <c r="C699">
        <v>1086</v>
      </c>
      <c r="D699" t="s">
        <v>2776</v>
      </c>
      <c r="E699" t="str">
        <f>IF(NOT(ISERROR(VLOOKUP(D699,'ESO DungeonFinder'!$A$2:$A$999,1,FALSE))),"X","")</f>
        <v/>
      </c>
      <c r="F699" s="70" t="str">
        <f t="shared" si="40"/>
        <v/>
      </c>
      <c r="G699" s="70" t="str">
        <f t="shared" si="43"/>
        <v>Northern Elsweyr</v>
      </c>
      <c r="H699" s="70">
        <f t="shared" si="41"/>
        <v>1101</v>
      </c>
      <c r="I699" s="70">
        <f t="shared" si="42"/>
        <v>1086</v>
      </c>
      <c r="J699">
        <v>14</v>
      </c>
      <c r="K699" s="3" t="str">
        <f ca="1">VLOOKUP(J699,ConstDLCIds!$A$4:$B$1000,2,FALSE)</f>
        <v>DLC_ELSWEYR</v>
      </c>
      <c r="L699" s="3" t="str">
        <f ca="1">VLOOKUP(J699,ConstDLCIds!$A$4:$C$1000,3,FALSE)</f>
        <v>Elsweyr</v>
      </c>
    </row>
    <row r="700" spans="1:12" x14ac:dyDescent="0.25">
      <c r="A700">
        <v>1102</v>
      </c>
      <c r="B700">
        <v>695</v>
      </c>
      <c r="C700">
        <v>1086</v>
      </c>
      <c r="D700" t="s">
        <v>2777</v>
      </c>
      <c r="E700" t="str">
        <f>IF(NOT(ISERROR(VLOOKUP(D700,'ESO DungeonFinder'!$A$2:$A$999,1,FALSE))),"X","")</f>
        <v/>
      </c>
      <c r="F700" s="70" t="str">
        <f t="shared" si="40"/>
        <v/>
      </c>
      <c r="G700" s="70" t="str">
        <f t="shared" si="43"/>
        <v>Northern Elsweyr</v>
      </c>
      <c r="H700" s="70">
        <f t="shared" si="41"/>
        <v>1102</v>
      </c>
      <c r="I700" s="70">
        <f t="shared" si="42"/>
        <v>1086</v>
      </c>
      <c r="J700">
        <v>14</v>
      </c>
      <c r="K700" s="3" t="str">
        <f ca="1">VLOOKUP(J700,ConstDLCIds!$A$4:$B$1000,2,FALSE)</f>
        <v>DLC_ELSWEYR</v>
      </c>
      <c r="L700" s="3" t="str">
        <f ca="1">VLOOKUP(J700,ConstDLCIds!$A$4:$C$1000,3,FALSE)</f>
        <v>Elsweyr</v>
      </c>
    </row>
    <row r="701" spans="1:12" x14ac:dyDescent="0.25">
      <c r="A701">
        <v>1103</v>
      </c>
      <c r="B701">
        <v>696</v>
      </c>
      <c r="C701">
        <v>1086</v>
      </c>
      <c r="D701" t="s">
        <v>2778</v>
      </c>
      <c r="E701" t="str">
        <f>IF(NOT(ISERROR(VLOOKUP(D701,'ESO DungeonFinder'!$A$2:$A$999,1,FALSE))),"X","")</f>
        <v/>
      </c>
      <c r="F701" s="70" t="str">
        <f t="shared" si="40"/>
        <v/>
      </c>
      <c r="G701" s="70" t="str">
        <f t="shared" si="43"/>
        <v>Northern Elsweyr</v>
      </c>
      <c r="H701" s="70">
        <f t="shared" si="41"/>
        <v>1103</v>
      </c>
      <c r="I701" s="70">
        <f t="shared" si="42"/>
        <v>1086</v>
      </c>
      <c r="J701">
        <v>14</v>
      </c>
      <c r="K701" s="3" t="str">
        <f ca="1">VLOOKUP(J701,ConstDLCIds!$A$4:$B$1000,2,FALSE)</f>
        <v>DLC_ELSWEYR</v>
      </c>
      <c r="L701" s="3" t="str">
        <f ca="1">VLOOKUP(J701,ConstDLCIds!$A$4:$C$1000,3,FALSE)</f>
        <v>Elsweyr</v>
      </c>
    </row>
    <row r="702" spans="1:12" x14ac:dyDescent="0.25">
      <c r="A702">
        <v>1105</v>
      </c>
      <c r="B702">
        <v>697</v>
      </c>
      <c r="C702">
        <v>1086</v>
      </c>
      <c r="D702" t="s">
        <v>2779</v>
      </c>
      <c r="E702" t="str">
        <f>IF(NOT(ISERROR(VLOOKUP(D702,'ESO DungeonFinder'!$A$2:$A$999,1,FALSE))),"X","")</f>
        <v/>
      </c>
      <c r="F702" s="70" t="str">
        <f t="shared" si="40"/>
        <v/>
      </c>
      <c r="G702" s="70" t="str">
        <f t="shared" si="43"/>
        <v>Northern Elsweyr</v>
      </c>
      <c r="H702" s="70">
        <f t="shared" si="41"/>
        <v>1105</v>
      </c>
      <c r="I702" s="70">
        <f t="shared" si="42"/>
        <v>1086</v>
      </c>
      <c r="J702">
        <v>14</v>
      </c>
      <c r="K702" s="3" t="str">
        <f ca="1">VLOOKUP(J702,ConstDLCIds!$A$4:$B$1000,2,FALSE)</f>
        <v>DLC_ELSWEYR</v>
      </c>
      <c r="L702" s="3" t="str">
        <f ca="1">VLOOKUP(J702,ConstDLCIds!$A$4:$C$1000,3,FALSE)</f>
        <v>Elsweyr</v>
      </c>
    </row>
    <row r="703" spans="1:12" x14ac:dyDescent="0.25">
      <c r="A703">
        <v>1106</v>
      </c>
      <c r="B703">
        <v>698</v>
      </c>
      <c r="C703">
        <v>1086</v>
      </c>
      <c r="D703" t="s">
        <v>2780</v>
      </c>
      <c r="E703" t="str">
        <f>IF(NOT(ISERROR(VLOOKUP(D703,'ESO DungeonFinder'!$A$2:$A$999,1,FALSE))),"X","")</f>
        <v/>
      </c>
      <c r="F703" s="70" t="str">
        <f t="shared" si="40"/>
        <v/>
      </c>
      <c r="G703" s="70" t="str">
        <f t="shared" si="43"/>
        <v>Northern Elsweyr</v>
      </c>
      <c r="H703" s="70">
        <f t="shared" si="41"/>
        <v>1106</v>
      </c>
      <c r="I703" s="70">
        <f t="shared" si="42"/>
        <v>1086</v>
      </c>
      <c r="J703">
        <v>14</v>
      </c>
      <c r="K703" s="3" t="str">
        <f ca="1">VLOOKUP(J703,ConstDLCIds!$A$4:$B$1000,2,FALSE)</f>
        <v>DLC_ELSWEYR</v>
      </c>
      <c r="L703" s="3" t="str">
        <f ca="1">VLOOKUP(J703,ConstDLCIds!$A$4:$C$1000,3,FALSE)</f>
        <v>Elsweyr</v>
      </c>
    </row>
    <row r="704" spans="1:12" x14ac:dyDescent="0.25">
      <c r="A704">
        <v>1107</v>
      </c>
      <c r="B704">
        <v>699</v>
      </c>
      <c r="C704">
        <v>1107</v>
      </c>
      <c r="D704" t="s">
        <v>2781</v>
      </c>
      <c r="E704" t="str">
        <f>IF(NOT(ISERROR(VLOOKUP(D704,'ESO DungeonFinder'!$A$2:$A$999,1,FALSE))),"X","")</f>
        <v/>
      </c>
      <c r="F704" s="70" t="str">
        <f t="shared" si="40"/>
        <v>X</v>
      </c>
      <c r="G704" s="70" t="str">
        <f t="shared" si="43"/>
        <v/>
      </c>
      <c r="H704" s="70">
        <f t="shared" si="41"/>
        <v>1107</v>
      </c>
      <c r="I704" s="70">
        <f t="shared" si="42"/>
        <v>1107</v>
      </c>
      <c r="J704">
        <v>0</v>
      </c>
      <c r="K704" s="3" t="str">
        <f>VLOOKUP(J704,ConstDLCIds!$A$4:$B$1000,2,FALSE)</f>
        <v>DLC_BASE_GAME</v>
      </c>
      <c r="L704" s="3" t="str">
        <f>VLOOKUP(J704,ConstDLCIds!$A$4:$C$1000,3,FALSE)</f>
        <v>Included in base game</v>
      </c>
    </row>
    <row r="705" spans="1:12" x14ac:dyDescent="0.25">
      <c r="A705">
        <v>1108</v>
      </c>
      <c r="B705">
        <v>700</v>
      </c>
      <c r="C705">
        <v>726</v>
      </c>
      <c r="D705" t="s">
        <v>2782</v>
      </c>
      <c r="E705" t="str">
        <f>IF(NOT(ISERROR(VLOOKUP(D705,'ESO DungeonFinder'!$A$2:$A$999,1,FALSE))),"X","")</f>
        <v/>
      </c>
      <c r="F705" s="70" t="str">
        <f t="shared" si="40"/>
        <v/>
      </c>
      <c r="G705" s="70" t="str">
        <f t="shared" si="43"/>
        <v>Murkmire</v>
      </c>
      <c r="H705" s="70">
        <f t="shared" si="41"/>
        <v>1108</v>
      </c>
      <c r="I705" s="70">
        <f t="shared" si="42"/>
        <v>726</v>
      </c>
      <c r="J705">
        <v>12</v>
      </c>
      <c r="K705" s="3" t="str">
        <f ca="1">VLOOKUP(J705,ConstDLCIds!$A$4:$B$1000,2,FALSE)</f>
        <v>DLC_MURKMIRE</v>
      </c>
      <c r="L705" s="3" t="str">
        <f ca="1">VLOOKUP(J705,ConstDLCIds!$A$4:$C$1000,3,FALSE)</f>
        <v>Murkmire</v>
      </c>
    </row>
    <row r="706" spans="1:12" x14ac:dyDescent="0.25">
      <c r="A706">
        <v>1109</v>
      </c>
      <c r="B706">
        <v>701</v>
      </c>
      <c r="C706">
        <v>101</v>
      </c>
      <c r="D706" t="s">
        <v>2783</v>
      </c>
      <c r="E706" t="str">
        <f>IF(NOT(ISERROR(VLOOKUP(D706,'ESO DungeonFinder'!$A$2:$A$999,1,FALSE))),"X","")</f>
        <v/>
      </c>
      <c r="F706" s="70" t="str">
        <f t="shared" si="40"/>
        <v/>
      </c>
      <c r="G706" s="70" t="str">
        <f t="shared" si="43"/>
        <v>Eastmarch</v>
      </c>
      <c r="H706" s="70">
        <f t="shared" si="41"/>
        <v>1109</v>
      </c>
      <c r="I706" s="70">
        <f t="shared" si="42"/>
        <v>101</v>
      </c>
      <c r="J706">
        <v>0</v>
      </c>
      <c r="K706" s="3" t="str">
        <f>VLOOKUP(J706,ConstDLCIds!$A$4:$B$1000,2,FALSE)</f>
        <v>DLC_BASE_GAME</v>
      </c>
      <c r="L706" s="3" t="str">
        <f>VLOOKUP(J706,ConstDLCIds!$A$4:$C$1000,3,FALSE)</f>
        <v>Included in base game</v>
      </c>
    </row>
    <row r="707" spans="1:12" x14ac:dyDescent="0.25">
      <c r="A707">
        <v>1110</v>
      </c>
      <c r="B707">
        <v>702</v>
      </c>
      <c r="C707">
        <v>1086</v>
      </c>
      <c r="D707" t="s">
        <v>2784</v>
      </c>
      <c r="E707" t="str">
        <f>IF(NOT(ISERROR(VLOOKUP(D707,'ESO DungeonFinder'!$A$2:$A$999,1,FALSE))),"X","")</f>
        <v/>
      </c>
      <c r="F707" s="70" t="str">
        <f t="shared" si="40"/>
        <v/>
      </c>
      <c r="G707" s="70" t="str">
        <f t="shared" si="43"/>
        <v>Northern Elsweyr</v>
      </c>
      <c r="H707" s="70">
        <f t="shared" si="41"/>
        <v>1110</v>
      </c>
      <c r="I707" s="70">
        <f t="shared" si="42"/>
        <v>1086</v>
      </c>
      <c r="J707">
        <v>14</v>
      </c>
      <c r="K707" s="3" t="str">
        <f ca="1">VLOOKUP(J707,ConstDLCIds!$A$4:$B$1000,2,FALSE)</f>
        <v>DLC_ELSWEYR</v>
      </c>
      <c r="L707" s="3" t="str">
        <f ca="1">VLOOKUP(J707,ConstDLCIds!$A$4:$C$1000,3,FALSE)</f>
        <v>Elsweyr</v>
      </c>
    </row>
    <row r="708" spans="1:12" x14ac:dyDescent="0.25">
      <c r="A708">
        <v>1111</v>
      </c>
      <c r="B708">
        <v>703</v>
      </c>
      <c r="C708">
        <v>1086</v>
      </c>
      <c r="D708" t="s">
        <v>2785</v>
      </c>
      <c r="E708" t="str">
        <f>IF(NOT(ISERROR(VLOOKUP(D708,'ESO DungeonFinder'!$A$2:$A$999,1,FALSE))),"X","")</f>
        <v/>
      </c>
      <c r="F708" s="70" t="str">
        <f t="shared" si="40"/>
        <v/>
      </c>
      <c r="G708" s="70" t="str">
        <f t="shared" si="43"/>
        <v>Northern Elsweyr</v>
      </c>
      <c r="H708" s="70">
        <f t="shared" si="41"/>
        <v>1111</v>
      </c>
      <c r="I708" s="70">
        <f t="shared" si="42"/>
        <v>1086</v>
      </c>
      <c r="J708">
        <v>14</v>
      </c>
      <c r="K708" s="3" t="str">
        <f ca="1">VLOOKUP(J708,ConstDLCIds!$A$4:$B$1000,2,FALSE)</f>
        <v>DLC_ELSWEYR</v>
      </c>
      <c r="L708" s="3" t="str">
        <f ca="1">VLOOKUP(J708,ConstDLCIds!$A$4:$C$1000,3,FALSE)</f>
        <v>Elsweyr</v>
      </c>
    </row>
    <row r="709" spans="1:12" x14ac:dyDescent="0.25">
      <c r="A709">
        <v>1112</v>
      </c>
      <c r="B709">
        <v>704</v>
      </c>
      <c r="C709">
        <v>1086</v>
      </c>
      <c r="D709" t="s">
        <v>2786</v>
      </c>
      <c r="E709" t="str">
        <f>IF(NOT(ISERROR(VLOOKUP(D709,'ESO DungeonFinder'!$A$2:$A$999,1,FALSE))),"X","")</f>
        <v/>
      </c>
      <c r="F709" s="70" t="str">
        <f t="shared" ref="F709:F772" si="44">IF(EXACT(A709,C709),"X","")</f>
        <v/>
      </c>
      <c r="G709" s="70" t="str">
        <f t="shared" si="43"/>
        <v>Northern Elsweyr</v>
      </c>
      <c r="H709" s="70">
        <f t="shared" ref="H709:H772" si="45">A709</f>
        <v>1112</v>
      </c>
      <c r="I709" s="70">
        <f t="shared" ref="I709:I772" si="46">C709</f>
        <v>1086</v>
      </c>
      <c r="J709">
        <v>14</v>
      </c>
      <c r="K709" s="3" t="str">
        <f ca="1">VLOOKUP(J709,ConstDLCIds!$A$4:$B$1000,2,FALSE)</f>
        <v>DLC_ELSWEYR</v>
      </c>
      <c r="L709" s="3" t="str">
        <f ca="1">VLOOKUP(J709,ConstDLCIds!$A$4:$C$1000,3,FALSE)</f>
        <v>Elsweyr</v>
      </c>
    </row>
    <row r="710" spans="1:12" x14ac:dyDescent="0.25">
      <c r="A710">
        <v>1113</v>
      </c>
      <c r="B710">
        <v>705</v>
      </c>
      <c r="C710">
        <v>1086</v>
      </c>
      <c r="D710" t="s">
        <v>2787</v>
      </c>
      <c r="E710" t="str">
        <f>IF(NOT(ISERROR(VLOOKUP(D710,'ESO DungeonFinder'!$A$2:$A$999,1,FALSE))),"X","")</f>
        <v/>
      </c>
      <c r="F710" s="70" t="str">
        <f t="shared" si="44"/>
        <v/>
      </c>
      <c r="G710" s="70" t="str">
        <f t="shared" ref="G710:G773" si="47">IF(A710&lt;&gt;C710,VLOOKUP(C710,$A$5:$D$9956,4,FALSE),"")</f>
        <v>Northern Elsweyr</v>
      </c>
      <c r="H710" s="70">
        <f t="shared" si="45"/>
        <v>1113</v>
      </c>
      <c r="I710" s="70">
        <f t="shared" si="46"/>
        <v>1086</v>
      </c>
      <c r="J710">
        <v>14</v>
      </c>
      <c r="K710" s="3" t="str">
        <f ca="1">VLOOKUP(J710,ConstDLCIds!$A$4:$B$1000,2,FALSE)</f>
        <v>DLC_ELSWEYR</v>
      </c>
      <c r="L710" s="3" t="str">
        <f ca="1">VLOOKUP(J710,ConstDLCIds!$A$4:$C$1000,3,FALSE)</f>
        <v>Elsweyr</v>
      </c>
    </row>
    <row r="711" spans="1:12" x14ac:dyDescent="0.25">
      <c r="A711">
        <v>1114</v>
      </c>
      <c r="B711">
        <v>706</v>
      </c>
      <c r="C711">
        <v>1086</v>
      </c>
      <c r="D711" t="s">
        <v>2788</v>
      </c>
      <c r="E711" t="str">
        <f>IF(NOT(ISERROR(VLOOKUP(D711,'ESO DungeonFinder'!$A$2:$A$999,1,FALSE))),"X","")</f>
        <v/>
      </c>
      <c r="F711" s="70" t="str">
        <f t="shared" si="44"/>
        <v/>
      </c>
      <c r="G711" s="70" t="str">
        <f t="shared" si="47"/>
        <v>Northern Elsweyr</v>
      </c>
      <c r="H711" s="70">
        <f t="shared" si="45"/>
        <v>1114</v>
      </c>
      <c r="I711" s="70">
        <f t="shared" si="46"/>
        <v>1086</v>
      </c>
      <c r="J711">
        <v>14</v>
      </c>
      <c r="K711" s="3" t="str">
        <f ca="1">VLOOKUP(J711,ConstDLCIds!$A$4:$B$1000,2,FALSE)</f>
        <v>DLC_ELSWEYR</v>
      </c>
      <c r="L711" s="3" t="str">
        <f ca="1">VLOOKUP(J711,ConstDLCIds!$A$4:$C$1000,3,FALSE)</f>
        <v>Elsweyr</v>
      </c>
    </row>
    <row r="712" spans="1:12" x14ac:dyDescent="0.25">
      <c r="A712">
        <v>1115</v>
      </c>
      <c r="B712">
        <v>707</v>
      </c>
      <c r="C712">
        <v>1086</v>
      </c>
      <c r="D712" t="s">
        <v>2789</v>
      </c>
      <c r="E712" t="str">
        <f>IF(NOT(ISERROR(VLOOKUP(D712,'ESO DungeonFinder'!$A$2:$A$999,1,FALSE))),"X","")</f>
        <v/>
      </c>
      <c r="F712" s="70" t="str">
        <f t="shared" si="44"/>
        <v/>
      </c>
      <c r="G712" s="70" t="str">
        <f t="shared" si="47"/>
        <v>Northern Elsweyr</v>
      </c>
      <c r="H712" s="70">
        <f t="shared" si="45"/>
        <v>1115</v>
      </c>
      <c r="I712" s="70">
        <f t="shared" si="46"/>
        <v>1086</v>
      </c>
      <c r="J712">
        <v>14</v>
      </c>
      <c r="K712" s="3" t="str">
        <f ca="1">VLOOKUP(J712,ConstDLCIds!$A$4:$B$1000,2,FALSE)</f>
        <v>DLC_ELSWEYR</v>
      </c>
      <c r="L712" s="3" t="str">
        <f ca="1">VLOOKUP(J712,ConstDLCIds!$A$4:$C$1000,3,FALSE)</f>
        <v>Elsweyr</v>
      </c>
    </row>
    <row r="713" spans="1:12" x14ac:dyDescent="0.25">
      <c r="A713">
        <v>1116</v>
      </c>
      <c r="B713">
        <v>708</v>
      </c>
      <c r="C713">
        <v>1116</v>
      </c>
      <c r="D713" t="s">
        <v>2790</v>
      </c>
      <c r="E713" t="str">
        <f>IF(NOT(ISERROR(VLOOKUP(D713,'ESO DungeonFinder'!$A$2:$A$999,1,FALSE))),"X","")</f>
        <v/>
      </c>
      <c r="F713" s="70" t="str">
        <f t="shared" si="44"/>
        <v>X</v>
      </c>
      <c r="G713" s="70" t="str">
        <f t="shared" si="47"/>
        <v/>
      </c>
      <c r="H713" s="70">
        <f t="shared" si="45"/>
        <v>1116</v>
      </c>
      <c r="I713" s="70">
        <f t="shared" si="46"/>
        <v>1116</v>
      </c>
      <c r="J713">
        <v>0</v>
      </c>
      <c r="K713" s="3" t="str">
        <f>VLOOKUP(J713,ConstDLCIds!$A$4:$B$1000,2,FALSE)</f>
        <v>DLC_BASE_GAME</v>
      </c>
      <c r="L713" s="3" t="str">
        <f>VLOOKUP(J713,ConstDLCIds!$A$4:$C$1000,3,FALSE)</f>
        <v>Included in base game</v>
      </c>
    </row>
    <row r="714" spans="1:12" x14ac:dyDescent="0.25">
      <c r="A714">
        <v>1117</v>
      </c>
      <c r="B714">
        <v>709</v>
      </c>
      <c r="C714">
        <v>1086</v>
      </c>
      <c r="D714" t="s">
        <v>2791</v>
      </c>
      <c r="E714" t="str">
        <f>IF(NOT(ISERROR(VLOOKUP(D714,'ESO DungeonFinder'!$A$2:$A$999,1,FALSE))),"X","")</f>
        <v/>
      </c>
      <c r="F714" s="70" t="str">
        <f t="shared" si="44"/>
        <v/>
      </c>
      <c r="G714" s="70" t="str">
        <f t="shared" si="47"/>
        <v>Northern Elsweyr</v>
      </c>
      <c r="H714" s="70">
        <f t="shared" si="45"/>
        <v>1117</v>
      </c>
      <c r="I714" s="70">
        <f t="shared" si="46"/>
        <v>1086</v>
      </c>
      <c r="J714">
        <v>14</v>
      </c>
      <c r="K714" s="3" t="str">
        <f ca="1">VLOOKUP(J714,ConstDLCIds!$A$4:$B$1000,2,FALSE)</f>
        <v>DLC_ELSWEYR</v>
      </c>
      <c r="L714" s="3" t="str">
        <f ca="1">VLOOKUP(J714,ConstDLCIds!$A$4:$C$1000,3,FALSE)</f>
        <v>Elsweyr</v>
      </c>
    </row>
    <row r="715" spans="1:12" x14ac:dyDescent="0.25">
      <c r="A715">
        <v>1118</v>
      </c>
      <c r="B715">
        <v>710</v>
      </c>
      <c r="C715">
        <v>1086</v>
      </c>
      <c r="D715" t="s">
        <v>2792</v>
      </c>
      <c r="E715" t="str">
        <f>IF(NOT(ISERROR(VLOOKUP(D715,'ESO DungeonFinder'!$A$2:$A$999,1,FALSE))),"X","")</f>
        <v/>
      </c>
      <c r="F715" s="70" t="str">
        <f t="shared" si="44"/>
        <v/>
      </c>
      <c r="G715" s="70" t="str">
        <f t="shared" si="47"/>
        <v>Northern Elsweyr</v>
      </c>
      <c r="H715" s="70">
        <f t="shared" si="45"/>
        <v>1118</v>
      </c>
      <c r="I715" s="70">
        <f t="shared" si="46"/>
        <v>1086</v>
      </c>
      <c r="J715">
        <v>14</v>
      </c>
      <c r="K715" s="3" t="str">
        <f ca="1">VLOOKUP(J715,ConstDLCIds!$A$4:$B$1000,2,FALSE)</f>
        <v>DLC_ELSWEYR</v>
      </c>
      <c r="L715" s="3" t="str">
        <f ca="1">VLOOKUP(J715,ConstDLCIds!$A$4:$C$1000,3,FALSE)</f>
        <v>Elsweyr</v>
      </c>
    </row>
    <row r="716" spans="1:12" x14ac:dyDescent="0.25">
      <c r="A716">
        <v>1119</v>
      </c>
      <c r="B716">
        <v>711</v>
      </c>
      <c r="C716">
        <v>1086</v>
      </c>
      <c r="D716" t="s">
        <v>2793</v>
      </c>
      <c r="E716" t="str">
        <f>IF(NOT(ISERROR(VLOOKUP(D716,'ESO DungeonFinder'!$A$2:$A$999,1,FALSE))),"X","")</f>
        <v/>
      </c>
      <c r="F716" s="70" t="str">
        <f t="shared" si="44"/>
        <v/>
      </c>
      <c r="G716" s="70" t="str">
        <f t="shared" si="47"/>
        <v>Northern Elsweyr</v>
      </c>
      <c r="H716" s="70">
        <f t="shared" si="45"/>
        <v>1119</v>
      </c>
      <c r="I716" s="70">
        <f t="shared" si="46"/>
        <v>1086</v>
      </c>
      <c r="J716">
        <v>14</v>
      </c>
      <c r="K716" s="3" t="str">
        <f ca="1">VLOOKUP(J716,ConstDLCIds!$A$4:$B$1000,2,FALSE)</f>
        <v>DLC_ELSWEYR</v>
      </c>
      <c r="L716" s="3" t="str">
        <f ca="1">VLOOKUP(J716,ConstDLCIds!$A$4:$C$1000,3,FALSE)</f>
        <v>Elsweyr</v>
      </c>
    </row>
    <row r="717" spans="1:12" x14ac:dyDescent="0.25">
      <c r="A717">
        <v>1120</v>
      </c>
      <c r="B717">
        <v>712</v>
      </c>
      <c r="C717">
        <v>1086</v>
      </c>
      <c r="D717" t="s">
        <v>2794</v>
      </c>
      <c r="E717" t="str">
        <f>IF(NOT(ISERROR(VLOOKUP(D717,'ESO DungeonFinder'!$A$2:$A$999,1,FALSE))),"X","")</f>
        <v/>
      </c>
      <c r="F717" s="70" t="str">
        <f t="shared" si="44"/>
        <v/>
      </c>
      <c r="G717" s="70" t="str">
        <f t="shared" si="47"/>
        <v>Northern Elsweyr</v>
      </c>
      <c r="H717" s="70">
        <f t="shared" si="45"/>
        <v>1120</v>
      </c>
      <c r="I717" s="70">
        <f t="shared" si="46"/>
        <v>1086</v>
      </c>
      <c r="J717">
        <v>14</v>
      </c>
      <c r="K717" s="3" t="str">
        <f ca="1">VLOOKUP(J717,ConstDLCIds!$A$4:$B$1000,2,FALSE)</f>
        <v>DLC_ELSWEYR</v>
      </c>
      <c r="L717" s="3" t="str">
        <f ca="1">VLOOKUP(J717,ConstDLCIds!$A$4:$C$1000,3,FALSE)</f>
        <v>Elsweyr</v>
      </c>
    </row>
    <row r="718" spans="1:12" x14ac:dyDescent="0.25">
      <c r="A718">
        <v>1121</v>
      </c>
      <c r="B718">
        <v>713</v>
      </c>
      <c r="C718">
        <v>1086</v>
      </c>
      <c r="D718" t="s">
        <v>1296</v>
      </c>
      <c r="E718" t="str">
        <f>IF(NOT(ISERROR(VLOOKUP(D718,'ESO DungeonFinder'!$A$2:$A$999,1,FALSE))),"X","")</f>
        <v/>
      </c>
      <c r="F718" s="70" t="str">
        <f t="shared" si="44"/>
        <v/>
      </c>
      <c r="G718" s="70" t="str">
        <f t="shared" si="47"/>
        <v>Northern Elsweyr</v>
      </c>
      <c r="H718" s="70">
        <f t="shared" si="45"/>
        <v>1121</v>
      </c>
      <c r="I718" s="70">
        <f t="shared" si="46"/>
        <v>1086</v>
      </c>
      <c r="J718">
        <v>14</v>
      </c>
      <c r="K718" s="3" t="str">
        <f ca="1">VLOOKUP(J718,ConstDLCIds!$A$4:$B$1000,2,FALSE)</f>
        <v>DLC_ELSWEYR</v>
      </c>
      <c r="L718" s="3" t="str">
        <f ca="1">VLOOKUP(J718,ConstDLCIds!$A$4:$C$1000,3,FALSE)</f>
        <v>Elsweyr</v>
      </c>
    </row>
    <row r="719" spans="1:12" x14ac:dyDescent="0.25">
      <c r="A719">
        <v>1122</v>
      </c>
      <c r="B719">
        <v>714</v>
      </c>
      <c r="C719">
        <v>1086</v>
      </c>
      <c r="D719" t="s">
        <v>1313</v>
      </c>
      <c r="E719" t="str">
        <f>IF(NOT(ISERROR(VLOOKUP(D719,'ESO DungeonFinder'!$A$2:$A$999,1,FALSE))),"X","")</f>
        <v>X</v>
      </c>
      <c r="F719" s="70" t="str">
        <f t="shared" si="44"/>
        <v/>
      </c>
      <c r="G719" s="70" t="str">
        <f t="shared" si="47"/>
        <v>Northern Elsweyr</v>
      </c>
      <c r="H719" s="70">
        <f t="shared" si="45"/>
        <v>1122</v>
      </c>
      <c r="I719" s="70">
        <f t="shared" si="46"/>
        <v>1086</v>
      </c>
      <c r="J719">
        <v>15</v>
      </c>
      <c r="K719" s="3" t="str">
        <f ca="1">VLOOKUP(J719,ConstDLCIds!$A$4:$B$1000,2,FALSE)</f>
        <v>DLC_SCALEBREAKER</v>
      </c>
      <c r="L719" s="3" t="str">
        <f ca="1">VLOOKUP(J719,ConstDLCIds!$A$4:$C$1000,3,FALSE)</f>
        <v>Scalebraker</v>
      </c>
    </row>
    <row r="720" spans="1:12" x14ac:dyDescent="0.25">
      <c r="A720">
        <v>1123</v>
      </c>
      <c r="B720">
        <v>715</v>
      </c>
      <c r="C720">
        <v>383</v>
      </c>
      <c r="D720" t="s">
        <v>1320</v>
      </c>
      <c r="E720" t="str">
        <f>IF(NOT(ISERROR(VLOOKUP(D720,'ESO DungeonFinder'!$A$2:$A$999,1,FALSE))),"X","")</f>
        <v>X</v>
      </c>
      <c r="F720" s="70" t="str">
        <f t="shared" si="44"/>
        <v/>
      </c>
      <c r="G720" s="70" t="str">
        <f t="shared" si="47"/>
        <v>Grahtwood</v>
      </c>
      <c r="H720" s="70">
        <f t="shared" si="45"/>
        <v>1123</v>
      </c>
      <c r="I720" s="70">
        <f t="shared" si="46"/>
        <v>383</v>
      </c>
      <c r="J720">
        <v>15</v>
      </c>
      <c r="K720" s="3" t="str">
        <f ca="1">VLOOKUP(J720,ConstDLCIds!$A$4:$B$1000,2,FALSE)</f>
        <v>DLC_SCALEBREAKER</v>
      </c>
      <c r="L720" s="3" t="str">
        <f ca="1">VLOOKUP(J720,ConstDLCIds!$A$4:$C$1000,3,FALSE)</f>
        <v>Scalebraker</v>
      </c>
    </row>
    <row r="721" spans="1:12" x14ac:dyDescent="0.25">
      <c r="A721">
        <v>1125</v>
      </c>
      <c r="B721">
        <v>716</v>
      </c>
      <c r="C721">
        <v>101</v>
      </c>
      <c r="D721" t="s">
        <v>2795</v>
      </c>
      <c r="E721" t="str">
        <f>IF(NOT(ISERROR(VLOOKUP(D721,'ESO DungeonFinder'!$A$2:$A$999,1,FALSE))),"X","")</f>
        <v/>
      </c>
      <c r="F721" s="70" t="str">
        <f t="shared" si="44"/>
        <v/>
      </c>
      <c r="G721" s="70" t="str">
        <f t="shared" si="47"/>
        <v>Eastmarch</v>
      </c>
      <c r="H721" s="70">
        <f t="shared" si="45"/>
        <v>1125</v>
      </c>
      <c r="I721" s="70">
        <f t="shared" si="46"/>
        <v>101</v>
      </c>
      <c r="J721">
        <v>0</v>
      </c>
      <c r="K721" s="3" t="str">
        <f>VLOOKUP(J721,ConstDLCIds!$A$4:$B$1000,2,FALSE)</f>
        <v>DLC_BASE_GAME</v>
      </c>
      <c r="L721" s="3" t="str">
        <f>VLOOKUP(J721,ConstDLCIds!$A$4:$C$1000,3,FALSE)</f>
        <v>Included in base game</v>
      </c>
    </row>
    <row r="722" spans="1:12" x14ac:dyDescent="0.25">
      <c r="A722">
        <v>1126</v>
      </c>
      <c r="B722">
        <v>717</v>
      </c>
      <c r="C722">
        <v>888</v>
      </c>
      <c r="D722" t="s">
        <v>2796</v>
      </c>
      <c r="E722" t="str">
        <f>IF(NOT(ISERROR(VLOOKUP(D722,'ESO DungeonFinder'!$A$2:$A$999,1,FALSE))),"X","")</f>
        <v/>
      </c>
      <c r="F722" s="70" t="str">
        <f t="shared" si="44"/>
        <v/>
      </c>
      <c r="G722" s="70" t="str">
        <f t="shared" si="47"/>
        <v>Craglorn</v>
      </c>
      <c r="H722" s="70">
        <f t="shared" si="45"/>
        <v>1126</v>
      </c>
      <c r="I722" s="70">
        <f t="shared" si="46"/>
        <v>888</v>
      </c>
      <c r="J722">
        <v>0</v>
      </c>
      <c r="K722" s="3" t="str">
        <f>VLOOKUP(J722,ConstDLCIds!$A$4:$B$1000,2,FALSE)</f>
        <v>DLC_BASE_GAME</v>
      </c>
      <c r="L722" s="3" t="str">
        <f>VLOOKUP(J722,ConstDLCIds!$A$4:$C$1000,3,FALSE)</f>
        <v>Included in base game</v>
      </c>
    </row>
    <row r="723" spans="1:12" x14ac:dyDescent="0.25">
      <c r="A723">
        <v>1128</v>
      </c>
      <c r="B723">
        <v>718</v>
      </c>
      <c r="C723">
        <v>1086</v>
      </c>
      <c r="D723" t="s">
        <v>2797</v>
      </c>
      <c r="E723" t="str">
        <f>IF(NOT(ISERROR(VLOOKUP(D723,'ESO DungeonFinder'!$A$2:$A$999,1,FALSE))),"X","")</f>
        <v/>
      </c>
      <c r="F723" s="70" t="str">
        <f t="shared" si="44"/>
        <v/>
      </c>
      <c r="G723" s="70" t="str">
        <f t="shared" si="47"/>
        <v>Northern Elsweyr</v>
      </c>
      <c r="H723" s="70">
        <f t="shared" si="45"/>
        <v>1128</v>
      </c>
      <c r="I723" s="70">
        <f t="shared" si="46"/>
        <v>1086</v>
      </c>
      <c r="J723">
        <v>14</v>
      </c>
      <c r="K723" s="3" t="str">
        <f ca="1">VLOOKUP(J723,ConstDLCIds!$A$4:$B$1000,2,FALSE)</f>
        <v>DLC_ELSWEYR</v>
      </c>
      <c r="L723" s="3" t="str">
        <f ca="1">VLOOKUP(J723,ConstDLCIds!$A$4:$C$1000,3,FALSE)</f>
        <v>Elsweyr</v>
      </c>
    </row>
    <row r="724" spans="1:12" x14ac:dyDescent="0.25">
      <c r="A724">
        <v>1129</v>
      </c>
      <c r="B724">
        <v>719</v>
      </c>
      <c r="C724">
        <v>1086</v>
      </c>
      <c r="D724" t="s">
        <v>2798</v>
      </c>
      <c r="E724" t="str">
        <f>IF(NOT(ISERROR(VLOOKUP(D724,'ESO DungeonFinder'!$A$2:$A$999,1,FALSE))),"X","")</f>
        <v/>
      </c>
      <c r="F724" s="70" t="str">
        <f t="shared" si="44"/>
        <v/>
      </c>
      <c r="G724" s="70" t="str">
        <f t="shared" si="47"/>
        <v>Northern Elsweyr</v>
      </c>
      <c r="H724" s="70">
        <f t="shared" si="45"/>
        <v>1129</v>
      </c>
      <c r="I724" s="70">
        <f t="shared" si="46"/>
        <v>1086</v>
      </c>
      <c r="J724">
        <v>14</v>
      </c>
      <c r="K724" s="3" t="str">
        <f ca="1">VLOOKUP(J724,ConstDLCIds!$A$4:$B$1000,2,FALSE)</f>
        <v>DLC_ELSWEYR</v>
      </c>
      <c r="L724" s="3" t="str">
        <f ca="1">VLOOKUP(J724,ConstDLCIds!$A$4:$C$1000,3,FALSE)</f>
        <v>Elsweyr</v>
      </c>
    </row>
    <row r="725" spans="1:12" x14ac:dyDescent="0.25">
      <c r="A725">
        <v>1130</v>
      </c>
      <c r="B725">
        <v>720</v>
      </c>
      <c r="C725">
        <v>1086</v>
      </c>
      <c r="D725" t="s">
        <v>2799</v>
      </c>
      <c r="E725" t="str">
        <f>IF(NOT(ISERROR(VLOOKUP(D725,'ESO DungeonFinder'!$A$2:$A$999,1,FALSE))),"X","")</f>
        <v/>
      </c>
      <c r="F725" s="70" t="str">
        <f t="shared" si="44"/>
        <v/>
      </c>
      <c r="G725" s="70" t="str">
        <f t="shared" si="47"/>
        <v>Northern Elsweyr</v>
      </c>
      <c r="H725" s="70">
        <f t="shared" si="45"/>
        <v>1130</v>
      </c>
      <c r="I725" s="70">
        <f t="shared" si="46"/>
        <v>1086</v>
      </c>
      <c r="J725">
        <v>14</v>
      </c>
      <c r="K725" s="3" t="str">
        <f ca="1">VLOOKUP(J725,ConstDLCIds!$A$4:$B$1000,2,FALSE)</f>
        <v>DLC_ELSWEYR</v>
      </c>
      <c r="L725" s="3" t="str">
        <f ca="1">VLOOKUP(J725,ConstDLCIds!$A$4:$C$1000,3,FALSE)</f>
        <v>Elsweyr</v>
      </c>
    </row>
    <row r="726" spans="1:12" x14ac:dyDescent="0.25">
      <c r="A726">
        <v>1133</v>
      </c>
      <c r="B726">
        <v>721</v>
      </c>
      <c r="C726">
        <v>1133</v>
      </c>
      <c r="D726" t="s">
        <v>1329</v>
      </c>
      <c r="E726" t="str">
        <f>IF(NOT(ISERROR(VLOOKUP(D726,'ESO DungeonFinder'!$A$2:$A$999,1,FALSE))),"X","")</f>
        <v/>
      </c>
      <c r="F726" s="70" t="str">
        <f t="shared" si="44"/>
        <v>X</v>
      </c>
      <c r="G726" s="70" t="str">
        <f t="shared" si="47"/>
        <v/>
      </c>
      <c r="H726" s="70">
        <f t="shared" si="45"/>
        <v>1133</v>
      </c>
      <c r="I726" s="70">
        <f t="shared" si="46"/>
        <v>1133</v>
      </c>
      <c r="J726">
        <v>0</v>
      </c>
      <c r="K726" s="3" t="str">
        <f>VLOOKUP(J726,ConstDLCIds!$A$4:$B$1000,2,FALSE)</f>
        <v>DLC_BASE_GAME</v>
      </c>
      <c r="L726" s="3" t="str">
        <f>VLOOKUP(J726,ConstDLCIds!$A$4:$C$1000,3,FALSE)</f>
        <v>Included in base game</v>
      </c>
    </row>
    <row r="727" spans="1:12" x14ac:dyDescent="0.25">
      <c r="A727">
        <v>1134</v>
      </c>
      <c r="B727">
        <v>722</v>
      </c>
      <c r="C727">
        <v>1133</v>
      </c>
      <c r="D727" t="s">
        <v>2800</v>
      </c>
      <c r="E727" t="str">
        <f>IF(NOT(ISERROR(VLOOKUP(D727,'ESO DungeonFinder'!$A$2:$A$999,1,FALSE))),"X","")</f>
        <v/>
      </c>
      <c r="F727" s="70" t="str">
        <f t="shared" si="44"/>
        <v/>
      </c>
      <c r="G727" s="70" t="str">
        <f t="shared" si="47"/>
        <v>Southern Elsweyr</v>
      </c>
      <c r="H727" s="70">
        <f t="shared" si="45"/>
        <v>1134</v>
      </c>
      <c r="I727" s="70">
        <f t="shared" si="46"/>
        <v>1133</v>
      </c>
      <c r="J727">
        <v>16</v>
      </c>
      <c r="K727" s="3" t="str">
        <f ca="1">VLOOKUP(J727,ConstDLCIds!$A$4:$B$1000,2,FALSE)</f>
        <v>DLC_DRAGONHOLD</v>
      </c>
      <c r="L727" s="3" t="str">
        <f ca="1">VLOOKUP(J727,ConstDLCIds!$A$4:$C$1000,3,FALSE)</f>
        <v>Dragonhold</v>
      </c>
    </row>
    <row r="728" spans="1:12" x14ac:dyDescent="0.25">
      <c r="A728">
        <v>1135</v>
      </c>
      <c r="B728">
        <v>723</v>
      </c>
      <c r="C728">
        <v>1133</v>
      </c>
      <c r="D728" t="s">
        <v>2801</v>
      </c>
      <c r="E728" t="str">
        <f>IF(NOT(ISERROR(VLOOKUP(D728,'ESO DungeonFinder'!$A$2:$A$999,1,FALSE))),"X","")</f>
        <v/>
      </c>
      <c r="F728" s="70" t="str">
        <f t="shared" si="44"/>
        <v/>
      </c>
      <c r="G728" s="70" t="str">
        <f t="shared" si="47"/>
        <v>Southern Elsweyr</v>
      </c>
      <c r="H728" s="70">
        <f t="shared" si="45"/>
        <v>1135</v>
      </c>
      <c r="I728" s="70">
        <f t="shared" si="46"/>
        <v>1133</v>
      </c>
      <c r="J728">
        <v>16</v>
      </c>
      <c r="K728" s="3" t="str">
        <f ca="1">VLOOKUP(J728,ConstDLCIds!$A$4:$B$1000,2,FALSE)</f>
        <v>DLC_DRAGONHOLD</v>
      </c>
      <c r="L728" s="3" t="str">
        <f ca="1">VLOOKUP(J728,ConstDLCIds!$A$4:$C$1000,3,FALSE)</f>
        <v>Dragonhold</v>
      </c>
    </row>
    <row r="729" spans="1:12" x14ac:dyDescent="0.25">
      <c r="A729">
        <v>1136</v>
      </c>
      <c r="B729">
        <v>724</v>
      </c>
      <c r="C729">
        <v>1133</v>
      </c>
      <c r="D729" t="s">
        <v>2802</v>
      </c>
      <c r="E729" t="str">
        <f>IF(NOT(ISERROR(VLOOKUP(D729,'ESO DungeonFinder'!$A$2:$A$999,1,FALSE))),"X","")</f>
        <v/>
      </c>
      <c r="F729" s="70" t="str">
        <f t="shared" si="44"/>
        <v/>
      </c>
      <c r="G729" s="70" t="str">
        <f t="shared" si="47"/>
        <v>Southern Elsweyr</v>
      </c>
      <c r="H729" s="70">
        <f t="shared" si="45"/>
        <v>1136</v>
      </c>
      <c r="I729" s="70">
        <f t="shared" si="46"/>
        <v>1133</v>
      </c>
      <c r="J729">
        <v>16</v>
      </c>
      <c r="K729" s="3" t="str">
        <f ca="1">VLOOKUP(J729,ConstDLCIds!$A$4:$B$1000,2,FALSE)</f>
        <v>DLC_DRAGONHOLD</v>
      </c>
      <c r="L729" s="3" t="str">
        <f ca="1">VLOOKUP(J729,ConstDLCIds!$A$4:$C$1000,3,FALSE)</f>
        <v>Dragonhold</v>
      </c>
    </row>
    <row r="730" spans="1:12" x14ac:dyDescent="0.25">
      <c r="A730">
        <v>1137</v>
      </c>
      <c r="B730">
        <v>725</v>
      </c>
      <c r="C730">
        <v>1133</v>
      </c>
      <c r="D730" t="s">
        <v>2803</v>
      </c>
      <c r="E730" t="str">
        <f>IF(NOT(ISERROR(VLOOKUP(D730,'ESO DungeonFinder'!$A$2:$A$999,1,FALSE))),"X","")</f>
        <v/>
      </c>
      <c r="F730" s="70" t="str">
        <f t="shared" si="44"/>
        <v/>
      </c>
      <c r="G730" s="70" t="str">
        <f t="shared" si="47"/>
        <v>Southern Elsweyr</v>
      </c>
      <c r="H730" s="70">
        <f t="shared" si="45"/>
        <v>1137</v>
      </c>
      <c r="I730" s="70">
        <f t="shared" si="46"/>
        <v>1133</v>
      </c>
      <c r="J730">
        <v>16</v>
      </c>
      <c r="K730" s="3" t="str">
        <f ca="1">VLOOKUP(J730,ConstDLCIds!$A$4:$B$1000,2,FALSE)</f>
        <v>DLC_DRAGONHOLD</v>
      </c>
      <c r="L730" s="3" t="str">
        <f ca="1">VLOOKUP(J730,ConstDLCIds!$A$4:$C$1000,3,FALSE)</f>
        <v>Dragonhold</v>
      </c>
    </row>
    <row r="731" spans="1:12" x14ac:dyDescent="0.25">
      <c r="A731">
        <v>1138</v>
      </c>
      <c r="B731">
        <v>726</v>
      </c>
      <c r="C731">
        <v>1133</v>
      </c>
      <c r="D731" t="s">
        <v>56</v>
      </c>
      <c r="E731" t="str">
        <f>IF(NOT(ISERROR(VLOOKUP(D731,'ESO DungeonFinder'!$A$2:$A$999,1,FALSE))),"X","")</f>
        <v/>
      </c>
      <c r="F731" s="70" t="str">
        <f t="shared" si="44"/>
        <v/>
      </c>
      <c r="G731" s="70" t="str">
        <f t="shared" si="47"/>
        <v>Southern Elsweyr</v>
      </c>
      <c r="H731" s="70">
        <f t="shared" si="45"/>
        <v>1138</v>
      </c>
      <c r="I731" s="70">
        <f t="shared" si="46"/>
        <v>1133</v>
      </c>
      <c r="J731">
        <v>16</v>
      </c>
      <c r="K731" s="3" t="str">
        <f ca="1">VLOOKUP(J731,ConstDLCIds!$A$4:$B$1000,2,FALSE)</f>
        <v>DLC_DRAGONHOLD</v>
      </c>
      <c r="L731" s="3" t="str">
        <f ca="1">VLOOKUP(J731,ConstDLCIds!$A$4:$C$1000,3,FALSE)</f>
        <v>Dragonhold</v>
      </c>
    </row>
    <row r="732" spans="1:12" x14ac:dyDescent="0.25">
      <c r="A732">
        <v>1139</v>
      </c>
      <c r="B732">
        <v>727</v>
      </c>
      <c r="C732">
        <v>1133</v>
      </c>
      <c r="D732" t="s">
        <v>2804</v>
      </c>
      <c r="E732" t="str">
        <f>IF(NOT(ISERROR(VLOOKUP(D732,'ESO DungeonFinder'!$A$2:$A$999,1,FALSE))),"X","")</f>
        <v/>
      </c>
      <c r="F732" s="70" t="str">
        <f t="shared" si="44"/>
        <v/>
      </c>
      <c r="G732" s="70" t="str">
        <f t="shared" si="47"/>
        <v>Southern Elsweyr</v>
      </c>
      <c r="H732" s="70">
        <f t="shared" si="45"/>
        <v>1139</v>
      </c>
      <c r="I732" s="70">
        <f t="shared" si="46"/>
        <v>1133</v>
      </c>
      <c r="J732">
        <v>16</v>
      </c>
      <c r="K732" s="3" t="str">
        <f ca="1">VLOOKUP(J732,ConstDLCIds!$A$4:$B$1000,2,FALSE)</f>
        <v>DLC_DRAGONHOLD</v>
      </c>
      <c r="L732" s="3" t="str">
        <f ca="1">VLOOKUP(J732,ConstDLCIds!$A$4:$C$1000,3,FALSE)</f>
        <v>Dragonhold</v>
      </c>
    </row>
    <row r="733" spans="1:12" x14ac:dyDescent="0.25">
      <c r="A733">
        <v>1140</v>
      </c>
      <c r="B733">
        <v>728</v>
      </c>
      <c r="C733">
        <v>104</v>
      </c>
      <c r="D733" t="s">
        <v>2805</v>
      </c>
      <c r="E733" t="str">
        <f>IF(NOT(ISERROR(VLOOKUP(D733,'ESO DungeonFinder'!$A$2:$A$999,1,FALSE))),"X","")</f>
        <v/>
      </c>
      <c r="F733" s="70" t="str">
        <f t="shared" si="44"/>
        <v/>
      </c>
      <c r="G733" s="70" t="str">
        <f t="shared" si="47"/>
        <v>Alik'r Desert</v>
      </c>
      <c r="H733" s="70">
        <f t="shared" si="45"/>
        <v>1140</v>
      </c>
      <c r="I733" s="70">
        <f t="shared" si="46"/>
        <v>104</v>
      </c>
      <c r="J733">
        <v>0</v>
      </c>
      <c r="K733" s="3" t="str">
        <f>VLOOKUP(J733,ConstDLCIds!$A$4:$B$1000,2,FALSE)</f>
        <v>DLC_BASE_GAME</v>
      </c>
      <c r="L733" s="3" t="str">
        <f>VLOOKUP(J733,ConstDLCIds!$A$4:$C$1000,3,FALSE)</f>
        <v>Included in base game</v>
      </c>
    </row>
    <row r="734" spans="1:12" x14ac:dyDescent="0.25">
      <c r="A734">
        <v>1141</v>
      </c>
      <c r="B734">
        <v>729</v>
      </c>
      <c r="C734">
        <v>101</v>
      </c>
      <c r="D734" t="s">
        <v>2806</v>
      </c>
      <c r="E734" t="str">
        <f>IF(NOT(ISERROR(VLOOKUP(D734,'ESO DungeonFinder'!$A$2:$A$999,1,FALSE))),"X","")</f>
        <v/>
      </c>
      <c r="F734" s="70" t="str">
        <f t="shared" si="44"/>
        <v/>
      </c>
      <c r="G734" s="70" t="str">
        <f t="shared" si="47"/>
        <v>Eastmarch</v>
      </c>
      <c r="H734" s="70">
        <f t="shared" si="45"/>
        <v>1141</v>
      </c>
      <c r="I734" s="70">
        <f t="shared" si="46"/>
        <v>101</v>
      </c>
      <c r="J734">
        <v>0</v>
      </c>
      <c r="K734" s="3" t="str">
        <f>VLOOKUP(J734,ConstDLCIds!$A$4:$B$1000,2,FALSE)</f>
        <v>DLC_BASE_GAME</v>
      </c>
      <c r="L734" s="3" t="str">
        <f>VLOOKUP(J734,ConstDLCIds!$A$4:$C$1000,3,FALSE)</f>
        <v>Included in base game</v>
      </c>
    </row>
    <row r="735" spans="1:12" x14ac:dyDescent="0.25">
      <c r="A735">
        <v>1142</v>
      </c>
      <c r="B735">
        <v>730</v>
      </c>
      <c r="C735">
        <v>1142</v>
      </c>
      <c r="D735" t="s">
        <v>2481</v>
      </c>
      <c r="E735" t="str">
        <f>IF(NOT(ISERROR(VLOOKUP(D735,'ESO DungeonFinder'!$A$2:$A$999,1,FALSE))),"X","")</f>
        <v/>
      </c>
      <c r="F735" s="70" t="str">
        <f t="shared" si="44"/>
        <v>X</v>
      </c>
      <c r="G735" s="70" t="str">
        <f t="shared" si="47"/>
        <v/>
      </c>
      <c r="H735" s="70">
        <f t="shared" si="45"/>
        <v>1142</v>
      </c>
      <c r="I735" s="70">
        <f t="shared" si="46"/>
        <v>1142</v>
      </c>
      <c r="J735">
        <v>0</v>
      </c>
      <c r="K735" s="3" t="str">
        <f>VLOOKUP(J735,ConstDLCIds!$A$4:$B$1000,2,FALSE)</f>
        <v>DLC_BASE_GAME</v>
      </c>
      <c r="L735" s="3" t="str">
        <f>VLOOKUP(J735,ConstDLCIds!$A$4:$C$1000,3,FALSE)</f>
        <v>Included in base game</v>
      </c>
    </row>
    <row r="736" spans="1:12" x14ac:dyDescent="0.25">
      <c r="A736">
        <v>1143</v>
      </c>
      <c r="B736">
        <v>731</v>
      </c>
      <c r="C736">
        <v>19</v>
      </c>
      <c r="D736" t="s">
        <v>2807</v>
      </c>
      <c r="E736" t="str">
        <f>IF(NOT(ISERROR(VLOOKUP(D736,'ESO DungeonFinder'!$A$2:$A$999,1,FALSE))),"X","")</f>
        <v/>
      </c>
      <c r="F736" s="70" t="str">
        <f t="shared" si="44"/>
        <v/>
      </c>
      <c r="G736" s="70" t="str">
        <f t="shared" si="47"/>
        <v>Stormhaven</v>
      </c>
      <c r="H736" s="70">
        <f t="shared" si="45"/>
        <v>1143</v>
      </c>
      <c r="I736" s="70">
        <f t="shared" si="46"/>
        <v>19</v>
      </c>
      <c r="J736">
        <v>0</v>
      </c>
      <c r="K736" s="3" t="str">
        <f>VLOOKUP(J736,ConstDLCIds!$A$4:$B$1000,2,FALSE)</f>
        <v>DLC_BASE_GAME</v>
      </c>
      <c r="L736" s="3" t="str">
        <f>VLOOKUP(J736,ConstDLCIds!$A$4:$C$1000,3,FALSE)</f>
        <v>Included in base game</v>
      </c>
    </row>
    <row r="737" spans="1:12" x14ac:dyDescent="0.25">
      <c r="A737">
        <v>1144</v>
      </c>
      <c r="B737">
        <v>732</v>
      </c>
      <c r="C737">
        <v>1144</v>
      </c>
      <c r="D737" t="s">
        <v>2808</v>
      </c>
      <c r="E737" t="str">
        <f>IF(NOT(ISERROR(VLOOKUP(D737,'ESO DungeonFinder'!$A$2:$A$999,1,FALSE))),"X","")</f>
        <v/>
      </c>
      <c r="F737" s="70" t="str">
        <f t="shared" si="44"/>
        <v>X</v>
      </c>
      <c r="G737" s="70" t="str">
        <f t="shared" si="47"/>
        <v/>
      </c>
      <c r="H737" s="70">
        <f t="shared" si="45"/>
        <v>1144</v>
      </c>
      <c r="I737" s="70">
        <f t="shared" si="46"/>
        <v>1144</v>
      </c>
      <c r="J737">
        <v>0</v>
      </c>
      <c r="K737" s="3" t="str">
        <f>VLOOKUP(J737,ConstDLCIds!$A$4:$B$1000,2,FALSE)</f>
        <v>DLC_BASE_GAME</v>
      </c>
      <c r="L737" s="3" t="str">
        <f>VLOOKUP(J737,ConstDLCIds!$A$4:$C$1000,3,FALSE)</f>
        <v>Included in base game</v>
      </c>
    </row>
    <row r="738" spans="1:12" x14ac:dyDescent="0.25">
      <c r="A738">
        <v>1145</v>
      </c>
      <c r="B738">
        <v>733</v>
      </c>
      <c r="C738">
        <v>1133</v>
      </c>
      <c r="D738" t="s">
        <v>2809</v>
      </c>
      <c r="E738" t="str">
        <f>IF(NOT(ISERROR(VLOOKUP(D738,'ESO DungeonFinder'!$A$2:$A$999,1,FALSE))),"X","")</f>
        <v/>
      </c>
      <c r="F738" s="70" t="str">
        <f t="shared" si="44"/>
        <v/>
      </c>
      <c r="G738" s="70" t="str">
        <f t="shared" si="47"/>
        <v>Southern Elsweyr</v>
      </c>
      <c r="H738" s="70">
        <f t="shared" si="45"/>
        <v>1145</v>
      </c>
      <c r="I738" s="70">
        <f t="shared" si="46"/>
        <v>1133</v>
      </c>
      <c r="J738">
        <v>16</v>
      </c>
      <c r="K738" s="3" t="str">
        <f ca="1">VLOOKUP(J738,ConstDLCIds!$A$4:$B$1000,2,FALSE)</f>
        <v>DLC_DRAGONHOLD</v>
      </c>
      <c r="L738" s="3" t="str">
        <f ca="1">VLOOKUP(J738,ConstDLCIds!$A$4:$C$1000,3,FALSE)</f>
        <v>Dragonhold</v>
      </c>
    </row>
    <row r="739" spans="1:12" x14ac:dyDescent="0.25">
      <c r="A739">
        <v>1146</v>
      </c>
      <c r="B739">
        <v>734</v>
      </c>
      <c r="C739">
        <v>1133</v>
      </c>
      <c r="D739" t="s">
        <v>2810</v>
      </c>
      <c r="E739" t="str">
        <f>IF(NOT(ISERROR(VLOOKUP(D739,'ESO DungeonFinder'!$A$2:$A$999,1,FALSE))),"X","")</f>
        <v/>
      </c>
      <c r="F739" s="70" t="str">
        <f t="shared" si="44"/>
        <v/>
      </c>
      <c r="G739" s="70" t="str">
        <f t="shared" si="47"/>
        <v>Southern Elsweyr</v>
      </c>
      <c r="H739" s="70">
        <f t="shared" si="45"/>
        <v>1146</v>
      </c>
      <c r="I739" s="70">
        <f t="shared" si="46"/>
        <v>1133</v>
      </c>
      <c r="J739">
        <v>16</v>
      </c>
      <c r="K739" s="3" t="str">
        <f ca="1">VLOOKUP(J739,ConstDLCIds!$A$4:$B$1000,2,FALSE)</f>
        <v>DLC_DRAGONHOLD</v>
      </c>
      <c r="L739" s="3" t="str">
        <f ca="1">VLOOKUP(J739,ConstDLCIds!$A$4:$C$1000,3,FALSE)</f>
        <v>Dragonhold</v>
      </c>
    </row>
    <row r="740" spans="1:12" x14ac:dyDescent="0.25">
      <c r="A740">
        <v>1147</v>
      </c>
      <c r="B740">
        <v>735</v>
      </c>
      <c r="C740">
        <v>1133</v>
      </c>
      <c r="D740" t="s">
        <v>2811</v>
      </c>
      <c r="E740" t="str">
        <f>IF(NOT(ISERROR(VLOOKUP(D740,'ESO DungeonFinder'!$A$2:$A$999,1,FALSE))),"X","")</f>
        <v/>
      </c>
      <c r="F740" s="70" t="str">
        <f t="shared" si="44"/>
        <v/>
      </c>
      <c r="G740" s="70" t="str">
        <f t="shared" si="47"/>
        <v>Southern Elsweyr</v>
      </c>
      <c r="H740" s="70">
        <f t="shared" si="45"/>
        <v>1147</v>
      </c>
      <c r="I740" s="70">
        <f t="shared" si="46"/>
        <v>1133</v>
      </c>
      <c r="J740">
        <v>16</v>
      </c>
      <c r="K740" s="3" t="str">
        <f ca="1">VLOOKUP(J740,ConstDLCIds!$A$4:$B$1000,2,FALSE)</f>
        <v>DLC_DRAGONHOLD</v>
      </c>
      <c r="L740" s="3" t="str">
        <f ca="1">VLOOKUP(J740,ConstDLCIds!$A$4:$C$1000,3,FALSE)</f>
        <v>Dragonhold</v>
      </c>
    </row>
    <row r="741" spans="1:12" x14ac:dyDescent="0.25">
      <c r="A741">
        <v>1148</v>
      </c>
      <c r="B741">
        <v>736</v>
      </c>
      <c r="C741">
        <v>1133</v>
      </c>
      <c r="D741" t="s">
        <v>2812</v>
      </c>
      <c r="E741" t="str">
        <f>IF(NOT(ISERROR(VLOOKUP(D741,'ESO DungeonFinder'!$A$2:$A$999,1,FALSE))),"X","")</f>
        <v/>
      </c>
      <c r="F741" s="70" t="str">
        <f t="shared" si="44"/>
        <v/>
      </c>
      <c r="G741" s="70" t="str">
        <f t="shared" si="47"/>
        <v>Southern Elsweyr</v>
      </c>
      <c r="H741" s="70">
        <f t="shared" si="45"/>
        <v>1148</v>
      </c>
      <c r="I741" s="70">
        <f t="shared" si="46"/>
        <v>1133</v>
      </c>
      <c r="J741">
        <v>16</v>
      </c>
      <c r="K741" s="3" t="str">
        <f ca="1">VLOOKUP(J741,ConstDLCIds!$A$4:$B$1000,2,FALSE)</f>
        <v>DLC_DRAGONHOLD</v>
      </c>
      <c r="L741" s="3" t="str">
        <f ca="1">VLOOKUP(J741,ConstDLCIds!$A$4:$C$1000,3,FALSE)</f>
        <v>Dragonhold</v>
      </c>
    </row>
    <row r="742" spans="1:12" x14ac:dyDescent="0.25">
      <c r="A742">
        <v>1149</v>
      </c>
      <c r="B742">
        <v>737</v>
      </c>
      <c r="C742">
        <v>1133</v>
      </c>
      <c r="D742" t="s">
        <v>2813</v>
      </c>
      <c r="E742" t="str">
        <f>IF(NOT(ISERROR(VLOOKUP(D742,'ESO DungeonFinder'!$A$2:$A$999,1,FALSE))),"X","")</f>
        <v/>
      </c>
      <c r="F742" s="70" t="str">
        <f t="shared" si="44"/>
        <v/>
      </c>
      <c r="G742" s="70" t="str">
        <f t="shared" si="47"/>
        <v>Southern Elsweyr</v>
      </c>
      <c r="H742" s="70">
        <f t="shared" si="45"/>
        <v>1149</v>
      </c>
      <c r="I742" s="70">
        <f t="shared" si="46"/>
        <v>1133</v>
      </c>
      <c r="J742">
        <v>16</v>
      </c>
      <c r="K742" s="3" t="str">
        <f ca="1">VLOOKUP(J742,ConstDLCIds!$A$4:$B$1000,2,FALSE)</f>
        <v>DLC_DRAGONHOLD</v>
      </c>
      <c r="L742" s="3" t="str">
        <f ca="1">VLOOKUP(J742,ConstDLCIds!$A$4:$C$1000,3,FALSE)</f>
        <v>Dragonhold</v>
      </c>
    </row>
    <row r="743" spans="1:12" x14ac:dyDescent="0.25">
      <c r="A743">
        <v>1150</v>
      </c>
      <c r="B743">
        <v>738</v>
      </c>
      <c r="C743">
        <v>1133</v>
      </c>
      <c r="D743" t="s">
        <v>2814</v>
      </c>
      <c r="E743" t="str">
        <f>IF(NOT(ISERROR(VLOOKUP(D743,'ESO DungeonFinder'!$A$2:$A$999,1,FALSE))),"X","")</f>
        <v/>
      </c>
      <c r="F743" s="70" t="str">
        <f t="shared" si="44"/>
        <v/>
      </c>
      <c r="G743" s="70" t="str">
        <f t="shared" si="47"/>
        <v>Southern Elsweyr</v>
      </c>
      <c r="H743" s="70">
        <f t="shared" si="45"/>
        <v>1150</v>
      </c>
      <c r="I743" s="70">
        <f t="shared" si="46"/>
        <v>1133</v>
      </c>
      <c r="J743">
        <v>16</v>
      </c>
      <c r="K743" s="3" t="str">
        <f ca="1">VLOOKUP(J743,ConstDLCIds!$A$4:$B$1000,2,FALSE)</f>
        <v>DLC_DRAGONHOLD</v>
      </c>
      <c r="L743" s="3" t="str">
        <f ca="1">VLOOKUP(J743,ConstDLCIds!$A$4:$C$1000,3,FALSE)</f>
        <v>Dragonhold</v>
      </c>
    </row>
    <row r="744" spans="1:12" x14ac:dyDescent="0.25">
      <c r="A744">
        <v>1151</v>
      </c>
      <c r="B744">
        <v>739</v>
      </c>
      <c r="C744">
        <v>1133</v>
      </c>
      <c r="D744" t="s">
        <v>2815</v>
      </c>
      <c r="E744" t="str">
        <f>IF(NOT(ISERROR(VLOOKUP(D744,'ESO DungeonFinder'!$A$2:$A$999,1,FALSE))),"X","")</f>
        <v/>
      </c>
      <c r="F744" s="70" t="str">
        <f t="shared" si="44"/>
        <v/>
      </c>
      <c r="G744" s="70" t="str">
        <f t="shared" si="47"/>
        <v>Southern Elsweyr</v>
      </c>
      <c r="H744" s="70">
        <f t="shared" si="45"/>
        <v>1151</v>
      </c>
      <c r="I744" s="70">
        <f t="shared" si="46"/>
        <v>1133</v>
      </c>
      <c r="J744">
        <v>16</v>
      </c>
      <c r="K744" s="3" t="str">
        <f ca="1">VLOOKUP(J744,ConstDLCIds!$A$4:$B$1000,2,FALSE)</f>
        <v>DLC_DRAGONHOLD</v>
      </c>
      <c r="L744" s="3" t="str">
        <f ca="1">VLOOKUP(J744,ConstDLCIds!$A$4:$C$1000,3,FALSE)</f>
        <v>Dragonhold</v>
      </c>
    </row>
    <row r="745" spans="1:12" x14ac:dyDescent="0.25">
      <c r="A745">
        <v>1152</v>
      </c>
      <c r="B745">
        <v>740</v>
      </c>
      <c r="C745">
        <v>684</v>
      </c>
      <c r="D745" t="s">
        <v>1342</v>
      </c>
      <c r="E745" t="str">
        <f>IF(NOT(ISERROR(VLOOKUP(D745,'ESO DungeonFinder'!$A$2:$A$999,1,FALSE))),"X","")</f>
        <v>X</v>
      </c>
      <c r="F745" s="70" t="str">
        <f t="shared" si="44"/>
        <v/>
      </c>
      <c r="G745" s="70" t="str">
        <f t="shared" si="47"/>
        <v>Wrothgar</v>
      </c>
      <c r="H745" s="70">
        <f t="shared" si="45"/>
        <v>1152</v>
      </c>
      <c r="I745" s="70">
        <f t="shared" si="46"/>
        <v>684</v>
      </c>
      <c r="J745">
        <v>17</v>
      </c>
      <c r="K745" s="3" t="str">
        <f ca="1">VLOOKUP(J745,ConstDLCIds!$A$4:$B$1000,2,FALSE)</f>
        <v>DLC_HARROWSTORM</v>
      </c>
      <c r="L745" s="3" t="str">
        <f ca="1">VLOOKUP(J745,ConstDLCIds!$A$4:$C$1000,3,FALSE)</f>
        <v>Harrowstorm</v>
      </c>
    </row>
    <row r="746" spans="1:12" x14ac:dyDescent="0.25">
      <c r="A746">
        <v>1153</v>
      </c>
      <c r="B746">
        <v>741</v>
      </c>
      <c r="C746">
        <v>92</v>
      </c>
      <c r="D746" t="s">
        <v>1349</v>
      </c>
      <c r="E746" t="str">
        <f>IF(NOT(ISERROR(VLOOKUP(D746,'ESO DungeonFinder'!$A$2:$A$999,1,FALSE))),"X","")</f>
        <v>X</v>
      </c>
      <c r="F746" s="70" t="str">
        <f t="shared" si="44"/>
        <v/>
      </c>
      <c r="G746" s="70" t="str">
        <f t="shared" si="47"/>
        <v>Bangkorai</v>
      </c>
      <c r="H746" s="70">
        <f t="shared" si="45"/>
        <v>1153</v>
      </c>
      <c r="I746" s="70">
        <f t="shared" si="46"/>
        <v>92</v>
      </c>
      <c r="J746">
        <v>17</v>
      </c>
      <c r="K746" s="3" t="str">
        <f ca="1">VLOOKUP(J746,ConstDLCIds!$A$4:$B$1000,2,FALSE)</f>
        <v>DLC_HARROWSTORM</v>
      </c>
      <c r="L746" s="3" t="str">
        <f ca="1">VLOOKUP(J746,ConstDLCIds!$A$4:$C$1000,3,FALSE)</f>
        <v>Harrowstorm</v>
      </c>
    </row>
    <row r="747" spans="1:12" x14ac:dyDescent="0.25">
      <c r="A747">
        <v>1154</v>
      </c>
      <c r="B747">
        <v>742</v>
      </c>
      <c r="C747">
        <v>1086</v>
      </c>
      <c r="D747" t="s">
        <v>2816</v>
      </c>
      <c r="E747" t="str">
        <f>IF(NOT(ISERROR(VLOOKUP(D747,'ESO DungeonFinder'!$A$2:$A$999,1,FALSE))),"X","")</f>
        <v/>
      </c>
      <c r="F747" s="70" t="str">
        <f t="shared" si="44"/>
        <v/>
      </c>
      <c r="G747" s="70" t="str">
        <f t="shared" si="47"/>
        <v>Northern Elsweyr</v>
      </c>
      <c r="H747" s="70">
        <f t="shared" si="45"/>
        <v>1154</v>
      </c>
      <c r="I747" s="70">
        <f t="shared" si="46"/>
        <v>1086</v>
      </c>
      <c r="J747">
        <v>14</v>
      </c>
      <c r="K747" s="3" t="str">
        <f ca="1">VLOOKUP(J747,ConstDLCIds!$A$4:$B$1000,2,FALSE)</f>
        <v>DLC_ELSWEYR</v>
      </c>
      <c r="L747" s="3" t="str">
        <f ca="1">VLOOKUP(J747,ConstDLCIds!$A$4:$C$1000,3,FALSE)</f>
        <v>Elsweyr</v>
      </c>
    </row>
    <row r="748" spans="1:12" x14ac:dyDescent="0.25">
      <c r="A748">
        <v>1155</v>
      </c>
      <c r="B748">
        <v>743</v>
      </c>
      <c r="C748">
        <v>20</v>
      </c>
      <c r="D748" t="s">
        <v>2817</v>
      </c>
      <c r="E748" t="str">
        <f>IF(NOT(ISERROR(VLOOKUP(D748,'ESO DungeonFinder'!$A$2:$A$999,1,FALSE))),"X","")</f>
        <v/>
      </c>
      <c r="F748" s="70" t="str">
        <f t="shared" si="44"/>
        <v/>
      </c>
      <c r="G748" s="70" t="str">
        <f t="shared" si="47"/>
        <v>Rivenspire</v>
      </c>
      <c r="H748" s="70">
        <f t="shared" si="45"/>
        <v>1155</v>
      </c>
      <c r="I748" s="70">
        <f t="shared" si="46"/>
        <v>20</v>
      </c>
      <c r="J748">
        <v>0</v>
      </c>
      <c r="K748" s="3" t="str">
        <f>VLOOKUP(J748,ConstDLCIds!$A$4:$B$1000,2,FALSE)</f>
        <v>DLC_BASE_GAME</v>
      </c>
      <c r="L748" s="3" t="str">
        <f>VLOOKUP(J748,ConstDLCIds!$A$4:$C$1000,3,FALSE)</f>
        <v>Included in base game</v>
      </c>
    </row>
    <row r="749" spans="1:12" x14ac:dyDescent="0.25">
      <c r="A749">
        <v>1160</v>
      </c>
      <c r="B749">
        <v>744</v>
      </c>
      <c r="C749">
        <v>1160</v>
      </c>
      <c r="D749" t="s">
        <v>1372</v>
      </c>
      <c r="E749" t="str">
        <f>IF(NOT(ISERROR(VLOOKUP(D749,'ESO DungeonFinder'!$A$2:$A$999,1,FALSE))),"X","")</f>
        <v/>
      </c>
      <c r="F749" s="70" t="str">
        <f t="shared" si="44"/>
        <v>X</v>
      </c>
      <c r="G749" s="70" t="str">
        <f t="shared" si="47"/>
        <v/>
      </c>
      <c r="H749" s="70">
        <f t="shared" si="45"/>
        <v>1160</v>
      </c>
      <c r="I749" s="70">
        <f t="shared" si="46"/>
        <v>1160</v>
      </c>
      <c r="J749">
        <v>20</v>
      </c>
      <c r="K749" s="3" t="str">
        <f ca="1">VLOOKUP(J749,ConstDLCIds!$A$4:$B$1000,2,FALSE)</f>
        <v>DLC_MARKARTH</v>
      </c>
      <c r="L749" s="3" t="str">
        <f ca="1">VLOOKUP(J749,ConstDLCIds!$A$4:$C$1000,3,FALSE)</f>
        <v>Markarth</v>
      </c>
    </row>
    <row r="750" spans="1:12" x14ac:dyDescent="0.25">
      <c r="A750">
        <v>1161</v>
      </c>
      <c r="B750">
        <v>745</v>
      </c>
      <c r="C750">
        <v>1161</v>
      </c>
      <c r="D750" t="s">
        <v>2192</v>
      </c>
      <c r="E750" t="str">
        <f>IF(NOT(ISERROR(VLOOKUP(D750,'ESO DungeonFinder'!$A$2:$A$999,1,FALSE))),"X","")</f>
        <v/>
      </c>
      <c r="F750" s="70" t="str">
        <f t="shared" si="44"/>
        <v>X</v>
      </c>
      <c r="G750" s="70" t="str">
        <f t="shared" si="47"/>
        <v/>
      </c>
      <c r="H750" s="70">
        <f t="shared" si="45"/>
        <v>1161</v>
      </c>
      <c r="I750" s="70">
        <f t="shared" si="46"/>
        <v>1161</v>
      </c>
      <c r="J750">
        <v>0</v>
      </c>
      <c r="K750" s="3" t="str">
        <f>VLOOKUP(J750,ConstDLCIds!$A$4:$B$1000,2,FALSE)</f>
        <v>DLC_BASE_GAME</v>
      </c>
      <c r="L750" s="3" t="str">
        <f>VLOOKUP(J750,ConstDLCIds!$A$4:$C$1000,3,FALSE)</f>
        <v>Included in base game</v>
      </c>
    </row>
    <row r="751" spans="1:12" x14ac:dyDescent="0.25">
      <c r="A751">
        <v>1165</v>
      </c>
      <c r="B751">
        <v>746</v>
      </c>
      <c r="C751">
        <v>1161</v>
      </c>
      <c r="D751" t="s">
        <v>2818</v>
      </c>
      <c r="E751" t="str">
        <f>IF(NOT(ISERROR(VLOOKUP(D751,'ESO DungeonFinder'!$A$2:$A$999,1,FALSE))),"X","")</f>
        <v/>
      </c>
      <c r="F751" s="70" t="str">
        <f t="shared" si="44"/>
        <v/>
      </c>
      <c r="G751" s="70" t="str">
        <f t="shared" si="47"/>
        <v>Blackreach: Greymoor Caverns</v>
      </c>
      <c r="H751" s="70">
        <f t="shared" si="45"/>
        <v>1165</v>
      </c>
      <c r="I751" s="70">
        <f t="shared" si="46"/>
        <v>1161</v>
      </c>
      <c r="J751">
        <v>18</v>
      </c>
      <c r="K751" s="3" t="str">
        <f ca="1">VLOOKUP(J751,ConstDLCIds!$A$4:$B$1000,2,FALSE)</f>
        <v>DLC_GREYMOOR</v>
      </c>
      <c r="L751" s="3" t="str">
        <f ca="1">VLOOKUP(J751,ConstDLCIds!$A$4:$C$1000,3,FALSE)</f>
        <v>Greymoor</v>
      </c>
    </row>
    <row r="752" spans="1:12" x14ac:dyDescent="0.25">
      <c r="A752">
        <v>1166</v>
      </c>
      <c r="B752">
        <v>747</v>
      </c>
      <c r="C752">
        <v>1160</v>
      </c>
      <c r="D752" t="s">
        <v>2819</v>
      </c>
      <c r="E752" t="str">
        <f>IF(NOT(ISERROR(VLOOKUP(D752,'ESO DungeonFinder'!$A$2:$A$999,1,FALSE))),"X","")</f>
        <v/>
      </c>
      <c r="F752" s="70" t="str">
        <f t="shared" si="44"/>
        <v/>
      </c>
      <c r="G752" s="70" t="str">
        <f t="shared" si="47"/>
        <v>Western Skyrim</v>
      </c>
      <c r="H752" s="70">
        <f t="shared" si="45"/>
        <v>1166</v>
      </c>
      <c r="I752" s="70">
        <f t="shared" si="46"/>
        <v>1160</v>
      </c>
      <c r="J752">
        <v>18</v>
      </c>
      <c r="K752" s="3" t="str">
        <f ca="1">VLOOKUP(J752,ConstDLCIds!$A$4:$B$1000,2,FALSE)</f>
        <v>DLC_GREYMOOR</v>
      </c>
      <c r="L752" s="3" t="str">
        <f ca="1">VLOOKUP(J752,ConstDLCIds!$A$4:$C$1000,3,FALSE)</f>
        <v>Greymoor</v>
      </c>
    </row>
    <row r="753" spans="1:12" x14ac:dyDescent="0.25">
      <c r="A753">
        <v>1167</v>
      </c>
      <c r="B753">
        <v>748</v>
      </c>
      <c r="C753">
        <v>1160</v>
      </c>
      <c r="D753" t="s">
        <v>2820</v>
      </c>
      <c r="E753" t="str">
        <f>IF(NOT(ISERROR(VLOOKUP(D753,'ESO DungeonFinder'!$A$2:$A$999,1,FALSE))),"X","")</f>
        <v/>
      </c>
      <c r="F753" s="70" t="str">
        <f t="shared" si="44"/>
        <v/>
      </c>
      <c r="G753" s="70" t="str">
        <f t="shared" si="47"/>
        <v>Western Skyrim</v>
      </c>
      <c r="H753" s="70">
        <f t="shared" si="45"/>
        <v>1167</v>
      </c>
      <c r="I753" s="70">
        <f t="shared" si="46"/>
        <v>1160</v>
      </c>
      <c r="J753">
        <v>18</v>
      </c>
      <c r="K753" s="3" t="str">
        <f ca="1">VLOOKUP(J753,ConstDLCIds!$A$4:$B$1000,2,FALSE)</f>
        <v>DLC_GREYMOOR</v>
      </c>
      <c r="L753" s="3" t="str">
        <f ca="1">VLOOKUP(J753,ConstDLCIds!$A$4:$C$1000,3,FALSE)</f>
        <v>Greymoor</v>
      </c>
    </row>
    <row r="754" spans="1:12" x14ac:dyDescent="0.25">
      <c r="A754">
        <v>1168</v>
      </c>
      <c r="B754">
        <v>749</v>
      </c>
      <c r="C754">
        <v>1160</v>
      </c>
      <c r="D754" t="s">
        <v>2821</v>
      </c>
      <c r="E754" t="str">
        <f>IF(NOT(ISERROR(VLOOKUP(D754,'ESO DungeonFinder'!$A$2:$A$999,1,FALSE))),"X","")</f>
        <v/>
      </c>
      <c r="F754" s="70" t="str">
        <f t="shared" si="44"/>
        <v/>
      </c>
      <c r="G754" s="70" t="str">
        <f t="shared" si="47"/>
        <v>Western Skyrim</v>
      </c>
      <c r="H754" s="70">
        <f t="shared" si="45"/>
        <v>1168</v>
      </c>
      <c r="I754" s="70">
        <f t="shared" si="46"/>
        <v>1160</v>
      </c>
      <c r="J754">
        <v>18</v>
      </c>
      <c r="K754" s="3" t="str">
        <f ca="1">VLOOKUP(J754,ConstDLCIds!$A$4:$B$1000,2,FALSE)</f>
        <v>DLC_GREYMOOR</v>
      </c>
      <c r="L754" s="3" t="str">
        <f ca="1">VLOOKUP(J754,ConstDLCIds!$A$4:$C$1000,3,FALSE)</f>
        <v>Greymoor</v>
      </c>
    </row>
    <row r="755" spans="1:12" x14ac:dyDescent="0.25">
      <c r="A755">
        <v>1169</v>
      </c>
      <c r="B755">
        <v>750</v>
      </c>
      <c r="C755">
        <v>1160</v>
      </c>
      <c r="D755" t="s">
        <v>2822</v>
      </c>
      <c r="E755" t="str">
        <f>IF(NOT(ISERROR(VLOOKUP(D755,'ESO DungeonFinder'!$A$2:$A$999,1,FALSE))),"X","")</f>
        <v/>
      </c>
      <c r="F755" s="70" t="str">
        <f t="shared" si="44"/>
        <v/>
      </c>
      <c r="G755" s="70" t="str">
        <f t="shared" si="47"/>
        <v>Western Skyrim</v>
      </c>
      <c r="H755" s="70">
        <f t="shared" si="45"/>
        <v>1169</v>
      </c>
      <c r="I755" s="70">
        <f t="shared" si="46"/>
        <v>1160</v>
      </c>
      <c r="J755">
        <v>18</v>
      </c>
      <c r="K755" s="3" t="str">
        <f ca="1">VLOOKUP(J755,ConstDLCIds!$A$4:$B$1000,2,FALSE)</f>
        <v>DLC_GREYMOOR</v>
      </c>
      <c r="L755" s="3" t="str">
        <f ca="1">VLOOKUP(J755,ConstDLCIds!$A$4:$C$1000,3,FALSE)</f>
        <v>Greymoor</v>
      </c>
    </row>
    <row r="756" spans="1:12" x14ac:dyDescent="0.25">
      <c r="A756">
        <v>1170</v>
      </c>
      <c r="B756">
        <v>751</v>
      </c>
      <c r="C756">
        <v>1160</v>
      </c>
      <c r="D756" t="s">
        <v>2823</v>
      </c>
      <c r="E756" t="str">
        <f>IF(NOT(ISERROR(VLOOKUP(D756,'ESO DungeonFinder'!$A$2:$A$999,1,FALSE))),"X","")</f>
        <v/>
      </c>
      <c r="F756" s="70" t="str">
        <f t="shared" si="44"/>
        <v/>
      </c>
      <c r="G756" s="70" t="str">
        <f t="shared" si="47"/>
        <v>Western Skyrim</v>
      </c>
      <c r="H756" s="70">
        <f t="shared" si="45"/>
        <v>1170</v>
      </c>
      <c r="I756" s="70">
        <f t="shared" si="46"/>
        <v>1160</v>
      </c>
      <c r="J756">
        <v>18</v>
      </c>
      <c r="K756" s="3" t="str">
        <f ca="1">VLOOKUP(J756,ConstDLCIds!$A$4:$B$1000,2,FALSE)</f>
        <v>DLC_GREYMOOR</v>
      </c>
      <c r="L756" s="3" t="str">
        <f ca="1">VLOOKUP(J756,ConstDLCIds!$A$4:$C$1000,3,FALSE)</f>
        <v>Greymoor</v>
      </c>
    </row>
    <row r="757" spans="1:12" x14ac:dyDescent="0.25">
      <c r="A757">
        <v>1171</v>
      </c>
      <c r="B757">
        <v>752</v>
      </c>
      <c r="C757">
        <v>1161</v>
      </c>
      <c r="D757" t="s">
        <v>2824</v>
      </c>
      <c r="E757" t="str">
        <f>IF(NOT(ISERROR(VLOOKUP(D757,'ESO DungeonFinder'!$A$2:$A$999,1,FALSE))),"X","")</f>
        <v/>
      </c>
      <c r="F757" s="70" t="str">
        <f t="shared" si="44"/>
        <v/>
      </c>
      <c r="G757" s="70" t="str">
        <f t="shared" si="47"/>
        <v>Blackreach: Greymoor Caverns</v>
      </c>
      <c r="H757" s="70">
        <f t="shared" si="45"/>
        <v>1171</v>
      </c>
      <c r="I757" s="70">
        <f t="shared" si="46"/>
        <v>1161</v>
      </c>
      <c r="J757">
        <v>18</v>
      </c>
      <c r="K757" s="3" t="str">
        <f ca="1">VLOOKUP(J757,ConstDLCIds!$A$4:$B$1000,2,FALSE)</f>
        <v>DLC_GREYMOOR</v>
      </c>
      <c r="L757" s="3" t="str">
        <f ca="1">VLOOKUP(J757,ConstDLCIds!$A$4:$C$1000,3,FALSE)</f>
        <v>Greymoor</v>
      </c>
    </row>
    <row r="758" spans="1:12" x14ac:dyDescent="0.25">
      <c r="A758">
        <v>1172</v>
      </c>
      <c r="B758">
        <v>753</v>
      </c>
      <c r="C758">
        <v>1161</v>
      </c>
      <c r="D758" t="s">
        <v>2825</v>
      </c>
      <c r="E758" t="str">
        <f>IF(NOT(ISERROR(VLOOKUP(D758,'ESO DungeonFinder'!$A$2:$A$999,1,FALSE))),"X","")</f>
        <v/>
      </c>
      <c r="F758" s="70" t="str">
        <f t="shared" si="44"/>
        <v/>
      </c>
      <c r="G758" s="70" t="str">
        <f t="shared" si="47"/>
        <v>Blackreach: Greymoor Caverns</v>
      </c>
      <c r="H758" s="70">
        <f t="shared" si="45"/>
        <v>1172</v>
      </c>
      <c r="I758" s="70">
        <f t="shared" si="46"/>
        <v>1161</v>
      </c>
      <c r="J758">
        <v>18</v>
      </c>
      <c r="K758" s="3" t="str">
        <f ca="1">VLOOKUP(J758,ConstDLCIds!$A$4:$B$1000,2,FALSE)</f>
        <v>DLC_GREYMOOR</v>
      </c>
      <c r="L758" s="3" t="str">
        <f ca="1">VLOOKUP(J758,ConstDLCIds!$A$4:$C$1000,3,FALSE)</f>
        <v>Greymoor</v>
      </c>
    </row>
    <row r="759" spans="1:12" x14ac:dyDescent="0.25">
      <c r="A759">
        <v>1173</v>
      </c>
      <c r="B759">
        <v>754</v>
      </c>
      <c r="C759">
        <v>1161</v>
      </c>
      <c r="D759" t="s">
        <v>2826</v>
      </c>
      <c r="E759" t="str">
        <f>IF(NOT(ISERROR(VLOOKUP(D759,'ESO DungeonFinder'!$A$2:$A$999,1,FALSE))),"X","")</f>
        <v/>
      </c>
      <c r="F759" s="70" t="str">
        <f t="shared" si="44"/>
        <v/>
      </c>
      <c r="G759" s="70" t="str">
        <f t="shared" si="47"/>
        <v>Blackreach: Greymoor Caverns</v>
      </c>
      <c r="H759" s="70">
        <f t="shared" si="45"/>
        <v>1173</v>
      </c>
      <c r="I759" s="70">
        <f t="shared" si="46"/>
        <v>1161</v>
      </c>
      <c r="J759">
        <v>18</v>
      </c>
      <c r="K759" s="3" t="str">
        <f ca="1">VLOOKUP(J759,ConstDLCIds!$A$4:$B$1000,2,FALSE)</f>
        <v>DLC_GREYMOOR</v>
      </c>
      <c r="L759" s="3" t="str">
        <f ca="1">VLOOKUP(J759,ConstDLCIds!$A$4:$C$1000,3,FALSE)</f>
        <v>Greymoor</v>
      </c>
    </row>
    <row r="760" spans="1:12" x14ac:dyDescent="0.25">
      <c r="A760">
        <v>1174</v>
      </c>
      <c r="B760">
        <v>755</v>
      </c>
      <c r="C760">
        <v>1160</v>
      </c>
      <c r="D760" t="s">
        <v>2827</v>
      </c>
      <c r="E760" t="str">
        <f>IF(NOT(ISERROR(VLOOKUP(D760,'ESO DungeonFinder'!$A$2:$A$999,1,FALSE))),"X","")</f>
        <v/>
      </c>
      <c r="F760" s="70" t="str">
        <f t="shared" si="44"/>
        <v/>
      </c>
      <c r="G760" s="70" t="str">
        <f t="shared" si="47"/>
        <v>Western Skyrim</v>
      </c>
      <c r="H760" s="70">
        <f t="shared" si="45"/>
        <v>1174</v>
      </c>
      <c r="I760" s="70">
        <f t="shared" si="46"/>
        <v>1160</v>
      </c>
      <c r="J760">
        <v>18</v>
      </c>
      <c r="K760" s="3" t="str">
        <f ca="1">VLOOKUP(J760,ConstDLCIds!$A$4:$B$1000,2,FALSE)</f>
        <v>DLC_GREYMOOR</v>
      </c>
      <c r="L760" s="3" t="str">
        <f ca="1">VLOOKUP(J760,ConstDLCIds!$A$4:$C$1000,3,FALSE)</f>
        <v>Greymoor</v>
      </c>
    </row>
    <row r="761" spans="1:12" x14ac:dyDescent="0.25">
      <c r="A761">
        <v>1175</v>
      </c>
      <c r="B761">
        <v>756</v>
      </c>
      <c r="C761">
        <v>1175</v>
      </c>
      <c r="D761" t="s">
        <v>2828</v>
      </c>
      <c r="E761" t="str">
        <f>IF(NOT(ISERROR(VLOOKUP(D761,'ESO DungeonFinder'!$A$2:$A$999,1,FALSE))),"X","")</f>
        <v/>
      </c>
      <c r="F761" s="70" t="str">
        <f t="shared" si="44"/>
        <v>X</v>
      </c>
      <c r="G761" s="70" t="str">
        <f t="shared" si="47"/>
        <v/>
      </c>
      <c r="H761" s="70">
        <f t="shared" si="45"/>
        <v>1175</v>
      </c>
      <c r="I761" s="70">
        <f t="shared" si="46"/>
        <v>1175</v>
      </c>
      <c r="J761">
        <v>0</v>
      </c>
      <c r="K761" s="3" t="str">
        <f>VLOOKUP(J761,ConstDLCIds!$A$4:$B$1000,2,FALSE)</f>
        <v>DLC_BASE_GAME</v>
      </c>
      <c r="L761" s="3" t="str">
        <f>VLOOKUP(J761,ConstDLCIds!$A$4:$C$1000,3,FALSE)</f>
        <v>Included in base game</v>
      </c>
    </row>
    <row r="762" spans="1:12" x14ac:dyDescent="0.25">
      <c r="A762">
        <v>1176</v>
      </c>
      <c r="B762">
        <v>757</v>
      </c>
      <c r="C762">
        <v>1160</v>
      </c>
      <c r="D762" t="s">
        <v>2829</v>
      </c>
      <c r="E762" t="str">
        <f>IF(NOT(ISERROR(VLOOKUP(D762,'ESO DungeonFinder'!$A$2:$A$999,1,FALSE))),"X","")</f>
        <v/>
      </c>
      <c r="F762" s="70" t="str">
        <f t="shared" si="44"/>
        <v/>
      </c>
      <c r="G762" s="70" t="str">
        <f t="shared" si="47"/>
        <v>Western Skyrim</v>
      </c>
      <c r="H762" s="70">
        <f t="shared" si="45"/>
        <v>1176</v>
      </c>
      <c r="I762" s="70">
        <f t="shared" si="46"/>
        <v>1160</v>
      </c>
      <c r="J762">
        <v>18</v>
      </c>
      <c r="K762" s="3" t="str">
        <f ca="1">VLOOKUP(J762,ConstDLCIds!$A$4:$B$1000,2,FALSE)</f>
        <v>DLC_GREYMOOR</v>
      </c>
      <c r="L762" s="3" t="str">
        <f ca="1">VLOOKUP(J762,ConstDLCIds!$A$4:$C$1000,3,FALSE)</f>
        <v>Greymoor</v>
      </c>
    </row>
    <row r="763" spans="1:12" x14ac:dyDescent="0.25">
      <c r="A763">
        <v>1177</v>
      </c>
      <c r="B763">
        <v>758</v>
      </c>
      <c r="C763">
        <v>1160</v>
      </c>
      <c r="D763" t="s">
        <v>2830</v>
      </c>
      <c r="E763" t="str">
        <f>IF(NOT(ISERROR(VLOOKUP(D763,'ESO DungeonFinder'!$A$2:$A$999,1,FALSE))),"X","")</f>
        <v/>
      </c>
      <c r="F763" s="70" t="str">
        <f t="shared" si="44"/>
        <v/>
      </c>
      <c r="G763" s="70" t="str">
        <f t="shared" si="47"/>
        <v>Western Skyrim</v>
      </c>
      <c r="H763" s="70">
        <f t="shared" si="45"/>
        <v>1177</v>
      </c>
      <c r="I763" s="70">
        <f t="shared" si="46"/>
        <v>1160</v>
      </c>
      <c r="J763">
        <v>18</v>
      </c>
      <c r="K763" s="3" t="str">
        <f ca="1">VLOOKUP(J763,ConstDLCIds!$A$4:$B$1000,2,FALSE)</f>
        <v>DLC_GREYMOOR</v>
      </c>
      <c r="L763" s="3" t="str">
        <f ca="1">VLOOKUP(J763,ConstDLCIds!$A$4:$C$1000,3,FALSE)</f>
        <v>Greymoor</v>
      </c>
    </row>
    <row r="764" spans="1:12" x14ac:dyDescent="0.25">
      <c r="A764">
        <v>1178</v>
      </c>
      <c r="B764">
        <v>759</v>
      </c>
      <c r="C764">
        <v>1160</v>
      </c>
      <c r="D764" t="s">
        <v>2831</v>
      </c>
      <c r="E764" t="str">
        <f>IF(NOT(ISERROR(VLOOKUP(D764,'ESO DungeonFinder'!$A$2:$A$999,1,FALSE))),"X","")</f>
        <v/>
      </c>
      <c r="F764" s="70" t="str">
        <f t="shared" si="44"/>
        <v/>
      </c>
      <c r="G764" s="70" t="str">
        <f t="shared" si="47"/>
        <v>Western Skyrim</v>
      </c>
      <c r="H764" s="70">
        <f t="shared" si="45"/>
        <v>1178</v>
      </c>
      <c r="I764" s="70">
        <f t="shared" si="46"/>
        <v>1160</v>
      </c>
      <c r="J764">
        <v>18</v>
      </c>
      <c r="K764" s="3" t="str">
        <f ca="1">VLOOKUP(J764,ConstDLCIds!$A$4:$B$1000,2,FALSE)</f>
        <v>DLC_GREYMOOR</v>
      </c>
      <c r="L764" s="3" t="str">
        <f ca="1">VLOOKUP(J764,ConstDLCIds!$A$4:$C$1000,3,FALSE)</f>
        <v>Greymoor</v>
      </c>
    </row>
    <row r="765" spans="1:12" x14ac:dyDescent="0.25">
      <c r="A765">
        <v>1179</v>
      </c>
      <c r="B765">
        <v>760</v>
      </c>
      <c r="C765">
        <v>1160</v>
      </c>
      <c r="D765" t="s">
        <v>2832</v>
      </c>
      <c r="E765" t="str">
        <f>IF(NOT(ISERROR(VLOOKUP(D765,'ESO DungeonFinder'!$A$2:$A$999,1,FALSE))),"X","")</f>
        <v/>
      </c>
      <c r="F765" s="70" t="str">
        <f t="shared" si="44"/>
        <v/>
      </c>
      <c r="G765" s="70" t="str">
        <f t="shared" si="47"/>
        <v>Western Skyrim</v>
      </c>
      <c r="H765" s="70">
        <f t="shared" si="45"/>
        <v>1179</v>
      </c>
      <c r="I765" s="70">
        <f t="shared" si="46"/>
        <v>1160</v>
      </c>
      <c r="J765">
        <v>18</v>
      </c>
      <c r="K765" s="3" t="str">
        <f ca="1">VLOOKUP(J765,ConstDLCIds!$A$4:$B$1000,2,FALSE)</f>
        <v>DLC_GREYMOOR</v>
      </c>
      <c r="L765" s="3" t="str">
        <f ca="1">VLOOKUP(J765,ConstDLCIds!$A$4:$C$1000,3,FALSE)</f>
        <v>Greymoor</v>
      </c>
    </row>
    <row r="766" spans="1:12" x14ac:dyDescent="0.25">
      <c r="A766">
        <v>1180</v>
      </c>
      <c r="B766">
        <v>761</v>
      </c>
      <c r="C766">
        <v>383</v>
      </c>
      <c r="D766" t="s">
        <v>2833</v>
      </c>
      <c r="E766" t="str">
        <f>IF(NOT(ISERROR(VLOOKUP(D766,'ESO DungeonFinder'!$A$2:$A$999,1,FALSE))),"X","")</f>
        <v/>
      </c>
      <c r="F766" s="70" t="str">
        <f t="shared" si="44"/>
        <v/>
      </c>
      <c r="G766" s="70" t="str">
        <f t="shared" si="47"/>
        <v>Grahtwood</v>
      </c>
      <c r="H766" s="70">
        <f t="shared" si="45"/>
        <v>1180</v>
      </c>
      <c r="I766" s="70">
        <f t="shared" si="46"/>
        <v>383</v>
      </c>
      <c r="J766">
        <v>0</v>
      </c>
      <c r="K766" s="3" t="str">
        <f>VLOOKUP(J766,ConstDLCIds!$A$4:$B$1000,2,FALSE)</f>
        <v>DLC_BASE_GAME</v>
      </c>
      <c r="L766" s="3" t="str">
        <f>VLOOKUP(J766,ConstDLCIds!$A$4:$C$1000,3,FALSE)</f>
        <v>Included in base game</v>
      </c>
    </row>
    <row r="767" spans="1:12" x14ac:dyDescent="0.25">
      <c r="A767">
        <v>1181</v>
      </c>
      <c r="B767">
        <v>762</v>
      </c>
      <c r="C767">
        <v>1161</v>
      </c>
      <c r="D767" t="s">
        <v>2834</v>
      </c>
      <c r="E767" t="str">
        <f>IF(NOT(ISERROR(VLOOKUP(D767,'ESO DungeonFinder'!$A$2:$A$999,1,FALSE))),"X","")</f>
        <v/>
      </c>
      <c r="F767" s="70" t="str">
        <f t="shared" si="44"/>
        <v/>
      </c>
      <c r="G767" s="70" t="str">
        <f t="shared" si="47"/>
        <v>Blackreach: Greymoor Caverns</v>
      </c>
      <c r="H767" s="70">
        <f t="shared" si="45"/>
        <v>1181</v>
      </c>
      <c r="I767" s="70">
        <f t="shared" si="46"/>
        <v>1161</v>
      </c>
      <c r="J767">
        <v>18</v>
      </c>
      <c r="K767" s="3" t="str">
        <f ca="1">VLOOKUP(J767,ConstDLCIds!$A$4:$B$1000,2,FALSE)</f>
        <v>DLC_GREYMOOR</v>
      </c>
      <c r="L767" s="3" t="str">
        <f ca="1">VLOOKUP(J767,ConstDLCIds!$A$4:$C$1000,3,FALSE)</f>
        <v>Greymoor</v>
      </c>
    </row>
    <row r="768" spans="1:12" x14ac:dyDescent="0.25">
      <c r="A768">
        <v>1182</v>
      </c>
      <c r="B768">
        <v>763</v>
      </c>
      <c r="C768">
        <v>1160</v>
      </c>
      <c r="D768" t="s">
        <v>2835</v>
      </c>
      <c r="E768" t="str">
        <f>IF(NOT(ISERROR(VLOOKUP(D768,'ESO DungeonFinder'!$A$2:$A$999,1,FALSE))),"X","")</f>
        <v/>
      </c>
      <c r="F768" s="70" t="str">
        <f t="shared" si="44"/>
        <v/>
      </c>
      <c r="G768" s="70" t="str">
        <f t="shared" si="47"/>
        <v>Western Skyrim</v>
      </c>
      <c r="H768" s="70">
        <f t="shared" si="45"/>
        <v>1182</v>
      </c>
      <c r="I768" s="70">
        <f t="shared" si="46"/>
        <v>1160</v>
      </c>
      <c r="J768">
        <v>18</v>
      </c>
      <c r="K768" s="3" t="str">
        <f ca="1">VLOOKUP(J768,ConstDLCIds!$A$4:$B$1000,2,FALSE)</f>
        <v>DLC_GREYMOOR</v>
      </c>
      <c r="L768" s="3" t="str">
        <f ca="1">VLOOKUP(J768,ConstDLCIds!$A$4:$C$1000,3,FALSE)</f>
        <v>Greymoor</v>
      </c>
    </row>
    <row r="769" spans="1:12" x14ac:dyDescent="0.25">
      <c r="A769">
        <v>1183</v>
      </c>
      <c r="B769">
        <v>764</v>
      </c>
      <c r="C769">
        <v>1161</v>
      </c>
      <c r="D769" t="s">
        <v>2836</v>
      </c>
      <c r="E769" t="str">
        <f>IF(NOT(ISERROR(VLOOKUP(D769,'ESO DungeonFinder'!$A$2:$A$999,1,FALSE))),"X","")</f>
        <v/>
      </c>
      <c r="F769" s="70" t="str">
        <f t="shared" si="44"/>
        <v/>
      </c>
      <c r="G769" s="70" t="str">
        <f t="shared" si="47"/>
        <v>Blackreach: Greymoor Caverns</v>
      </c>
      <c r="H769" s="70">
        <f t="shared" si="45"/>
        <v>1183</v>
      </c>
      <c r="I769" s="70">
        <f t="shared" si="46"/>
        <v>1161</v>
      </c>
      <c r="J769">
        <v>18</v>
      </c>
      <c r="K769" s="3" t="str">
        <f ca="1">VLOOKUP(J769,ConstDLCIds!$A$4:$B$1000,2,FALSE)</f>
        <v>DLC_GREYMOOR</v>
      </c>
      <c r="L769" s="3" t="str">
        <f ca="1">VLOOKUP(J769,ConstDLCIds!$A$4:$C$1000,3,FALSE)</f>
        <v>Greymoor</v>
      </c>
    </row>
    <row r="770" spans="1:12" x14ac:dyDescent="0.25">
      <c r="A770">
        <v>1184</v>
      </c>
      <c r="B770">
        <v>765</v>
      </c>
      <c r="C770">
        <v>1161</v>
      </c>
      <c r="D770" t="s">
        <v>2837</v>
      </c>
      <c r="E770" t="str">
        <f>IF(NOT(ISERROR(VLOOKUP(D770,'ESO DungeonFinder'!$A$2:$A$999,1,FALSE))),"X","")</f>
        <v/>
      </c>
      <c r="F770" s="70" t="str">
        <f t="shared" si="44"/>
        <v/>
      </c>
      <c r="G770" s="70" t="str">
        <f t="shared" si="47"/>
        <v>Blackreach: Greymoor Caverns</v>
      </c>
      <c r="H770" s="70">
        <f t="shared" si="45"/>
        <v>1184</v>
      </c>
      <c r="I770" s="70">
        <f t="shared" si="46"/>
        <v>1161</v>
      </c>
      <c r="J770">
        <v>18</v>
      </c>
      <c r="K770" s="3" t="str">
        <f ca="1">VLOOKUP(J770,ConstDLCIds!$A$4:$B$1000,2,FALSE)</f>
        <v>DLC_GREYMOOR</v>
      </c>
      <c r="L770" s="3" t="str">
        <f ca="1">VLOOKUP(J770,ConstDLCIds!$A$4:$C$1000,3,FALSE)</f>
        <v>Greymoor</v>
      </c>
    </row>
    <row r="771" spans="1:12" x14ac:dyDescent="0.25">
      <c r="A771">
        <v>1185</v>
      </c>
      <c r="B771">
        <v>766</v>
      </c>
      <c r="C771">
        <v>1160</v>
      </c>
      <c r="D771" t="s">
        <v>2838</v>
      </c>
      <c r="E771" t="str">
        <f>IF(NOT(ISERROR(VLOOKUP(D771,'ESO DungeonFinder'!$A$2:$A$999,1,FALSE))),"X","")</f>
        <v/>
      </c>
      <c r="F771" s="70" t="str">
        <f t="shared" si="44"/>
        <v/>
      </c>
      <c r="G771" s="70" t="str">
        <f t="shared" si="47"/>
        <v>Western Skyrim</v>
      </c>
      <c r="H771" s="70">
        <f t="shared" si="45"/>
        <v>1185</v>
      </c>
      <c r="I771" s="70">
        <f t="shared" si="46"/>
        <v>1160</v>
      </c>
      <c r="J771">
        <v>18</v>
      </c>
      <c r="K771" s="3" t="str">
        <f ca="1">VLOOKUP(J771,ConstDLCIds!$A$4:$B$1000,2,FALSE)</f>
        <v>DLC_GREYMOOR</v>
      </c>
      <c r="L771" s="3" t="str">
        <f ca="1">VLOOKUP(J771,ConstDLCIds!$A$4:$C$1000,3,FALSE)</f>
        <v>Greymoor</v>
      </c>
    </row>
    <row r="772" spans="1:12" x14ac:dyDescent="0.25">
      <c r="A772">
        <v>1186</v>
      </c>
      <c r="B772">
        <v>767</v>
      </c>
      <c r="C772">
        <v>1160</v>
      </c>
      <c r="D772" t="s">
        <v>2190</v>
      </c>
      <c r="E772" t="str">
        <f>IF(NOT(ISERROR(VLOOKUP(D772,'ESO DungeonFinder'!$A$2:$A$999,1,FALSE))),"X","")</f>
        <v/>
      </c>
      <c r="F772" s="70" t="str">
        <f t="shared" si="44"/>
        <v/>
      </c>
      <c r="G772" s="70" t="str">
        <f t="shared" si="47"/>
        <v>Western Skyrim</v>
      </c>
      <c r="H772" s="70">
        <f t="shared" si="45"/>
        <v>1186</v>
      </c>
      <c r="I772" s="70">
        <f t="shared" si="46"/>
        <v>1160</v>
      </c>
      <c r="J772">
        <v>18</v>
      </c>
      <c r="K772" s="3" t="str">
        <f ca="1">VLOOKUP(J772,ConstDLCIds!$A$4:$B$1000,2,FALSE)</f>
        <v>DLC_GREYMOOR</v>
      </c>
      <c r="L772" s="3" t="str">
        <f ca="1">VLOOKUP(J772,ConstDLCIds!$A$4:$C$1000,3,FALSE)</f>
        <v>Greymoor</v>
      </c>
    </row>
    <row r="773" spans="1:12" x14ac:dyDescent="0.25">
      <c r="A773">
        <v>1187</v>
      </c>
      <c r="B773">
        <v>768</v>
      </c>
      <c r="C773">
        <v>1161</v>
      </c>
      <c r="D773" t="s">
        <v>2191</v>
      </c>
      <c r="E773" t="str">
        <f>IF(NOT(ISERROR(VLOOKUP(D773,'ESO DungeonFinder'!$A$2:$A$999,1,FALSE))),"X","")</f>
        <v/>
      </c>
      <c r="F773" s="70" t="str">
        <f t="shared" ref="F773:F836" si="48">IF(EXACT(A773,C773),"X","")</f>
        <v/>
      </c>
      <c r="G773" s="70" t="str">
        <f t="shared" si="47"/>
        <v>Blackreach: Greymoor Caverns</v>
      </c>
      <c r="H773" s="70">
        <f t="shared" ref="H773:H836" si="49">A773</f>
        <v>1187</v>
      </c>
      <c r="I773" s="70">
        <f t="shared" ref="I773:I836" si="50">C773</f>
        <v>1161</v>
      </c>
      <c r="J773">
        <v>18</v>
      </c>
      <c r="K773" s="3" t="str">
        <f ca="1">VLOOKUP(J773,ConstDLCIds!$A$4:$B$1000,2,FALSE)</f>
        <v>DLC_GREYMOOR</v>
      </c>
      <c r="L773" s="3" t="str">
        <f ca="1">VLOOKUP(J773,ConstDLCIds!$A$4:$C$1000,3,FALSE)</f>
        <v>Greymoor</v>
      </c>
    </row>
    <row r="774" spans="1:12" x14ac:dyDescent="0.25">
      <c r="A774">
        <v>1188</v>
      </c>
      <c r="B774">
        <v>769</v>
      </c>
      <c r="C774">
        <v>101</v>
      </c>
      <c r="D774" t="s">
        <v>2839</v>
      </c>
      <c r="E774" t="str">
        <f>IF(NOT(ISERROR(VLOOKUP(D774,'ESO DungeonFinder'!$A$2:$A$999,1,FALSE))),"X","")</f>
        <v/>
      </c>
      <c r="F774" s="70" t="str">
        <f t="shared" si="48"/>
        <v/>
      </c>
      <c r="G774" s="70" t="str">
        <f t="shared" ref="G774:G837" si="51">IF(A774&lt;&gt;C774,VLOOKUP(C774,$A$5:$D$9956,4,FALSE),"")</f>
        <v>Eastmarch</v>
      </c>
      <c r="H774" s="70">
        <f t="shared" si="49"/>
        <v>1188</v>
      </c>
      <c r="I774" s="70">
        <f t="shared" si="50"/>
        <v>101</v>
      </c>
      <c r="J774">
        <v>0</v>
      </c>
      <c r="K774" s="3" t="str">
        <f>VLOOKUP(J774,ConstDLCIds!$A$4:$B$1000,2,FALSE)</f>
        <v>DLC_BASE_GAME</v>
      </c>
      <c r="L774" s="3" t="str">
        <f>VLOOKUP(J774,ConstDLCIds!$A$4:$C$1000,3,FALSE)</f>
        <v>Included in base game</v>
      </c>
    </row>
    <row r="775" spans="1:12" x14ac:dyDescent="0.25">
      <c r="A775">
        <v>1189</v>
      </c>
      <c r="B775">
        <v>770</v>
      </c>
      <c r="C775">
        <v>101</v>
      </c>
      <c r="D775" t="s">
        <v>2839</v>
      </c>
      <c r="E775" t="str">
        <f>IF(NOT(ISERROR(VLOOKUP(D775,'ESO DungeonFinder'!$A$2:$A$999,1,FALSE))),"X","")</f>
        <v/>
      </c>
      <c r="F775" s="70" t="str">
        <f t="shared" si="48"/>
        <v/>
      </c>
      <c r="G775" s="70" t="str">
        <f t="shared" si="51"/>
        <v>Eastmarch</v>
      </c>
      <c r="H775" s="70">
        <f t="shared" si="49"/>
        <v>1189</v>
      </c>
      <c r="I775" s="70">
        <f t="shared" si="50"/>
        <v>101</v>
      </c>
      <c r="J775">
        <v>0</v>
      </c>
      <c r="K775" s="3" t="str">
        <f>VLOOKUP(J775,ConstDLCIds!$A$4:$B$1000,2,FALSE)</f>
        <v>DLC_BASE_GAME</v>
      </c>
      <c r="L775" s="3" t="str">
        <f>VLOOKUP(J775,ConstDLCIds!$A$4:$C$1000,3,FALSE)</f>
        <v>Included in base game</v>
      </c>
    </row>
    <row r="776" spans="1:12" x14ac:dyDescent="0.25">
      <c r="A776">
        <v>1190</v>
      </c>
      <c r="B776">
        <v>771</v>
      </c>
      <c r="C776">
        <v>103</v>
      </c>
      <c r="D776" t="s">
        <v>2840</v>
      </c>
      <c r="E776" t="str">
        <f>IF(NOT(ISERROR(VLOOKUP(D776,'ESO DungeonFinder'!$A$2:$A$999,1,FALSE))),"X","")</f>
        <v/>
      </c>
      <c r="F776" s="70" t="str">
        <f t="shared" si="48"/>
        <v/>
      </c>
      <c r="G776" s="70" t="str">
        <f t="shared" si="51"/>
        <v>The Rift</v>
      </c>
      <c r="H776" s="70">
        <f t="shared" si="49"/>
        <v>1190</v>
      </c>
      <c r="I776" s="70">
        <f t="shared" si="50"/>
        <v>103</v>
      </c>
      <c r="J776">
        <v>0</v>
      </c>
      <c r="K776" s="3" t="str">
        <f>VLOOKUP(J776,ConstDLCIds!$A$4:$B$1000,2,FALSE)</f>
        <v>DLC_BASE_GAME</v>
      </c>
      <c r="L776" s="3" t="str">
        <f>VLOOKUP(J776,ConstDLCIds!$A$4:$C$1000,3,FALSE)</f>
        <v>Included in base game</v>
      </c>
    </row>
    <row r="777" spans="1:12" x14ac:dyDescent="0.25">
      <c r="A777">
        <v>1191</v>
      </c>
      <c r="B777">
        <v>772</v>
      </c>
      <c r="C777">
        <v>101</v>
      </c>
      <c r="D777" t="s">
        <v>2841</v>
      </c>
      <c r="E777" t="str">
        <f>IF(NOT(ISERROR(VLOOKUP(D777,'ESO DungeonFinder'!$A$2:$A$999,1,FALSE))),"X","")</f>
        <v/>
      </c>
      <c r="F777" s="70" t="str">
        <f t="shared" si="48"/>
        <v/>
      </c>
      <c r="G777" s="70" t="str">
        <f t="shared" si="51"/>
        <v>Eastmarch</v>
      </c>
      <c r="H777" s="70">
        <f t="shared" si="49"/>
        <v>1191</v>
      </c>
      <c r="I777" s="70">
        <f t="shared" si="50"/>
        <v>101</v>
      </c>
      <c r="J777">
        <v>0</v>
      </c>
      <c r="K777" s="3" t="str">
        <f>VLOOKUP(J777,ConstDLCIds!$A$4:$B$1000,2,FALSE)</f>
        <v>DLC_BASE_GAME</v>
      </c>
      <c r="L777" s="3" t="str">
        <f>VLOOKUP(J777,ConstDLCIds!$A$4:$C$1000,3,FALSE)</f>
        <v>Included in base game</v>
      </c>
    </row>
    <row r="778" spans="1:12" x14ac:dyDescent="0.25">
      <c r="A778">
        <v>1192</v>
      </c>
      <c r="B778">
        <v>773</v>
      </c>
      <c r="C778">
        <v>1133</v>
      </c>
      <c r="D778" t="s">
        <v>2842</v>
      </c>
      <c r="E778" t="str">
        <f>IF(NOT(ISERROR(VLOOKUP(D778,'ESO DungeonFinder'!$A$2:$A$999,1,FALSE))),"X","")</f>
        <v/>
      </c>
      <c r="F778" s="70" t="str">
        <f t="shared" si="48"/>
        <v/>
      </c>
      <c r="G778" s="70" t="str">
        <f t="shared" si="51"/>
        <v>Southern Elsweyr</v>
      </c>
      <c r="H778" s="70">
        <f t="shared" si="49"/>
        <v>1192</v>
      </c>
      <c r="I778" s="70">
        <f t="shared" si="50"/>
        <v>1133</v>
      </c>
      <c r="J778">
        <v>16</v>
      </c>
      <c r="K778" s="3" t="str">
        <f ca="1">VLOOKUP(J778,ConstDLCIds!$A$4:$B$1000,2,FALSE)</f>
        <v>DLC_DRAGONHOLD</v>
      </c>
      <c r="L778" s="3" t="str">
        <f ca="1">VLOOKUP(J778,ConstDLCIds!$A$4:$C$1000,3,FALSE)</f>
        <v>Dragonhold</v>
      </c>
    </row>
    <row r="779" spans="1:12" x14ac:dyDescent="0.25">
      <c r="A779">
        <v>1193</v>
      </c>
      <c r="B779">
        <v>774</v>
      </c>
      <c r="C779">
        <v>1133</v>
      </c>
      <c r="D779" t="s">
        <v>2843</v>
      </c>
      <c r="E779" t="str">
        <f>IF(NOT(ISERROR(VLOOKUP(D779,'ESO DungeonFinder'!$A$2:$A$999,1,FALSE))),"X","")</f>
        <v/>
      </c>
      <c r="F779" s="70" t="str">
        <f t="shared" si="48"/>
        <v/>
      </c>
      <c r="G779" s="70" t="str">
        <f t="shared" si="51"/>
        <v>Southern Elsweyr</v>
      </c>
      <c r="H779" s="70">
        <f t="shared" si="49"/>
        <v>1193</v>
      </c>
      <c r="I779" s="70">
        <f t="shared" si="50"/>
        <v>1133</v>
      </c>
      <c r="J779">
        <v>16</v>
      </c>
      <c r="K779" s="3" t="str">
        <f ca="1">VLOOKUP(J779,ConstDLCIds!$A$4:$B$1000,2,FALSE)</f>
        <v>DLC_DRAGONHOLD</v>
      </c>
      <c r="L779" s="3" t="str">
        <f ca="1">VLOOKUP(J779,ConstDLCIds!$A$4:$C$1000,3,FALSE)</f>
        <v>Dragonhold</v>
      </c>
    </row>
    <row r="780" spans="1:12" x14ac:dyDescent="0.25">
      <c r="A780">
        <v>1195</v>
      </c>
      <c r="B780">
        <v>775</v>
      </c>
      <c r="C780">
        <v>1161</v>
      </c>
      <c r="D780" t="s">
        <v>2844</v>
      </c>
      <c r="E780" t="str">
        <f>IF(NOT(ISERROR(VLOOKUP(D780,'ESO DungeonFinder'!$A$2:$A$999,1,FALSE))),"X","")</f>
        <v/>
      </c>
      <c r="F780" s="70" t="str">
        <f t="shared" si="48"/>
        <v/>
      </c>
      <c r="G780" s="70" t="str">
        <f t="shared" si="51"/>
        <v>Blackreach: Greymoor Caverns</v>
      </c>
      <c r="H780" s="70">
        <f t="shared" si="49"/>
        <v>1195</v>
      </c>
      <c r="I780" s="70">
        <f t="shared" si="50"/>
        <v>1161</v>
      </c>
      <c r="J780">
        <v>18</v>
      </c>
      <c r="K780" s="3" t="str">
        <f ca="1">VLOOKUP(J780,ConstDLCIds!$A$4:$B$1000,2,FALSE)</f>
        <v>DLC_GREYMOOR</v>
      </c>
      <c r="L780" s="3" t="str">
        <f ca="1">VLOOKUP(J780,ConstDLCIds!$A$4:$C$1000,3,FALSE)</f>
        <v>Greymoor</v>
      </c>
    </row>
    <row r="781" spans="1:12" x14ac:dyDescent="0.25">
      <c r="A781">
        <v>1196</v>
      </c>
      <c r="B781">
        <v>776</v>
      </c>
      <c r="C781">
        <v>1160</v>
      </c>
      <c r="D781" t="s">
        <v>1383</v>
      </c>
      <c r="E781" t="str">
        <f>IF(NOT(ISERROR(VLOOKUP(D781,'ESO DungeonFinder'!$A$2:$A$999,1,FALSE))),"X","")</f>
        <v/>
      </c>
      <c r="F781" s="70" t="str">
        <f t="shared" si="48"/>
        <v/>
      </c>
      <c r="G781" s="70" t="str">
        <f t="shared" si="51"/>
        <v>Western Skyrim</v>
      </c>
      <c r="H781" s="70">
        <f t="shared" si="49"/>
        <v>1196</v>
      </c>
      <c r="I781" s="70">
        <f t="shared" si="50"/>
        <v>1160</v>
      </c>
      <c r="J781">
        <v>18</v>
      </c>
      <c r="K781" s="3" t="str">
        <f ca="1">VLOOKUP(J781,ConstDLCIds!$A$4:$B$1000,2,FALSE)</f>
        <v>DLC_GREYMOOR</v>
      </c>
      <c r="L781" s="3" t="str">
        <f ca="1">VLOOKUP(J781,ConstDLCIds!$A$4:$C$1000,3,FALSE)</f>
        <v>Greymoor</v>
      </c>
    </row>
    <row r="782" spans="1:12" x14ac:dyDescent="0.25">
      <c r="A782">
        <v>1197</v>
      </c>
      <c r="B782">
        <v>777</v>
      </c>
      <c r="C782">
        <v>1161</v>
      </c>
      <c r="D782" t="s">
        <v>1436</v>
      </c>
      <c r="E782" t="str">
        <f>IF(NOT(ISERROR(VLOOKUP(D782,'ESO DungeonFinder'!$A$2:$A$999,1,FALSE))),"X","")</f>
        <v>X</v>
      </c>
      <c r="F782" s="70" t="str">
        <f t="shared" si="48"/>
        <v/>
      </c>
      <c r="G782" s="70" t="str">
        <f t="shared" si="51"/>
        <v>Blackreach: Greymoor Caverns</v>
      </c>
      <c r="H782" s="70">
        <f t="shared" si="49"/>
        <v>1197</v>
      </c>
      <c r="I782" s="70">
        <f t="shared" si="50"/>
        <v>1161</v>
      </c>
      <c r="J782">
        <v>19</v>
      </c>
      <c r="K782" s="3" t="str">
        <f ca="1">VLOOKUP(J782,ConstDLCIds!$A$4:$B$1000,2,FALSE)</f>
        <v>DLC_STONETHORN</v>
      </c>
      <c r="L782" s="3" t="str">
        <f ca="1">VLOOKUP(J782,ConstDLCIds!$A$4:$C$1000,3,FALSE)</f>
        <v>Stonethorn</v>
      </c>
    </row>
    <row r="783" spans="1:12" x14ac:dyDescent="0.25">
      <c r="A783">
        <v>1199</v>
      </c>
      <c r="B783">
        <v>778</v>
      </c>
      <c r="C783">
        <v>684</v>
      </c>
      <c r="D783" t="s">
        <v>2845</v>
      </c>
      <c r="E783" t="str">
        <f>IF(NOT(ISERROR(VLOOKUP(D783,'ESO DungeonFinder'!$A$2:$A$999,1,FALSE))),"X","")</f>
        <v/>
      </c>
      <c r="F783" s="70" t="str">
        <f t="shared" si="48"/>
        <v/>
      </c>
      <c r="G783" s="70" t="str">
        <f t="shared" si="51"/>
        <v>Wrothgar</v>
      </c>
      <c r="H783" s="70">
        <f t="shared" si="49"/>
        <v>1199</v>
      </c>
      <c r="I783" s="70">
        <f t="shared" si="50"/>
        <v>684</v>
      </c>
      <c r="J783">
        <v>2</v>
      </c>
      <c r="K783" s="3" t="str">
        <f ca="1">VLOOKUP(J783,ConstDLCIds!$A$4:$B$1000,2,FALSE)</f>
        <v>DLC_ORSINIUM</v>
      </c>
      <c r="L783" s="3" t="str">
        <f ca="1">VLOOKUP(J783,ConstDLCIds!$A$4:$C$1000,3,FALSE)</f>
        <v>Orsinium</v>
      </c>
    </row>
    <row r="784" spans="1:12" x14ac:dyDescent="0.25">
      <c r="A784">
        <v>1200</v>
      </c>
      <c r="B784">
        <v>779</v>
      </c>
      <c r="C784">
        <v>92</v>
      </c>
      <c r="D784" t="s">
        <v>2846</v>
      </c>
      <c r="E784" t="str">
        <f>IF(NOT(ISERROR(VLOOKUP(D784,'ESO DungeonFinder'!$A$2:$A$999,1,FALSE))),"X","")</f>
        <v/>
      </c>
      <c r="F784" s="70" t="str">
        <f t="shared" si="48"/>
        <v/>
      </c>
      <c r="G784" s="70" t="str">
        <f t="shared" si="51"/>
        <v>Bangkorai</v>
      </c>
      <c r="H784" s="70">
        <f t="shared" si="49"/>
        <v>1200</v>
      </c>
      <c r="I784" s="70">
        <f t="shared" si="50"/>
        <v>92</v>
      </c>
      <c r="J784">
        <v>0</v>
      </c>
      <c r="K784" s="3" t="str">
        <f>VLOOKUP(J784,ConstDLCIds!$A$4:$B$1000,2,FALSE)</f>
        <v>DLC_BASE_GAME</v>
      </c>
      <c r="L784" s="3" t="str">
        <f>VLOOKUP(J784,ConstDLCIds!$A$4:$C$1000,3,FALSE)</f>
        <v>Included in base game</v>
      </c>
    </row>
    <row r="785" spans="1:12" x14ac:dyDescent="0.25">
      <c r="A785">
        <v>1201</v>
      </c>
      <c r="B785">
        <v>780</v>
      </c>
      <c r="C785">
        <v>1160</v>
      </c>
      <c r="D785" t="s">
        <v>1429</v>
      </c>
      <c r="E785" t="str">
        <f>IF(NOT(ISERROR(VLOOKUP(D785,'ESO DungeonFinder'!$A$2:$A$999,1,FALSE))),"X","")</f>
        <v>X</v>
      </c>
      <c r="F785" s="70" t="str">
        <f t="shared" si="48"/>
        <v/>
      </c>
      <c r="G785" s="70" t="str">
        <f t="shared" si="51"/>
        <v>Western Skyrim</v>
      </c>
      <c r="H785" s="70">
        <f t="shared" si="49"/>
        <v>1201</v>
      </c>
      <c r="I785" s="70">
        <f t="shared" si="50"/>
        <v>1160</v>
      </c>
      <c r="J785">
        <v>19</v>
      </c>
      <c r="K785" s="3" t="str">
        <f ca="1">VLOOKUP(J785,ConstDLCIds!$A$4:$B$1000,2,FALSE)</f>
        <v>DLC_STONETHORN</v>
      </c>
      <c r="L785" s="3" t="str">
        <f ca="1">VLOOKUP(J785,ConstDLCIds!$A$4:$C$1000,3,FALSE)</f>
        <v>Stonethorn</v>
      </c>
    </row>
    <row r="786" spans="1:12" x14ac:dyDescent="0.25">
      <c r="A786">
        <v>1204</v>
      </c>
      <c r="B786">
        <v>781</v>
      </c>
      <c r="C786">
        <v>1204</v>
      </c>
      <c r="D786" t="s">
        <v>2847</v>
      </c>
      <c r="E786" t="str">
        <f>IF(NOT(ISERROR(VLOOKUP(D786,'ESO DungeonFinder'!$A$2:$A$999,1,FALSE))),"X","")</f>
        <v/>
      </c>
      <c r="F786" s="70" t="str">
        <f t="shared" si="48"/>
        <v>X</v>
      </c>
      <c r="G786" s="70" t="str">
        <f t="shared" si="51"/>
        <v/>
      </c>
      <c r="H786" s="70">
        <f t="shared" si="49"/>
        <v>1204</v>
      </c>
      <c r="I786" s="70">
        <f t="shared" si="50"/>
        <v>1204</v>
      </c>
      <c r="J786">
        <v>18</v>
      </c>
      <c r="K786" s="3" t="str">
        <f ca="1">VLOOKUP(J786,ConstDLCIds!$A$4:$B$1000,2,FALSE)</f>
        <v>DLC_GREYMOOR</v>
      </c>
      <c r="L786" s="3" t="str">
        <f ca="1">VLOOKUP(J786,ConstDLCIds!$A$4:$C$1000,3,FALSE)</f>
        <v>Greymoor</v>
      </c>
    </row>
    <row r="787" spans="1:12" x14ac:dyDescent="0.25">
      <c r="A787">
        <v>1205</v>
      </c>
      <c r="B787">
        <v>782</v>
      </c>
      <c r="C787">
        <v>20</v>
      </c>
      <c r="D787" t="s">
        <v>2848</v>
      </c>
      <c r="E787" t="str">
        <f>IF(NOT(ISERROR(VLOOKUP(D787,'ESO DungeonFinder'!$A$2:$A$999,1,FALSE))),"X","")</f>
        <v/>
      </c>
      <c r="F787" s="70" t="str">
        <f t="shared" si="48"/>
        <v/>
      </c>
      <c r="G787" s="70" t="str">
        <f t="shared" si="51"/>
        <v>Rivenspire</v>
      </c>
      <c r="H787" s="70">
        <f t="shared" si="49"/>
        <v>1205</v>
      </c>
      <c r="I787" s="70">
        <f t="shared" si="50"/>
        <v>20</v>
      </c>
      <c r="J787">
        <v>0</v>
      </c>
      <c r="K787" s="3" t="str">
        <f>VLOOKUP(J787,ConstDLCIds!$A$4:$B$1000,2,FALSE)</f>
        <v>DLC_BASE_GAME</v>
      </c>
      <c r="L787" s="3" t="str">
        <f>VLOOKUP(J787,ConstDLCIds!$A$4:$C$1000,3,FALSE)</f>
        <v>Included in base game</v>
      </c>
    </row>
    <row r="788" spans="1:12" x14ac:dyDescent="0.25">
      <c r="A788">
        <v>1206</v>
      </c>
      <c r="B788">
        <v>783</v>
      </c>
      <c r="C788">
        <v>20</v>
      </c>
      <c r="D788" t="s">
        <v>2849</v>
      </c>
      <c r="E788" t="str">
        <f>IF(NOT(ISERROR(VLOOKUP(D788,'ESO DungeonFinder'!$A$2:$A$999,1,FALSE))),"X","")</f>
        <v/>
      </c>
      <c r="F788" s="70" t="str">
        <f t="shared" si="48"/>
        <v/>
      </c>
      <c r="G788" s="70" t="str">
        <f t="shared" si="51"/>
        <v>Rivenspire</v>
      </c>
      <c r="H788" s="70">
        <f t="shared" si="49"/>
        <v>1206</v>
      </c>
      <c r="I788" s="70">
        <f t="shared" si="50"/>
        <v>20</v>
      </c>
      <c r="J788">
        <v>0</v>
      </c>
      <c r="K788" s="3" t="str">
        <f>VLOOKUP(J788,ConstDLCIds!$A$4:$B$1000,2,FALSE)</f>
        <v>DLC_BASE_GAME</v>
      </c>
      <c r="L788" s="3" t="str">
        <f>VLOOKUP(J788,ConstDLCIds!$A$4:$C$1000,3,FALSE)</f>
        <v>Included in base game</v>
      </c>
    </row>
    <row r="789" spans="1:12" x14ac:dyDescent="0.25">
      <c r="A789">
        <v>1207</v>
      </c>
      <c r="B789">
        <v>784</v>
      </c>
      <c r="C789">
        <v>1207</v>
      </c>
      <c r="D789" t="s">
        <v>1492</v>
      </c>
      <c r="E789" t="str">
        <f>IF(NOT(ISERROR(VLOOKUP(D789,'ESO DungeonFinder'!$A$2:$A$999,1,FALSE))),"X","")</f>
        <v/>
      </c>
      <c r="F789" s="70" t="str">
        <f t="shared" si="48"/>
        <v>X</v>
      </c>
      <c r="G789" s="70" t="str">
        <f t="shared" si="51"/>
        <v/>
      </c>
      <c r="H789" s="70">
        <f t="shared" si="49"/>
        <v>1207</v>
      </c>
      <c r="I789" s="70">
        <f t="shared" si="50"/>
        <v>1207</v>
      </c>
      <c r="J789">
        <v>0</v>
      </c>
      <c r="K789" s="3" t="str">
        <f>VLOOKUP(J789,ConstDLCIds!$A$4:$B$1000,2,FALSE)</f>
        <v>DLC_BASE_GAME</v>
      </c>
      <c r="L789" s="3" t="str">
        <f>VLOOKUP(J789,ConstDLCIds!$A$4:$C$1000,3,FALSE)</f>
        <v>Included in base game</v>
      </c>
    </row>
    <row r="790" spans="1:12" x14ac:dyDescent="0.25">
      <c r="A790">
        <v>1208</v>
      </c>
      <c r="B790">
        <v>785</v>
      </c>
      <c r="C790">
        <v>1208</v>
      </c>
      <c r="D790" t="s">
        <v>2850</v>
      </c>
      <c r="E790" t="str">
        <f>IF(NOT(ISERROR(VLOOKUP(D790,'ESO DungeonFinder'!$A$2:$A$999,1,FALSE))),"X","")</f>
        <v/>
      </c>
      <c r="F790" s="70" t="str">
        <f t="shared" si="48"/>
        <v>X</v>
      </c>
      <c r="G790" s="70" t="str">
        <f t="shared" si="51"/>
        <v/>
      </c>
      <c r="H790" s="70">
        <f t="shared" si="49"/>
        <v>1208</v>
      </c>
      <c r="I790" s="70">
        <f t="shared" si="50"/>
        <v>1208</v>
      </c>
      <c r="J790">
        <v>0</v>
      </c>
      <c r="K790" s="3" t="str">
        <f>VLOOKUP(J790,ConstDLCIds!$A$4:$B$1000,2,FALSE)</f>
        <v>DLC_BASE_GAME</v>
      </c>
      <c r="L790" s="3" t="str">
        <f>VLOOKUP(J790,ConstDLCIds!$A$4:$C$1000,3,FALSE)</f>
        <v>Included in base game</v>
      </c>
    </row>
    <row r="791" spans="1:12" x14ac:dyDescent="0.25">
      <c r="A791">
        <v>1209</v>
      </c>
      <c r="B791">
        <v>786</v>
      </c>
      <c r="C791">
        <v>1207</v>
      </c>
      <c r="D791" t="s">
        <v>2851</v>
      </c>
      <c r="E791" t="str">
        <f>IF(NOT(ISERROR(VLOOKUP(D791,'ESO DungeonFinder'!$A$2:$A$999,1,FALSE))),"X","")</f>
        <v/>
      </c>
      <c r="F791" s="70" t="str">
        <f t="shared" si="48"/>
        <v/>
      </c>
      <c r="G791" s="70" t="str">
        <f t="shared" si="51"/>
        <v>The Reach</v>
      </c>
      <c r="H791" s="70">
        <f t="shared" si="49"/>
        <v>1209</v>
      </c>
      <c r="I791" s="70">
        <f t="shared" si="50"/>
        <v>1207</v>
      </c>
      <c r="J791">
        <v>20</v>
      </c>
      <c r="K791" s="3" t="str">
        <f ca="1">VLOOKUP(J791,ConstDLCIds!$A$4:$B$1000,2,FALSE)</f>
        <v>DLC_MARKARTH</v>
      </c>
      <c r="L791" s="3" t="str">
        <f ca="1">VLOOKUP(J791,ConstDLCIds!$A$4:$C$1000,3,FALSE)</f>
        <v>Markarth</v>
      </c>
    </row>
    <row r="792" spans="1:12" x14ac:dyDescent="0.25">
      <c r="A792">
        <v>1210</v>
      </c>
      <c r="B792">
        <v>787</v>
      </c>
      <c r="C792">
        <v>1207</v>
      </c>
      <c r="D792" t="s">
        <v>2852</v>
      </c>
      <c r="E792" t="str">
        <f>IF(NOT(ISERROR(VLOOKUP(D792,'ESO DungeonFinder'!$A$2:$A$999,1,FALSE))),"X","")</f>
        <v/>
      </c>
      <c r="F792" s="70" t="str">
        <f t="shared" si="48"/>
        <v/>
      </c>
      <c r="G792" s="70" t="str">
        <f t="shared" si="51"/>
        <v>The Reach</v>
      </c>
      <c r="H792" s="70">
        <f t="shared" si="49"/>
        <v>1210</v>
      </c>
      <c r="I792" s="70">
        <f t="shared" si="50"/>
        <v>1207</v>
      </c>
      <c r="J792">
        <v>20</v>
      </c>
      <c r="K792" s="3" t="str">
        <f ca="1">VLOOKUP(J792,ConstDLCIds!$A$4:$B$1000,2,FALSE)</f>
        <v>DLC_MARKARTH</v>
      </c>
      <c r="L792" s="3" t="str">
        <f ca="1">VLOOKUP(J792,ConstDLCIds!$A$4:$C$1000,3,FALSE)</f>
        <v>Markarth</v>
      </c>
    </row>
    <row r="793" spans="1:12" x14ac:dyDescent="0.25">
      <c r="A793">
        <v>1211</v>
      </c>
      <c r="B793">
        <v>788</v>
      </c>
      <c r="C793">
        <v>1207</v>
      </c>
      <c r="D793" t="s">
        <v>2853</v>
      </c>
      <c r="E793" t="str">
        <f>IF(NOT(ISERROR(VLOOKUP(D793,'ESO DungeonFinder'!$A$2:$A$999,1,FALSE))),"X","")</f>
        <v/>
      </c>
      <c r="F793" s="70" t="str">
        <f t="shared" si="48"/>
        <v/>
      </c>
      <c r="G793" s="70" t="str">
        <f t="shared" si="51"/>
        <v>The Reach</v>
      </c>
      <c r="H793" s="70">
        <f t="shared" si="49"/>
        <v>1211</v>
      </c>
      <c r="I793" s="70">
        <f t="shared" si="50"/>
        <v>1207</v>
      </c>
      <c r="J793">
        <v>20</v>
      </c>
      <c r="K793" s="3" t="str">
        <f ca="1">VLOOKUP(J793,ConstDLCIds!$A$4:$B$1000,2,FALSE)</f>
        <v>DLC_MARKARTH</v>
      </c>
      <c r="L793" s="3" t="str">
        <f ca="1">VLOOKUP(J793,ConstDLCIds!$A$4:$C$1000,3,FALSE)</f>
        <v>Markarth</v>
      </c>
    </row>
    <row r="794" spans="1:12" x14ac:dyDescent="0.25">
      <c r="A794">
        <v>1212</v>
      </c>
      <c r="B794">
        <v>789</v>
      </c>
      <c r="C794">
        <v>1208</v>
      </c>
      <c r="D794" t="s">
        <v>2854</v>
      </c>
      <c r="E794" t="str">
        <f>IF(NOT(ISERROR(VLOOKUP(D794,'ESO DungeonFinder'!$A$2:$A$999,1,FALSE))),"X","")</f>
        <v/>
      </c>
      <c r="F794" s="70" t="str">
        <f t="shared" si="48"/>
        <v/>
      </c>
      <c r="G794" s="70" t="str">
        <f t="shared" si="51"/>
        <v>Blackreach: Arkthzand Cavern</v>
      </c>
      <c r="H794" s="70">
        <f t="shared" si="49"/>
        <v>1212</v>
      </c>
      <c r="I794" s="70">
        <f t="shared" si="50"/>
        <v>1208</v>
      </c>
      <c r="J794">
        <v>20</v>
      </c>
      <c r="K794" s="3" t="str">
        <f ca="1">VLOOKUP(J794,ConstDLCIds!$A$4:$B$1000,2,FALSE)</f>
        <v>DLC_MARKARTH</v>
      </c>
      <c r="L794" s="3" t="str">
        <f ca="1">VLOOKUP(J794,ConstDLCIds!$A$4:$C$1000,3,FALSE)</f>
        <v>Markarth</v>
      </c>
    </row>
    <row r="795" spans="1:12" x14ac:dyDescent="0.25">
      <c r="A795">
        <v>1213</v>
      </c>
      <c r="B795">
        <v>790</v>
      </c>
      <c r="C795">
        <v>1207</v>
      </c>
      <c r="D795" t="s">
        <v>2855</v>
      </c>
      <c r="E795" t="str">
        <f>IF(NOT(ISERROR(VLOOKUP(D795,'ESO DungeonFinder'!$A$2:$A$999,1,FALSE))),"X","")</f>
        <v/>
      </c>
      <c r="F795" s="70" t="str">
        <f t="shared" si="48"/>
        <v/>
      </c>
      <c r="G795" s="70" t="str">
        <f t="shared" si="51"/>
        <v>The Reach</v>
      </c>
      <c r="H795" s="70">
        <f t="shared" si="49"/>
        <v>1213</v>
      </c>
      <c r="I795" s="70">
        <f t="shared" si="50"/>
        <v>1207</v>
      </c>
      <c r="J795">
        <v>20</v>
      </c>
      <c r="K795" s="3" t="str">
        <f ca="1">VLOOKUP(J795,ConstDLCIds!$A$4:$B$1000,2,FALSE)</f>
        <v>DLC_MARKARTH</v>
      </c>
      <c r="L795" s="3" t="str">
        <f ca="1">VLOOKUP(J795,ConstDLCIds!$A$4:$C$1000,3,FALSE)</f>
        <v>Markarth</v>
      </c>
    </row>
    <row r="796" spans="1:12" x14ac:dyDescent="0.25">
      <c r="A796">
        <v>1214</v>
      </c>
      <c r="B796">
        <v>791</v>
      </c>
      <c r="C796">
        <v>1207</v>
      </c>
      <c r="D796" t="s">
        <v>2856</v>
      </c>
      <c r="E796" t="str">
        <f>IF(NOT(ISERROR(VLOOKUP(D796,'ESO DungeonFinder'!$A$2:$A$999,1,FALSE))),"X","")</f>
        <v/>
      </c>
      <c r="F796" s="70" t="str">
        <f t="shared" si="48"/>
        <v/>
      </c>
      <c r="G796" s="70" t="str">
        <f t="shared" si="51"/>
        <v>The Reach</v>
      </c>
      <c r="H796" s="70">
        <f t="shared" si="49"/>
        <v>1214</v>
      </c>
      <c r="I796" s="70">
        <f t="shared" si="50"/>
        <v>1207</v>
      </c>
      <c r="J796">
        <v>20</v>
      </c>
      <c r="K796" s="3" t="str">
        <f ca="1">VLOOKUP(J796,ConstDLCIds!$A$4:$B$1000,2,FALSE)</f>
        <v>DLC_MARKARTH</v>
      </c>
      <c r="L796" s="3" t="str">
        <f ca="1">VLOOKUP(J796,ConstDLCIds!$A$4:$C$1000,3,FALSE)</f>
        <v>Markarth</v>
      </c>
    </row>
    <row r="797" spans="1:12" x14ac:dyDescent="0.25">
      <c r="A797">
        <v>1215</v>
      </c>
      <c r="B797">
        <v>792</v>
      </c>
      <c r="C797">
        <v>1207</v>
      </c>
      <c r="D797" t="s">
        <v>2857</v>
      </c>
      <c r="E797" t="str">
        <f>IF(NOT(ISERROR(VLOOKUP(D797,'ESO DungeonFinder'!$A$2:$A$999,1,FALSE))),"X","")</f>
        <v/>
      </c>
      <c r="F797" s="70" t="str">
        <f t="shared" si="48"/>
        <v/>
      </c>
      <c r="G797" s="70" t="str">
        <f t="shared" si="51"/>
        <v>The Reach</v>
      </c>
      <c r="H797" s="70">
        <f t="shared" si="49"/>
        <v>1215</v>
      </c>
      <c r="I797" s="70">
        <f t="shared" si="50"/>
        <v>1207</v>
      </c>
      <c r="J797">
        <v>20</v>
      </c>
      <c r="K797" s="3" t="str">
        <f ca="1">VLOOKUP(J797,ConstDLCIds!$A$4:$B$1000,2,FALSE)</f>
        <v>DLC_MARKARTH</v>
      </c>
      <c r="L797" s="3" t="str">
        <f ca="1">VLOOKUP(J797,ConstDLCIds!$A$4:$C$1000,3,FALSE)</f>
        <v>Markarth</v>
      </c>
    </row>
    <row r="798" spans="1:12" x14ac:dyDescent="0.25">
      <c r="A798">
        <v>1216</v>
      </c>
      <c r="B798">
        <v>793</v>
      </c>
      <c r="C798">
        <v>1207</v>
      </c>
      <c r="D798" t="s">
        <v>2858</v>
      </c>
      <c r="E798" t="str">
        <f>IF(NOT(ISERROR(VLOOKUP(D798,'ESO DungeonFinder'!$A$2:$A$999,1,FALSE))),"X","")</f>
        <v/>
      </c>
      <c r="F798" s="70" t="str">
        <f t="shared" si="48"/>
        <v/>
      </c>
      <c r="G798" s="70" t="str">
        <f t="shared" si="51"/>
        <v>The Reach</v>
      </c>
      <c r="H798" s="70">
        <f t="shared" si="49"/>
        <v>1216</v>
      </c>
      <c r="I798" s="70">
        <f t="shared" si="50"/>
        <v>1207</v>
      </c>
      <c r="J798">
        <v>20</v>
      </c>
      <c r="K798" s="3" t="str">
        <f ca="1">VLOOKUP(J798,ConstDLCIds!$A$4:$B$1000,2,FALSE)</f>
        <v>DLC_MARKARTH</v>
      </c>
      <c r="L798" s="3" t="str">
        <f ca="1">VLOOKUP(J798,ConstDLCIds!$A$4:$C$1000,3,FALSE)</f>
        <v>Markarth</v>
      </c>
    </row>
    <row r="799" spans="1:12" x14ac:dyDescent="0.25">
      <c r="A799">
        <v>1217</v>
      </c>
      <c r="B799">
        <v>794</v>
      </c>
      <c r="C799">
        <v>1208</v>
      </c>
      <c r="D799" t="s">
        <v>2859</v>
      </c>
      <c r="E799" t="str">
        <f>IF(NOT(ISERROR(VLOOKUP(D799,'ESO DungeonFinder'!$A$2:$A$999,1,FALSE))),"X","")</f>
        <v/>
      </c>
      <c r="F799" s="70" t="str">
        <f t="shared" si="48"/>
        <v/>
      </c>
      <c r="G799" s="70" t="str">
        <f t="shared" si="51"/>
        <v>Blackreach: Arkthzand Cavern</v>
      </c>
      <c r="H799" s="70">
        <f t="shared" si="49"/>
        <v>1217</v>
      </c>
      <c r="I799" s="70">
        <f t="shared" si="50"/>
        <v>1208</v>
      </c>
      <c r="J799">
        <v>20</v>
      </c>
      <c r="K799" s="3" t="str">
        <f ca="1">VLOOKUP(J799,ConstDLCIds!$A$4:$B$1000,2,FALSE)</f>
        <v>DLC_MARKARTH</v>
      </c>
      <c r="L799" s="3" t="str">
        <f ca="1">VLOOKUP(J799,ConstDLCIds!$A$4:$C$1000,3,FALSE)</f>
        <v>Markarth</v>
      </c>
    </row>
    <row r="800" spans="1:12" x14ac:dyDescent="0.25">
      <c r="A800">
        <v>1218</v>
      </c>
      <c r="B800">
        <v>795</v>
      </c>
      <c r="C800">
        <v>1160</v>
      </c>
      <c r="D800" t="s">
        <v>2860</v>
      </c>
      <c r="E800" t="str">
        <f>IF(NOT(ISERROR(VLOOKUP(D800,'ESO DungeonFinder'!$A$2:$A$999,1,FALSE))),"X","")</f>
        <v/>
      </c>
      <c r="F800" s="70" t="str">
        <f t="shared" si="48"/>
        <v/>
      </c>
      <c r="G800" s="70" t="str">
        <f t="shared" si="51"/>
        <v>Western Skyrim</v>
      </c>
      <c r="H800" s="70">
        <f t="shared" si="49"/>
        <v>1218</v>
      </c>
      <c r="I800" s="70">
        <f t="shared" si="50"/>
        <v>1160</v>
      </c>
      <c r="J800">
        <v>18</v>
      </c>
      <c r="K800" s="3" t="str">
        <f ca="1">VLOOKUP(J800,ConstDLCIds!$A$4:$B$1000,2,FALSE)</f>
        <v>DLC_GREYMOOR</v>
      </c>
      <c r="L800" s="3" t="str">
        <f ca="1">VLOOKUP(J800,ConstDLCIds!$A$4:$C$1000,3,FALSE)</f>
        <v>Greymoor</v>
      </c>
    </row>
    <row r="801" spans="1:12" x14ac:dyDescent="0.25">
      <c r="A801">
        <v>1219</v>
      </c>
      <c r="B801">
        <v>796</v>
      </c>
      <c r="C801">
        <v>1160</v>
      </c>
      <c r="D801" t="s">
        <v>2861</v>
      </c>
      <c r="E801" t="str">
        <f>IF(NOT(ISERROR(VLOOKUP(D801,'ESO DungeonFinder'!$A$2:$A$999,1,FALSE))),"X","")</f>
        <v/>
      </c>
      <c r="F801" s="70" t="str">
        <f t="shared" si="48"/>
        <v/>
      </c>
      <c r="G801" s="70" t="str">
        <f t="shared" si="51"/>
        <v>Western Skyrim</v>
      </c>
      <c r="H801" s="70">
        <f t="shared" si="49"/>
        <v>1219</v>
      </c>
      <c r="I801" s="70">
        <f t="shared" si="50"/>
        <v>1160</v>
      </c>
      <c r="J801">
        <v>18</v>
      </c>
      <c r="K801" s="3" t="str">
        <f ca="1">VLOOKUP(J801,ConstDLCIds!$A$4:$B$1000,2,FALSE)</f>
        <v>DLC_GREYMOOR</v>
      </c>
      <c r="L801" s="3" t="str">
        <f ca="1">VLOOKUP(J801,ConstDLCIds!$A$4:$C$1000,3,FALSE)</f>
        <v>Greymoor</v>
      </c>
    </row>
    <row r="802" spans="1:12" x14ac:dyDescent="0.25">
      <c r="A802">
        <v>1220</v>
      </c>
      <c r="B802">
        <v>797</v>
      </c>
      <c r="C802">
        <v>1161</v>
      </c>
      <c r="D802" t="s">
        <v>2862</v>
      </c>
      <c r="E802" t="str">
        <f>IF(NOT(ISERROR(VLOOKUP(D802,'ESO DungeonFinder'!$A$2:$A$999,1,FALSE))),"X","")</f>
        <v/>
      </c>
      <c r="F802" s="70" t="str">
        <f t="shared" si="48"/>
        <v/>
      </c>
      <c r="G802" s="70" t="str">
        <f t="shared" si="51"/>
        <v>Blackreach: Greymoor Caverns</v>
      </c>
      <c r="H802" s="70">
        <f t="shared" si="49"/>
        <v>1220</v>
      </c>
      <c r="I802" s="70">
        <f t="shared" si="50"/>
        <v>1161</v>
      </c>
      <c r="J802">
        <v>18</v>
      </c>
      <c r="K802" s="3" t="str">
        <f ca="1">VLOOKUP(J802,ConstDLCIds!$A$4:$B$1000,2,FALSE)</f>
        <v>DLC_GREYMOOR</v>
      </c>
      <c r="L802" s="3" t="str">
        <f ca="1">VLOOKUP(J802,ConstDLCIds!$A$4:$C$1000,3,FALSE)</f>
        <v>Greymoor</v>
      </c>
    </row>
    <row r="803" spans="1:12" x14ac:dyDescent="0.25">
      <c r="A803">
        <v>1221</v>
      </c>
      <c r="B803">
        <v>798</v>
      </c>
      <c r="C803">
        <v>1207</v>
      </c>
      <c r="D803" t="s">
        <v>2863</v>
      </c>
      <c r="E803" t="str">
        <f>IF(NOT(ISERROR(VLOOKUP(D803,'ESO DungeonFinder'!$A$2:$A$999,1,FALSE))),"X","")</f>
        <v/>
      </c>
      <c r="F803" s="70" t="str">
        <f t="shared" si="48"/>
        <v/>
      </c>
      <c r="G803" s="70" t="str">
        <f t="shared" si="51"/>
        <v>The Reach</v>
      </c>
      <c r="H803" s="70">
        <f t="shared" si="49"/>
        <v>1221</v>
      </c>
      <c r="I803" s="70">
        <f t="shared" si="50"/>
        <v>1207</v>
      </c>
      <c r="J803">
        <v>20</v>
      </c>
      <c r="K803" s="3" t="str">
        <f ca="1">VLOOKUP(J803,ConstDLCIds!$A$4:$B$1000,2,FALSE)</f>
        <v>DLC_MARKARTH</v>
      </c>
      <c r="L803" s="3" t="str">
        <f ca="1">VLOOKUP(J803,ConstDLCIds!$A$4:$C$1000,3,FALSE)</f>
        <v>Markarth</v>
      </c>
    </row>
    <row r="804" spans="1:12" x14ac:dyDescent="0.25">
      <c r="A804">
        <v>1222</v>
      </c>
      <c r="B804">
        <v>799</v>
      </c>
      <c r="C804">
        <v>1160</v>
      </c>
      <c r="D804" t="s">
        <v>2864</v>
      </c>
      <c r="E804" t="str">
        <f>IF(NOT(ISERROR(VLOOKUP(D804,'ESO DungeonFinder'!$A$2:$A$999,1,FALSE))),"X","")</f>
        <v/>
      </c>
      <c r="F804" s="70" t="str">
        <f t="shared" si="48"/>
        <v/>
      </c>
      <c r="G804" s="70" t="str">
        <f t="shared" si="51"/>
        <v>Western Skyrim</v>
      </c>
      <c r="H804" s="70">
        <f t="shared" si="49"/>
        <v>1222</v>
      </c>
      <c r="I804" s="70">
        <f t="shared" si="50"/>
        <v>1160</v>
      </c>
      <c r="J804">
        <v>18</v>
      </c>
      <c r="K804" s="3" t="str">
        <f ca="1">VLOOKUP(J804,ConstDLCIds!$A$4:$B$1000,2,FALSE)</f>
        <v>DLC_GREYMOOR</v>
      </c>
      <c r="L804" s="3" t="str">
        <f ca="1">VLOOKUP(J804,ConstDLCIds!$A$4:$C$1000,3,FALSE)</f>
        <v>Greymoor</v>
      </c>
    </row>
    <row r="805" spans="1:12" x14ac:dyDescent="0.25">
      <c r="A805">
        <v>1223</v>
      </c>
      <c r="B805">
        <v>800</v>
      </c>
      <c r="C805">
        <v>1207</v>
      </c>
      <c r="D805" t="s">
        <v>2865</v>
      </c>
      <c r="E805" t="str">
        <f>IF(NOT(ISERROR(VLOOKUP(D805,'ESO DungeonFinder'!$A$2:$A$999,1,FALSE))),"X","")</f>
        <v/>
      </c>
      <c r="F805" s="70" t="str">
        <f t="shared" si="48"/>
        <v/>
      </c>
      <c r="G805" s="70" t="str">
        <f t="shared" si="51"/>
        <v>The Reach</v>
      </c>
      <c r="H805" s="70">
        <f t="shared" si="49"/>
        <v>1223</v>
      </c>
      <c r="I805" s="70">
        <f t="shared" si="50"/>
        <v>1207</v>
      </c>
      <c r="J805">
        <v>20</v>
      </c>
      <c r="K805" s="3" t="str">
        <f ca="1">VLOOKUP(J805,ConstDLCIds!$A$4:$B$1000,2,FALSE)</f>
        <v>DLC_MARKARTH</v>
      </c>
      <c r="L805" s="3" t="str">
        <f ca="1">VLOOKUP(J805,ConstDLCIds!$A$4:$C$1000,3,FALSE)</f>
        <v>Markarth</v>
      </c>
    </row>
    <row r="806" spans="1:12" x14ac:dyDescent="0.25">
      <c r="A806">
        <v>1224</v>
      </c>
      <c r="B806">
        <v>801</v>
      </c>
      <c r="C806">
        <v>1208</v>
      </c>
      <c r="D806" t="s">
        <v>1550</v>
      </c>
      <c r="E806" t="str">
        <f>IF(NOT(ISERROR(VLOOKUP(D806,'ESO DungeonFinder'!$A$2:$A$999,1,FALSE))),"X","")</f>
        <v/>
      </c>
      <c r="F806" s="70" t="str">
        <f t="shared" si="48"/>
        <v/>
      </c>
      <c r="G806" s="70" t="str">
        <f t="shared" si="51"/>
        <v>Blackreach: Arkthzand Cavern</v>
      </c>
      <c r="H806" s="70">
        <f t="shared" si="49"/>
        <v>1224</v>
      </c>
      <c r="I806" s="70">
        <f t="shared" si="50"/>
        <v>1208</v>
      </c>
      <c r="J806">
        <v>20</v>
      </c>
      <c r="K806" s="3" t="str">
        <f ca="1">VLOOKUP(J806,ConstDLCIds!$A$4:$B$1000,2,FALSE)</f>
        <v>DLC_MARKARTH</v>
      </c>
      <c r="L806" s="3" t="str">
        <f ca="1">VLOOKUP(J806,ConstDLCIds!$A$4:$C$1000,3,FALSE)</f>
        <v>Markarth</v>
      </c>
    </row>
    <row r="807" spans="1:12" x14ac:dyDescent="0.25">
      <c r="A807">
        <v>1225</v>
      </c>
      <c r="B807">
        <v>802</v>
      </c>
      <c r="C807">
        <v>1207</v>
      </c>
      <c r="D807" t="s">
        <v>2866</v>
      </c>
      <c r="E807" t="str">
        <f>IF(NOT(ISERROR(VLOOKUP(D807,'ESO DungeonFinder'!$A$2:$A$999,1,FALSE))),"X","")</f>
        <v/>
      </c>
      <c r="F807" s="70" t="str">
        <f t="shared" si="48"/>
        <v/>
      </c>
      <c r="G807" s="70" t="str">
        <f t="shared" si="51"/>
        <v>The Reach</v>
      </c>
      <c r="H807" s="70">
        <f t="shared" si="49"/>
        <v>1225</v>
      </c>
      <c r="I807" s="70">
        <f t="shared" si="50"/>
        <v>1207</v>
      </c>
      <c r="J807">
        <v>20</v>
      </c>
      <c r="K807" s="3" t="str">
        <f ca="1">VLOOKUP(J807,ConstDLCIds!$A$4:$B$1000,2,FALSE)</f>
        <v>DLC_MARKARTH</v>
      </c>
      <c r="L807" s="3" t="str">
        <f ca="1">VLOOKUP(J807,ConstDLCIds!$A$4:$C$1000,3,FALSE)</f>
        <v>Markarth</v>
      </c>
    </row>
    <row r="808" spans="1:12" x14ac:dyDescent="0.25">
      <c r="A808">
        <v>1226</v>
      </c>
      <c r="B808">
        <v>803</v>
      </c>
      <c r="C808">
        <v>1207</v>
      </c>
      <c r="D808" t="s">
        <v>2867</v>
      </c>
      <c r="E808" t="str">
        <f>IF(NOT(ISERROR(VLOOKUP(D808,'ESO DungeonFinder'!$A$2:$A$999,1,FALSE))),"X","")</f>
        <v/>
      </c>
      <c r="F808" s="70" t="str">
        <f t="shared" si="48"/>
        <v/>
      </c>
      <c r="G808" s="70" t="str">
        <f t="shared" si="51"/>
        <v>The Reach</v>
      </c>
      <c r="H808" s="70">
        <f t="shared" si="49"/>
        <v>1226</v>
      </c>
      <c r="I808" s="70">
        <f t="shared" si="50"/>
        <v>1207</v>
      </c>
      <c r="J808">
        <v>20</v>
      </c>
      <c r="K808" s="3" t="str">
        <f ca="1">VLOOKUP(J808,ConstDLCIds!$A$4:$B$1000,2,FALSE)</f>
        <v>DLC_MARKARTH</v>
      </c>
      <c r="L808" s="3" t="str">
        <f ca="1">VLOOKUP(J808,ConstDLCIds!$A$4:$C$1000,3,FALSE)</f>
        <v>Markarth</v>
      </c>
    </row>
    <row r="809" spans="1:12" s="45" customFormat="1" x14ac:dyDescent="0.25">
      <c r="A809">
        <v>1227</v>
      </c>
      <c r="B809">
        <v>804</v>
      </c>
      <c r="C809">
        <v>1207</v>
      </c>
      <c r="D809" t="s">
        <v>1511</v>
      </c>
      <c r="E809" t="str">
        <f>IF(NOT(ISERROR(VLOOKUP(D809,'ESO DungeonFinder'!$A$2:$A$999,1,FALSE))),"X","")</f>
        <v/>
      </c>
      <c r="F809" s="70" t="str">
        <f t="shared" si="48"/>
        <v/>
      </c>
      <c r="G809" s="70" t="str">
        <f t="shared" si="51"/>
        <v>The Reach</v>
      </c>
      <c r="H809" s="70">
        <f t="shared" si="49"/>
        <v>1227</v>
      </c>
      <c r="I809" s="70">
        <f t="shared" si="50"/>
        <v>1207</v>
      </c>
      <c r="J809">
        <v>20</v>
      </c>
      <c r="K809" s="3" t="str">
        <f ca="1">VLOOKUP(J809,ConstDLCIds!$A$4:$B$1000,2,FALSE)</f>
        <v>DLC_MARKARTH</v>
      </c>
      <c r="L809" s="3" t="str">
        <f ca="1">VLOOKUP(J809,ConstDLCIds!$A$4:$C$1000,3,FALSE)</f>
        <v>Markarth</v>
      </c>
    </row>
    <row r="810" spans="1:12" s="45" customFormat="1" x14ac:dyDescent="0.25">
      <c r="A810">
        <v>1228</v>
      </c>
      <c r="B810">
        <v>805</v>
      </c>
      <c r="C810">
        <v>823</v>
      </c>
      <c r="D810" t="s">
        <v>1536</v>
      </c>
      <c r="E810" t="str">
        <f>IF(NOT(ISERROR(VLOOKUP(D810,'ESO DungeonFinder'!$A$2:$A$999,1,FALSE))),"X","")</f>
        <v>X</v>
      </c>
      <c r="F810" s="70" t="str">
        <f t="shared" si="48"/>
        <v/>
      </c>
      <c r="G810" s="70" t="str">
        <f t="shared" si="51"/>
        <v>Gold Coast</v>
      </c>
      <c r="H810" s="70">
        <f t="shared" si="49"/>
        <v>1228</v>
      </c>
      <c r="I810" s="70">
        <f t="shared" si="50"/>
        <v>823</v>
      </c>
      <c r="J810">
        <v>21</v>
      </c>
      <c r="K810" s="3" t="str">
        <f ca="1">VLOOKUP(J810,ConstDLCIds!$A$4:$B$1000,2,FALSE)</f>
        <v>DLC_FLAMES_OF_AMBITION</v>
      </c>
      <c r="L810" s="3" t="str">
        <f ca="1">VLOOKUP(J810,ConstDLCIds!$A$4:$C$1000,3,FALSE)</f>
        <v>Flames of Ambition</v>
      </c>
    </row>
    <row r="811" spans="1:12" x14ac:dyDescent="0.25">
      <c r="A811">
        <v>1229</v>
      </c>
      <c r="B811">
        <v>806</v>
      </c>
      <c r="C811">
        <v>57</v>
      </c>
      <c r="D811" t="s">
        <v>1543</v>
      </c>
      <c r="E811" t="str">
        <f>IF(NOT(ISERROR(VLOOKUP(D811,'ESO DungeonFinder'!$A$2:$A$999,1,FALSE))),"X","")</f>
        <v>X</v>
      </c>
      <c r="F811" s="70" t="str">
        <f t="shared" si="48"/>
        <v/>
      </c>
      <c r="G811" s="70" t="str">
        <f t="shared" si="51"/>
        <v>Deshaan</v>
      </c>
      <c r="H811" s="70">
        <f t="shared" si="49"/>
        <v>1229</v>
      </c>
      <c r="I811" s="70">
        <f t="shared" si="50"/>
        <v>57</v>
      </c>
      <c r="J811">
        <v>22</v>
      </c>
      <c r="K811" s="3" t="str">
        <f ca="1">VLOOKUP(J811,ConstDLCIds!$A$4:$B$1000,2,FALSE)</f>
        <v>DLC_BLACKWOOD</v>
      </c>
      <c r="L811" s="3" t="str">
        <f ca="1">VLOOKUP(J811,ConstDLCIds!$A$4:$C$1000,3,FALSE)</f>
        <v>Blackwood</v>
      </c>
    </row>
    <row r="812" spans="1:12" x14ac:dyDescent="0.25">
      <c r="A812">
        <v>1233</v>
      </c>
      <c r="B812">
        <v>807</v>
      </c>
      <c r="C812">
        <v>1160</v>
      </c>
      <c r="D812" t="s">
        <v>2868</v>
      </c>
      <c r="E812" t="str">
        <f>IF(NOT(ISERROR(VLOOKUP(D812,'ESO DungeonFinder'!$A$2:$A$999,1,FALSE))),"X","")</f>
        <v/>
      </c>
      <c r="F812" s="70" t="str">
        <f t="shared" si="48"/>
        <v/>
      </c>
      <c r="G812" s="70" t="str">
        <f t="shared" si="51"/>
        <v>Western Skyrim</v>
      </c>
      <c r="H812" s="70">
        <f t="shared" si="49"/>
        <v>1233</v>
      </c>
      <c r="I812" s="70">
        <f t="shared" si="50"/>
        <v>1160</v>
      </c>
      <c r="J812">
        <v>18</v>
      </c>
      <c r="K812" s="3" t="str">
        <f ca="1">VLOOKUP(J812,ConstDLCIds!$A$4:$B$1000,2,FALSE)</f>
        <v>DLC_GREYMOOR</v>
      </c>
      <c r="L812" s="3" t="str">
        <f ca="1">VLOOKUP(J812,ConstDLCIds!$A$4:$C$1000,3,FALSE)</f>
        <v>Greymoor</v>
      </c>
    </row>
    <row r="813" spans="1:12" x14ac:dyDescent="0.25">
      <c r="A813">
        <v>1234</v>
      </c>
      <c r="B813">
        <v>808</v>
      </c>
      <c r="C813">
        <v>1160</v>
      </c>
      <c r="D813" t="s">
        <v>2869</v>
      </c>
      <c r="E813" t="str">
        <f>IF(NOT(ISERROR(VLOOKUP(D813,'ESO DungeonFinder'!$A$2:$A$999,1,FALSE))),"X","")</f>
        <v/>
      </c>
      <c r="F813" s="70" t="str">
        <f t="shared" si="48"/>
        <v/>
      </c>
      <c r="G813" s="70" t="str">
        <f t="shared" si="51"/>
        <v>Western Skyrim</v>
      </c>
      <c r="H813" s="70">
        <f t="shared" si="49"/>
        <v>1234</v>
      </c>
      <c r="I813" s="70">
        <f t="shared" si="50"/>
        <v>1160</v>
      </c>
      <c r="J813">
        <v>18</v>
      </c>
      <c r="K813" s="3" t="str">
        <f ca="1">VLOOKUP(J813,ConstDLCIds!$A$4:$B$1000,2,FALSE)</f>
        <v>DLC_GREYMOOR</v>
      </c>
      <c r="L813" s="3" t="str">
        <f ca="1">VLOOKUP(J813,ConstDLCIds!$A$4:$C$1000,3,FALSE)</f>
        <v>Greymoor</v>
      </c>
    </row>
    <row r="814" spans="1:12" x14ac:dyDescent="0.25">
      <c r="A814">
        <v>1235</v>
      </c>
      <c r="B814">
        <v>809</v>
      </c>
      <c r="C814">
        <v>383</v>
      </c>
      <c r="D814" t="s">
        <v>2870</v>
      </c>
      <c r="E814" t="str">
        <f>IF(NOT(ISERROR(VLOOKUP(D814,'ESO DungeonFinder'!$A$2:$A$999,1,FALSE))),"X","")</f>
        <v/>
      </c>
      <c r="F814" s="70" t="str">
        <f t="shared" si="48"/>
        <v/>
      </c>
      <c r="G814" s="70" t="str">
        <f t="shared" si="51"/>
        <v>Grahtwood</v>
      </c>
      <c r="H814" s="70">
        <f t="shared" si="49"/>
        <v>1235</v>
      </c>
      <c r="I814" s="70">
        <f t="shared" si="50"/>
        <v>383</v>
      </c>
      <c r="J814">
        <v>0</v>
      </c>
      <c r="K814" s="3" t="str">
        <f>VLOOKUP(J814,ConstDLCIds!$A$4:$B$1000,2,FALSE)</f>
        <v>DLC_BASE_GAME</v>
      </c>
      <c r="L814" s="3" t="str">
        <f>VLOOKUP(J814,ConstDLCIds!$A$4:$C$1000,3,FALSE)</f>
        <v>Included in base game</v>
      </c>
    </row>
    <row r="815" spans="1:12" x14ac:dyDescent="0.25">
      <c r="A815">
        <v>1236</v>
      </c>
      <c r="B815">
        <v>810</v>
      </c>
      <c r="C815">
        <v>383</v>
      </c>
      <c r="D815" t="s">
        <v>764</v>
      </c>
      <c r="E815" t="str">
        <f>IF(NOT(ISERROR(VLOOKUP(D815,'ESO DungeonFinder'!$A$2:$A$999,1,FALSE))),"X","")</f>
        <v/>
      </c>
      <c r="F815" s="70" t="str">
        <f t="shared" si="48"/>
        <v/>
      </c>
      <c r="G815" s="70" t="str">
        <f t="shared" si="51"/>
        <v>Grahtwood</v>
      </c>
      <c r="H815" s="70">
        <f t="shared" si="49"/>
        <v>1236</v>
      </c>
      <c r="I815" s="70">
        <f t="shared" si="50"/>
        <v>383</v>
      </c>
      <c r="J815">
        <v>1</v>
      </c>
      <c r="K815" s="3" t="str">
        <f ca="1">VLOOKUP(J815,ConstDLCIds!$A$4:$B$1000,2,FALSE)</f>
        <v>DLC_IMPERIAL_CITY</v>
      </c>
      <c r="L815" s="3" t="str">
        <f ca="1">VLOOKUP(J815,ConstDLCIds!$A$4:$C$1000,3,FALSE)</f>
        <v>Imperial City</v>
      </c>
    </row>
    <row r="816" spans="1:12" x14ac:dyDescent="0.25">
      <c r="A816">
        <v>1237</v>
      </c>
      <c r="B816">
        <v>811</v>
      </c>
      <c r="C816">
        <v>383</v>
      </c>
      <c r="D816" t="s">
        <v>2871</v>
      </c>
      <c r="E816" t="str">
        <f>IF(NOT(ISERROR(VLOOKUP(D816,'ESO DungeonFinder'!$A$2:$A$999,1,FALSE))),"X","")</f>
        <v/>
      </c>
      <c r="F816" s="70" t="str">
        <f t="shared" si="48"/>
        <v/>
      </c>
      <c r="G816" s="70" t="str">
        <f t="shared" si="51"/>
        <v>Grahtwood</v>
      </c>
      <c r="H816" s="70">
        <f t="shared" si="49"/>
        <v>1237</v>
      </c>
      <c r="I816" s="70">
        <f t="shared" si="50"/>
        <v>383</v>
      </c>
      <c r="J816">
        <v>0</v>
      </c>
      <c r="K816" s="3" t="str">
        <f>VLOOKUP(J816,ConstDLCIds!$A$4:$B$1000,2,FALSE)</f>
        <v>DLC_BASE_GAME</v>
      </c>
      <c r="L816" s="3" t="str">
        <f>VLOOKUP(J816,ConstDLCIds!$A$4:$C$1000,3,FALSE)</f>
        <v>Included in base game</v>
      </c>
    </row>
    <row r="817" spans="1:12" x14ac:dyDescent="0.25">
      <c r="A817">
        <v>1238</v>
      </c>
      <c r="B817">
        <v>812</v>
      </c>
      <c r="C817">
        <v>1261</v>
      </c>
      <c r="D817" t="s">
        <v>2872</v>
      </c>
      <c r="E817" t="str">
        <f>IF(NOT(ISERROR(VLOOKUP(D817,'ESO DungeonFinder'!$A$2:$A$999,1,FALSE))),"X","")</f>
        <v/>
      </c>
      <c r="F817" s="70" t="str">
        <f t="shared" si="48"/>
        <v/>
      </c>
      <c r="G817" s="70" t="str">
        <f t="shared" si="51"/>
        <v>Blackwood</v>
      </c>
      <c r="H817" s="70">
        <f t="shared" si="49"/>
        <v>1238</v>
      </c>
      <c r="I817" s="70">
        <f t="shared" si="50"/>
        <v>1261</v>
      </c>
      <c r="J817">
        <v>22</v>
      </c>
      <c r="K817" s="3" t="str">
        <f ca="1">VLOOKUP(J817,ConstDLCIds!$A$4:$B$1000,2,FALSE)</f>
        <v>DLC_BLACKWOOD</v>
      </c>
      <c r="L817" s="3" t="str">
        <f ca="1">VLOOKUP(J817,ConstDLCIds!$A$4:$C$1000,3,FALSE)</f>
        <v>Blackwood</v>
      </c>
    </row>
    <row r="818" spans="1:12" x14ac:dyDescent="0.25">
      <c r="A818">
        <v>1239</v>
      </c>
      <c r="B818">
        <v>813</v>
      </c>
      <c r="C818">
        <v>1261</v>
      </c>
      <c r="D818" t="s">
        <v>2873</v>
      </c>
      <c r="E818" t="str">
        <f>IF(NOT(ISERROR(VLOOKUP(D818,'ESO DungeonFinder'!$A$2:$A$999,1,FALSE))),"X","")</f>
        <v/>
      </c>
      <c r="F818" s="70" t="str">
        <f t="shared" si="48"/>
        <v/>
      </c>
      <c r="G818" s="70" t="str">
        <f t="shared" si="51"/>
        <v>Blackwood</v>
      </c>
      <c r="H818" s="70">
        <f t="shared" si="49"/>
        <v>1239</v>
      </c>
      <c r="I818" s="70">
        <f t="shared" si="50"/>
        <v>1261</v>
      </c>
      <c r="J818">
        <v>22</v>
      </c>
      <c r="K818" s="3" t="str">
        <f ca="1">VLOOKUP(J818,ConstDLCIds!$A$4:$B$1000,2,FALSE)</f>
        <v>DLC_BLACKWOOD</v>
      </c>
      <c r="L818" s="3" t="str">
        <f ca="1">VLOOKUP(J818,ConstDLCIds!$A$4:$C$1000,3,FALSE)</f>
        <v>Blackwood</v>
      </c>
    </row>
    <row r="819" spans="1:12" x14ac:dyDescent="0.25">
      <c r="A819">
        <v>1240</v>
      </c>
      <c r="B819">
        <v>814</v>
      </c>
      <c r="C819">
        <v>1261</v>
      </c>
      <c r="D819" t="s">
        <v>2874</v>
      </c>
      <c r="E819" t="str">
        <f>IF(NOT(ISERROR(VLOOKUP(D819,'ESO DungeonFinder'!$A$2:$A$999,1,FALSE))),"X","")</f>
        <v/>
      </c>
      <c r="F819" s="70" t="str">
        <f t="shared" si="48"/>
        <v/>
      </c>
      <c r="G819" s="70" t="str">
        <f t="shared" si="51"/>
        <v>Blackwood</v>
      </c>
      <c r="H819" s="70">
        <f t="shared" si="49"/>
        <v>1240</v>
      </c>
      <c r="I819" s="70">
        <f t="shared" si="50"/>
        <v>1261</v>
      </c>
      <c r="J819">
        <v>22</v>
      </c>
      <c r="K819" s="3" t="str">
        <f ca="1">VLOOKUP(J819,ConstDLCIds!$A$4:$B$1000,2,FALSE)</f>
        <v>DLC_BLACKWOOD</v>
      </c>
      <c r="L819" s="3" t="str">
        <f ca="1">VLOOKUP(J819,ConstDLCIds!$A$4:$C$1000,3,FALSE)</f>
        <v>Blackwood</v>
      </c>
    </row>
    <row r="820" spans="1:12" x14ac:dyDescent="0.25">
      <c r="A820">
        <v>1241</v>
      </c>
      <c r="B820">
        <v>815</v>
      </c>
      <c r="C820">
        <v>1261</v>
      </c>
      <c r="D820" t="s">
        <v>2875</v>
      </c>
      <c r="E820" t="str">
        <f>IF(NOT(ISERROR(VLOOKUP(D820,'ESO DungeonFinder'!$A$2:$A$999,1,FALSE))),"X","")</f>
        <v/>
      </c>
      <c r="F820" s="70" t="str">
        <f t="shared" si="48"/>
        <v/>
      </c>
      <c r="G820" s="70" t="str">
        <f t="shared" si="51"/>
        <v>Blackwood</v>
      </c>
      <c r="H820" s="70">
        <f t="shared" si="49"/>
        <v>1241</v>
      </c>
      <c r="I820" s="70">
        <f t="shared" si="50"/>
        <v>1261</v>
      </c>
      <c r="J820">
        <v>22</v>
      </c>
      <c r="K820" s="3" t="str">
        <f ca="1">VLOOKUP(J820,ConstDLCIds!$A$4:$B$1000,2,FALSE)</f>
        <v>DLC_BLACKWOOD</v>
      </c>
      <c r="L820" s="3" t="str">
        <f ca="1">VLOOKUP(J820,ConstDLCIds!$A$4:$C$1000,3,FALSE)</f>
        <v>Blackwood</v>
      </c>
    </row>
    <row r="821" spans="1:12" x14ac:dyDescent="0.25">
      <c r="A821">
        <v>1242</v>
      </c>
      <c r="B821">
        <v>816</v>
      </c>
      <c r="C821">
        <v>1261</v>
      </c>
      <c r="D821" t="s">
        <v>2876</v>
      </c>
      <c r="E821" t="str">
        <f>IF(NOT(ISERROR(VLOOKUP(D821,'ESO DungeonFinder'!$A$2:$A$999,1,FALSE))),"X","")</f>
        <v/>
      </c>
      <c r="F821" s="70" t="str">
        <f t="shared" si="48"/>
        <v/>
      </c>
      <c r="G821" s="70" t="str">
        <f t="shared" si="51"/>
        <v>Blackwood</v>
      </c>
      <c r="H821" s="70">
        <f t="shared" si="49"/>
        <v>1242</v>
      </c>
      <c r="I821" s="70">
        <f t="shared" si="50"/>
        <v>1261</v>
      </c>
      <c r="J821">
        <v>22</v>
      </c>
      <c r="K821" s="3" t="str">
        <f ca="1">VLOOKUP(J821,ConstDLCIds!$A$4:$B$1000,2,FALSE)</f>
        <v>DLC_BLACKWOOD</v>
      </c>
      <c r="L821" s="3" t="str">
        <f ca="1">VLOOKUP(J821,ConstDLCIds!$A$4:$C$1000,3,FALSE)</f>
        <v>Blackwood</v>
      </c>
    </row>
    <row r="822" spans="1:12" x14ac:dyDescent="0.25">
      <c r="A822">
        <v>1243</v>
      </c>
      <c r="B822">
        <v>817</v>
      </c>
      <c r="C822">
        <v>1261</v>
      </c>
      <c r="D822" t="s">
        <v>2877</v>
      </c>
      <c r="E822" t="str">
        <f>IF(NOT(ISERROR(VLOOKUP(D822,'ESO DungeonFinder'!$A$2:$A$999,1,FALSE))),"X","")</f>
        <v/>
      </c>
      <c r="F822" s="70" t="str">
        <f t="shared" si="48"/>
        <v/>
      </c>
      <c r="G822" s="70" t="str">
        <f t="shared" si="51"/>
        <v>Blackwood</v>
      </c>
      <c r="H822" s="70">
        <f t="shared" si="49"/>
        <v>1243</v>
      </c>
      <c r="I822" s="70">
        <f t="shared" si="50"/>
        <v>1261</v>
      </c>
      <c r="J822">
        <v>22</v>
      </c>
      <c r="K822" s="3" t="str">
        <f ca="1">VLOOKUP(J822,ConstDLCIds!$A$4:$B$1000,2,FALSE)</f>
        <v>DLC_BLACKWOOD</v>
      </c>
      <c r="L822" s="3" t="str">
        <f ca="1">VLOOKUP(J822,ConstDLCIds!$A$4:$C$1000,3,FALSE)</f>
        <v>Blackwood</v>
      </c>
    </row>
    <row r="823" spans="1:12" x14ac:dyDescent="0.25">
      <c r="A823">
        <v>1244</v>
      </c>
      <c r="B823">
        <v>818</v>
      </c>
      <c r="C823">
        <v>1261</v>
      </c>
      <c r="D823" t="s">
        <v>2878</v>
      </c>
      <c r="E823" t="str">
        <f>IF(NOT(ISERROR(VLOOKUP(D823,'ESO DungeonFinder'!$A$2:$A$999,1,FALSE))),"X","")</f>
        <v/>
      </c>
      <c r="F823" s="70" t="str">
        <f t="shared" si="48"/>
        <v/>
      </c>
      <c r="G823" s="70" t="str">
        <f t="shared" si="51"/>
        <v>Blackwood</v>
      </c>
      <c r="H823" s="70">
        <f t="shared" si="49"/>
        <v>1244</v>
      </c>
      <c r="I823" s="70">
        <f t="shared" si="50"/>
        <v>1261</v>
      </c>
      <c r="J823">
        <v>22</v>
      </c>
      <c r="K823" s="3" t="str">
        <f ca="1">VLOOKUP(J823,ConstDLCIds!$A$4:$B$1000,2,FALSE)</f>
        <v>DLC_BLACKWOOD</v>
      </c>
      <c r="L823" s="3" t="str">
        <f ca="1">VLOOKUP(J823,ConstDLCIds!$A$4:$C$1000,3,FALSE)</f>
        <v>Blackwood</v>
      </c>
    </row>
    <row r="824" spans="1:12" x14ac:dyDescent="0.25">
      <c r="A824">
        <v>1245</v>
      </c>
      <c r="B824">
        <v>819</v>
      </c>
      <c r="C824">
        <v>1261</v>
      </c>
      <c r="D824" t="s">
        <v>2879</v>
      </c>
      <c r="E824" t="str">
        <f>IF(NOT(ISERROR(VLOOKUP(D824,'ESO DungeonFinder'!$A$2:$A$999,1,FALSE))),"X","")</f>
        <v/>
      </c>
      <c r="F824" s="70" t="str">
        <f t="shared" si="48"/>
        <v/>
      </c>
      <c r="G824" s="70" t="str">
        <f t="shared" si="51"/>
        <v>Blackwood</v>
      </c>
      <c r="H824" s="70">
        <f t="shared" si="49"/>
        <v>1245</v>
      </c>
      <c r="I824" s="70">
        <f t="shared" si="50"/>
        <v>1261</v>
      </c>
      <c r="J824">
        <v>22</v>
      </c>
      <c r="K824" s="3" t="str">
        <f ca="1">VLOOKUP(J824,ConstDLCIds!$A$4:$B$1000,2,FALSE)</f>
        <v>DLC_BLACKWOOD</v>
      </c>
      <c r="L824" s="3" t="str">
        <f ca="1">VLOOKUP(J824,ConstDLCIds!$A$4:$C$1000,3,FALSE)</f>
        <v>Blackwood</v>
      </c>
    </row>
    <row r="825" spans="1:12" x14ac:dyDescent="0.25">
      <c r="A825">
        <v>1246</v>
      </c>
      <c r="B825">
        <v>820</v>
      </c>
      <c r="C825">
        <v>1261</v>
      </c>
      <c r="D825" t="s">
        <v>2880</v>
      </c>
      <c r="E825" t="str">
        <f>IF(NOT(ISERROR(VLOOKUP(D825,'ESO DungeonFinder'!$A$2:$A$999,1,FALSE))),"X","")</f>
        <v/>
      </c>
      <c r="F825" s="70" t="str">
        <f t="shared" si="48"/>
        <v/>
      </c>
      <c r="G825" s="70" t="str">
        <f t="shared" si="51"/>
        <v>Blackwood</v>
      </c>
      <c r="H825" s="70">
        <f t="shared" si="49"/>
        <v>1246</v>
      </c>
      <c r="I825" s="70">
        <f t="shared" si="50"/>
        <v>1261</v>
      </c>
      <c r="J825">
        <v>22</v>
      </c>
      <c r="K825" s="3" t="str">
        <f ca="1">VLOOKUP(J825,ConstDLCIds!$A$4:$B$1000,2,FALSE)</f>
        <v>DLC_BLACKWOOD</v>
      </c>
      <c r="L825" s="3" t="str">
        <f ca="1">VLOOKUP(J825,ConstDLCIds!$A$4:$C$1000,3,FALSE)</f>
        <v>Blackwood</v>
      </c>
    </row>
    <row r="826" spans="1:12" x14ac:dyDescent="0.25">
      <c r="A826">
        <v>1247</v>
      </c>
      <c r="B826">
        <v>821</v>
      </c>
      <c r="C826">
        <v>1261</v>
      </c>
      <c r="D826" t="s">
        <v>2881</v>
      </c>
      <c r="E826" t="str">
        <f>IF(NOT(ISERROR(VLOOKUP(D826,'ESO DungeonFinder'!$A$2:$A$999,1,FALSE))),"X","")</f>
        <v/>
      </c>
      <c r="F826" s="70" t="str">
        <f t="shared" si="48"/>
        <v/>
      </c>
      <c r="G826" s="70" t="str">
        <f t="shared" si="51"/>
        <v>Blackwood</v>
      </c>
      <c r="H826" s="70">
        <f t="shared" si="49"/>
        <v>1247</v>
      </c>
      <c r="I826" s="70">
        <f t="shared" si="50"/>
        <v>1261</v>
      </c>
      <c r="J826">
        <v>22</v>
      </c>
      <c r="K826" s="3" t="str">
        <f ca="1">VLOOKUP(J826,ConstDLCIds!$A$4:$B$1000,2,FALSE)</f>
        <v>DLC_BLACKWOOD</v>
      </c>
      <c r="L826" s="3" t="str">
        <f ca="1">VLOOKUP(J826,ConstDLCIds!$A$4:$C$1000,3,FALSE)</f>
        <v>Blackwood</v>
      </c>
    </row>
    <row r="827" spans="1:12" x14ac:dyDescent="0.25">
      <c r="A827">
        <v>1248</v>
      </c>
      <c r="B827">
        <v>822</v>
      </c>
      <c r="C827">
        <v>1261</v>
      </c>
      <c r="D827" t="s">
        <v>2882</v>
      </c>
      <c r="E827" t="str">
        <f>IF(NOT(ISERROR(VLOOKUP(D827,'ESO DungeonFinder'!$A$2:$A$999,1,FALSE))),"X","")</f>
        <v/>
      </c>
      <c r="F827" s="70" t="str">
        <f t="shared" si="48"/>
        <v/>
      </c>
      <c r="G827" s="70" t="str">
        <f t="shared" si="51"/>
        <v>Blackwood</v>
      </c>
      <c r="H827" s="70">
        <f t="shared" si="49"/>
        <v>1248</v>
      </c>
      <c r="I827" s="70">
        <f t="shared" si="50"/>
        <v>1261</v>
      </c>
      <c r="J827">
        <v>22</v>
      </c>
      <c r="K827" s="3" t="str">
        <f ca="1">VLOOKUP(J827,ConstDLCIds!$A$4:$B$1000,2,FALSE)</f>
        <v>DLC_BLACKWOOD</v>
      </c>
      <c r="L827" s="3" t="str">
        <f ca="1">VLOOKUP(J827,ConstDLCIds!$A$4:$C$1000,3,FALSE)</f>
        <v>Blackwood</v>
      </c>
    </row>
    <row r="828" spans="1:12" x14ac:dyDescent="0.25">
      <c r="A828">
        <v>1249</v>
      </c>
      <c r="B828">
        <v>823</v>
      </c>
      <c r="C828">
        <v>1261</v>
      </c>
      <c r="D828" t="s">
        <v>2883</v>
      </c>
      <c r="E828" t="str">
        <f>IF(NOT(ISERROR(VLOOKUP(D828,'ESO DungeonFinder'!$A$2:$A$999,1,FALSE))),"X","")</f>
        <v/>
      </c>
      <c r="F828" s="70" t="str">
        <f t="shared" si="48"/>
        <v/>
      </c>
      <c r="G828" s="70" t="str">
        <f t="shared" si="51"/>
        <v>Blackwood</v>
      </c>
      <c r="H828" s="70">
        <f t="shared" si="49"/>
        <v>1249</v>
      </c>
      <c r="I828" s="70">
        <f t="shared" si="50"/>
        <v>1261</v>
      </c>
      <c r="J828">
        <v>22</v>
      </c>
      <c r="K828" s="3" t="str">
        <f ca="1">VLOOKUP(J828,ConstDLCIds!$A$4:$B$1000,2,FALSE)</f>
        <v>DLC_BLACKWOOD</v>
      </c>
      <c r="L828" s="3" t="str">
        <f ca="1">VLOOKUP(J828,ConstDLCIds!$A$4:$C$1000,3,FALSE)</f>
        <v>Blackwood</v>
      </c>
    </row>
    <row r="829" spans="1:12" x14ac:dyDescent="0.25">
      <c r="A829">
        <v>1250</v>
      </c>
      <c r="B829">
        <v>824</v>
      </c>
      <c r="C829">
        <v>1261</v>
      </c>
      <c r="D829" t="s">
        <v>2884</v>
      </c>
      <c r="E829" t="str">
        <f>IF(NOT(ISERROR(VLOOKUP(D829,'ESO DungeonFinder'!$A$2:$A$999,1,FALSE))),"X","")</f>
        <v/>
      </c>
      <c r="F829" s="70" t="str">
        <f t="shared" si="48"/>
        <v/>
      </c>
      <c r="G829" s="70" t="str">
        <f t="shared" si="51"/>
        <v>Blackwood</v>
      </c>
      <c r="H829" s="70">
        <f t="shared" si="49"/>
        <v>1250</v>
      </c>
      <c r="I829" s="70">
        <f t="shared" si="50"/>
        <v>1261</v>
      </c>
      <c r="J829">
        <v>22</v>
      </c>
      <c r="K829" s="3" t="str">
        <f ca="1">VLOOKUP(J829,ConstDLCIds!$A$4:$B$1000,2,FALSE)</f>
        <v>DLC_BLACKWOOD</v>
      </c>
      <c r="L829" s="3" t="str">
        <f ca="1">VLOOKUP(J829,ConstDLCIds!$A$4:$C$1000,3,FALSE)</f>
        <v>Blackwood</v>
      </c>
    </row>
    <row r="830" spans="1:12" x14ac:dyDescent="0.25">
      <c r="A830">
        <v>1251</v>
      </c>
      <c r="B830">
        <v>825</v>
      </c>
      <c r="C830">
        <v>1261</v>
      </c>
      <c r="D830" t="s">
        <v>2885</v>
      </c>
      <c r="E830" t="str">
        <f>IF(NOT(ISERROR(VLOOKUP(D830,'ESO DungeonFinder'!$A$2:$A$999,1,FALSE))),"X","")</f>
        <v/>
      </c>
      <c r="F830" s="70" t="str">
        <f t="shared" si="48"/>
        <v/>
      </c>
      <c r="G830" s="70" t="str">
        <f t="shared" si="51"/>
        <v>Blackwood</v>
      </c>
      <c r="H830" s="70">
        <f t="shared" si="49"/>
        <v>1251</v>
      </c>
      <c r="I830" s="70">
        <f t="shared" si="50"/>
        <v>1261</v>
      </c>
      <c r="J830">
        <v>22</v>
      </c>
      <c r="K830" s="3" t="str">
        <f ca="1">VLOOKUP(J830,ConstDLCIds!$A$4:$B$1000,2,FALSE)</f>
        <v>DLC_BLACKWOOD</v>
      </c>
      <c r="L830" s="3" t="str">
        <f ca="1">VLOOKUP(J830,ConstDLCIds!$A$4:$C$1000,3,FALSE)</f>
        <v>Blackwood</v>
      </c>
    </row>
    <row r="831" spans="1:12" x14ac:dyDescent="0.25">
      <c r="A831">
        <v>1252</v>
      </c>
      <c r="B831">
        <v>826</v>
      </c>
      <c r="C831">
        <v>1261</v>
      </c>
      <c r="D831" t="s">
        <v>2886</v>
      </c>
      <c r="E831" t="str">
        <f>IF(NOT(ISERROR(VLOOKUP(D831,'ESO DungeonFinder'!$A$2:$A$999,1,FALSE))),"X","")</f>
        <v/>
      </c>
      <c r="F831" s="70" t="str">
        <f t="shared" si="48"/>
        <v/>
      </c>
      <c r="G831" s="70" t="str">
        <f t="shared" si="51"/>
        <v>Blackwood</v>
      </c>
      <c r="H831" s="70">
        <f t="shared" si="49"/>
        <v>1252</v>
      </c>
      <c r="I831" s="70">
        <f t="shared" si="50"/>
        <v>1261</v>
      </c>
      <c r="J831">
        <v>22</v>
      </c>
      <c r="K831" s="3" t="str">
        <f ca="1">VLOOKUP(J831,ConstDLCIds!$A$4:$B$1000,2,FALSE)</f>
        <v>DLC_BLACKWOOD</v>
      </c>
      <c r="L831" s="3" t="str">
        <f ca="1">VLOOKUP(J831,ConstDLCIds!$A$4:$C$1000,3,FALSE)</f>
        <v>Blackwood</v>
      </c>
    </row>
    <row r="832" spans="1:12" x14ac:dyDescent="0.25">
      <c r="A832">
        <v>1253</v>
      </c>
      <c r="B832">
        <v>827</v>
      </c>
      <c r="C832">
        <v>1261</v>
      </c>
      <c r="D832" t="s">
        <v>2887</v>
      </c>
      <c r="E832" t="str">
        <f>IF(NOT(ISERROR(VLOOKUP(D832,'ESO DungeonFinder'!$A$2:$A$999,1,FALSE))),"X","")</f>
        <v/>
      </c>
      <c r="F832" s="70" t="str">
        <f t="shared" si="48"/>
        <v/>
      </c>
      <c r="G832" s="70" t="str">
        <f t="shared" si="51"/>
        <v>Blackwood</v>
      </c>
      <c r="H832" s="70">
        <f t="shared" si="49"/>
        <v>1253</v>
      </c>
      <c r="I832" s="70">
        <f t="shared" si="50"/>
        <v>1261</v>
      </c>
      <c r="J832">
        <v>22</v>
      </c>
      <c r="K832" s="3" t="str">
        <f ca="1">VLOOKUP(J832,ConstDLCIds!$A$4:$B$1000,2,FALSE)</f>
        <v>DLC_BLACKWOOD</v>
      </c>
      <c r="L832" s="3" t="str">
        <f ca="1">VLOOKUP(J832,ConstDLCIds!$A$4:$C$1000,3,FALSE)</f>
        <v>Blackwood</v>
      </c>
    </row>
    <row r="833" spans="1:12" x14ac:dyDescent="0.25">
      <c r="A833">
        <v>1254</v>
      </c>
      <c r="B833">
        <v>828</v>
      </c>
      <c r="C833">
        <v>1261</v>
      </c>
      <c r="D833" t="s">
        <v>2888</v>
      </c>
      <c r="E833" t="str">
        <f>IF(NOT(ISERROR(VLOOKUP(D833,'ESO DungeonFinder'!$A$2:$A$999,1,FALSE))),"X","")</f>
        <v/>
      </c>
      <c r="F833" s="70" t="str">
        <f t="shared" si="48"/>
        <v/>
      </c>
      <c r="G833" s="70" t="str">
        <f t="shared" si="51"/>
        <v>Blackwood</v>
      </c>
      <c r="H833" s="70">
        <f t="shared" si="49"/>
        <v>1254</v>
      </c>
      <c r="I833" s="70">
        <f t="shared" si="50"/>
        <v>1261</v>
      </c>
      <c r="J833">
        <v>22</v>
      </c>
      <c r="K833" s="3" t="str">
        <f ca="1">VLOOKUP(J833,ConstDLCIds!$A$4:$B$1000,2,FALSE)</f>
        <v>DLC_BLACKWOOD</v>
      </c>
      <c r="L833" s="3" t="str">
        <f ca="1">VLOOKUP(J833,ConstDLCIds!$A$4:$C$1000,3,FALSE)</f>
        <v>Blackwood</v>
      </c>
    </row>
    <row r="834" spans="1:12" x14ac:dyDescent="0.25">
      <c r="A834">
        <v>1255</v>
      </c>
      <c r="B834">
        <v>829</v>
      </c>
      <c r="C834">
        <v>1261</v>
      </c>
      <c r="D834" t="s">
        <v>2889</v>
      </c>
      <c r="E834" t="str">
        <f>IF(NOT(ISERROR(VLOOKUP(D834,'ESO DungeonFinder'!$A$2:$A$999,1,FALSE))),"X","")</f>
        <v/>
      </c>
      <c r="F834" s="70" t="str">
        <f t="shared" si="48"/>
        <v/>
      </c>
      <c r="G834" s="70" t="str">
        <f t="shared" si="51"/>
        <v>Blackwood</v>
      </c>
      <c r="H834" s="70">
        <f t="shared" si="49"/>
        <v>1255</v>
      </c>
      <c r="I834" s="70">
        <f t="shared" si="50"/>
        <v>1261</v>
      </c>
      <c r="J834">
        <v>22</v>
      </c>
      <c r="K834" s="3" t="str">
        <f ca="1">VLOOKUP(J834,ConstDLCIds!$A$4:$B$1000,2,FALSE)</f>
        <v>DLC_BLACKWOOD</v>
      </c>
      <c r="L834" s="3" t="str">
        <f ca="1">VLOOKUP(J834,ConstDLCIds!$A$4:$C$1000,3,FALSE)</f>
        <v>Blackwood</v>
      </c>
    </row>
    <row r="835" spans="1:12" x14ac:dyDescent="0.25">
      <c r="A835">
        <v>1256</v>
      </c>
      <c r="B835">
        <v>830</v>
      </c>
      <c r="C835">
        <v>1261</v>
      </c>
      <c r="D835" t="s">
        <v>2890</v>
      </c>
      <c r="E835" t="str">
        <f>IF(NOT(ISERROR(VLOOKUP(D835,'ESO DungeonFinder'!$A$2:$A$999,1,FALSE))),"X","")</f>
        <v/>
      </c>
      <c r="F835" s="70" t="str">
        <f t="shared" si="48"/>
        <v/>
      </c>
      <c r="G835" s="70" t="str">
        <f t="shared" si="51"/>
        <v>Blackwood</v>
      </c>
      <c r="H835" s="70">
        <f t="shared" si="49"/>
        <v>1256</v>
      </c>
      <c r="I835" s="70">
        <f t="shared" si="50"/>
        <v>1261</v>
      </c>
      <c r="J835">
        <v>22</v>
      </c>
      <c r="K835" s="3" t="str">
        <f ca="1">VLOOKUP(J835,ConstDLCIds!$A$4:$B$1000,2,FALSE)</f>
        <v>DLC_BLACKWOOD</v>
      </c>
      <c r="L835" s="3" t="str">
        <f ca="1">VLOOKUP(J835,ConstDLCIds!$A$4:$C$1000,3,FALSE)</f>
        <v>Blackwood</v>
      </c>
    </row>
    <row r="836" spans="1:12" x14ac:dyDescent="0.25">
      <c r="A836">
        <v>1257</v>
      </c>
      <c r="B836">
        <v>831</v>
      </c>
      <c r="C836">
        <v>1261</v>
      </c>
      <c r="D836" t="s">
        <v>2891</v>
      </c>
      <c r="E836" t="str">
        <f>IF(NOT(ISERROR(VLOOKUP(D836,'ESO DungeonFinder'!$A$2:$A$999,1,FALSE))),"X","")</f>
        <v/>
      </c>
      <c r="F836" s="70" t="str">
        <f t="shared" si="48"/>
        <v/>
      </c>
      <c r="G836" s="70" t="str">
        <f t="shared" si="51"/>
        <v>Blackwood</v>
      </c>
      <c r="H836" s="70">
        <f t="shared" si="49"/>
        <v>1257</v>
      </c>
      <c r="I836" s="70">
        <f t="shared" si="50"/>
        <v>1261</v>
      </c>
      <c r="J836">
        <v>22</v>
      </c>
      <c r="K836" s="3" t="str">
        <f ca="1">VLOOKUP(J836,ConstDLCIds!$A$4:$B$1000,2,FALSE)</f>
        <v>DLC_BLACKWOOD</v>
      </c>
      <c r="L836" s="3" t="str">
        <f ca="1">VLOOKUP(J836,ConstDLCIds!$A$4:$C$1000,3,FALSE)</f>
        <v>Blackwood</v>
      </c>
    </row>
    <row r="837" spans="1:12" x14ac:dyDescent="0.25">
      <c r="A837">
        <v>1258</v>
      </c>
      <c r="B837">
        <v>832</v>
      </c>
      <c r="C837">
        <v>1261</v>
      </c>
      <c r="D837" t="s">
        <v>2892</v>
      </c>
      <c r="E837" t="str">
        <f>IF(NOT(ISERROR(VLOOKUP(D837,'ESO DungeonFinder'!$A$2:$A$999,1,FALSE))),"X","")</f>
        <v/>
      </c>
      <c r="F837" s="70" t="str">
        <f t="shared" ref="F837:F900" si="52">IF(EXACT(A837,C837),"X","")</f>
        <v/>
      </c>
      <c r="G837" s="70" t="str">
        <f t="shared" si="51"/>
        <v>Blackwood</v>
      </c>
      <c r="H837" s="70">
        <f t="shared" ref="H837:H900" si="53">A837</f>
        <v>1258</v>
      </c>
      <c r="I837" s="70">
        <f t="shared" ref="I837:I900" si="54">C837</f>
        <v>1261</v>
      </c>
      <c r="J837">
        <v>22</v>
      </c>
      <c r="K837" s="3" t="str">
        <f ca="1">VLOOKUP(J837,ConstDLCIds!$A$4:$B$1000,2,FALSE)</f>
        <v>DLC_BLACKWOOD</v>
      </c>
      <c r="L837" s="3" t="str">
        <f ca="1">VLOOKUP(J837,ConstDLCIds!$A$4:$C$1000,3,FALSE)</f>
        <v>Blackwood</v>
      </c>
    </row>
    <row r="838" spans="1:12" x14ac:dyDescent="0.25">
      <c r="A838">
        <v>1259</v>
      </c>
      <c r="B838">
        <v>833</v>
      </c>
      <c r="C838">
        <v>1261</v>
      </c>
      <c r="D838" t="s">
        <v>1563</v>
      </c>
      <c r="E838" t="str">
        <f>IF(NOT(ISERROR(VLOOKUP(D838,'ESO DungeonFinder'!$A$2:$A$999,1,FALSE))),"X","")</f>
        <v/>
      </c>
      <c r="F838" s="70" t="str">
        <f t="shared" si="52"/>
        <v/>
      </c>
      <c r="G838" s="70" t="str">
        <f t="shared" ref="G838:G901" si="55">IF(A838&lt;&gt;C838,VLOOKUP(C838,$A$5:$D$9956,4,FALSE),"")</f>
        <v>Blackwood</v>
      </c>
      <c r="H838" s="70">
        <f t="shared" si="53"/>
        <v>1259</v>
      </c>
      <c r="I838" s="70">
        <f t="shared" si="54"/>
        <v>1261</v>
      </c>
      <c r="J838">
        <v>22</v>
      </c>
      <c r="K838" s="3" t="str">
        <f ca="1">VLOOKUP(J838,ConstDLCIds!$A$4:$B$1000,2,FALSE)</f>
        <v>DLC_BLACKWOOD</v>
      </c>
      <c r="L838" s="3" t="str">
        <f ca="1">VLOOKUP(J838,ConstDLCIds!$A$4:$C$1000,3,FALSE)</f>
        <v>Blackwood</v>
      </c>
    </row>
    <row r="839" spans="1:12" x14ac:dyDescent="0.25">
      <c r="A839">
        <v>1260</v>
      </c>
      <c r="B839">
        <v>834</v>
      </c>
      <c r="C839">
        <v>1261</v>
      </c>
      <c r="D839" t="s">
        <v>1605</v>
      </c>
      <c r="E839" t="str">
        <f>IF(NOT(ISERROR(VLOOKUP(D839,'ESO DungeonFinder'!$A$2:$A$999,1,FALSE))),"X","")</f>
        <v/>
      </c>
      <c r="F839" s="70" t="str">
        <f t="shared" si="52"/>
        <v/>
      </c>
      <c r="G839" s="70" t="str">
        <f t="shared" si="55"/>
        <v>Blackwood</v>
      </c>
      <c r="H839" s="70">
        <f t="shared" si="53"/>
        <v>1260</v>
      </c>
      <c r="I839" s="70">
        <f t="shared" si="54"/>
        <v>1261</v>
      </c>
      <c r="J839">
        <v>22</v>
      </c>
      <c r="K839" s="3" t="str">
        <f ca="1">VLOOKUP(J839,ConstDLCIds!$A$4:$B$1000,2,FALSE)</f>
        <v>DLC_BLACKWOOD</v>
      </c>
      <c r="L839" s="3" t="str">
        <f ca="1">VLOOKUP(J839,ConstDLCIds!$A$4:$C$1000,3,FALSE)</f>
        <v>Blackwood</v>
      </c>
    </row>
    <row r="840" spans="1:12" x14ac:dyDescent="0.25">
      <c r="A840">
        <v>1261</v>
      </c>
      <c r="B840">
        <v>835</v>
      </c>
      <c r="C840">
        <v>1261</v>
      </c>
      <c r="D840" t="s">
        <v>74</v>
      </c>
      <c r="E840" t="str">
        <f>IF(NOT(ISERROR(VLOOKUP(D840,'ESO DungeonFinder'!$A$2:$A$999,1,FALSE))),"X","")</f>
        <v/>
      </c>
      <c r="F840" s="70" t="str">
        <f t="shared" si="52"/>
        <v>X</v>
      </c>
      <c r="G840" s="70" t="str">
        <f t="shared" si="55"/>
        <v/>
      </c>
      <c r="H840" s="70">
        <f t="shared" si="53"/>
        <v>1261</v>
      </c>
      <c r="I840" s="70">
        <f t="shared" si="54"/>
        <v>1261</v>
      </c>
      <c r="J840">
        <v>14</v>
      </c>
      <c r="K840" s="3" t="str">
        <f ca="1">VLOOKUP(J840,ConstDLCIds!$A$4:$B$1000,2,FALSE)</f>
        <v>DLC_ELSWEYR</v>
      </c>
      <c r="L840" s="3" t="str">
        <f ca="1">VLOOKUP(J840,ConstDLCIds!$A$4:$C$1000,3,FALSE)</f>
        <v>Elsweyr</v>
      </c>
    </row>
    <row r="841" spans="1:12" x14ac:dyDescent="0.25">
      <c r="A841">
        <v>1262</v>
      </c>
      <c r="B841">
        <v>836</v>
      </c>
      <c r="C841">
        <v>19</v>
      </c>
      <c r="D841" t="s">
        <v>2893</v>
      </c>
      <c r="E841" t="str">
        <f>IF(NOT(ISERROR(VLOOKUP(D841,'ESO DungeonFinder'!$A$2:$A$999,1,FALSE))),"X","")</f>
        <v/>
      </c>
      <c r="F841" s="70" t="str">
        <f t="shared" si="52"/>
        <v/>
      </c>
      <c r="G841" s="70" t="str">
        <f t="shared" si="55"/>
        <v>Stormhaven</v>
      </c>
      <c r="H841" s="70">
        <f t="shared" si="53"/>
        <v>1262</v>
      </c>
      <c r="I841" s="70">
        <f t="shared" si="54"/>
        <v>19</v>
      </c>
      <c r="J841">
        <v>0</v>
      </c>
      <c r="K841" s="3" t="str">
        <f>VLOOKUP(J841,ConstDLCIds!$A$4:$B$1000,2,FALSE)</f>
        <v>DLC_BASE_GAME</v>
      </c>
      <c r="L841" s="3" t="str">
        <f>VLOOKUP(J841,ConstDLCIds!$A$4:$C$1000,3,FALSE)</f>
        <v>Included in base game</v>
      </c>
    </row>
    <row r="842" spans="1:12" x14ac:dyDescent="0.25">
      <c r="A842">
        <v>1263</v>
      </c>
      <c r="B842">
        <v>837</v>
      </c>
      <c r="C842">
        <v>1261</v>
      </c>
      <c r="D842" t="s">
        <v>1576</v>
      </c>
      <c r="E842" t="str">
        <f>IF(NOT(ISERROR(VLOOKUP(D842,'ESO DungeonFinder'!$A$2:$A$999,1,FALSE))),"X","")</f>
        <v/>
      </c>
      <c r="F842" s="70" t="str">
        <f t="shared" si="52"/>
        <v/>
      </c>
      <c r="G842" s="70" t="str">
        <f t="shared" si="55"/>
        <v>Blackwood</v>
      </c>
      <c r="H842" s="70">
        <f t="shared" si="53"/>
        <v>1263</v>
      </c>
      <c r="I842" s="70">
        <f t="shared" si="54"/>
        <v>1261</v>
      </c>
      <c r="J842">
        <v>22</v>
      </c>
      <c r="K842" s="3" t="str">
        <f ca="1">VLOOKUP(J842,ConstDLCIds!$A$4:$B$1000,2,FALSE)</f>
        <v>DLC_BLACKWOOD</v>
      </c>
      <c r="L842" s="3" t="str">
        <f ca="1">VLOOKUP(J842,ConstDLCIds!$A$4:$C$1000,3,FALSE)</f>
        <v>Blackwood</v>
      </c>
    </row>
    <row r="843" spans="1:12" x14ac:dyDescent="0.25">
      <c r="A843">
        <v>1264</v>
      </c>
      <c r="B843">
        <v>838</v>
      </c>
      <c r="C843">
        <v>1207</v>
      </c>
      <c r="D843" t="s">
        <v>2894</v>
      </c>
      <c r="E843" t="str">
        <f>IF(NOT(ISERROR(VLOOKUP(D843,'ESO DungeonFinder'!$A$2:$A$999,1,FALSE))),"X","")</f>
        <v/>
      </c>
      <c r="F843" s="70" t="str">
        <f t="shared" si="52"/>
        <v/>
      </c>
      <c r="G843" s="70" t="str">
        <f t="shared" si="55"/>
        <v>The Reach</v>
      </c>
      <c r="H843" s="70">
        <f t="shared" si="53"/>
        <v>1264</v>
      </c>
      <c r="I843" s="70">
        <f t="shared" si="54"/>
        <v>1207</v>
      </c>
      <c r="J843">
        <v>20</v>
      </c>
      <c r="K843" s="3" t="str">
        <f ca="1">VLOOKUP(J843,ConstDLCIds!$A$4:$B$1000,2,FALSE)</f>
        <v>DLC_MARKARTH</v>
      </c>
      <c r="L843" s="3" t="str">
        <f ca="1">VLOOKUP(J843,ConstDLCIds!$A$4:$C$1000,3,FALSE)</f>
        <v>Markarth</v>
      </c>
    </row>
    <row r="844" spans="1:12" x14ac:dyDescent="0.25">
      <c r="A844">
        <v>1265</v>
      </c>
      <c r="B844">
        <v>839</v>
      </c>
      <c r="C844">
        <v>1160</v>
      </c>
      <c r="D844" t="s">
        <v>2895</v>
      </c>
      <c r="E844" t="str">
        <f>IF(NOT(ISERROR(VLOOKUP(D844,'ESO DungeonFinder'!$A$2:$A$999,1,FALSE))),"X","")</f>
        <v/>
      </c>
      <c r="F844" s="70" t="str">
        <f t="shared" si="52"/>
        <v/>
      </c>
      <c r="G844" s="70" t="str">
        <f t="shared" si="55"/>
        <v>Western Skyrim</v>
      </c>
      <c r="H844" s="70">
        <f t="shared" si="53"/>
        <v>1265</v>
      </c>
      <c r="I844" s="70">
        <f t="shared" si="54"/>
        <v>1160</v>
      </c>
      <c r="J844">
        <v>18</v>
      </c>
      <c r="K844" s="3" t="str">
        <f ca="1">VLOOKUP(J844,ConstDLCIds!$A$4:$B$1000,2,FALSE)</f>
        <v>DLC_GREYMOOR</v>
      </c>
      <c r="L844" s="3" t="str">
        <f ca="1">VLOOKUP(J844,ConstDLCIds!$A$4:$C$1000,3,FALSE)</f>
        <v>Greymoor</v>
      </c>
    </row>
    <row r="845" spans="1:12" x14ac:dyDescent="0.25">
      <c r="A845">
        <v>1266</v>
      </c>
      <c r="B845">
        <v>840</v>
      </c>
      <c r="C845">
        <v>1261</v>
      </c>
      <c r="D845" t="s">
        <v>2896</v>
      </c>
      <c r="E845" t="str">
        <f>IF(NOT(ISERROR(VLOOKUP(D845,'ESO DungeonFinder'!$A$2:$A$999,1,FALSE))),"X","")</f>
        <v/>
      </c>
      <c r="F845" s="70" t="str">
        <f t="shared" si="52"/>
        <v/>
      </c>
      <c r="G845" s="70" t="str">
        <f t="shared" si="55"/>
        <v>Blackwood</v>
      </c>
      <c r="H845" s="70">
        <f t="shared" si="53"/>
        <v>1266</v>
      </c>
      <c r="I845" s="70">
        <f t="shared" si="54"/>
        <v>1261</v>
      </c>
      <c r="J845">
        <v>22</v>
      </c>
      <c r="K845" s="3" t="str">
        <f ca="1">VLOOKUP(J845,ConstDLCIds!$A$4:$B$1000,2,FALSE)</f>
        <v>DLC_BLACKWOOD</v>
      </c>
      <c r="L845" s="3" t="str">
        <f ca="1">VLOOKUP(J845,ConstDLCIds!$A$4:$C$1000,3,FALSE)</f>
        <v>Blackwood</v>
      </c>
    </row>
    <row r="846" spans="1:12" x14ac:dyDescent="0.25">
      <c r="A846">
        <v>1267</v>
      </c>
      <c r="B846">
        <v>841</v>
      </c>
      <c r="C846">
        <v>3</v>
      </c>
      <c r="D846" t="s">
        <v>1628</v>
      </c>
      <c r="E846" t="str">
        <f>IF(NOT(ISERROR(VLOOKUP(D846,'ESO DungeonFinder'!$A$2:$A$999,1,FALSE))),"X","")</f>
        <v>X</v>
      </c>
      <c r="F846" s="70" t="str">
        <f t="shared" si="52"/>
        <v/>
      </c>
      <c r="G846" s="70" t="str">
        <f t="shared" si="55"/>
        <v>Glenumbra</v>
      </c>
      <c r="H846" s="70">
        <f t="shared" si="53"/>
        <v>1267</v>
      </c>
      <c r="I846" s="70">
        <f t="shared" si="54"/>
        <v>3</v>
      </c>
      <c r="J846">
        <v>23</v>
      </c>
      <c r="K846" s="3" t="str">
        <f ca="1">VLOOKUP(J846,ConstDLCIds!$A$4:$B$1000,2,FALSE)</f>
        <v>DLC_WAKING_FLAME</v>
      </c>
      <c r="L846" s="3" t="str">
        <f ca="1">VLOOKUP(J846,ConstDLCIds!$A$4:$C$1000,3,FALSE)</f>
        <v>Waking Flame</v>
      </c>
    </row>
    <row r="847" spans="1:12" x14ac:dyDescent="0.25">
      <c r="A847">
        <v>1268</v>
      </c>
      <c r="B847">
        <v>842</v>
      </c>
      <c r="C847">
        <v>1261</v>
      </c>
      <c r="D847" t="s">
        <v>1621</v>
      </c>
      <c r="E847" t="str">
        <f>IF(NOT(ISERROR(VLOOKUP(D847,'ESO DungeonFinder'!$A$2:$A$999,1,FALSE))),"X","")</f>
        <v>X</v>
      </c>
      <c r="F847" s="70" t="str">
        <f t="shared" si="52"/>
        <v/>
      </c>
      <c r="G847" s="70" t="str">
        <f t="shared" si="55"/>
        <v>Blackwood</v>
      </c>
      <c r="H847" s="70">
        <f t="shared" si="53"/>
        <v>1268</v>
      </c>
      <c r="I847" s="70">
        <f t="shared" si="54"/>
        <v>1261</v>
      </c>
      <c r="J847">
        <v>22</v>
      </c>
      <c r="K847" s="3" t="str">
        <f ca="1">VLOOKUP(J847,ConstDLCIds!$A$4:$B$1000,2,FALSE)</f>
        <v>DLC_BLACKWOOD</v>
      </c>
      <c r="L847" s="3" t="str">
        <f ca="1">VLOOKUP(J847,ConstDLCIds!$A$4:$C$1000,3,FALSE)</f>
        <v>Blackwood</v>
      </c>
    </row>
    <row r="848" spans="1:12" x14ac:dyDescent="0.25">
      <c r="A848">
        <v>1270</v>
      </c>
      <c r="B848">
        <v>843</v>
      </c>
      <c r="C848">
        <v>849</v>
      </c>
      <c r="D848" t="s">
        <v>2897</v>
      </c>
      <c r="E848" t="str">
        <f>IF(NOT(ISERROR(VLOOKUP(D848,'ESO DungeonFinder'!$A$2:$A$999,1,FALSE))),"X","")</f>
        <v/>
      </c>
      <c r="F848" s="70" t="str">
        <f t="shared" si="52"/>
        <v/>
      </c>
      <c r="G848" s="70" t="str">
        <f t="shared" si="55"/>
        <v>Vvardenfell</v>
      </c>
      <c r="H848" s="70">
        <f t="shared" si="53"/>
        <v>1270</v>
      </c>
      <c r="I848" s="70">
        <f t="shared" si="54"/>
        <v>849</v>
      </c>
      <c r="J848">
        <v>6</v>
      </c>
      <c r="K848" s="3" t="str">
        <f ca="1">VLOOKUP(J848,ConstDLCIds!$A$4:$B$1000,2,FALSE)</f>
        <v>DLC_MORROWIND</v>
      </c>
      <c r="L848" s="3" t="str">
        <f ca="1">VLOOKUP(J848,ConstDLCIds!$A$4:$C$1000,3,FALSE)</f>
        <v>Morrowind</v>
      </c>
    </row>
    <row r="849" spans="1:12" x14ac:dyDescent="0.25">
      <c r="A849">
        <v>1271</v>
      </c>
      <c r="B849">
        <v>844</v>
      </c>
      <c r="C849">
        <v>823</v>
      </c>
      <c r="D849" t="s">
        <v>2898</v>
      </c>
      <c r="E849" t="str">
        <f>IF(NOT(ISERROR(VLOOKUP(D849,'ESO DungeonFinder'!$A$2:$A$999,1,FALSE))),"X","")</f>
        <v/>
      </c>
      <c r="F849" s="70" t="str">
        <f t="shared" si="52"/>
        <v/>
      </c>
      <c r="G849" s="70" t="str">
        <f t="shared" si="55"/>
        <v>Gold Coast</v>
      </c>
      <c r="H849" s="70">
        <f t="shared" si="53"/>
        <v>1271</v>
      </c>
      <c r="I849" s="70">
        <f t="shared" si="54"/>
        <v>823</v>
      </c>
      <c r="J849">
        <v>4</v>
      </c>
      <c r="K849" s="3" t="str">
        <f ca="1">VLOOKUP(J849,ConstDLCIds!$A$4:$B$1000,2,FALSE)</f>
        <v>DLC_DARK_BROTHERHOOD</v>
      </c>
      <c r="L849" s="3" t="str">
        <f ca="1">VLOOKUP(J849,ConstDLCIds!$A$4:$C$1000,3,FALSE)</f>
        <v>Dark Brotherhood</v>
      </c>
    </row>
    <row r="850" spans="1:12" x14ac:dyDescent="0.25">
      <c r="A850">
        <v>1272</v>
      </c>
      <c r="B850">
        <v>845</v>
      </c>
      <c r="C850">
        <v>1261</v>
      </c>
      <c r="D850" t="s">
        <v>2193</v>
      </c>
      <c r="E850" t="str">
        <f>IF(NOT(ISERROR(VLOOKUP(D850,'ESO DungeonFinder'!$A$2:$A$999,1,FALSE))),"X","")</f>
        <v/>
      </c>
      <c r="F850" s="70" t="str">
        <f t="shared" si="52"/>
        <v/>
      </c>
      <c r="G850" s="70" t="str">
        <f t="shared" si="55"/>
        <v>Blackwood</v>
      </c>
      <c r="H850" s="70">
        <f t="shared" si="53"/>
        <v>1272</v>
      </c>
      <c r="I850" s="70">
        <f t="shared" si="54"/>
        <v>1261</v>
      </c>
      <c r="J850">
        <v>22</v>
      </c>
      <c r="K850" s="3" t="str">
        <f ca="1">VLOOKUP(J850,ConstDLCIds!$A$4:$B$1000,2,FALSE)</f>
        <v>DLC_BLACKWOOD</v>
      </c>
      <c r="L850" s="3" t="str">
        <f ca="1">VLOOKUP(J850,ConstDLCIds!$A$4:$C$1000,3,FALSE)</f>
        <v>Blackwood</v>
      </c>
    </row>
    <row r="851" spans="1:12" x14ac:dyDescent="0.25">
      <c r="A851">
        <v>1274</v>
      </c>
      <c r="B851">
        <v>846</v>
      </c>
      <c r="C851">
        <v>3</v>
      </c>
      <c r="D851" t="s">
        <v>2899</v>
      </c>
      <c r="E851" t="str">
        <f>IF(NOT(ISERROR(VLOOKUP(D851,'ESO DungeonFinder'!$A$2:$A$999,1,FALSE))),"X","")</f>
        <v/>
      </c>
      <c r="F851" s="70" t="str">
        <f t="shared" si="52"/>
        <v/>
      </c>
      <c r="G851" s="70" t="str">
        <f t="shared" si="55"/>
        <v>Glenumbra</v>
      </c>
      <c r="H851" s="70">
        <f t="shared" si="53"/>
        <v>1274</v>
      </c>
      <c r="I851" s="70">
        <f t="shared" si="54"/>
        <v>3</v>
      </c>
      <c r="J851">
        <v>0</v>
      </c>
      <c r="K851" s="3" t="str">
        <f>VLOOKUP(J851,ConstDLCIds!$A$4:$B$1000,2,FALSE)</f>
        <v>DLC_BASE_GAME</v>
      </c>
      <c r="L851" s="3" t="str">
        <f>VLOOKUP(J851,ConstDLCIds!$A$4:$C$1000,3,FALSE)</f>
        <v>Included in base game</v>
      </c>
    </row>
    <row r="852" spans="1:12" x14ac:dyDescent="0.25">
      <c r="A852">
        <v>1275</v>
      </c>
      <c r="B852">
        <v>847</v>
      </c>
      <c r="C852">
        <v>1261</v>
      </c>
      <c r="D852" t="s">
        <v>2900</v>
      </c>
      <c r="E852" t="str">
        <f>IF(NOT(ISERROR(VLOOKUP(D852,'ESO DungeonFinder'!$A$2:$A$999,1,FALSE))),"X","")</f>
        <v/>
      </c>
      <c r="F852" s="70" t="str">
        <f t="shared" si="52"/>
        <v/>
      </c>
      <c r="G852" s="70" t="str">
        <f t="shared" si="55"/>
        <v>Blackwood</v>
      </c>
      <c r="H852" s="70">
        <f t="shared" si="53"/>
        <v>1275</v>
      </c>
      <c r="I852" s="70">
        <f t="shared" si="54"/>
        <v>1261</v>
      </c>
      <c r="J852">
        <v>22</v>
      </c>
      <c r="K852" s="3" t="str">
        <f ca="1">VLOOKUP(J852,ConstDLCIds!$A$4:$B$1000,2,FALSE)</f>
        <v>DLC_BLACKWOOD</v>
      </c>
      <c r="L852" s="3" t="str">
        <f ca="1">VLOOKUP(J852,ConstDLCIds!$A$4:$C$1000,3,FALSE)</f>
        <v>Blackwood</v>
      </c>
    </row>
    <row r="853" spans="1:12" x14ac:dyDescent="0.25">
      <c r="A853">
        <v>1276</v>
      </c>
      <c r="B853">
        <v>848</v>
      </c>
      <c r="C853">
        <v>1261</v>
      </c>
      <c r="D853" t="s">
        <v>2901</v>
      </c>
      <c r="E853" t="str">
        <f>IF(NOT(ISERROR(VLOOKUP(D853,'ESO DungeonFinder'!$A$2:$A$999,1,FALSE))),"X","")</f>
        <v/>
      </c>
      <c r="F853" s="70" t="str">
        <f t="shared" si="52"/>
        <v/>
      </c>
      <c r="G853" s="70" t="str">
        <f t="shared" si="55"/>
        <v>Blackwood</v>
      </c>
      <c r="H853" s="70">
        <f t="shared" si="53"/>
        <v>1276</v>
      </c>
      <c r="I853" s="70">
        <f t="shared" si="54"/>
        <v>1261</v>
      </c>
      <c r="J853">
        <v>22</v>
      </c>
      <c r="K853" s="3" t="str">
        <f ca="1">VLOOKUP(J853,ConstDLCIds!$A$4:$B$1000,2,FALSE)</f>
        <v>DLC_BLACKWOOD</v>
      </c>
      <c r="L853" s="3" t="str">
        <f ca="1">VLOOKUP(J853,ConstDLCIds!$A$4:$C$1000,3,FALSE)</f>
        <v>Blackwood</v>
      </c>
    </row>
    <row r="854" spans="1:12" x14ac:dyDescent="0.25">
      <c r="A854">
        <v>1277</v>
      </c>
      <c r="B854">
        <v>849</v>
      </c>
      <c r="C854">
        <v>1261</v>
      </c>
      <c r="D854" t="s">
        <v>2902</v>
      </c>
      <c r="E854" t="str">
        <f>IF(NOT(ISERROR(VLOOKUP(D854,'ESO DungeonFinder'!$A$2:$A$999,1,FALSE))),"X","")</f>
        <v/>
      </c>
      <c r="F854" s="70" t="str">
        <f t="shared" si="52"/>
        <v/>
      </c>
      <c r="G854" s="70" t="str">
        <f t="shared" si="55"/>
        <v>Blackwood</v>
      </c>
      <c r="H854" s="70">
        <f t="shared" si="53"/>
        <v>1277</v>
      </c>
      <c r="I854" s="70">
        <f t="shared" si="54"/>
        <v>1261</v>
      </c>
      <c r="J854">
        <v>22</v>
      </c>
      <c r="K854" s="3" t="str">
        <f ca="1">VLOOKUP(J854,ConstDLCIds!$A$4:$B$1000,2,FALSE)</f>
        <v>DLC_BLACKWOOD</v>
      </c>
      <c r="L854" s="3" t="str">
        <f ca="1">VLOOKUP(J854,ConstDLCIds!$A$4:$C$1000,3,FALSE)</f>
        <v>Blackwood</v>
      </c>
    </row>
    <row r="855" spans="1:12" x14ac:dyDescent="0.25">
      <c r="A855">
        <v>1278</v>
      </c>
      <c r="B855">
        <v>850</v>
      </c>
      <c r="C855">
        <v>108</v>
      </c>
      <c r="D855" t="s">
        <v>2903</v>
      </c>
      <c r="E855" t="str">
        <f>IF(NOT(ISERROR(VLOOKUP(D855,'ESO DungeonFinder'!$A$2:$A$999,1,FALSE))),"X","")</f>
        <v/>
      </c>
      <c r="F855" s="70" t="str">
        <f t="shared" si="52"/>
        <v/>
      </c>
      <c r="G855" s="70" t="str">
        <f t="shared" si="55"/>
        <v>Greenshade</v>
      </c>
      <c r="H855" s="70">
        <f t="shared" si="53"/>
        <v>1278</v>
      </c>
      <c r="I855" s="70">
        <f t="shared" si="54"/>
        <v>108</v>
      </c>
      <c r="J855">
        <v>0</v>
      </c>
      <c r="K855" s="3" t="str">
        <f>VLOOKUP(J855,ConstDLCIds!$A$4:$B$1000,2,FALSE)</f>
        <v>DLC_BASE_GAME</v>
      </c>
      <c r="L855" s="3" t="str">
        <f>VLOOKUP(J855,ConstDLCIds!$A$4:$C$1000,3,FALSE)</f>
        <v>Included in base game</v>
      </c>
    </row>
    <row r="856" spans="1:12" x14ac:dyDescent="0.25">
      <c r="A856">
        <v>1279</v>
      </c>
      <c r="B856">
        <v>851</v>
      </c>
      <c r="C856">
        <v>108</v>
      </c>
      <c r="D856" t="s">
        <v>2904</v>
      </c>
      <c r="E856" t="str">
        <f>IF(NOT(ISERROR(VLOOKUP(D856,'ESO DungeonFinder'!$A$2:$A$999,1,FALSE))),"X","")</f>
        <v/>
      </c>
      <c r="F856" s="70" t="str">
        <f t="shared" si="52"/>
        <v/>
      </c>
      <c r="G856" s="70" t="str">
        <f t="shared" si="55"/>
        <v>Greenshade</v>
      </c>
      <c r="H856" s="70">
        <f t="shared" si="53"/>
        <v>1279</v>
      </c>
      <c r="I856" s="70">
        <f t="shared" si="54"/>
        <v>108</v>
      </c>
      <c r="J856">
        <v>0</v>
      </c>
      <c r="K856" s="3" t="str">
        <f>VLOOKUP(J856,ConstDLCIds!$A$4:$B$1000,2,FALSE)</f>
        <v>DLC_BASE_GAME</v>
      </c>
      <c r="L856" s="3" t="str">
        <f>VLOOKUP(J856,ConstDLCIds!$A$4:$C$1000,3,FALSE)</f>
        <v>Included in base game</v>
      </c>
    </row>
    <row r="857" spans="1:12" x14ac:dyDescent="0.25">
      <c r="A857">
        <v>1280</v>
      </c>
      <c r="B857">
        <v>852</v>
      </c>
      <c r="C857">
        <v>108</v>
      </c>
      <c r="D857" t="s">
        <v>2905</v>
      </c>
      <c r="E857" t="str">
        <f>IF(NOT(ISERROR(VLOOKUP(D857,'ESO DungeonFinder'!$A$2:$A$999,1,FALSE))),"X","")</f>
        <v/>
      </c>
      <c r="F857" s="70" t="str">
        <f t="shared" si="52"/>
        <v/>
      </c>
      <c r="G857" s="70" t="str">
        <f t="shared" si="55"/>
        <v>Greenshade</v>
      </c>
      <c r="H857" s="70">
        <f t="shared" si="53"/>
        <v>1280</v>
      </c>
      <c r="I857" s="70">
        <f t="shared" si="54"/>
        <v>108</v>
      </c>
      <c r="J857">
        <v>0</v>
      </c>
      <c r="K857" s="3" t="str">
        <f>VLOOKUP(J857,ConstDLCIds!$A$4:$B$1000,2,FALSE)</f>
        <v>DLC_BASE_GAME</v>
      </c>
      <c r="L857" s="3" t="str">
        <f>VLOOKUP(J857,ConstDLCIds!$A$4:$C$1000,3,FALSE)</f>
        <v>Included in base game</v>
      </c>
    </row>
    <row r="858" spans="1:12" x14ac:dyDescent="0.25">
      <c r="A858">
        <v>1281</v>
      </c>
      <c r="B858">
        <v>853</v>
      </c>
      <c r="C858">
        <v>108</v>
      </c>
      <c r="D858" t="s">
        <v>2905</v>
      </c>
      <c r="E858" t="str">
        <f>IF(NOT(ISERROR(VLOOKUP(D858,'ESO DungeonFinder'!$A$2:$A$999,1,FALSE))),"X","")</f>
        <v/>
      </c>
      <c r="F858" s="70" t="str">
        <f t="shared" si="52"/>
        <v/>
      </c>
      <c r="G858" s="70" t="str">
        <f t="shared" si="55"/>
        <v>Greenshade</v>
      </c>
      <c r="H858" s="70">
        <f t="shared" si="53"/>
        <v>1281</v>
      </c>
      <c r="I858" s="70">
        <f t="shared" si="54"/>
        <v>108</v>
      </c>
      <c r="J858">
        <v>0</v>
      </c>
      <c r="K858" s="3" t="str">
        <f>VLOOKUP(J858,ConstDLCIds!$A$4:$B$1000,2,FALSE)</f>
        <v>DLC_BASE_GAME</v>
      </c>
      <c r="L858" s="3" t="str">
        <f>VLOOKUP(J858,ConstDLCIds!$A$4:$C$1000,3,FALSE)</f>
        <v>Included in base game</v>
      </c>
    </row>
    <row r="859" spans="1:12" x14ac:dyDescent="0.25">
      <c r="A859">
        <v>1282</v>
      </c>
      <c r="B859">
        <v>854</v>
      </c>
      <c r="C859">
        <v>1282</v>
      </c>
      <c r="D859" t="s">
        <v>1674</v>
      </c>
      <c r="E859" t="str">
        <f>IF(NOT(ISERROR(VLOOKUP(D859,'ESO DungeonFinder'!$A$2:$A$999,1,FALSE))),"X","")</f>
        <v/>
      </c>
      <c r="F859" s="70" t="str">
        <f t="shared" si="52"/>
        <v>X</v>
      </c>
      <c r="G859" s="70" t="str">
        <f t="shared" si="55"/>
        <v/>
      </c>
      <c r="H859" s="70">
        <f t="shared" si="53"/>
        <v>1282</v>
      </c>
      <c r="I859" s="70">
        <f t="shared" si="54"/>
        <v>1282</v>
      </c>
      <c r="J859">
        <v>13</v>
      </c>
      <c r="K859" s="3" t="str">
        <f ca="1">VLOOKUP(J859,ConstDLCIds!$A$4:$B$1000,2,FALSE)</f>
        <v>DLC_WRATHSTONE</v>
      </c>
      <c r="L859" s="3" t="str">
        <f ca="1">VLOOKUP(J859,ConstDLCIds!$A$4:$C$1000,3,FALSE)</f>
        <v>Wrathstone</v>
      </c>
    </row>
    <row r="860" spans="1:12" x14ac:dyDescent="0.25">
      <c r="A860">
        <v>1283</v>
      </c>
      <c r="B860">
        <v>855</v>
      </c>
      <c r="C860">
        <v>1282</v>
      </c>
      <c r="D860" t="s">
        <v>1643</v>
      </c>
      <c r="E860" t="str">
        <f>IF(NOT(ISERROR(VLOOKUP(D860,'ESO DungeonFinder'!$A$2:$A$999,1,FALSE))),"X","")</f>
        <v/>
      </c>
      <c r="F860" s="70" t="str">
        <f t="shared" si="52"/>
        <v/>
      </c>
      <c r="G860" s="70" t="str">
        <f t="shared" si="55"/>
        <v>Fargrave</v>
      </c>
      <c r="H860" s="70">
        <f t="shared" si="53"/>
        <v>1283</v>
      </c>
      <c r="I860" s="70">
        <f t="shared" si="54"/>
        <v>1282</v>
      </c>
      <c r="J860">
        <v>24</v>
      </c>
      <c r="K860" s="3" t="str">
        <f ca="1">VLOOKUP(J860,ConstDLCIds!$A$4:$B$1000,2,FALSE)</f>
        <v>DLC_DEADLANDS</v>
      </c>
      <c r="L860" s="3" t="str">
        <f ca="1">VLOOKUP(J860,ConstDLCIds!$A$4:$C$1000,3,FALSE)</f>
        <v>The Deadlands</v>
      </c>
    </row>
    <row r="861" spans="1:12" x14ac:dyDescent="0.25">
      <c r="A861">
        <v>1284</v>
      </c>
      <c r="B861">
        <v>856</v>
      </c>
      <c r="C861">
        <v>1282</v>
      </c>
      <c r="D861" t="s">
        <v>2906</v>
      </c>
      <c r="E861" t="str">
        <f>IF(NOT(ISERROR(VLOOKUP(D861,'ESO DungeonFinder'!$A$2:$A$999,1,FALSE))),"X","")</f>
        <v/>
      </c>
      <c r="F861" s="70" t="str">
        <f t="shared" si="52"/>
        <v/>
      </c>
      <c r="G861" s="70" t="str">
        <f t="shared" si="55"/>
        <v>Fargrave</v>
      </c>
      <c r="H861" s="70">
        <f t="shared" si="53"/>
        <v>1284</v>
      </c>
      <c r="I861" s="70">
        <f t="shared" si="54"/>
        <v>1282</v>
      </c>
      <c r="J861">
        <v>24</v>
      </c>
      <c r="K861" s="3" t="str">
        <f ca="1">VLOOKUP(J861,ConstDLCIds!$A$4:$B$1000,2,FALSE)</f>
        <v>DLC_DEADLANDS</v>
      </c>
      <c r="L861" s="3" t="str">
        <f ca="1">VLOOKUP(J861,ConstDLCIds!$A$4:$C$1000,3,FALSE)</f>
        <v>The Deadlands</v>
      </c>
    </row>
    <row r="862" spans="1:12" x14ac:dyDescent="0.25">
      <c r="A862">
        <v>1285</v>
      </c>
      <c r="B862">
        <v>857</v>
      </c>
      <c r="C862">
        <v>1286</v>
      </c>
      <c r="D862" t="s">
        <v>2907</v>
      </c>
      <c r="E862" t="str">
        <f>IF(NOT(ISERROR(VLOOKUP(D862,'ESO DungeonFinder'!$A$2:$A$999,1,FALSE))),"X","")</f>
        <v/>
      </c>
      <c r="F862" s="70" t="str">
        <f t="shared" si="52"/>
        <v/>
      </c>
      <c r="G862" s="70" t="str">
        <f t="shared" si="55"/>
        <v>The Deadlands</v>
      </c>
      <c r="H862" s="70">
        <f t="shared" si="53"/>
        <v>1285</v>
      </c>
      <c r="I862" s="70">
        <f t="shared" si="54"/>
        <v>1286</v>
      </c>
      <c r="J862">
        <v>24</v>
      </c>
      <c r="K862" s="3" t="str">
        <f ca="1">VLOOKUP(J862,ConstDLCIds!$A$4:$B$1000,2,FALSE)</f>
        <v>DLC_DEADLANDS</v>
      </c>
      <c r="L862" s="3" t="str">
        <f ca="1">VLOOKUP(J862,ConstDLCIds!$A$4:$C$1000,3,FALSE)</f>
        <v>The Deadlands</v>
      </c>
    </row>
    <row r="863" spans="1:12" x14ac:dyDescent="0.25">
      <c r="A863">
        <v>1286</v>
      </c>
      <c r="B863">
        <v>858</v>
      </c>
      <c r="C863">
        <v>1286</v>
      </c>
      <c r="D863" t="s">
        <v>80</v>
      </c>
      <c r="E863" t="str">
        <f>IF(NOT(ISERROR(VLOOKUP(D863,'ESO DungeonFinder'!$A$2:$A$999,1,FALSE))),"X","")</f>
        <v/>
      </c>
      <c r="F863" s="70" t="str">
        <f t="shared" si="52"/>
        <v>X</v>
      </c>
      <c r="G863" s="70" t="str">
        <f t="shared" si="55"/>
        <v/>
      </c>
      <c r="H863" s="70">
        <f t="shared" si="53"/>
        <v>1286</v>
      </c>
      <c r="I863" s="70">
        <f t="shared" si="54"/>
        <v>1286</v>
      </c>
      <c r="J863">
        <v>0</v>
      </c>
      <c r="K863" s="3" t="str">
        <f>VLOOKUP(J863,ConstDLCIds!$A$4:$B$1000,2,FALSE)</f>
        <v>DLC_BASE_GAME</v>
      </c>
      <c r="L863" s="3" t="str">
        <f>VLOOKUP(J863,ConstDLCIds!$A$4:$C$1000,3,FALSE)</f>
        <v>Included in base game</v>
      </c>
    </row>
    <row r="864" spans="1:12" x14ac:dyDescent="0.25">
      <c r="A864">
        <v>1287</v>
      </c>
      <c r="B864">
        <v>859</v>
      </c>
      <c r="C864">
        <v>1286</v>
      </c>
      <c r="D864" t="s">
        <v>2908</v>
      </c>
      <c r="E864" t="str">
        <f>IF(NOT(ISERROR(VLOOKUP(D864,'ESO DungeonFinder'!$A$2:$A$999,1,FALSE))),"X","")</f>
        <v/>
      </c>
      <c r="F864" s="70" t="str">
        <f t="shared" si="52"/>
        <v/>
      </c>
      <c r="G864" s="70" t="str">
        <f t="shared" si="55"/>
        <v>The Deadlands</v>
      </c>
      <c r="H864" s="70">
        <f t="shared" si="53"/>
        <v>1287</v>
      </c>
      <c r="I864" s="70">
        <f t="shared" si="54"/>
        <v>1286</v>
      </c>
      <c r="J864">
        <v>24</v>
      </c>
      <c r="K864" s="3" t="str">
        <f ca="1">VLOOKUP(J864,ConstDLCIds!$A$4:$B$1000,2,FALSE)</f>
        <v>DLC_DEADLANDS</v>
      </c>
      <c r="L864" s="3" t="str">
        <f ca="1">VLOOKUP(J864,ConstDLCIds!$A$4:$C$1000,3,FALSE)</f>
        <v>The Deadlands</v>
      </c>
    </row>
    <row r="865" spans="1:12" x14ac:dyDescent="0.25">
      <c r="A865">
        <v>1289</v>
      </c>
      <c r="B865">
        <v>860</v>
      </c>
      <c r="C865">
        <v>1286</v>
      </c>
      <c r="D865" t="s">
        <v>2909</v>
      </c>
      <c r="E865" t="str">
        <f>IF(NOT(ISERROR(VLOOKUP(D865,'ESO DungeonFinder'!$A$2:$A$999,1,FALSE))),"X","")</f>
        <v/>
      </c>
      <c r="F865" s="70" t="str">
        <f t="shared" si="52"/>
        <v/>
      </c>
      <c r="G865" s="70" t="str">
        <f t="shared" si="55"/>
        <v>The Deadlands</v>
      </c>
      <c r="H865" s="70">
        <f t="shared" si="53"/>
        <v>1289</v>
      </c>
      <c r="I865" s="70">
        <f t="shared" si="54"/>
        <v>1286</v>
      </c>
      <c r="J865">
        <v>24</v>
      </c>
      <c r="K865" s="3" t="str">
        <f ca="1">VLOOKUP(J865,ConstDLCIds!$A$4:$B$1000,2,FALSE)</f>
        <v>DLC_DEADLANDS</v>
      </c>
      <c r="L865" s="3" t="str">
        <f ca="1">VLOOKUP(J865,ConstDLCIds!$A$4:$C$1000,3,FALSE)</f>
        <v>The Deadlands</v>
      </c>
    </row>
    <row r="866" spans="1:12" x14ac:dyDescent="0.25">
      <c r="A866">
        <v>1290</v>
      </c>
      <c r="B866">
        <v>861</v>
      </c>
      <c r="C866">
        <v>1286</v>
      </c>
      <c r="D866" t="s">
        <v>2910</v>
      </c>
      <c r="E866" t="str">
        <f>IF(NOT(ISERROR(VLOOKUP(D866,'ESO DungeonFinder'!$A$2:$A$999,1,FALSE))),"X","")</f>
        <v/>
      </c>
      <c r="F866" s="70" t="str">
        <f t="shared" si="52"/>
        <v/>
      </c>
      <c r="G866" s="70" t="str">
        <f t="shared" si="55"/>
        <v>The Deadlands</v>
      </c>
      <c r="H866" s="70">
        <f t="shared" si="53"/>
        <v>1290</v>
      </c>
      <c r="I866" s="70">
        <f t="shared" si="54"/>
        <v>1286</v>
      </c>
      <c r="J866">
        <v>24</v>
      </c>
      <c r="K866" s="3" t="str">
        <f ca="1">VLOOKUP(J866,ConstDLCIds!$A$4:$B$1000,2,FALSE)</f>
        <v>DLC_DEADLANDS</v>
      </c>
      <c r="L866" s="3" t="str">
        <f ca="1">VLOOKUP(J866,ConstDLCIds!$A$4:$C$1000,3,FALSE)</f>
        <v>The Deadlands</v>
      </c>
    </row>
    <row r="867" spans="1:12" x14ac:dyDescent="0.25">
      <c r="A867">
        <v>1291</v>
      </c>
      <c r="B867">
        <v>862</v>
      </c>
      <c r="C867">
        <v>1286</v>
      </c>
      <c r="D867" t="s">
        <v>2911</v>
      </c>
      <c r="E867" t="str">
        <f>IF(NOT(ISERROR(VLOOKUP(D867,'ESO DungeonFinder'!$A$2:$A$999,1,FALSE))),"X","")</f>
        <v/>
      </c>
      <c r="F867" s="70" t="str">
        <f t="shared" si="52"/>
        <v/>
      </c>
      <c r="G867" s="70" t="str">
        <f t="shared" si="55"/>
        <v>The Deadlands</v>
      </c>
      <c r="H867" s="70">
        <f t="shared" si="53"/>
        <v>1291</v>
      </c>
      <c r="I867" s="70">
        <f t="shared" si="54"/>
        <v>1286</v>
      </c>
      <c r="J867">
        <v>24</v>
      </c>
      <c r="K867" s="3" t="str">
        <f ca="1">VLOOKUP(J867,ConstDLCIds!$A$4:$B$1000,2,FALSE)</f>
        <v>DLC_DEADLANDS</v>
      </c>
      <c r="L867" s="3" t="str">
        <f ca="1">VLOOKUP(J867,ConstDLCIds!$A$4:$C$1000,3,FALSE)</f>
        <v>The Deadlands</v>
      </c>
    </row>
    <row r="868" spans="1:12" x14ac:dyDescent="0.25">
      <c r="A868">
        <v>1292</v>
      </c>
      <c r="B868">
        <v>863</v>
      </c>
      <c r="C868">
        <v>1286</v>
      </c>
      <c r="D868" t="s">
        <v>2912</v>
      </c>
      <c r="E868" t="str">
        <f>IF(NOT(ISERROR(VLOOKUP(D868,'ESO DungeonFinder'!$A$2:$A$999,1,FALSE))),"X","")</f>
        <v/>
      </c>
      <c r="F868" s="70" t="str">
        <f t="shared" si="52"/>
        <v/>
      </c>
      <c r="G868" s="70" t="str">
        <f t="shared" si="55"/>
        <v>The Deadlands</v>
      </c>
      <c r="H868" s="70">
        <f t="shared" si="53"/>
        <v>1292</v>
      </c>
      <c r="I868" s="70">
        <f t="shared" si="54"/>
        <v>1286</v>
      </c>
      <c r="J868">
        <v>24</v>
      </c>
      <c r="K868" s="3" t="str">
        <f ca="1">VLOOKUP(J868,ConstDLCIds!$A$4:$B$1000,2,FALSE)</f>
        <v>DLC_DEADLANDS</v>
      </c>
      <c r="L868" s="3" t="str">
        <f ca="1">VLOOKUP(J868,ConstDLCIds!$A$4:$C$1000,3,FALSE)</f>
        <v>The Deadlands</v>
      </c>
    </row>
    <row r="869" spans="1:12" x14ac:dyDescent="0.25">
      <c r="A869">
        <v>1293</v>
      </c>
      <c r="B869">
        <v>864</v>
      </c>
      <c r="C869">
        <v>1282</v>
      </c>
      <c r="D869" t="s">
        <v>2913</v>
      </c>
      <c r="E869" t="str">
        <f>IF(NOT(ISERROR(VLOOKUP(D869,'ESO DungeonFinder'!$A$2:$A$999,1,FALSE))),"X","")</f>
        <v/>
      </c>
      <c r="F869" s="70" t="str">
        <f t="shared" si="52"/>
        <v/>
      </c>
      <c r="G869" s="70" t="str">
        <f t="shared" si="55"/>
        <v>Fargrave</v>
      </c>
      <c r="H869" s="70">
        <f t="shared" si="53"/>
        <v>1293</v>
      </c>
      <c r="I869" s="70">
        <f t="shared" si="54"/>
        <v>1282</v>
      </c>
      <c r="J869">
        <v>24</v>
      </c>
      <c r="K869" s="3" t="str">
        <f ca="1">VLOOKUP(J869,ConstDLCIds!$A$4:$B$1000,2,FALSE)</f>
        <v>DLC_DEADLANDS</v>
      </c>
      <c r="L869" s="3" t="str">
        <f ca="1">VLOOKUP(J869,ConstDLCIds!$A$4:$C$1000,3,FALSE)</f>
        <v>The Deadlands</v>
      </c>
    </row>
    <row r="870" spans="1:12" x14ac:dyDescent="0.25">
      <c r="A870">
        <v>1294</v>
      </c>
      <c r="B870">
        <v>865</v>
      </c>
      <c r="C870">
        <v>1286</v>
      </c>
      <c r="D870" t="s">
        <v>2914</v>
      </c>
      <c r="E870" t="str">
        <f>IF(NOT(ISERROR(VLOOKUP(D870,'ESO DungeonFinder'!$A$2:$A$999,1,FALSE))),"X","")</f>
        <v/>
      </c>
      <c r="F870" s="70" t="str">
        <f t="shared" si="52"/>
        <v/>
      </c>
      <c r="G870" s="70" t="str">
        <f t="shared" si="55"/>
        <v>The Deadlands</v>
      </c>
      <c r="H870" s="70">
        <f t="shared" si="53"/>
        <v>1294</v>
      </c>
      <c r="I870" s="70">
        <f t="shared" si="54"/>
        <v>1286</v>
      </c>
      <c r="J870">
        <v>24</v>
      </c>
      <c r="K870" s="3" t="str">
        <f ca="1">VLOOKUP(J870,ConstDLCIds!$A$4:$B$1000,2,FALSE)</f>
        <v>DLC_DEADLANDS</v>
      </c>
      <c r="L870" s="3" t="str">
        <f ca="1">VLOOKUP(J870,ConstDLCIds!$A$4:$C$1000,3,FALSE)</f>
        <v>The Deadlands</v>
      </c>
    </row>
    <row r="871" spans="1:12" x14ac:dyDescent="0.25">
      <c r="A871">
        <v>1295</v>
      </c>
      <c r="B871">
        <v>866</v>
      </c>
      <c r="C871">
        <v>1286</v>
      </c>
      <c r="D871" t="s">
        <v>2915</v>
      </c>
      <c r="E871" t="str">
        <f>IF(NOT(ISERROR(VLOOKUP(D871,'ESO DungeonFinder'!$A$2:$A$999,1,FALSE))),"X","")</f>
        <v/>
      </c>
      <c r="F871" s="70" t="str">
        <f t="shared" si="52"/>
        <v/>
      </c>
      <c r="G871" s="70" t="str">
        <f t="shared" si="55"/>
        <v>The Deadlands</v>
      </c>
      <c r="H871" s="70">
        <f t="shared" si="53"/>
        <v>1295</v>
      </c>
      <c r="I871" s="70">
        <f t="shared" si="54"/>
        <v>1286</v>
      </c>
      <c r="J871">
        <v>24</v>
      </c>
      <c r="K871" s="3" t="str">
        <f ca="1">VLOOKUP(J871,ConstDLCIds!$A$4:$B$1000,2,FALSE)</f>
        <v>DLC_DEADLANDS</v>
      </c>
      <c r="L871" s="3" t="str">
        <f ca="1">VLOOKUP(J871,ConstDLCIds!$A$4:$C$1000,3,FALSE)</f>
        <v>The Deadlands</v>
      </c>
    </row>
    <row r="872" spans="1:12" x14ac:dyDescent="0.25">
      <c r="A872">
        <v>1296</v>
      </c>
      <c r="B872">
        <v>867</v>
      </c>
      <c r="C872">
        <v>1286</v>
      </c>
      <c r="D872" t="s">
        <v>2916</v>
      </c>
      <c r="E872" t="str">
        <f>IF(NOT(ISERROR(VLOOKUP(D872,'ESO DungeonFinder'!$A$2:$A$999,1,FALSE))),"X","")</f>
        <v/>
      </c>
      <c r="F872" s="70" t="str">
        <f t="shared" si="52"/>
        <v/>
      </c>
      <c r="G872" s="70" t="str">
        <f t="shared" si="55"/>
        <v>The Deadlands</v>
      </c>
      <c r="H872" s="70">
        <f t="shared" si="53"/>
        <v>1296</v>
      </c>
      <c r="I872" s="70">
        <f t="shared" si="54"/>
        <v>1286</v>
      </c>
      <c r="J872">
        <v>24</v>
      </c>
      <c r="K872" s="3" t="str">
        <f ca="1">VLOOKUP(J872,ConstDLCIds!$A$4:$B$1000,2,FALSE)</f>
        <v>DLC_DEADLANDS</v>
      </c>
      <c r="L872" s="3" t="str">
        <f ca="1">VLOOKUP(J872,ConstDLCIds!$A$4:$C$1000,3,FALSE)</f>
        <v>The Deadlands</v>
      </c>
    </row>
    <row r="873" spans="1:12" x14ac:dyDescent="0.25">
      <c r="A873">
        <v>1297</v>
      </c>
      <c r="B873">
        <v>868</v>
      </c>
      <c r="C873">
        <v>1286</v>
      </c>
      <c r="D873" t="s">
        <v>2917</v>
      </c>
      <c r="E873" t="str">
        <f>IF(NOT(ISERROR(VLOOKUP(D873,'ESO DungeonFinder'!$A$2:$A$999,1,FALSE))),"X","")</f>
        <v/>
      </c>
      <c r="F873" s="70" t="str">
        <f t="shared" si="52"/>
        <v/>
      </c>
      <c r="G873" s="70" t="str">
        <f t="shared" si="55"/>
        <v>The Deadlands</v>
      </c>
      <c r="H873" s="70">
        <f t="shared" si="53"/>
        <v>1297</v>
      </c>
      <c r="I873" s="70">
        <f t="shared" si="54"/>
        <v>1286</v>
      </c>
      <c r="J873">
        <v>24</v>
      </c>
      <c r="K873" s="3" t="str">
        <f ca="1">VLOOKUP(J873,ConstDLCIds!$A$4:$B$1000,2,FALSE)</f>
        <v>DLC_DEADLANDS</v>
      </c>
      <c r="L873" s="3" t="str">
        <f ca="1">VLOOKUP(J873,ConstDLCIds!$A$4:$C$1000,3,FALSE)</f>
        <v>The Deadlands</v>
      </c>
    </row>
    <row r="874" spans="1:12" x14ac:dyDescent="0.25">
      <c r="A874">
        <v>1298</v>
      </c>
      <c r="B874">
        <v>869</v>
      </c>
      <c r="C874">
        <v>1286</v>
      </c>
      <c r="D874" t="s">
        <v>2918</v>
      </c>
      <c r="E874" t="str">
        <f>IF(NOT(ISERROR(VLOOKUP(D874,'ESO DungeonFinder'!$A$2:$A$999,1,FALSE))),"X","")</f>
        <v/>
      </c>
      <c r="F874" s="70" t="str">
        <f t="shared" si="52"/>
        <v/>
      </c>
      <c r="G874" s="70" t="str">
        <f t="shared" si="55"/>
        <v>The Deadlands</v>
      </c>
      <c r="H874" s="70">
        <f t="shared" si="53"/>
        <v>1298</v>
      </c>
      <c r="I874" s="70">
        <f t="shared" si="54"/>
        <v>1286</v>
      </c>
      <c r="J874">
        <v>24</v>
      </c>
      <c r="K874" s="3" t="str">
        <f ca="1">VLOOKUP(J874,ConstDLCIds!$A$4:$B$1000,2,FALSE)</f>
        <v>DLC_DEADLANDS</v>
      </c>
      <c r="L874" s="3" t="str">
        <f ca="1">VLOOKUP(J874,ConstDLCIds!$A$4:$C$1000,3,FALSE)</f>
        <v>The Deadlands</v>
      </c>
    </row>
    <row r="875" spans="1:12" x14ac:dyDescent="0.25">
      <c r="A875">
        <v>1300</v>
      </c>
      <c r="B875">
        <v>870</v>
      </c>
      <c r="C875">
        <v>1286</v>
      </c>
      <c r="D875" t="s">
        <v>2919</v>
      </c>
      <c r="E875" t="str">
        <f>IF(NOT(ISERROR(VLOOKUP(D875,'ESO DungeonFinder'!$A$2:$A$999,1,FALSE))),"X","")</f>
        <v/>
      </c>
      <c r="F875" s="70" t="str">
        <f t="shared" si="52"/>
        <v/>
      </c>
      <c r="G875" s="70" t="str">
        <f t="shared" si="55"/>
        <v>The Deadlands</v>
      </c>
      <c r="H875" s="70">
        <f t="shared" si="53"/>
        <v>1300</v>
      </c>
      <c r="I875" s="70">
        <f t="shared" si="54"/>
        <v>1286</v>
      </c>
      <c r="J875">
        <v>24</v>
      </c>
      <c r="K875" s="3" t="str">
        <f ca="1">VLOOKUP(J875,ConstDLCIds!$A$4:$B$1000,2,FALSE)</f>
        <v>DLC_DEADLANDS</v>
      </c>
      <c r="L875" s="3" t="str">
        <f ca="1">VLOOKUP(J875,ConstDLCIds!$A$4:$C$1000,3,FALSE)</f>
        <v>The Deadlands</v>
      </c>
    </row>
    <row r="876" spans="1:12" x14ac:dyDescent="0.25">
      <c r="A876">
        <v>1301</v>
      </c>
      <c r="B876">
        <v>871</v>
      </c>
      <c r="C876">
        <v>1011</v>
      </c>
      <c r="D876" t="s">
        <v>1658</v>
      </c>
      <c r="E876" t="str">
        <f>IF(NOT(ISERROR(VLOOKUP(D876,'ESO DungeonFinder'!$A$2:$A$999,1,FALSE))),"X","")</f>
        <v>X</v>
      </c>
      <c r="F876" s="70" t="str">
        <f t="shared" si="52"/>
        <v/>
      </c>
      <c r="G876" s="70" t="str">
        <f t="shared" si="55"/>
        <v>Summerset</v>
      </c>
      <c r="H876" s="70">
        <f t="shared" si="53"/>
        <v>1301</v>
      </c>
      <c r="I876" s="70">
        <f t="shared" si="54"/>
        <v>1011</v>
      </c>
      <c r="J876">
        <v>25</v>
      </c>
      <c r="K876" s="3" t="str">
        <f ca="1">VLOOKUP(J876,ConstDLCIds!$A$4:$B$1000,2,FALSE)</f>
        <v>DLC_ASCENDING_TIDE</v>
      </c>
      <c r="L876" s="3" t="str">
        <f ca="1">VLOOKUP(J876,ConstDLCIds!$A$4:$C$1000,3,FALSE)</f>
        <v>Ascending Tide</v>
      </c>
    </row>
    <row r="877" spans="1:12" x14ac:dyDescent="0.25">
      <c r="A877">
        <v>1302</v>
      </c>
      <c r="B877">
        <v>872</v>
      </c>
      <c r="C877">
        <v>20</v>
      </c>
      <c r="D877" t="s">
        <v>1665</v>
      </c>
      <c r="E877" t="str">
        <f>IF(NOT(ISERROR(VLOOKUP(D877,'ESO DungeonFinder'!$A$2:$A$999,1,FALSE))),"X","")</f>
        <v>X</v>
      </c>
      <c r="F877" s="70" t="str">
        <f t="shared" si="52"/>
        <v/>
      </c>
      <c r="G877" s="70" t="str">
        <f t="shared" si="55"/>
        <v>Rivenspire</v>
      </c>
      <c r="H877" s="70">
        <f t="shared" si="53"/>
        <v>1302</v>
      </c>
      <c r="I877" s="70">
        <f t="shared" si="54"/>
        <v>20</v>
      </c>
      <c r="J877">
        <v>25</v>
      </c>
      <c r="K877" s="3" t="str">
        <f ca="1">VLOOKUP(J877,ConstDLCIds!$A$4:$B$1000,2,FALSE)</f>
        <v>DLC_ASCENDING_TIDE</v>
      </c>
      <c r="L877" s="3" t="str">
        <f ca="1">VLOOKUP(J877,ConstDLCIds!$A$4:$C$1000,3,FALSE)</f>
        <v>Ascending Tide</v>
      </c>
    </row>
    <row r="878" spans="1:12" x14ac:dyDescent="0.25">
      <c r="A878">
        <v>1304</v>
      </c>
      <c r="B878">
        <v>873</v>
      </c>
      <c r="C878">
        <v>1282</v>
      </c>
      <c r="D878" t="s">
        <v>2920</v>
      </c>
      <c r="E878" t="str">
        <f>IF(NOT(ISERROR(VLOOKUP(D878,'ESO DungeonFinder'!$A$2:$A$999,1,FALSE))),"X","")</f>
        <v/>
      </c>
      <c r="F878" s="70" t="str">
        <f t="shared" si="52"/>
        <v/>
      </c>
      <c r="G878" s="70" t="str">
        <f t="shared" si="55"/>
        <v>Fargrave</v>
      </c>
      <c r="H878" s="70">
        <f t="shared" si="53"/>
        <v>1304</v>
      </c>
      <c r="I878" s="70">
        <f t="shared" si="54"/>
        <v>1282</v>
      </c>
      <c r="J878">
        <v>24</v>
      </c>
      <c r="K878" s="3" t="str">
        <f ca="1">VLOOKUP(J878,ConstDLCIds!$A$4:$B$1000,2,FALSE)</f>
        <v>DLC_DEADLANDS</v>
      </c>
      <c r="L878" s="3" t="str">
        <f ca="1">VLOOKUP(J878,ConstDLCIds!$A$4:$C$1000,3,FALSE)</f>
        <v>The Deadlands</v>
      </c>
    </row>
    <row r="879" spans="1:12" x14ac:dyDescent="0.25">
      <c r="A879">
        <v>1306</v>
      </c>
      <c r="B879">
        <v>874</v>
      </c>
      <c r="C879">
        <v>58</v>
      </c>
      <c r="D879" t="s">
        <v>2921</v>
      </c>
      <c r="E879" t="str">
        <f>IF(NOT(ISERROR(VLOOKUP(D879,'ESO DungeonFinder'!$A$2:$A$999,1,FALSE))),"X","")</f>
        <v/>
      </c>
      <c r="F879" s="70" t="str">
        <f t="shared" si="52"/>
        <v/>
      </c>
      <c r="G879" s="70" t="str">
        <f t="shared" si="55"/>
        <v>Malabal Tor</v>
      </c>
      <c r="H879" s="70">
        <f t="shared" si="53"/>
        <v>1306</v>
      </c>
      <c r="I879" s="70">
        <f t="shared" si="54"/>
        <v>58</v>
      </c>
      <c r="J879">
        <v>0</v>
      </c>
      <c r="K879" s="3" t="str">
        <f>VLOOKUP(J879,ConstDLCIds!$A$4:$B$1000,2,FALSE)</f>
        <v>DLC_BASE_GAME</v>
      </c>
      <c r="L879" s="3" t="str">
        <f>VLOOKUP(J879,ConstDLCIds!$A$4:$C$1000,3,FALSE)</f>
        <v>Included in base game</v>
      </c>
    </row>
    <row r="880" spans="1:12" x14ac:dyDescent="0.25">
      <c r="A880">
        <v>1307</v>
      </c>
      <c r="B880">
        <v>875</v>
      </c>
      <c r="C880">
        <v>1261</v>
      </c>
      <c r="D880" t="s">
        <v>2922</v>
      </c>
      <c r="E880" t="str">
        <f>IF(NOT(ISERROR(VLOOKUP(D880,'ESO DungeonFinder'!$A$2:$A$999,1,FALSE))),"X","")</f>
        <v/>
      </c>
      <c r="F880" s="70" t="str">
        <f t="shared" si="52"/>
        <v/>
      </c>
      <c r="G880" s="70" t="str">
        <f t="shared" si="55"/>
        <v>Blackwood</v>
      </c>
      <c r="H880" s="70">
        <f t="shared" si="53"/>
        <v>1307</v>
      </c>
      <c r="I880" s="70">
        <f t="shared" si="54"/>
        <v>1261</v>
      </c>
      <c r="J880">
        <v>22</v>
      </c>
      <c r="K880" s="3" t="str">
        <f ca="1">VLOOKUP(J880,ConstDLCIds!$A$4:$B$1000,2,FALSE)</f>
        <v>DLC_BLACKWOOD</v>
      </c>
      <c r="L880" s="3" t="str">
        <f ca="1">VLOOKUP(J880,ConstDLCIds!$A$4:$C$1000,3,FALSE)</f>
        <v>Blackwood</v>
      </c>
    </row>
    <row r="881" spans="1:12" x14ac:dyDescent="0.25">
      <c r="A881">
        <v>1310</v>
      </c>
      <c r="B881">
        <v>876</v>
      </c>
      <c r="C881">
        <v>1286</v>
      </c>
      <c r="D881" t="s">
        <v>2193</v>
      </c>
      <c r="E881" t="str">
        <f>IF(NOT(ISERROR(VLOOKUP(D881,'ESO DungeonFinder'!$A$2:$A$999,1,FALSE))),"X","")</f>
        <v/>
      </c>
      <c r="F881" s="70" t="str">
        <f t="shared" si="52"/>
        <v/>
      </c>
      <c r="G881" s="70" t="str">
        <f t="shared" si="55"/>
        <v>The Deadlands</v>
      </c>
      <c r="H881" s="70">
        <f t="shared" si="53"/>
        <v>1310</v>
      </c>
      <c r="I881" s="70">
        <f t="shared" si="54"/>
        <v>1286</v>
      </c>
      <c r="J881">
        <v>24</v>
      </c>
      <c r="K881" s="3" t="str">
        <f ca="1">VLOOKUP(J881,ConstDLCIds!$A$4:$B$1000,2,FALSE)</f>
        <v>DLC_DEADLANDS</v>
      </c>
      <c r="L881" s="3" t="str">
        <f ca="1">VLOOKUP(J881,ConstDLCIds!$A$4:$C$1000,3,FALSE)</f>
        <v>The Deadlands</v>
      </c>
    </row>
    <row r="882" spans="1:12" x14ac:dyDescent="0.25">
      <c r="A882">
        <v>1311</v>
      </c>
      <c r="B882">
        <v>877</v>
      </c>
      <c r="C882">
        <v>849</v>
      </c>
      <c r="D882" t="s">
        <v>2923</v>
      </c>
      <c r="E882" t="str">
        <f>IF(NOT(ISERROR(VLOOKUP(D882,'ESO DungeonFinder'!$A$2:$A$999,1,FALSE))),"X","")</f>
        <v/>
      </c>
      <c r="F882" s="70" t="str">
        <f t="shared" si="52"/>
        <v/>
      </c>
      <c r="G882" s="70" t="str">
        <f t="shared" si="55"/>
        <v>Vvardenfell</v>
      </c>
      <c r="H882" s="70">
        <f t="shared" si="53"/>
        <v>1311</v>
      </c>
      <c r="I882" s="70">
        <f t="shared" si="54"/>
        <v>849</v>
      </c>
      <c r="J882">
        <v>6</v>
      </c>
      <c r="K882" s="3" t="str">
        <f ca="1">VLOOKUP(J882,ConstDLCIds!$A$4:$B$1000,2,FALSE)</f>
        <v>DLC_MORROWIND</v>
      </c>
      <c r="L882" s="3" t="str">
        <f ca="1">VLOOKUP(J882,ConstDLCIds!$A$4:$C$1000,3,FALSE)</f>
        <v>Morrowind</v>
      </c>
    </row>
    <row r="883" spans="1:12" x14ac:dyDescent="0.25">
      <c r="A883">
        <v>1312</v>
      </c>
      <c r="B883">
        <v>878</v>
      </c>
      <c r="C883">
        <v>849</v>
      </c>
      <c r="D883" t="s">
        <v>2924</v>
      </c>
      <c r="E883" t="str">
        <f>IF(NOT(ISERROR(VLOOKUP(D883,'ESO DungeonFinder'!$A$2:$A$999,1,FALSE))),"X","")</f>
        <v/>
      </c>
      <c r="F883" s="70" t="str">
        <f t="shared" si="52"/>
        <v/>
      </c>
      <c r="G883" s="70" t="str">
        <f t="shared" si="55"/>
        <v>Vvardenfell</v>
      </c>
      <c r="H883" s="70">
        <f t="shared" si="53"/>
        <v>1312</v>
      </c>
      <c r="I883" s="70">
        <f t="shared" si="54"/>
        <v>849</v>
      </c>
      <c r="J883">
        <v>6</v>
      </c>
      <c r="K883" s="3" t="str">
        <f ca="1">VLOOKUP(J883,ConstDLCIds!$A$4:$B$1000,2,FALSE)</f>
        <v>DLC_MORROWIND</v>
      </c>
      <c r="L883" s="3" t="str">
        <f ca="1">VLOOKUP(J883,ConstDLCIds!$A$4:$C$1000,3,FALSE)</f>
        <v>Morrowind</v>
      </c>
    </row>
    <row r="884" spans="1:12" x14ac:dyDescent="0.25">
      <c r="A884">
        <v>1313</v>
      </c>
      <c r="B884">
        <v>879</v>
      </c>
      <c r="C884">
        <v>1318</v>
      </c>
      <c r="D884" t="s">
        <v>2925</v>
      </c>
      <c r="E884" t="str">
        <f>IF(NOT(ISERROR(VLOOKUP(D884,'ESO DungeonFinder'!$A$2:$A$999,1,FALSE))),"X","")</f>
        <v/>
      </c>
      <c r="F884" s="70" t="str">
        <f t="shared" si="52"/>
        <v/>
      </c>
      <c r="G884" s="70" t="str">
        <f t="shared" si="55"/>
        <v>High Isle</v>
      </c>
      <c r="H884" s="70">
        <f t="shared" si="53"/>
        <v>1313</v>
      </c>
      <c r="I884" s="70">
        <f t="shared" si="54"/>
        <v>1318</v>
      </c>
      <c r="J884">
        <v>26</v>
      </c>
      <c r="K884" s="3" t="str">
        <f ca="1">VLOOKUP(J884,ConstDLCIds!$A$4:$B$1000,2,FALSE)</f>
        <v>DLC_HIGH_ISLE</v>
      </c>
      <c r="L884" s="3" t="str">
        <f ca="1">VLOOKUP(J884,ConstDLCIds!$A$4:$C$1000,3,FALSE)</f>
        <v>High Isle</v>
      </c>
    </row>
    <row r="885" spans="1:12" x14ac:dyDescent="0.25">
      <c r="A885">
        <v>1314</v>
      </c>
      <c r="B885">
        <v>880</v>
      </c>
      <c r="C885">
        <v>3</v>
      </c>
      <c r="D885" t="s">
        <v>2926</v>
      </c>
      <c r="E885" t="str">
        <f>IF(NOT(ISERROR(VLOOKUP(D885,'ESO DungeonFinder'!$A$2:$A$999,1,FALSE))),"X","")</f>
        <v/>
      </c>
      <c r="F885" s="70" t="str">
        <f t="shared" si="52"/>
        <v/>
      </c>
      <c r="G885" s="70" t="str">
        <f t="shared" si="55"/>
        <v>Glenumbra</v>
      </c>
      <c r="H885" s="70">
        <f t="shared" si="53"/>
        <v>1314</v>
      </c>
      <c r="I885" s="70">
        <f t="shared" si="54"/>
        <v>3</v>
      </c>
      <c r="J885">
        <v>0</v>
      </c>
      <c r="K885" s="3" t="str">
        <f>VLOOKUP(J885,ConstDLCIds!$A$4:$B$1000,2,FALSE)</f>
        <v>DLC_BASE_GAME</v>
      </c>
      <c r="L885" s="3" t="str">
        <f>VLOOKUP(J885,ConstDLCIds!$A$4:$C$1000,3,FALSE)</f>
        <v>Included in base game</v>
      </c>
    </row>
    <row r="886" spans="1:12" x14ac:dyDescent="0.25">
      <c r="A886">
        <v>1315</v>
      </c>
      <c r="B886">
        <v>881</v>
      </c>
      <c r="C886">
        <v>1318</v>
      </c>
      <c r="D886" t="s">
        <v>2927</v>
      </c>
      <c r="E886" t="str">
        <f>IF(NOT(ISERROR(VLOOKUP(D886,'ESO DungeonFinder'!$A$2:$A$999,1,FALSE))),"X","")</f>
        <v/>
      </c>
      <c r="F886" s="70" t="str">
        <f t="shared" si="52"/>
        <v/>
      </c>
      <c r="G886" s="70" t="str">
        <f t="shared" si="55"/>
        <v>High Isle</v>
      </c>
      <c r="H886" s="70">
        <f t="shared" si="53"/>
        <v>1315</v>
      </c>
      <c r="I886" s="70">
        <f t="shared" si="54"/>
        <v>1318</v>
      </c>
      <c r="J886">
        <v>26</v>
      </c>
      <c r="K886" s="3" t="str">
        <f ca="1">VLOOKUP(J886,ConstDLCIds!$A$4:$B$1000,2,FALSE)</f>
        <v>DLC_HIGH_ISLE</v>
      </c>
      <c r="L886" s="3" t="str">
        <f ca="1">VLOOKUP(J886,ConstDLCIds!$A$4:$C$1000,3,FALSE)</f>
        <v>High Isle</v>
      </c>
    </row>
    <row r="887" spans="1:12" x14ac:dyDescent="0.25">
      <c r="A887">
        <v>1316</v>
      </c>
      <c r="B887">
        <v>882</v>
      </c>
      <c r="C887">
        <v>1318</v>
      </c>
      <c r="D887" t="s">
        <v>2928</v>
      </c>
      <c r="E887" t="str">
        <f>IF(NOT(ISERROR(VLOOKUP(D887,'ESO DungeonFinder'!$A$2:$A$999,1,FALSE))),"X","")</f>
        <v/>
      </c>
      <c r="F887" s="70" t="str">
        <f t="shared" si="52"/>
        <v/>
      </c>
      <c r="G887" s="70" t="str">
        <f t="shared" si="55"/>
        <v>High Isle</v>
      </c>
      <c r="H887" s="70">
        <f t="shared" si="53"/>
        <v>1316</v>
      </c>
      <c r="I887" s="70">
        <f t="shared" si="54"/>
        <v>1318</v>
      </c>
      <c r="J887">
        <v>26</v>
      </c>
      <c r="K887" s="3" t="str">
        <f ca="1">VLOOKUP(J887,ConstDLCIds!$A$4:$B$1000,2,FALSE)</f>
        <v>DLC_HIGH_ISLE</v>
      </c>
      <c r="L887" s="3" t="str">
        <f ca="1">VLOOKUP(J887,ConstDLCIds!$A$4:$C$1000,3,FALSE)</f>
        <v>High Isle</v>
      </c>
    </row>
    <row r="888" spans="1:12" x14ac:dyDescent="0.25">
      <c r="A888">
        <v>1317</v>
      </c>
      <c r="B888">
        <v>883</v>
      </c>
      <c r="C888">
        <v>1318</v>
      </c>
      <c r="D888" t="s">
        <v>2929</v>
      </c>
      <c r="E888" t="str">
        <f>IF(NOT(ISERROR(VLOOKUP(D888,'ESO DungeonFinder'!$A$2:$A$999,1,FALSE))),"X","")</f>
        <v/>
      </c>
      <c r="F888" s="70" t="str">
        <f t="shared" si="52"/>
        <v/>
      </c>
      <c r="G888" s="70" t="str">
        <f t="shared" si="55"/>
        <v>High Isle</v>
      </c>
      <c r="H888" s="70">
        <f t="shared" si="53"/>
        <v>1317</v>
      </c>
      <c r="I888" s="70">
        <f t="shared" si="54"/>
        <v>1318</v>
      </c>
      <c r="J888">
        <v>26</v>
      </c>
      <c r="K888" s="3" t="str">
        <f ca="1">VLOOKUP(J888,ConstDLCIds!$A$4:$B$1000,2,FALSE)</f>
        <v>DLC_HIGH_ISLE</v>
      </c>
      <c r="L888" s="3" t="str">
        <f ca="1">VLOOKUP(J888,ConstDLCIds!$A$4:$C$1000,3,FALSE)</f>
        <v>High Isle</v>
      </c>
    </row>
    <row r="889" spans="1:12" x14ac:dyDescent="0.25">
      <c r="A889">
        <v>1318</v>
      </c>
      <c r="B889">
        <v>884</v>
      </c>
      <c r="C889">
        <v>1318</v>
      </c>
      <c r="D889" t="s">
        <v>86</v>
      </c>
      <c r="E889" t="str">
        <f>IF(NOT(ISERROR(VLOOKUP(D889,'ESO DungeonFinder'!$A$2:$A$999,1,FALSE))),"X","")</f>
        <v/>
      </c>
      <c r="F889" s="70" t="str">
        <f t="shared" si="52"/>
        <v>X</v>
      </c>
      <c r="G889" s="70" t="str">
        <f t="shared" si="55"/>
        <v/>
      </c>
      <c r="H889" s="70">
        <f t="shared" si="53"/>
        <v>1318</v>
      </c>
      <c r="I889" s="70">
        <f t="shared" si="54"/>
        <v>1318</v>
      </c>
      <c r="J889">
        <v>0</v>
      </c>
      <c r="K889" s="3" t="str">
        <f>VLOOKUP(J889,ConstDLCIds!$A$4:$B$1000,2,FALSE)</f>
        <v>DLC_BASE_GAME</v>
      </c>
      <c r="L889" s="3" t="str">
        <f>VLOOKUP(J889,ConstDLCIds!$A$4:$C$1000,3,FALSE)</f>
        <v>Included in base game</v>
      </c>
    </row>
    <row r="890" spans="1:12" x14ac:dyDescent="0.25">
      <c r="A890">
        <v>1319</v>
      </c>
      <c r="B890">
        <v>885</v>
      </c>
      <c r="C890">
        <v>1318</v>
      </c>
      <c r="D890" t="s">
        <v>2930</v>
      </c>
      <c r="E890" t="str">
        <f>IF(NOT(ISERROR(VLOOKUP(D890,'ESO DungeonFinder'!$A$2:$A$999,1,FALSE))),"X","")</f>
        <v/>
      </c>
      <c r="F890" s="70" t="str">
        <f t="shared" si="52"/>
        <v/>
      </c>
      <c r="G890" s="70" t="str">
        <f t="shared" si="55"/>
        <v>High Isle</v>
      </c>
      <c r="H890" s="70">
        <f t="shared" si="53"/>
        <v>1319</v>
      </c>
      <c r="I890" s="70">
        <f t="shared" si="54"/>
        <v>1318</v>
      </c>
      <c r="J890">
        <v>26</v>
      </c>
      <c r="K890" s="3" t="str">
        <f ca="1">VLOOKUP(J890,ConstDLCIds!$A$4:$B$1000,2,FALSE)</f>
        <v>DLC_HIGH_ISLE</v>
      </c>
      <c r="L890" s="3" t="str">
        <f ca="1">VLOOKUP(J890,ConstDLCIds!$A$4:$C$1000,3,FALSE)</f>
        <v>High Isle</v>
      </c>
    </row>
    <row r="891" spans="1:12" x14ac:dyDescent="0.25">
      <c r="A891">
        <v>1320</v>
      </c>
      <c r="B891">
        <v>886</v>
      </c>
      <c r="C891">
        <v>1318</v>
      </c>
      <c r="D891" t="s">
        <v>2931</v>
      </c>
      <c r="E891" t="str">
        <f>IF(NOT(ISERROR(VLOOKUP(D891,'ESO DungeonFinder'!$A$2:$A$999,1,FALSE))),"X","")</f>
        <v/>
      </c>
      <c r="F891" s="70" t="str">
        <f t="shared" si="52"/>
        <v/>
      </c>
      <c r="G891" s="70" t="str">
        <f t="shared" si="55"/>
        <v>High Isle</v>
      </c>
      <c r="H891" s="70">
        <f t="shared" si="53"/>
        <v>1320</v>
      </c>
      <c r="I891" s="70">
        <f t="shared" si="54"/>
        <v>1318</v>
      </c>
      <c r="J891">
        <v>26</v>
      </c>
      <c r="K891" s="3" t="str">
        <f ca="1">VLOOKUP(J891,ConstDLCIds!$A$4:$B$1000,2,FALSE)</f>
        <v>DLC_HIGH_ISLE</v>
      </c>
      <c r="L891" s="3" t="str">
        <f ca="1">VLOOKUP(J891,ConstDLCIds!$A$4:$C$1000,3,FALSE)</f>
        <v>High Isle</v>
      </c>
    </row>
    <row r="892" spans="1:12" x14ac:dyDescent="0.25">
      <c r="A892">
        <v>1321</v>
      </c>
      <c r="B892">
        <v>887</v>
      </c>
      <c r="C892">
        <v>1318</v>
      </c>
      <c r="D892" t="s">
        <v>2932</v>
      </c>
      <c r="E892" t="str">
        <f>IF(NOT(ISERROR(VLOOKUP(D892,'ESO DungeonFinder'!$A$2:$A$999,1,FALSE))),"X","")</f>
        <v/>
      </c>
      <c r="F892" s="70" t="str">
        <f t="shared" si="52"/>
        <v/>
      </c>
      <c r="G892" s="70" t="str">
        <f t="shared" si="55"/>
        <v>High Isle</v>
      </c>
      <c r="H892" s="70">
        <f t="shared" si="53"/>
        <v>1321</v>
      </c>
      <c r="I892" s="70">
        <f t="shared" si="54"/>
        <v>1318</v>
      </c>
      <c r="J892">
        <v>26</v>
      </c>
      <c r="K892" s="3" t="str">
        <f ca="1">VLOOKUP(J892,ConstDLCIds!$A$4:$B$1000,2,FALSE)</f>
        <v>DLC_HIGH_ISLE</v>
      </c>
      <c r="L892" s="3" t="str">
        <f ca="1">VLOOKUP(J892,ConstDLCIds!$A$4:$C$1000,3,FALSE)</f>
        <v>High Isle</v>
      </c>
    </row>
    <row r="893" spans="1:12" x14ac:dyDescent="0.25">
      <c r="A893">
        <v>1322</v>
      </c>
      <c r="B893">
        <v>888</v>
      </c>
      <c r="C893">
        <v>1318</v>
      </c>
      <c r="D893" t="s">
        <v>2933</v>
      </c>
      <c r="E893" t="str">
        <f>IF(NOT(ISERROR(VLOOKUP(D893,'ESO DungeonFinder'!$A$2:$A$999,1,FALSE))),"X","")</f>
        <v/>
      </c>
      <c r="F893" s="70" t="str">
        <f t="shared" si="52"/>
        <v/>
      </c>
      <c r="G893" s="70" t="str">
        <f t="shared" si="55"/>
        <v>High Isle</v>
      </c>
      <c r="H893" s="70">
        <f t="shared" si="53"/>
        <v>1322</v>
      </c>
      <c r="I893" s="70">
        <f t="shared" si="54"/>
        <v>1318</v>
      </c>
      <c r="J893">
        <v>26</v>
      </c>
      <c r="K893" s="3" t="str">
        <f ca="1">VLOOKUP(J893,ConstDLCIds!$A$4:$B$1000,2,FALSE)</f>
        <v>DLC_HIGH_ISLE</v>
      </c>
      <c r="L893" s="3" t="str">
        <f ca="1">VLOOKUP(J893,ConstDLCIds!$A$4:$C$1000,3,FALSE)</f>
        <v>High Isle</v>
      </c>
    </row>
    <row r="894" spans="1:12" x14ac:dyDescent="0.25">
      <c r="A894">
        <v>1324</v>
      </c>
      <c r="B894">
        <v>889</v>
      </c>
      <c r="C894">
        <v>1318</v>
      </c>
      <c r="D894" t="s">
        <v>2934</v>
      </c>
      <c r="E894" t="str">
        <f>IF(NOT(ISERROR(VLOOKUP(D894,'ESO DungeonFinder'!$A$2:$A$999,1,FALSE))),"X","")</f>
        <v/>
      </c>
      <c r="F894" s="70" t="str">
        <f t="shared" si="52"/>
        <v/>
      </c>
      <c r="G894" s="70" t="str">
        <f t="shared" si="55"/>
        <v>High Isle</v>
      </c>
      <c r="H894" s="70">
        <f t="shared" si="53"/>
        <v>1324</v>
      </c>
      <c r="I894" s="70">
        <f t="shared" si="54"/>
        <v>1318</v>
      </c>
      <c r="J894">
        <v>26</v>
      </c>
      <c r="K894" s="3" t="str">
        <f ca="1">VLOOKUP(J894,ConstDLCIds!$A$4:$B$1000,2,FALSE)</f>
        <v>DLC_HIGH_ISLE</v>
      </c>
      <c r="L894" s="3" t="str">
        <f ca="1">VLOOKUP(J894,ConstDLCIds!$A$4:$C$1000,3,FALSE)</f>
        <v>High Isle</v>
      </c>
    </row>
    <row r="895" spans="1:12" x14ac:dyDescent="0.25">
      <c r="A895">
        <v>1325</v>
      </c>
      <c r="B895">
        <v>890</v>
      </c>
      <c r="C895">
        <v>1443</v>
      </c>
      <c r="D895" t="s">
        <v>2935</v>
      </c>
      <c r="E895" t="str">
        <f>IF(NOT(ISERROR(VLOOKUP(D895,'ESO DungeonFinder'!$A$2:$A$999,1,FALSE))),"X","")</f>
        <v/>
      </c>
      <c r="F895" s="70" t="str">
        <f t="shared" si="52"/>
        <v/>
      </c>
      <c r="G895" s="70" t="str">
        <f t="shared" si="55"/>
        <v>West Weald</v>
      </c>
      <c r="H895" s="70">
        <f t="shared" si="53"/>
        <v>1325</v>
      </c>
      <c r="I895" s="70">
        <f t="shared" si="54"/>
        <v>1443</v>
      </c>
      <c r="J895">
        <v>34</v>
      </c>
      <c r="K895" s="3" t="str">
        <f ca="1">VLOOKUP(J895,ConstDLCIds!$A$4:$B$1000,2,FALSE)</f>
        <v>DLC_GOLD_ROAD</v>
      </c>
      <c r="L895" s="3" t="str">
        <f ca="1">VLOOKUP(J895,ConstDLCIds!$A$4:$C$1000,3,FALSE)</f>
        <v>Gold Road</v>
      </c>
    </row>
    <row r="896" spans="1:12" x14ac:dyDescent="0.25">
      <c r="A896">
        <v>1326</v>
      </c>
      <c r="B896">
        <v>891</v>
      </c>
      <c r="C896">
        <v>1318</v>
      </c>
      <c r="D896" t="s">
        <v>2936</v>
      </c>
      <c r="E896" t="str">
        <f>IF(NOT(ISERROR(VLOOKUP(D896,'ESO DungeonFinder'!$A$2:$A$999,1,FALSE))),"X","")</f>
        <v/>
      </c>
      <c r="F896" s="70" t="str">
        <f t="shared" si="52"/>
        <v/>
      </c>
      <c r="G896" s="70" t="str">
        <f t="shared" si="55"/>
        <v>High Isle</v>
      </c>
      <c r="H896" s="70">
        <f t="shared" si="53"/>
        <v>1326</v>
      </c>
      <c r="I896" s="70">
        <f t="shared" si="54"/>
        <v>1318</v>
      </c>
      <c r="J896">
        <v>26</v>
      </c>
      <c r="K896" s="3" t="str">
        <f ca="1">VLOOKUP(J896,ConstDLCIds!$A$4:$B$1000,2,FALSE)</f>
        <v>DLC_HIGH_ISLE</v>
      </c>
      <c r="L896" s="3" t="str">
        <f ca="1">VLOOKUP(J896,ConstDLCIds!$A$4:$C$1000,3,FALSE)</f>
        <v>High Isle</v>
      </c>
    </row>
    <row r="897" spans="1:12" x14ac:dyDescent="0.25">
      <c r="A897">
        <v>1327</v>
      </c>
      <c r="B897">
        <v>892</v>
      </c>
      <c r="C897">
        <v>1318</v>
      </c>
      <c r="D897" t="s">
        <v>2844</v>
      </c>
      <c r="E897" t="str">
        <f>IF(NOT(ISERROR(VLOOKUP(D897,'ESO DungeonFinder'!$A$2:$A$999,1,FALSE))),"X","")</f>
        <v/>
      </c>
      <c r="F897" s="70" t="str">
        <f t="shared" si="52"/>
        <v/>
      </c>
      <c r="G897" s="70" t="str">
        <f t="shared" si="55"/>
        <v>High Isle</v>
      </c>
      <c r="H897" s="70">
        <f t="shared" si="53"/>
        <v>1327</v>
      </c>
      <c r="I897" s="70">
        <f t="shared" si="54"/>
        <v>1318</v>
      </c>
      <c r="J897">
        <v>26</v>
      </c>
      <c r="K897" s="3" t="str">
        <f ca="1">VLOOKUP(J897,ConstDLCIds!$A$4:$B$1000,2,FALSE)</f>
        <v>DLC_HIGH_ISLE</v>
      </c>
      <c r="L897" s="3" t="str">
        <f ca="1">VLOOKUP(J897,ConstDLCIds!$A$4:$C$1000,3,FALSE)</f>
        <v>High Isle</v>
      </c>
    </row>
    <row r="898" spans="1:12" x14ac:dyDescent="0.25">
      <c r="A898">
        <v>1328</v>
      </c>
      <c r="B898">
        <v>893</v>
      </c>
      <c r="C898">
        <v>1318</v>
      </c>
      <c r="D898" t="s">
        <v>2937</v>
      </c>
      <c r="E898" t="str">
        <f>IF(NOT(ISERROR(VLOOKUP(D898,'ESO DungeonFinder'!$A$2:$A$999,1,FALSE))),"X","")</f>
        <v/>
      </c>
      <c r="F898" s="70" t="str">
        <f t="shared" si="52"/>
        <v/>
      </c>
      <c r="G898" s="70" t="str">
        <f t="shared" si="55"/>
        <v>High Isle</v>
      </c>
      <c r="H898" s="70">
        <f t="shared" si="53"/>
        <v>1328</v>
      </c>
      <c r="I898" s="70">
        <f t="shared" si="54"/>
        <v>1318</v>
      </c>
      <c r="J898">
        <v>26</v>
      </c>
      <c r="K898" s="3" t="str">
        <f ca="1">VLOOKUP(J898,ConstDLCIds!$A$4:$B$1000,2,FALSE)</f>
        <v>DLC_HIGH_ISLE</v>
      </c>
      <c r="L898" s="3" t="str">
        <f ca="1">VLOOKUP(J898,ConstDLCIds!$A$4:$C$1000,3,FALSE)</f>
        <v>High Isle</v>
      </c>
    </row>
    <row r="899" spans="1:12" x14ac:dyDescent="0.25">
      <c r="A899">
        <v>1329</v>
      </c>
      <c r="B899">
        <v>894</v>
      </c>
      <c r="C899">
        <v>1318</v>
      </c>
      <c r="D899" t="s">
        <v>2936</v>
      </c>
      <c r="E899" t="str">
        <f>IF(NOT(ISERROR(VLOOKUP(D899,'ESO DungeonFinder'!$A$2:$A$999,1,FALSE))),"X","")</f>
        <v/>
      </c>
      <c r="F899" s="70" t="str">
        <f t="shared" si="52"/>
        <v/>
      </c>
      <c r="G899" s="70" t="str">
        <f t="shared" si="55"/>
        <v>High Isle</v>
      </c>
      <c r="H899" s="70">
        <f t="shared" si="53"/>
        <v>1329</v>
      </c>
      <c r="I899" s="70">
        <f t="shared" si="54"/>
        <v>1318</v>
      </c>
      <c r="J899">
        <v>26</v>
      </c>
      <c r="K899" s="3" t="str">
        <f ca="1">VLOOKUP(J899,ConstDLCIds!$A$4:$B$1000,2,FALSE)</f>
        <v>DLC_HIGH_ISLE</v>
      </c>
      <c r="L899" s="3" t="str">
        <f ca="1">VLOOKUP(J899,ConstDLCIds!$A$4:$C$1000,3,FALSE)</f>
        <v>High Isle</v>
      </c>
    </row>
    <row r="900" spans="1:12" x14ac:dyDescent="0.25">
      <c r="A900">
        <v>1330</v>
      </c>
      <c r="B900">
        <v>895</v>
      </c>
      <c r="C900">
        <v>1318</v>
      </c>
      <c r="D900" t="s">
        <v>2938</v>
      </c>
      <c r="E900" t="str">
        <f>IF(NOT(ISERROR(VLOOKUP(D900,'ESO DungeonFinder'!$A$2:$A$999,1,FALSE))),"X","")</f>
        <v/>
      </c>
      <c r="F900" s="70" t="str">
        <f t="shared" si="52"/>
        <v/>
      </c>
      <c r="G900" s="70" t="str">
        <f t="shared" si="55"/>
        <v>High Isle</v>
      </c>
      <c r="H900" s="70">
        <f t="shared" si="53"/>
        <v>1330</v>
      </c>
      <c r="I900" s="70">
        <f t="shared" si="54"/>
        <v>1318</v>
      </c>
      <c r="J900">
        <v>26</v>
      </c>
      <c r="K900" s="3" t="str">
        <f ca="1">VLOOKUP(J900,ConstDLCIds!$A$4:$B$1000,2,FALSE)</f>
        <v>DLC_HIGH_ISLE</v>
      </c>
      <c r="L900" s="3" t="str">
        <f ca="1">VLOOKUP(J900,ConstDLCIds!$A$4:$C$1000,3,FALSE)</f>
        <v>High Isle</v>
      </c>
    </row>
    <row r="901" spans="1:12" x14ac:dyDescent="0.25">
      <c r="A901">
        <v>1331</v>
      </c>
      <c r="B901">
        <v>896</v>
      </c>
      <c r="C901">
        <v>1318</v>
      </c>
      <c r="D901" t="s">
        <v>2939</v>
      </c>
      <c r="E901" t="str">
        <f>IF(NOT(ISERROR(VLOOKUP(D901,'ESO DungeonFinder'!$A$2:$A$999,1,FALSE))),"X","")</f>
        <v/>
      </c>
      <c r="F901" s="70" t="str">
        <f t="shared" ref="F901:F964" si="56">IF(EXACT(A901,C901),"X","")</f>
        <v/>
      </c>
      <c r="G901" s="70" t="str">
        <f t="shared" si="55"/>
        <v>High Isle</v>
      </c>
      <c r="H901" s="70">
        <f t="shared" ref="H901:H964" si="57">A901</f>
        <v>1331</v>
      </c>
      <c r="I901" s="70">
        <f t="shared" ref="I901:I964" si="58">C901</f>
        <v>1318</v>
      </c>
      <c r="J901">
        <v>26</v>
      </c>
      <c r="K901" s="3" t="str">
        <f ca="1">VLOOKUP(J901,ConstDLCIds!$A$4:$B$1000,2,FALSE)</f>
        <v>DLC_HIGH_ISLE</v>
      </c>
      <c r="L901" s="3" t="str">
        <f ca="1">VLOOKUP(J901,ConstDLCIds!$A$4:$C$1000,3,FALSE)</f>
        <v>High Isle</v>
      </c>
    </row>
    <row r="902" spans="1:12" x14ac:dyDescent="0.25">
      <c r="A902">
        <v>1332</v>
      </c>
      <c r="B902">
        <v>897</v>
      </c>
      <c r="C902">
        <v>1318</v>
      </c>
      <c r="D902" t="s">
        <v>2940</v>
      </c>
      <c r="E902" t="str">
        <f>IF(NOT(ISERROR(VLOOKUP(D902,'ESO DungeonFinder'!$A$2:$A$999,1,FALSE))),"X","")</f>
        <v/>
      </c>
      <c r="F902" s="70" t="str">
        <f t="shared" si="56"/>
        <v/>
      </c>
      <c r="G902" s="70" t="str">
        <f t="shared" ref="G902:G965" si="59">IF(A902&lt;&gt;C902,VLOOKUP(C902,$A$5:$D$9956,4,FALSE),"")</f>
        <v>High Isle</v>
      </c>
      <c r="H902" s="70">
        <f t="shared" si="57"/>
        <v>1332</v>
      </c>
      <c r="I902" s="70">
        <f t="shared" si="58"/>
        <v>1318</v>
      </c>
      <c r="J902">
        <v>26</v>
      </c>
      <c r="K902" s="3" t="str">
        <f ca="1">VLOOKUP(J902,ConstDLCIds!$A$4:$B$1000,2,FALSE)</f>
        <v>DLC_HIGH_ISLE</v>
      </c>
      <c r="L902" s="3" t="str">
        <f ca="1">VLOOKUP(J902,ConstDLCIds!$A$4:$C$1000,3,FALSE)</f>
        <v>High Isle</v>
      </c>
    </row>
    <row r="903" spans="1:12" x14ac:dyDescent="0.25">
      <c r="A903">
        <v>1333</v>
      </c>
      <c r="B903">
        <v>898</v>
      </c>
      <c r="C903">
        <v>1318</v>
      </c>
      <c r="D903" t="s">
        <v>2941</v>
      </c>
      <c r="E903" t="str">
        <f>IF(NOT(ISERROR(VLOOKUP(D903,'ESO DungeonFinder'!$A$2:$A$999,1,FALSE))),"X","")</f>
        <v/>
      </c>
      <c r="F903" s="70" t="str">
        <f t="shared" si="56"/>
        <v/>
      </c>
      <c r="G903" s="70" t="str">
        <f t="shared" si="59"/>
        <v>High Isle</v>
      </c>
      <c r="H903" s="70">
        <f t="shared" si="57"/>
        <v>1333</v>
      </c>
      <c r="I903" s="70">
        <f t="shared" si="58"/>
        <v>1318</v>
      </c>
      <c r="J903">
        <v>26</v>
      </c>
      <c r="K903" s="3" t="str">
        <f ca="1">VLOOKUP(J903,ConstDLCIds!$A$4:$B$1000,2,FALSE)</f>
        <v>DLC_HIGH_ISLE</v>
      </c>
      <c r="L903" s="3" t="str">
        <f ca="1">VLOOKUP(J903,ConstDLCIds!$A$4:$C$1000,3,FALSE)</f>
        <v>High Isle</v>
      </c>
    </row>
    <row r="904" spans="1:12" x14ac:dyDescent="0.25">
      <c r="A904">
        <v>1334</v>
      </c>
      <c r="B904">
        <v>899</v>
      </c>
      <c r="C904">
        <v>1318</v>
      </c>
      <c r="D904" t="s">
        <v>1824</v>
      </c>
      <c r="E904" t="str">
        <f>IF(NOT(ISERROR(VLOOKUP(D904,'ESO DungeonFinder'!$A$2:$A$999,1,FALSE))),"X","")</f>
        <v/>
      </c>
      <c r="F904" s="70" t="str">
        <f t="shared" si="56"/>
        <v/>
      </c>
      <c r="G904" s="70" t="str">
        <f t="shared" si="59"/>
        <v>High Isle</v>
      </c>
      <c r="H904" s="70">
        <f t="shared" si="57"/>
        <v>1334</v>
      </c>
      <c r="I904" s="70">
        <f t="shared" si="58"/>
        <v>1318</v>
      </c>
      <c r="J904">
        <v>26</v>
      </c>
      <c r="K904" s="3" t="str">
        <f ca="1">VLOOKUP(J904,ConstDLCIds!$A$4:$B$1000,2,FALSE)</f>
        <v>DLC_HIGH_ISLE</v>
      </c>
      <c r="L904" s="3" t="str">
        <f ca="1">VLOOKUP(J904,ConstDLCIds!$A$4:$C$1000,3,FALSE)</f>
        <v>High Isle</v>
      </c>
    </row>
    <row r="905" spans="1:12" x14ac:dyDescent="0.25">
      <c r="A905">
        <v>1335</v>
      </c>
      <c r="B905">
        <v>900</v>
      </c>
      <c r="C905">
        <v>1318</v>
      </c>
      <c r="D905" t="s">
        <v>2942</v>
      </c>
      <c r="E905" t="str">
        <f>IF(NOT(ISERROR(VLOOKUP(D905,'ESO DungeonFinder'!$A$2:$A$999,1,FALSE))),"X","")</f>
        <v/>
      </c>
      <c r="F905" s="70" t="str">
        <f t="shared" si="56"/>
        <v/>
      </c>
      <c r="G905" s="70" t="str">
        <f t="shared" si="59"/>
        <v>High Isle</v>
      </c>
      <c r="H905" s="70">
        <f t="shared" si="57"/>
        <v>1335</v>
      </c>
      <c r="I905" s="70">
        <f t="shared" si="58"/>
        <v>1318</v>
      </c>
      <c r="J905">
        <v>26</v>
      </c>
      <c r="K905" s="3" t="str">
        <f ca="1">VLOOKUP(J905,ConstDLCIds!$A$4:$B$1000,2,FALSE)</f>
        <v>DLC_HIGH_ISLE</v>
      </c>
      <c r="L905" s="3" t="str">
        <f ca="1">VLOOKUP(J905,ConstDLCIds!$A$4:$C$1000,3,FALSE)</f>
        <v>High Isle</v>
      </c>
    </row>
    <row r="906" spans="1:12" x14ac:dyDescent="0.25">
      <c r="A906">
        <v>1336</v>
      </c>
      <c r="B906">
        <v>901</v>
      </c>
      <c r="C906">
        <v>1318</v>
      </c>
      <c r="D906" t="s">
        <v>2943</v>
      </c>
      <c r="E906" t="str">
        <f>IF(NOT(ISERROR(VLOOKUP(D906,'ESO DungeonFinder'!$A$2:$A$999,1,FALSE))),"X","")</f>
        <v/>
      </c>
      <c r="F906" s="70" t="str">
        <f t="shared" si="56"/>
        <v/>
      </c>
      <c r="G906" s="70" t="str">
        <f t="shared" si="59"/>
        <v>High Isle</v>
      </c>
      <c r="H906" s="70">
        <f t="shared" si="57"/>
        <v>1336</v>
      </c>
      <c r="I906" s="70">
        <f t="shared" si="58"/>
        <v>1318</v>
      </c>
      <c r="J906">
        <v>26</v>
      </c>
      <c r="K906" s="3" t="str">
        <f ca="1">VLOOKUP(J906,ConstDLCIds!$A$4:$B$1000,2,FALSE)</f>
        <v>DLC_HIGH_ISLE</v>
      </c>
      <c r="L906" s="3" t="str">
        <f ca="1">VLOOKUP(J906,ConstDLCIds!$A$4:$C$1000,3,FALSE)</f>
        <v>High Isle</v>
      </c>
    </row>
    <row r="907" spans="1:12" x14ac:dyDescent="0.25">
      <c r="A907">
        <v>1337</v>
      </c>
      <c r="B907">
        <v>902</v>
      </c>
      <c r="C907">
        <v>1318</v>
      </c>
      <c r="D907" t="s">
        <v>1716</v>
      </c>
      <c r="E907" t="str">
        <f>IF(NOT(ISERROR(VLOOKUP(D907,'ESO DungeonFinder'!$A$2:$A$999,1,FALSE))),"X","")</f>
        <v/>
      </c>
      <c r="F907" s="70" t="str">
        <f t="shared" si="56"/>
        <v/>
      </c>
      <c r="G907" s="70" t="str">
        <f t="shared" si="59"/>
        <v>High Isle</v>
      </c>
      <c r="H907" s="70">
        <f t="shared" si="57"/>
        <v>1337</v>
      </c>
      <c r="I907" s="70">
        <f t="shared" si="58"/>
        <v>1318</v>
      </c>
      <c r="J907">
        <v>26</v>
      </c>
      <c r="K907" s="3" t="str">
        <f ca="1">VLOOKUP(J907,ConstDLCIds!$A$4:$B$1000,2,FALSE)</f>
        <v>DLC_HIGH_ISLE</v>
      </c>
      <c r="L907" s="3" t="str">
        <f ca="1">VLOOKUP(J907,ConstDLCIds!$A$4:$C$1000,3,FALSE)</f>
        <v>High Isle</v>
      </c>
    </row>
    <row r="908" spans="1:12" x14ac:dyDescent="0.25">
      <c r="A908">
        <v>1338</v>
      </c>
      <c r="B908">
        <v>903</v>
      </c>
      <c r="C908">
        <v>1318</v>
      </c>
      <c r="D908" t="s">
        <v>2194</v>
      </c>
      <c r="E908" t="str">
        <f>IF(NOT(ISERROR(VLOOKUP(D908,'ESO DungeonFinder'!$A$2:$A$999,1,FALSE))),"X","")</f>
        <v/>
      </c>
      <c r="F908" s="70" t="str">
        <f t="shared" si="56"/>
        <v/>
      </c>
      <c r="G908" s="70" t="str">
        <f t="shared" si="59"/>
        <v>High Isle</v>
      </c>
      <c r="H908" s="70">
        <f t="shared" si="57"/>
        <v>1338</v>
      </c>
      <c r="I908" s="70">
        <f t="shared" si="58"/>
        <v>1318</v>
      </c>
      <c r="J908">
        <v>26</v>
      </c>
      <c r="K908" s="3" t="str">
        <f ca="1">VLOOKUP(J908,ConstDLCIds!$A$4:$B$1000,2,FALSE)</f>
        <v>DLC_HIGH_ISLE</v>
      </c>
      <c r="L908" s="3" t="str">
        <f ca="1">VLOOKUP(J908,ConstDLCIds!$A$4:$C$1000,3,FALSE)</f>
        <v>High Isle</v>
      </c>
    </row>
    <row r="909" spans="1:12" x14ac:dyDescent="0.25">
      <c r="A909">
        <v>1342</v>
      </c>
      <c r="B909">
        <v>904</v>
      </c>
      <c r="C909">
        <v>1282</v>
      </c>
      <c r="D909" t="s">
        <v>2944</v>
      </c>
      <c r="E909" t="str">
        <f>IF(NOT(ISERROR(VLOOKUP(D909,'ESO DungeonFinder'!$A$2:$A$999,1,FALSE))),"X","")</f>
        <v/>
      </c>
      <c r="F909" s="70" t="str">
        <f t="shared" si="56"/>
        <v/>
      </c>
      <c r="G909" s="70" t="str">
        <f t="shared" si="59"/>
        <v>Fargrave</v>
      </c>
      <c r="H909" s="70">
        <f t="shared" si="57"/>
        <v>1342</v>
      </c>
      <c r="I909" s="70">
        <f t="shared" si="58"/>
        <v>1282</v>
      </c>
      <c r="J909">
        <v>24</v>
      </c>
      <c r="K909" s="3" t="str">
        <f ca="1">VLOOKUP(J909,ConstDLCIds!$A$4:$B$1000,2,FALSE)</f>
        <v>DLC_DEADLANDS</v>
      </c>
      <c r="L909" s="3" t="str">
        <f ca="1">VLOOKUP(J909,ConstDLCIds!$A$4:$C$1000,3,FALSE)</f>
        <v>The Deadlands</v>
      </c>
    </row>
    <row r="910" spans="1:12" x14ac:dyDescent="0.25">
      <c r="A910">
        <v>1343</v>
      </c>
      <c r="B910">
        <v>905</v>
      </c>
      <c r="C910">
        <v>1286</v>
      </c>
      <c r="D910" t="s">
        <v>2945</v>
      </c>
      <c r="E910" t="str">
        <f>IF(NOT(ISERROR(VLOOKUP(D910,'ESO DungeonFinder'!$A$2:$A$999,1,FALSE))),"X","")</f>
        <v/>
      </c>
      <c r="F910" s="70" t="str">
        <f t="shared" si="56"/>
        <v/>
      </c>
      <c r="G910" s="70" t="str">
        <f t="shared" si="59"/>
        <v>The Deadlands</v>
      </c>
      <c r="H910" s="70">
        <f t="shared" si="57"/>
        <v>1343</v>
      </c>
      <c r="I910" s="70">
        <f t="shared" si="58"/>
        <v>1286</v>
      </c>
      <c r="J910">
        <v>24</v>
      </c>
      <c r="K910" s="3" t="str">
        <f ca="1">VLOOKUP(J910,ConstDLCIds!$A$4:$B$1000,2,FALSE)</f>
        <v>DLC_DEADLANDS</v>
      </c>
      <c r="L910" s="3" t="str">
        <f ca="1">VLOOKUP(J910,ConstDLCIds!$A$4:$C$1000,3,FALSE)</f>
        <v>The Deadlands</v>
      </c>
    </row>
    <row r="911" spans="1:12" x14ac:dyDescent="0.25">
      <c r="A911">
        <v>1344</v>
      </c>
      <c r="B911">
        <v>906</v>
      </c>
      <c r="C911">
        <v>1318</v>
      </c>
      <c r="D911" t="s">
        <v>1723</v>
      </c>
      <c r="E911" t="str">
        <f>IF(NOT(ISERROR(VLOOKUP(D911,'ESO DungeonFinder'!$A$2:$A$999,1,FALSE))),"X","")</f>
        <v>X</v>
      </c>
      <c r="F911" s="70" t="str">
        <f t="shared" si="56"/>
        <v/>
      </c>
      <c r="G911" s="70" t="str">
        <f t="shared" si="59"/>
        <v>High Isle</v>
      </c>
      <c r="H911" s="70">
        <f t="shared" si="57"/>
        <v>1344</v>
      </c>
      <c r="I911" s="70">
        <f t="shared" si="58"/>
        <v>1318</v>
      </c>
      <c r="J911">
        <v>26</v>
      </c>
      <c r="K911" s="3" t="str">
        <f ca="1">VLOOKUP(J911,ConstDLCIds!$A$4:$B$1000,2,FALSE)</f>
        <v>DLC_HIGH_ISLE</v>
      </c>
      <c r="L911" s="3" t="str">
        <f ca="1">VLOOKUP(J911,ConstDLCIds!$A$4:$C$1000,3,FALSE)</f>
        <v>High Isle</v>
      </c>
    </row>
    <row r="912" spans="1:12" x14ac:dyDescent="0.25">
      <c r="A912">
        <v>1345</v>
      </c>
      <c r="B912">
        <v>907</v>
      </c>
      <c r="C912">
        <v>535</v>
      </c>
      <c r="D912" t="s">
        <v>2946</v>
      </c>
      <c r="E912" t="str">
        <f>IF(NOT(ISERROR(VLOOKUP(D912,'ESO DungeonFinder'!$A$2:$A$999,1,FALSE))),"X","")</f>
        <v/>
      </c>
      <c r="F912" s="70" t="str">
        <f t="shared" si="56"/>
        <v/>
      </c>
      <c r="G912" s="70" t="str">
        <f t="shared" si="59"/>
        <v>Betnikh</v>
      </c>
      <c r="H912" s="70">
        <f t="shared" si="57"/>
        <v>1345</v>
      </c>
      <c r="I912" s="70">
        <f t="shared" si="58"/>
        <v>535</v>
      </c>
      <c r="J912">
        <v>0</v>
      </c>
      <c r="K912" s="3" t="str">
        <f>VLOOKUP(J912,ConstDLCIds!$A$4:$B$1000,2,FALSE)</f>
        <v>DLC_BASE_GAME</v>
      </c>
      <c r="L912" s="3" t="str">
        <f>VLOOKUP(J912,ConstDLCIds!$A$4:$C$1000,3,FALSE)</f>
        <v>Included in base game</v>
      </c>
    </row>
    <row r="913" spans="1:12" x14ac:dyDescent="0.25">
      <c r="A913">
        <v>1360</v>
      </c>
      <c r="B913">
        <v>908</v>
      </c>
      <c r="C913">
        <v>1318</v>
      </c>
      <c r="D913" t="s">
        <v>1789</v>
      </c>
      <c r="E913" t="str">
        <f>IF(NOT(ISERROR(VLOOKUP(D913,'ESO DungeonFinder'!$A$2:$A$999,1,FALSE))),"X","")</f>
        <v>X</v>
      </c>
      <c r="F913" s="70" t="str">
        <f t="shared" si="56"/>
        <v/>
      </c>
      <c r="G913" s="70" t="str">
        <f t="shared" si="59"/>
        <v>High Isle</v>
      </c>
      <c r="H913" s="70">
        <f t="shared" si="57"/>
        <v>1360</v>
      </c>
      <c r="I913" s="70">
        <f t="shared" si="58"/>
        <v>1318</v>
      </c>
      <c r="J913">
        <v>27</v>
      </c>
      <c r="K913" s="3" t="str">
        <f ca="1">VLOOKUP(J913,ConstDLCIds!$A$4:$B$1000,2,FALSE)</f>
        <v>DLC_LOST_DEPTHS</v>
      </c>
      <c r="L913" s="3" t="str">
        <f ca="1">VLOOKUP(J913,ConstDLCIds!$A$4:$C$1000,3,FALSE)</f>
        <v>Lost Depths</v>
      </c>
    </row>
    <row r="914" spans="1:12" x14ac:dyDescent="0.25">
      <c r="A914">
        <v>1361</v>
      </c>
      <c r="B914">
        <v>909</v>
      </c>
      <c r="C914">
        <v>1318</v>
      </c>
      <c r="D914" t="s">
        <v>1796</v>
      </c>
      <c r="E914" t="str">
        <f>IF(NOT(ISERROR(VLOOKUP(D914,'ESO DungeonFinder'!$A$2:$A$999,1,FALSE))),"X","")</f>
        <v>X</v>
      </c>
      <c r="F914" s="70" t="str">
        <f t="shared" si="56"/>
        <v/>
      </c>
      <c r="G914" s="70" t="str">
        <f t="shared" si="59"/>
        <v>High Isle</v>
      </c>
      <c r="H914" s="70">
        <f t="shared" si="57"/>
        <v>1361</v>
      </c>
      <c r="I914" s="70">
        <f t="shared" si="58"/>
        <v>1318</v>
      </c>
      <c r="J914">
        <v>27</v>
      </c>
      <c r="K914" s="3" t="str">
        <f ca="1">VLOOKUP(J914,ConstDLCIds!$A$4:$B$1000,2,FALSE)</f>
        <v>DLC_LOST_DEPTHS</v>
      </c>
      <c r="L914" s="3" t="str">
        <f ca="1">VLOOKUP(J914,ConstDLCIds!$A$4:$C$1000,3,FALSE)</f>
        <v>Lost Depths</v>
      </c>
    </row>
    <row r="915" spans="1:12" x14ac:dyDescent="0.25">
      <c r="A915">
        <v>1363</v>
      </c>
      <c r="B915">
        <v>910</v>
      </c>
      <c r="C915">
        <v>1318</v>
      </c>
      <c r="D915" t="s">
        <v>2947</v>
      </c>
      <c r="E915" t="str">
        <f>IF(NOT(ISERROR(VLOOKUP(D915,'ESO DungeonFinder'!$A$2:$A$999,1,FALSE))),"X","")</f>
        <v/>
      </c>
      <c r="F915" s="70" t="str">
        <f t="shared" si="56"/>
        <v/>
      </c>
      <c r="G915" s="70" t="str">
        <f t="shared" si="59"/>
        <v>High Isle</v>
      </c>
      <c r="H915" s="70">
        <f t="shared" si="57"/>
        <v>1363</v>
      </c>
      <c r="I915" s="70">
        <f t="shared" si="58"/>
        <v>1318</v>
      </c>
      <c r="J915">
        <v>26</v>
      </c>
      <c r="K915" s="3" t="str">
        <f ca="1">VLOOKUP(J915,ConstDLCIds!$A$4:$B$1000,2,FALSE)</f>
        <v>DLC_HIGH_ISLE</v>
      </c>
      <c r="L915" s="3" t="str">
        <f ca="1">VLOOKUP(J915,ConstDLCIds!$A$4:$C$1000,3,FALSE)</f>
        <v>High Isle</v>
      </c>
    </row>
    <row r="916" spans="1:12" x14ac:dyDescent="0.25">
      <c r="A916">
        <v>1364</v>
      </c>
      <c r="B916">
        <v>911</v>
      </c>
      <c r="C916">
        <v>1318</v>
      </c>
      <c r="D916" t="s">
        <v>2948</v>
      </c>
      <c r="E916" t="str">
        <f>IF(NOT(ISERROR(VLOOKUP(D916,'ESO DungeonFinder'!$A$2:$A$999,1,FALSE))),"X","")</f>
        <v/>
      </c>
      <c r="F916" s="70" t="str">
        <f t="shared" si="56"/>
        <v/>
      </c>
      <c r="G916" s="70" t="str">
        <f t="shared" si="59"/>
        <v>High Isle</v>
      </c>
      <c r="H916" s="70">
        <f t="shared" si="57"/>
        <v>1364</v>
      </c>
      <c r="I916" s="70">
        <f t="shared" si="58"/>
        <v>1318</v>
      </c>
      <c r="J916">
        <v>26</v>
      </c>
      <c r="K916" s="3" t="str">
        <f ca="1">VLOOKUP(J916,ConstDLCIds!$A$4:$B$1000,2,FALSE)</f>
        <v>DLC_HIGH_ISLE</v>
      </c>
      <c r="L916" s="3" t="str">
        <f ca="1">VLOOKUP(J916,ConstDLCIds!$A$4:$C$1000,3,FALSE)</f>
        <v>High Isle</v>
      </c>
    </row>
    <row r="917" spans="1:12" x14ac:dyDescent="0.25">
      <c r="A917">
        <v>1365</v>
      </c>
      <c r="B917">
        <v>912</v>
      </c>
      <c r="C917">
        <v>3</v>
      </c>
      <c r="D917" t="s">
        <v>2949</v>
      </c>
      <c r="E917" t="str">
        <f>IF(NOT(ISERROR(VLOOKUP(D917,'ESO DungeonFinder'!$A$2:$A$999,1,FALSE))),"X","")</f>
        <v/>
      </c>
      <c r="F917" s="70" t="str">
        <f t="shared" si="56"/>
        <v/>
      </c>
      <c r="G917" s="70" t="str">
        <f t="shared" si="59"/>
        <v>Glenumbra</v>
      </c>
      <c r="H917" s="70">
        <f t="shared" si="57"/>
        <v>1365</v>
      </c>
      <c r="I917" s="70">
        <f t="shared" si="58"/>
        <v>3</v>
      </c>
      <c r="J917">
        <v>0</v>
      </c>
      <c r="K917" s="3" t="str">
        <f>VLOOKUP(J917,ConstDLCIds!$A$4:$B$1000,2,FALSE)</f>
        <v>DLC_BASE_GAME</v>
      </c>
      <c r="L917" s="3" t="str">
        <f>VLOOKUP(J917,ConstDLCIds!$A$4:$C$1000,3,FALSE)</f>
        <v>Included in base game</v>
      </c>
    </row>
    <row r="918" spans="1:12" x14ac:dyDescent="0.25">
      <c r="A918">
        <v>1366</v>
      </c>
      <c r="B918">
        <v>913</v>
      </c>
      <c r="C918">
        <v>92</v>
      </c>
      <c r="D918" t="s">
        <v>2950</v>
      </c>
      <c r="E918" t="str">
        <f>IF(NOT(ISERROR(VLOOKUP(D918,'ESO DungeonFinder'!$A$2:$A$999,1,FALSE))),"X","")</f>
        <v/>
      </c>
      <c r="F918" s="70" t="str">
        <f t="shared" si="56"/>
        <v/>
      </c>
      <c r="G918" s="70" t="str">
        <f t="shared" si="59"/>
        <v>Bangkorai</v>
      </c>
      <c r="H918" s="70">
        <f t="shared" si="57"/>
        <v>1366</v>
      </c>
      <c r="I918" s="70">
        <f t="shared" si="58"/>
        <v>92</v>
      </c>
      <c r="J918">
        <v>0</v>
      </c>
      <c r="K918" s="3" t="str">
        <f>VLOOKUP(J918,ConstDLCIds!$A$4:$B$1000,2,FALSE)</f>
        <v>DLC_BASE_GAME</v>
      </c>
      <c r="L918" s="3" t="str">
        <f>VLOOKUP(J918,ConstDLCIds!$A$4:$C$1000,3,FALSE)</f>
        <v>Included in base game</v>
      </c>
    </row>
    <row r="919" spans="1:12" x14ac:dyDescent="0.25">
      <c r="A919">
        <v>1367</v>
      </c>
      <c r="B919">
        <v>914</v>
      </c>
      <c r="C919">
        <v>1383</v>
      </c>
      <c r="D919" t="s">
        <v>2951</v>
      </c>
      <c r="E919" t="str">
        <f>IF(NOT(ISERROR(VLOOKUP(D919,'ESO DungeonFinder'!$A$2:$A$999,1,FALSE))),"X","")</f>
        <v/>
      </c>
      <c r="F919" s="70" t="str">
        <f t="shared" si="56"/>
        <v/>
      </c>
      <c r="G919" s="70" t="str">
        <f t="shared" si="59"/>
        <v>Galen</v>
      </c>
      <c r="H919" s="70">
        <f t="shared" si="57"/>
        <v>1367</v>
      </c>
      <c r="I919" s="70">
        <f t="shared" si="58"/>
        <v>1383</v>
      </c>
      <c r="J919">
        <v>28</v>
      </c>
      <c r="K919" s="3" t="str">
        <f ca="1">VLOOKUP(J919,ConstDLCIds!$A$4:$B$1000,2,FALSE)</f>
        <v>DLC_FIRESONG</v>
      </c>
      <c r="L919" s="3" t="str">
        <f ca="1">VLOOKUP(J919,ConstDLCIds!$A$4:$C$1000,3,FALSE)</f>
        <v>Firesong</v>
      </c>
    </row>
    <row r="920" spans="1:12" x14ac:dyDescent="0.25">
      <c r="A920">
        <v>1368</v>
      </c>
      <c r="B920">
        <v>915</v>
      </c>
      <c r="C920">
        <v>1383</v>
      </c>
      <c r="D920" t="s">
        <v>2952</v>
      </c>
      <c r="E920" t="str">
        <f>IF(NOT(ISERROR(VLOOKUP(D920,'ESO DungeonFinder'!$A$2:$A$999,1,FALSE))),"X","")</f>
        <v/>
      </c>
      <c r="F920" s="70" t="str">
        <f t="shared" si="56"/>
        <v/>
      </c>
      <c r="G920" s="70" t="str">
        <f t="shared" si="59"/>
        <v>Galen</v>
      </c>
      <c r="H920" s="70">
        <f t="shared" si="57"/>
        <v>1368</v>
      </c>
      <c r="I920" s="70">
        <f t="shared" si="58"/>
        <v>1383</v>
      </c>
      <c r="J920">
        <v>28</v>
      </c>
      <c r="K920" s="3" t="str">
        <f ca="1">VLOOKUP(J920,ConstDLCIds!$A$4:$B$1000,2,FALSE)</f>
        <v>DLC_FIRESONG</v>
      </c>
      <c r="L920" s="3" t="str">
        <f ca="1">VLOOKUP(J920,ConstDLCIds!$A$4:$C$1000,3,FALSE)</f>
        <v>Firesong</v>
      </c>
    </row>
    <row r="921" spans="1:12" x14ac:dyDescent="0.25">
      <c r="A921">
        <v>1369</v>
      </c>
      <c r="B921">
        <v>916</v>
      </c>
      <c r="C921">
        <v>1383</v>
      </c>
      <c r="D921" t="s">
        <v>2953</v>
      </c>
      <c r="E921" t="str">
        <f>IF(NOT(ISERROR(VLOOKUP(D921,'ESO DungeonFinder'!$A$2:$A$999,1,FALSE))),"X","")</f>
        <v/>
      </c>
      <c r="F921" s="70" t="str">
        <f t="shared" si="56"/>
        <v/>
      </c>
      <c r="G921" s="70" t="str">
        <f t="shared" si="59"/>
        <v>Galen</v>
      </c>
      <c r="H921" s="70">
        <f t="shared" si="57"/>
        <v>1369</v>
      </c>
      <c r="I921" s="70">
        <f t="shared" si="58"/>
        <v>1383</v>
      </c>
      <c r="J921">
        <v>28</v>
      </c>
      <c r="K921" s="3" t="str">
        <f ca="1">VLOOKUP(J921,ConstDLCIds!$A$4:$B$1000,2,FALSE)</f>
        <v>DLC_FIRESONG</v>
      </c>
      <c r="L921" s="3" t="str">
        <f ca="1">VLOOKUP(J921,ConstDLCIds!$A$4:$C$1000,3,FALSE)</f>
        <v>Firesong</v>
      </c>
    </row>
    <row r="922" spans="1:12" x14ac:dyDescent="0.25">
      <c r="A922">
        <v>1370</v>
      </c>
      <c r="B922">
        <v>917</v>
      </c>
      <c r="C922">
        <v>1383</v>
      </c>
      <c r="D922" t="s">
        <v>2954</v>
      </c>
      <c r="E922" t="str">
        <f>IF(NOT(ISERROR(VLOOKUP(D922,'ESO DungeonFinder'!$A$2:$A$999,1,FALSE))),"X","")</f>
        <v/>
      </c>
      <c r="F922" s="70" t="str">
        <f t="shared" si="56"/>
        <v/>
      </c>
      <c r="G922" s="70" t="str">
        <f t="shared" si="59"/>
        <v>Galen</v>
      </c>
      <c r="H922" s="70">
        <f t="shared" si="57"/>
        <v>1370</v>
      </c>
      <c r="I922" s="70">
        <f t="shared" si="58"/>
        <v>1383</v>
      </c>
      <c r="J922">
        <v>28</v>
      </c>
      <c r="K922" s="3" t="str">
        <f ca="1">VLOOKUP(J922,ConstDLCIds!$A$4:$B$1000,2,FALSE)</f>
        <v>DLC_FIRESONG</v>
      </c>
      <c r="L922" s="3" t="str">
        <f ca="1">VLOOKUP(J922,ConstDLCIds!$A$4:$C$1000,3,FALSE)</f>
        <v>Firesong</v>
      </c>
    </row>
    <row r="923" spans="1:12" x14ac:dyDescent="0.25">
      <c r="A923">
        <v>1371</v>
      </c>
      <c r="B923">
        <v>918</v>
      </c>
      <c r="C923">
        <v>1383</v>
      </c>
      <c r="D923" t="s">
        <v>2955</v>
      </c>
      <c r="E923" t="str">
        <f>IF(NOT(ISERROR(VLOOKUP(D923,'ESO DungeonFinder'!$A$2:$A$999,1,FALSE))),"X","")</f>
        <v/>
      </c>
      <c r="F923" s="70" t="str">
        <f t="shared" si="56"/>
        <v/>
      </c>
      <c r="G923" s="70" t="str">
        <f t="shared" si="59"/>
        <v>Galen</v>
      </c>
      <c r="H923" s="70">
        <f t="shared" si="57"/>
        <v>1371</v>
      </c>
      <c r="I923" s="70">
        <f t="shared" si="58"/>
        <v>1383</v>
      </c>
      <c r="J923">
        <v>28</v>
      </c>
      <c r="K923" s="3" t="str">
        <f ca="1">VLOOKUP(J923,ConstDLCIds!$A$4:$B$1000,2,FALSE)</f>
        <v>DLC_FIRESONG</v>
      </c>
      <c r="L923" s="3" t="str">
        <f ca="1">VLOOKUP(J923,ConstDLCIds!$A$4:$C$1000,3,FALSE)</f>
        <v>Firesong</v>
      </c>
    </row>
    <row r="924" spans="1:12" x14ac:dyDescent="0.25">
      <c r="A924">
        <v>1372</v>
      </c>
      <c r="B924">
        <v>919</v>
      </c>
      <c r="C924">
        <v>1383</v>
      </c>
      <c r="D924" t="s">
        <v>2956</v>
      </c>
      <c r="E924" t="str">
        <f>IF(NOT(ISERROR(VLOOKUP(D924,'ESO DungeonFinder'!$A$2:$A$999,1,FALSE))),"X","")</f>
        <v/>
      </c>
      <c r="F924" s="70" t="str">
        <f t="shared" si="56"/>
        <v/>
      </c>
      <c r="G924" s="70" t="str">
        <f t="shared" si="59"/>
        <v>Galen</v>
      </c>
      <c r="H924" s="70">
        <f t="shared" si="57"/>
        <v>1372</v>
      </c>
      <c r="I924" s="70">
        <f t="shared" si="58"/>
        <v>1383</v>
      </c>
      <c r="J924">
        <v>28</v>
      </c>
      <c r="K924" s="3" t="str">
        <f ca="1">VLOOKUP(J924,ConstDLCIds!$A$4:$B$1000,2,FALSE)</f>
        <v>DLC_FIRESONG</v>
      </c>
      <c r="L924" s="3" t="str">
        <f ca="1">VLOOKUP(J924,ConstDLCIds!$A$4:$C$1000,3,FALSE)</f>
        <v>Firesong</v>
      </c>
    </row>
    <row r="925" spans="1:12" x14ac:dyDescent="0.25">
      <c r="A925">
        <v>1373</v>
      </c>
      <c r="B925">
        <v>920</v>
      </c>
      <c r="C925">
        <v>1383</v>
      </c>
      <c r="D925" t="s">
        <v>2957</v>
      </c>
      <c r="E925" t="str">
        <f>IF(NOT(ISERROR(VLOOKUP(D925,'ESO DungeonFinder'!$A$2:$A$999,1,FALSE))),"X","")</f>
        <v/>
      </c>
      <c r="F925" s="70" t="str">
        <f t="shared" si="56"/>
        <v/>
      </c>
      <c r="G925" s="70" t="str">
        <f t="shared" si="59"/>
        <v>Galen</v>
      </c>
      <c r="H925" s="70">
        <f t="shared" si="57"/>
        <v>1373</v>
      </c>
      <c r="I925" s="70">
        <f t="shared" si="58"/>
        <v>1383</v>
      </c>
      <c r="J925">
        <v>28</v>
      </c>
      <c r="K925" s="3" t="str">
        <f ca="1">VLOOKUP(J925,ConstDLCIds!$A$4:$B$1000,2,FALSE)</f>
        <v>DLC_FIRESONG</v>
      </c>
      <c r="L925" s="3" t="str">
        <f ca="1">VLOOKUP(J925,ConstDLCIds!$A$4:$C$1000,3,FALSE)</f>
        <v>Firesong</v>
      </c>
    </row>
    <row r="926" spans="1:12" x14ac:dyDescent="0.25">
      <c r="A926">
        <v>1374</v>
      </c>
      <c r="B926">
        <v>921</v>
      </c>
      <c r="C926">
        <v>1383</v>
      </c>
      <c r="D926" t="s">
        <v>2958</v>
      </c>
      <c r="E926" t="str">
        <f>IF(NOT(ISERROR(VLOOKUP(D926,'ESO DungeonFinder'!$A$2:$A$999,1,FALSE))),"X","")</f>
        <v/>
      </c>
      <c r="F926" s="70" t="str">
        <f t="shared" si="56"/>
        <v/>
      </c>
      <c r="G926" s="70" t="str">
        <f t="shared" si="59"/>
        <v>Galen</v>
      </c>
      <c r="H926" s="70">
        <f t="shared" si="57"/>
        <v>1374</v>
      </c>
      <c r="I926" s="70">
        <f t="shared" si="58"/>
        <v>1383</v>
      </c>
      <c r="J926">
        <v>28</v>
      </c>
      <c r="K926" s="3" t="str">
        <f ca="1">VLOOKUP(J926,ConstDLCIds!$A$4:$B$1000,2,FALSE)</f>
        <v>DLC_FIRESONG</v>
      </c>
      <c r="L926" s="3" t="str">
        <f ca="1">VLOOKUP(J926,ConstDLCIds!$A$4:$C$1000,3,FALSE)</f>
        <v>Firesong</v>
      </c>
    </row>
    <row r="927" spans="1:12" x14ac:dyDescent="0.25">
      <c r="A927">
        <v>1375</v>
      </c>
      <c r="B927">
        <v>922</v>
      </c>
      <c r="C927">
        <v>1383</v>
      </c>
      <c r="D927" t="s">
        <v>2959</v>
      </c>
      <c r="E927" t="str">
        <f>IF(NOT(ISERROR(VLOOKUP(D927,'ESO DungeonFinder'!$A$2:$A$999,1,FALSE))),"X","")</f>
        <v/>
      </c>
      <c r="F927" s="70" t="str">
        <f t="shared" si="56"/>
        <v/>
      </c>
      <c r="G927" s="70" t="str">
        <f t="shared" si="59"/>
        <v>Galen</v>
      </c>
      <c r="H927" s="70">
        <f t="shared" si="57"/>
        <v>1375</v>
      </c>
      <c r="I927" s="70">
        <f t="shared" si="58"/>
        <v>1383</v>
      </c>
      <c r="J927">
        <v>28</v>
      </c>
      <c r="K927" s="3" t="str">
        <f ca="1">VLOOKUP(J927,ConstDLCIds!$A$4:$B$1000,2,FALSE)</f>
        <v>DLC_FIRESONG</v>
      </c>
      <c r="L927" s="3" t="str">
        <f ca="1">VLOOKUP(J927,ConstDLCIds!$A$4:$C$1000,3,FALSE)</f>
        <v>Firesong</v>
      </c>
    </row>
    <row r="928" spans="1:12" x14ac:dyDescent="0.25">
      <c r="A928">
        <v>1376</v>
      </c>
      <c r="B928">
        <v>923</v>
      </c>
      <c r="C928">
        <v>1383</v>
      </c>
      <c r="D928" t="s">
        <v>2960</v>
      </c>
      <c r="E928" t="str">
        <f>IF(NOT(ISERROR(VLOOKUP(D928,'ESO DungeonFinder'!$A$2:$A$999,1,FALSE))),"X","")</f>
        <v/>
      </c>
      <c r="F928" s="70" t="str">
        <f t="shared" si="56"/>
        <v/>
      </c>
      <c r="G928" s="70" t="str">
        <f t="shared" si="59"/>
        <v>Galen</v>
      </c>
      <c r="H928" s="70">
        <f t="shared" si="57"/>
        <v>1376</v>
      </c>
      <c r="I928" s="70">
        <f t="shared" si="58"/>
        <v>1383</v>
      </c>
      <c r="J928">
        <v>28</v>
      </c>
      <c r="K928" s="3" t="str">
        <f ca="1">VLOOKUP(J928,ConstDLCIds!$A$4:$B$1000,2,FALSE)</f>
        <v>DLC_FIRESONG</v>
      </c>
      <c r="L928" s="3" t="str">
        <f ca="1">VLOOKUP(J928,ConstDLCIds!$A$4:$C$1000,3,FALSE)</f>
        <v>Firesong</v>
      </c>
    </row>
    <row r="929" spans="1:12" x14ac:dyDescent="0.25">
      <c r="A929">
        <v>1377</v>
      </c>
      <c r="B929">
        <v>924</v>
      </c>
      <c r="C929">
        <v>1383</v>
      </c>
      <c r="D929" t="s">
        <v>2961</v>
      </c>
      <c r="E929" t="str">
        <f>IF(NOT(ISERROR(VLOOKUP(D929,'ESO DungeonFinder'!$A$2:$A$999,1,FALSE))),"X","")</f>
        <v/>
      </c>
      <c r="F929" s="70" t="str">
        <f t="shared" si="56"/>
        <v/>
      </c>
      <c r="G929" s="70" t="str">
        <f t="shared" si="59"/>
        <v>Galen</v>
      </c>
      <c r="H929" s="70">
        <f t="shared" si="57"/>
        <v>1377</v>
      </c>
      <c r="I929" s="70">
        <f t="shared" si="58"/>
        <v>1383</v>
      </c>
      <c r="J929">
        <v>28</v>
      </c>
      <c r="K929" s="3" t="str">
        <f ca="1">VLOOKUP(J929,ConstDLCIds!$A$4:$B$1000,2,FALSE)</f>
        <v>DLC_FIRESONG</v>
      </c>
      <c r="L929" s="3" t="str">
        <f ca="1">VLOOKUP(J929,ConstDLCIds!$A$4:$C$1000,3,FALSE)</f>
        <v>Firesong</v>
      </c>
    </row>
    <row r="930" spans="1:12" x14ac:dyDescent="0.25">
      <c r="A930">
        <v>1378</v>
      </c>
      <c r="B930">
        <v>925</v>
      </c>
      <c r="C930">
        <v>1383</v>
      </c>
      <c r="D930" t="s">
        <v>2962</v>
      </c>
      <c r="E930" t="str">
        <f>IF(NOT(ISERROR(VLOOKUP(D930,'ESO DungeonFinder'!$A$2:$A$999,1,FALSE))),"X","")</f>
        <v/>
      </c>
      <c r="F930" s="70" t="str">
        <f t="shared" si="56"/>
        <v/>
      </c>
      <c r="G930" s="70" t="str">
        <f t="shared" si="59"/>
        <v>Galen</v>
      </c>
      <c r="H930" s="70">
        <f t="shared" si="57"/>
        <v>1378</v>
      </c>
      <c r="I930" s="70">
        <f t="shared" si="58"/>
        <v>1383</v>
      </c>
      <c r="J930">
        <v>28</v>
      </c>
      <c r="K930" s="3" t="str">
        <f ca="1">VLOOKUP(J930,ConstDLCIds!$A$4:$B$1000,2,FALSE)</f>
        <v>DLC_FIRESONG</v>
      </c>
      <c r="L930" s="3" t="str">
        <f ca="1">VLOOKUP(J930,ConstDLCIds!$A$4:$C$1000,3,FALSE)</f>
        <v>Firesong</v>
      </c>
    </row>
    <row r="931" spans="1:12" x14ac:dyDescent="0.25">
      <c r="A931">
        <v>1379</v>
      </c>
      <c r="B931">
        <v>926</v>
      </c>
      <c r="C931">
        <v>1383</v>
      </c>
      <c r="D931" t="s">
        <v>2963</v>
      </c>
      <c r="E931" t="str">
        <f>IF(NOT(ISERROR(VLOOKUP(D931,'ESO DungeonFinder'!$A$2:$A$999,1,FALSE))),"X","")</f>
        <v/>
      </c>
      <c r="F931" s="70" t="str">
        <f t="shared" si="56"/>
        <v/>
      </c>
      <c r="G931" s="70" t="str">
        <f t="shared" si="59"/>
        <v>Galen</v>
      </c>
      <c r="H931" s="70">
        <f t="shared" si="57"/>
        <v>1379</v>
      </c>
      <c r="I931" s="70">
        <f t="shared" si="58"/>
        <v>1383</v>
      </c>
      <c r="J931">
        <v>28</v>
      </c>
      <c r="K931" s="3" t="str">
        <f ca="1">VLOOKUP(J931,ConstDLCIds!$A$4:$B$1000,2,FALSE)</f>
        <v>DLC_FIRESONG</v>
      </c>
      <c r="L931" s="3" t="str">
        <f ca="1">VLOOKUP(J931,ConstDLCIds!$A$4:$C$1000,3,FALSE)</f>
        <v>Firesong</v>
      </c>
    </row>
    <row r="932" spans="1:12" x14ac:dyDescent="0.25">
      <c r="A932">
        <v>1380</v>
      </c>
      <c r="B932">
        <v>927</v>
      </c>
      <c r="C932">
        <v>1383</v>
      </c>
      <c r="D932" t="s">
        <v>2964</v>
      </c>
      <c r="E932" t="str">
        <f>IF(NOT(ISERROR(VLOOKUP(D932,'ESO DungeonFinder'!$A$2:$A$999,1,FALSE))),"X","")</f>
        <v/>
      </c>
      <c r="F932" s="70" t="str">
        <f t="shared" si="56"/>
        <v/>
      </c>
      <c r="G932" s="70" t="str">
        <f t="shared" si="59"/>
        <v>Galen</v>
      </c>
      <c r="H932" s="70">
        <f t="shared" si="57"/>
        <v>1380</v>
      </c>
      <c r="I932" s="70">
        <f t="shared" si="58"/>
        <v>1383</v>
      </c>
      <c r="J932">
        <v>28</v>
      </c>
      <c r="K932" s="3" t="str">
        <f ca="1">VLOOKUP(J932,ConstDLCIds!$A$4:$B$1000,2,FALSE)</f>
        <v>DLC_FIRESONG</v>
      </c>
      <c r="L932" s="3" t="str">
        <f ca="1">VLOOKUP(J932,ConstDLCIds!$A$4:$C$1000,3,FALSE)</f>
        <v>Firesong</v>
      </c>
    </row>
    <row r="933" spans="1:12" x14ac:dyDescent="0.25">
      <c r="A933">
        <v>1381</v>
      </c>
      <c r="B933">
        <v>928</v>
      </c>
      <c r="C933">
        <v>1383</v>
      </c>
      <c r="D933" t="s">
        <v>2965</v>
      </c>
      <c r="E933" t="str">
        <f>IF(NOT(ISERROR(VLOOKUP(D933,'ESO DungeonFinder'!$A$2:$A$999,1,FALSE))),"X","")</f>
        <v/>
      </c>
      <c r="F933" s="70" t="str">
        <f t="shared" si="56"/>
        <v/>
      </c>
      <c r="G933" s="70" t="str">
        <f t="shared" si="59"/>
        <v>Galen</v>
      </c>
      <c r="H933" s="70">
        <f t="shared" si="57"/>
        <v>1381</v>
      </c>
      <c r="I933" s="70">
        <f t="shared" si="58"/>
        <v>1383</v>
      </c>
      <c r="J933">
        <v>28</v>
      </c>
      <c r="K933" s="3" t="str">
        <f ca="1">VLOOKUP(J933,ConstDLCIds!$A$4:$B$1000,2,FALSE)</f>
        <v>DLC_FIRESONG</v>
      </c>
      <c r="L933" s="3" t="str">
        <f ca="1">VLOOKUP(J933,ConstDLCIds!$A$4:$C$1000,3,FALSE)</f>
        <v>Firesong</v>
      </c>
    </row>
    <row r="934" spans="1:12" x14ac:dyDescent="0.25">
      <c r="A934">
        <v>1382</v>
      </c>
      <c r="B934">
        <v>929</v>
      </c>
      <c r="C934">
        <v>1383</v>
      </c>
      <c r="D934" t="s">
        <v>2966</v>
      </c>
      <c r="E934" t="str">
        <f>IF(NOT(ISERROR(VLOOKUP(D934,'ESO DungeonFinder'!$A$2:$A$999,1,FALSE))),"X","")</f>
        <v/>
      </c>
      <c r="F934" s="70" t="str">
        <f t="shared" si="56"/>
        <v/>
      </c>
      <c r="G934" s="70" t="str">
        <f t="shared" si="59"/>
        <v>Galen</v>
      </c>
      <c r="H934" s="70">
        <f t="shared" si="57"/>
        <v>1382</v>
      </c>
      <c r="I934" s="70">
        <f t="shared" si="58"/>
        <v>1383</v>
      </c>
      <c r="J934">
        <v>28</v>
      </c>
      <c r="K934" s="3" t="str">
        <f ca="1">VLOOKUP(J934,ConstDLCIds!$A$4:$B$1000,2,FALSE)</f>
        <v>DLC_FIRESONG</v>
      </c>
      <c r="L934" s="3" t="str">
        <f ca="1">VLOOKUP(J934,ConstDLCIds!$A$4:$C$1000,3,FALSE)</f>
        <v>Firesong</v>
      </c>
    </row>
    <row r="935" spans="1:12" x14ac:dyDescent="0.25">
      <c r="A935">
        <v>1383</v>
      </c>
      <c r="B935">
        <v>930</v>
      </c>
      <c r="C935">
        <v>1383</v>
      </c>
      <c r="D935" t="s">
        <v>1813</v>
      </c>
      <c r="E935" t="str">
        <f>IF(NOT(ISERROR(VLOOKUP(D935,'ESO DungeonFinder'!$A$2:$A$999,1,FALSE))),"X","")</f>
        <v/>
      </c>
      <c r="F935" s="70" t="str">
        <f t="shared" si="56"/>
        <v>X</v>
      </c>
      <c r="G935" s="70" t="str">
        <f t="shared" si="59"/>
        <v/>
      </c>
      <c r="H935" s="70">
        <f t="shared" si="57"/>
        <v>1383</v>
      </c>
      <c r="I935" s="70">
        <f t="shared" si="58"/>
        <v>1383</v>
      </c>
      <c r="J935">
        <v>8</v>
      </c>
      <c r="K935" s="3" t="str">
        <f ca="1">VLOOKUP(J935,ConstDLCIds!$A$4:$B$1000,2,FALSE)</f>
        <v>DLC_CLOCKWORK_CITY</v>
      </c>
      <c r="L935" s="3" t="str">
        <f ca="1">VLOOKUP(J935,ConstDLCIds!$A$4:$C$1000,3,FALSE)</f>
        <v>Clockwork City</v>
      </c>
    </row>
    <row r="936" spans="1:12" x14ac:dyDescent="0.25">
      <c r="A936">
        <v>1385</v>
      </c>
      <c r="B936">
        <v>931</v>
      </c>
      <c r="C936">
        <v>1383</v>
      </c>
      <c r="D936" t="s">
        <v>2967</v>
      </c>
      <c r="E936" t="str">
        <f>IF(NOT(ISERROR(VLOOKUP(D936,'ESO DungeonFinder'!$A$2:$A$999,1,FALSE))),"X","")</f>
        <v/>
      </c>
      <c r="F936" s="70" t="str">
        <f t="shared" si="56"/>
        <v/>
      </c>
      <c r="G936" s="70" t="str">
        <f t="shared" si="59"/>
        <v>Galen</v>
      </c>
      <c r="H936" s="70">
        <f t="shared" si="57"/>
        <v>1385</v>
      </c>
      <c r="I936" s="70">
        <f t="shared" si="58"/>
        <v>1383</v>
      </c>
      <c r="J936">
        <v>28</v>
      </c>
      <c r="K936" s="3" t="str">
        <f ca="1">VLOOKUP(J936,ConstDLCIds!$A$4:$B$1000,2,FALSE)</f>
        <v>DLC_FIRESONG</v>
      </c>
      <c r="L936" s="3" t="str">
        <f ca="1">VLOOKUP(J936,ConstDLCIds!$A$4:$C$1000,3,FALSE)</f>
        <v>Firesong</v>
      </c>
    </row>
    <row r="937" spans="1:12" x14ac:dyDescent="0.25">
      <c r="A937">
        <v>1386</v>
      </c>
      <c r="B937">
        <v>932</v>
      </c>
      <c r="C937">
        <v>1383</v>
      </c>
      <c r="D937" t="s">
        <v>2956</v>
      </c>
      <c r="E937" t="str">
        <f>IF(NOT(ISERROR(VLOOKUP(D937,'ESO DungeonFinder'!$A$2:$A$999,1,FALSE))),"X","")</f>
        <v/>
      </c>
      <c r="F937" s="70" t="str">
        <f t="shared" si="56"/>
        <v/>
      </c>
      <c r="G937" s="70" t="str">
        <f t="shared" si="59"/>
        <v>Galen</v>
      </c>
      <c r="H937" s="70">
        <f t="shared" si="57"/>
        <v>1386</v>
      </c>
      <c r="I937" s="70">
        <f t="shared" si="58"/>
        <v>1383</v>
      </c>
      <c r="J937">
        <v>28</v>
      </c>
      <c r="K937" s="3" t="str">
        <f ca="1">VLOOKUP(J937,ConstDLCIds!$A$4:$B$1000,2,FALSE)</f>
        <v>DLC_FIRESONG</v>
      </c>
      <c r="L937" s="3" t="str">
        <f ca="1">VLOOKUP(J937,ConstDLCIds!$A$4:$C$1000,3,FALSE)</f>
        <v>Firesong</v>
      </c>
    </row>
    <row r="938" spans="1:12" x14ac:dyDescent="0.25">
      <c r="A938">
        <v>1387</v>
      </c>
      <c r="B938">
        <v>933</v>
      </c>
      <c r="C938">
        <v>1383</v>
      </c>
      <c r="D938" t="s">
        <v>2968</v>
      </c>
      <c r="E938" t="str">
        <f>IF(NOT(ISERROR(VLOOKUP(D938,'ESO DungeonFinder'!$A$2:$A$999,1,FALSE))),"X","")</f>
        <v/>
      </c>
      <c r="F938" s="70" t="str">
        <f t="shared" si="56"/>
        <v/>
      </c>
      <c r="G938" s="70" t="str">
        <f t="shared" si="59"/>
        <v>Galen</v>
      </c>
      <c r="H938" s="70">
        <f t="shared" si="57"/>
        <v>1387</v>
      </c>
      <c r="I938" s="70">
        <f t="shared" si="58"/>
        <v>1383</v>
      </c>
      <c r="J938">
        <v>28</v>
      </c>
      <c r="K938" s="3" t="str">
        <f ca="1">VLOOKUP(J938,ConstDLCIds!$A$4:$B$1000,2,FALSE)</f>
        <v>DLC_FIRESONG</v>
      </c>
      <c r="L938" s="3" t="str">
        <f ca="1">VLOOKUP(J938,ConstDLCIds!$A$4:$C$1000,3,FALSE)</f>
        <v>Firesong</v>
      </c>
    </row>
    <row r="939" spans="1:12" x14ac:dyDescent="0.25">
      <c r="A939">
        <v>1389</v>
      </c>
      <c r="B939">
        <v>934</v>
      </c>
      <c r="C939">
        <v>41</v>
      </c>
      <c r="D939" t="s">
        <v>1854</v>
      </c>
      <c r="E939" t="str">
        <f>IF(NOT(ISERROR(VLOOKUP(D939,'ESO DungeonFinder'!$A$2:$A$999,1,FALSE))),"X","")</f>
        <v>X</v>
      </c>
      <c r="F939" s="70" t="str">
        <f t="shared" si="56"/>
        <v/>
      </c>
      <c r="G939" s="70" t="str">
        <f t="shared" si="59"/>
        <v>Stonefalls</v>
      </c>
      <c r="H939" s="70">
        <f t="shared" si="57"/>
        <v>1389</v>
      </c>
      <c r="I939" s="70">
        <f t="shared" si="58"/>
        <v>41</v>
      </c>
      <c r="J939">
        <v>29</v>
      </c>
      <c r="K939" s="3" t="str">
        <f ca="1">VLOOKUP(J939,ConstDLCIds!$A$4:$B$1000,2,FALSE)</f>
        <v>DLC_SCRIBES_OF_FATE</v>
      </c>
      <c r="L939" s="3" t="str">
        <f ca="1">VLOOKUP(J939,ConstDLCIds!$A$4:$C$1000,3,FALSE)</f>
        <v>Scribes of Fate</v>
      </c>
    </row>
    <row r="940" spans="1:12" x14ac:dyDescent="0.25">
      <c r="A940">
        <v>1390</v>
      </c>
      <c r="B940">
        <v>935</v>
      </c>
      <c r="C940">
        <v>103</v>
      </c>
      <c r="D940" t="s">
        <v>1864</v>
      </c>
      <c r="E940" t="str">
        <f>IF(NOT(ISERROR(VLOOKUP(D940,'ESO DungeonFinder'!$A$2:$A$999,1,FALSE))),"X","")</f>
        <v>X</v>
      </c>
      <c r="F940" s="70" t="str">
        <f t="shared" si="56"/>
        <v/>
      </c>
      <c r="G940" s="70" t="str">
        <f t="shared" si="59"/>
        <v>The Rift</v>
      </c>
      <c r="H940" s="70">
        <f t="shared" si="57"/>
        <v>1390</v>
      </c>
      <c r="I940" s="70">
        <f t="shared" si="58"/>
        <v>103</v>
      </c>
      <c r="J940">
        <v>29</v>
      </c>
      <c r="K940" s="3" t="str">
        <f ca="1">VLOOKUP(J940,ConstDLCIds!$A$4:$B$1000,2,FALSE)</f>
        <v>DLC_SCRIBES_OF_FATE</v>
      </c>
      <c r="L940" s="3" t="str">
        <f ca="1">VLOOKUP(J940,ConstDLCIds!$A$4:$C$1000,3,FALSE)</f>
        <v>Scribes of Fate</v>
      </c>
    </row>
    <row r="941" spans="1:12" x14ac:dyDescent="0.25">
      <c r="A941">
        <v>1391</v>
      </c>
      <c r="B941">
        <v>936</v>
      </c>
      <c r="C941">
        <v>537</v>
      </c>
      <c r="D941" t="s">
        <v>2969</v>
      </c>
      <c r="E941" t="str">
        <f>IF(NOT(ISERROR(VLOOKUP(D941,'ESO DungeonFinder'!$A$2:$A$999,1,FALSE))),"X","")</f>
        <v/>
      </c>
      <c r="F941" s="70" t="str">
        <f t="shared" si="56"/>
        <v/>
      </c>
      <c r="G941" s="70" t="str">
        <f t="shared" si="59"/>
        <v>Khenarthi's Roost</v>
      </c>
      <c r="H941" s="70">
        <f t="shared" si="57"/>
        <v>1391</v>
      </c>
      <c r="I941" s="70">
        <f t="shared" si="58"/>
        <v>537</v>
      </c>
      <c r="J941">
        <v>0</v>
      </c>
      <c r="K941" s="3" t="str">
        <f>VLOOKUP(J941,ConstDLCIds!$A$4:$B$1000,2,FALSE)</f>
        <v>DLC_BASE_GAME</v>
      </c>
      <c r="L941" s="3" t="str">
        <f>VLOOKUP(J941,ConstDLCIds!$A$4:$C$1000,3,FALSE)</f>
        <v>Included in base game</v>
      </c>
    </row>
    <row r="942" spans="1:12" x14ac:dyDescent="0.25">
      <c r="A942">
        <v>1392</v>
      </c>
      <c r="B942">
        <v>937</v>
      </c>
      <c r="C942">
        <v>537</v>
      </c>
      <c r="D942" t="s">
        <v>2970</v>
      </c>
      <c r="E942" t="str">
        <f>IF(NOT(ISERROR(VLOOKUP(D942,'ESO DungeonFinder'!$A$2:$A$999,1,FALSE))),"X","")</f>
        <v/>
      </c>
      <c r="F942" s="70" t="str">
        <f t="shared" si="56"/>
        <v/>
      </c>
      <c r="G942" s="70" t="str">
        <f t="shared" si="59"/>
        <v>Khenarthi's Roost</v>
      </c>
      <c r="H942" s="70">
        <f t="shared" si="57"/>
        <v>1392</v>
      </c>
      <c r="I942" s="70">
        <f t="shared" si="58"/>
        <v>537</v>
      </c>
      <c r="J942">
        <v>0</v>
      </c>
      <c r="K942" s="3" t="str">
        <f>VLOOKUP(J942,ConstDLCIds!$A$4:$B$1000,2,FALSE)</f>
        <v>DLC_BASE_GAME</v>
      </c>
      <c r="L942" s="3" t="str">
        <f>VLOOKUP(J942,ConstDLCIds!$A$4:$C$1000,3,FALSE)</f>
        <v>Included in base game</v>
      </c>
    </row>
    <row r="943" spans="1:12" x14ac:dyDescent="0.25">
      <c r="A943">
        <v>1393</v>
      </c>
      <c r="B943">
        <v>938</v>
      </c>
      <c r="C943">
        <v>1414</v>
      </c>
      <c r="D943" t="s">
        <v>2971</v>
      </c>
      <c r="E943" t="str">
        <f>IF(NOT(ISERROR(VLOOKUP(D943,'ESO DungeonFinder'!$A$2:$A$999,1,FALSE))),"X","")</f>
        <v/>
      </c>
      <c r="F943" s="70" t="str">
        <f t="shared" si="56"/>
        <v/>
      </c>
      <c r="G943" s="70" t="str">
        <f t="shared" si="59"/>
        <v>Telvanni Peninsula</v>
      </c>
      <c r="H943" s="70">
        <f t="shared" si="57"/>
        <v>1393</v>
      </c>
      <c r="I943" s="70">
        <f t="shared" si="58"/>
        <v>1414</v>
      </c>
      <c r="J943">
        <v>30</v>
      </c>
      <c r="K943" s="3" t="str">
        <f ca="1">VLOOKUP(J943,ConstDLCIds!$A$4:$B$1000,2,FALSE)</f>
        <v>DLC_NECROM</v>
      </c>
      <c r="L943" s="3" t="str">
        <f ca="1">VLOOKUP(J943,ConstDLCIds!$A$4:$C$1000,3,FALSE)</f>
        <v>Necrom</v>
      </c>
    </row>
    <row r="944" spans="1:12" x14ac:dyDescent="0.25">
      <c r="A944">
        <v>1394</v>
      </c>
      <c r="B944">
        <v>939</v>
      </c>
      <c r="C944">
        <v>1414</v>
      </c>
      <c r="D944" t="s">
        <v>2972</v>
      </c>
      <c r="E944" t="str">
        <f>IF(NOT(ISERROR(VLOOKUP(D944,'ESO DungeonFinder'!$A$2:$A$999,1,FALSE))),"X","")</f>
        <v/>
      </c>
      <c r="F944" s="70" t="str">
        <f t="shared" si="56"/>
        <v/>
      </c>
      <c r="G944" s="70" t="str">
        <f t="shared" si="59"/>
        <v>Telvanni Peninsula</v>
      </c>
      <c r="H944" s="70">
        <f t="shared" si="57"/>
        <v>1394</v>
      </c>
      <c r="I944" s="70">
        <f t="shared" si="58"/>
        <v>1414</v>
      </c>
      <c r="J944">
        <v>30</v>
      </c>
      <c r="K944" s="3" t="str">
        <f ca="1">VLOOKUP(J944,ConstDLCIds!$A$4:$B$1000,2,FALSE)</f>
        <v>DLC_NECROM</v>
      </c>
      <c r="L944" s="3" t="str">
        <f ca="1">VLOOKUP(J944,ConstDLCIds!$A$4:$C$1000,3,FALSE)</f>
        <v>Necrom</v>
      </c>
    </row>
    <row r="945" spans="1:12" x14ac:dyDescent="0.25">
      <c r="A945">
        <v>1395</v>
      </c>
      <c r="B945">
        <v>940</v>
      </c>
      <c r="C945">
        <v>1414</v>
      </c>
      <c r="D945" t="s">
        <v>2972</v>
      </c>
      <c r="E945" t="str">
        <f>IF(NOT(ISERROR(VLOOKUP(D945,'ESO DungeonFinder'!$A$2:$A$999,1,FALSE))),"X","")</f>
        <v/>
      </c>
      <c r="F945" s="70" t="str">
        <f t="shared" si="56"/>
        <v/>
      </c>
      <c r="G945" s="70" t="str">
        <f t="shared" si="59"/>
        <v>Telvanni Peninsula</v>
      </c>
      <c r="H945" s="70">
        <f t="shared" si="57"/>
        <v>1395</v>
      </c>
      <c r="I945" s="70">
        <f t="shared" si="58"/>
        <v>1414</v>
      </c>
      <c r="J945">
        <v>30</v>
      </c>
      <c r="K945" s="3" t="str">
        <f ca="1">VLOOKUP(J945,ConstDLCIds!$A$4:$B$1000,2,FALSE)</f>
        <v>DLC_NECROM</v>
      </c>
      <c r="L945" s="3" t="str">
        <f ca="1">VLOOKUP(J945,ConstDLCIds!$A$4:$C$1000,3,FALSE)</f>
        <v>Necrom</v>
      </c>
    </row>
    <row r="946" spans="1:12" x14ac:dyDescent="0.25">
      <c r="A946">
        <v>1396</v>
      </c>
      <c r="B946">
        <v>941</v>
      </c>
      <c r="C946">
        <v>1414</v>
      </c>
      <c r="D946" t="s">
        <v>2973</v>
      </c>
      <c r="E946" t="str">
        <f>IF(NOT(ISERROR(VLOOKUP(D946,'ESO DungeonFinder'!$A$2:$A$999,1,FALSE))),"X","")</f>
        <v/>
      </c>
      <c r="F946" s="70" t="str">
        <f t="shared" si="56"/>
        <v/>
      </c>
      <c r="G946" s="70" t="str">
        <f t="shared" si="59"/>
        <v>Telvanni Peninsula</v>
      </c>
      <c r="H946" s="70">
        <f t="shared" si="57"/>
        <v>1396</v>
      </c>
      <c r="I946" s="70">
        <f t="shared" si="58"/>
        <v>1414</v>
      </c>
      <c r="J946">
        <v>30</v>
      </c>
      <c r="K946" s="3" t="str">
        <f ca="1">VLOOKUP(J946,ConstDLCIds!$A$4:$B$1000,2,FALSE)</f>
        <v>DLC_NECROM</v>
      </c>
      <c r="L946" s="3" t="str">
        <f ca="1">VLOOKUP(J946,ConstDLCIds!$A$4:$C$1000,3,FALSE)</f>
        <v>Necrom</v>
      </c>
    </row>
    <row r="947" spans="1:12" x14ac:dyDescent="0.25">
      <c r="A947">
        <v>1397</v>
      </c>
      <c r="B947">
        <v>942</v>
      </c>
      <c r="C947">
        <v>1414</v>
      </c>
      <c r="D947" t="s">
        <v>2974</v>
      </c>
      <c r="E947" t="str">
        <f>IF(NOT(ISERROR(VLOOKUP(D947,'ESO DungeonFinder'!$A$2:$A$999,1,FALSE))),"X","")</f>
        <v/>
      </c>
      <c r="F947" s="70" t="str">
        <f t="shared" si="56"/>
        <v/>
      </c>
      <c r="G947" s="70" t="str">
        <f t="shared" si="59"/>
        <v>Telvanni Peninsula</v>
      </c>
      <c r="H947" s="70">
        <f t="shared" si="57"/>
        <v>1397</v>
      </c>
      <c r="I947" s="70">
        <f t="shared" si="58"/>
        <v>1414</v>
      </c>
      <c r="J947">
        <v>30</v>
      </c>
      <c r="K947" s="3" t="str">
        <f ca="1">VLOOKUP(J947,ConstDLCIds!$A$4:$B$1000,2,FALSE)</f>
        <v>DLC_NECROM</v>
      </c>
      <c r="L947" s="3" t="str">
        <f ca="1">VLOOKUP(J947,ConstDLCIds!$A$4:$C$1000,3,FALSE)</f>
        <v>Necrom</v>
      </c>
    </row>
    <row r="948" spans="1:12" x14ac:dyDescent="0.25">
      <c r="A948">
        <v>1398</v>
      </c>
      <c r="B948">
        <v>943</v>
      </c>
      <c r="C948">
        <v>1414</v>
      </c>
      <c r="D948" t="s">
        <v>2975</v>
      </c>
      <c r="E948" t="str">
        <f>IF(NOT(ISERROR(VLOOKUP(D948,'ESO DungeonFinder'!$A$2:$A$999,1,FALSE))),"X","")</f>
        <v/>
      </c>
      <c r="F948" s="70" t="str">
        <f t="shared" si="56"/>
        <v/>
      </c>
      <c r="G948" s="70" t="str">
        <f t="shared" si="59"/>
        <v>Telvanni Peninsula</v>
      </c>
      <c r="H948" s="70">
        <f t="shared" si="57"/>
        <v>1398</v>
      </c>
      <c r="I948" s="70">
        <f t="shared" si="58"/>
        <v>1414</v>
      </c>
      <c r="J948">
        <v>30</v>
      </c>
      <c r="K948" s="3" t="str">
        <f ca="1">VLOOKUP(J948,ConstDLCIds!$A$4:$B$1000,2,FALSE)</f>
        <v>DLC_NECROM</v>
      </c>
      <c r="L948" s="3" t="str">
        <f ca="1">VLOOKUP(J948,ConstDLCIds!$A$4:$C$1000,3,FALSE)</f>
        <v>Necrom</v>
      </c>
    </row>
    <row r="949" spans="1:12" x14ac:dyDescent="0.25">
      <c r="A949">
        <v>1399</v>
      </c>
      <c r="B949">
        <v>944</v>
      </c>
      <c r="C949">
        <v>1414</v>
      </c>
      <c r="D949" t="s">
        <v>2976</v>
      </c>
      <c r="E949" t="str">
        <f>IF(NOT(ISERROR(VLOOKUP(D949,'ESO DungeonFinder'!$A$2:$A$999,1,FALSE))),"X","")</f>
        <v/>
      </c>
      <c r="F949" s="70" t="str">
        <f t="shared" si="56"/>
        <v/>
      </c>
      <c r="G949" s="70" t="str">
        <f t="shared" si="59"/>
        <v>Telvanni Peninsula</v>
      </c>
      <c r="H949" s="70">
        <f t="shared" si="57"/>
        <v>1399</v>
      </c>
      <c r="I949" s="70">
        <f t="shared" si="58"/>
        <v>1414</v>
      </c>
      <c r="J949">
        <v>30</v>
      </c>
      <c r="K949" s="3" t="str">
        <f ca="1">VLOOKUP(J949,ConstDLCIds!$A$4:$B$1000,2,FALSE)</f>
        <v>DLC_NECROM</v>
      </c>
      <c r="L949" s="3" t="str">
        <f ca="1">VLOOKUP(J949,ConstDLCIds!$A$4:$C$1000,3,FALSE)</f>
        <v>Necrom</v>
      </c>
    </row>
    <row r="950" spans="1:12" x14ac:dyDescent="0.25">
      <c r="A950">
        <v>1400</v>
      </c>
      <c r="B950">
        <v>945</v>
      </c>
      <c r="C950">
        <v>1414</v>
      </c>
      <c r="D950" t="s">
        <v>2977</v>
      </c>
      <c r="E950" t="str">
        <f>IF(NOT(ISERROR(VLOOKUP(D950,'ESO DungeonFinder'!$A$2:$A$999,1,FALSE))),"X","")</f>
        <v/>
      </c>
      <c r="F950" s="70" t="str">
        <f t="shared" si="56"/>
        <v/>
      </c>
      <c r="G950" s="70" t="str">
        <f t="shared" si="59"/>
        <v>Telvanni Peninsula</v>
      </c>
      <c r="H950" s="70">
        <f t="shared" si="57"/>
        <v>1400</v>
      </c>
      <c r="I950" s="70">
        <f t="shared" si="58"/>
        <v>1414</v>
      </c>
      <c r="J950">
        <v>30</v>
      </c>
      <c r="K950" s="3" t="str">
        <f ca="1">VLOOKUP(J950,ConstDLCIds!$A$4:$B$1000,2,FALSE)</f>
        <v>DLC_NECROM</v>
      </c>
      <c r="L950" s="3" t="str">
        <f ca="1">VLOOKUP(J950,ConstDLCIds!$A$4:$C$1000,3,FALSE)</f>
        <v>Necrom</v>
      </c>
    </row>
    <row r="951" spans="1:12" x14ac:dyDescent="0.25">
      <c r="A951">
        <v>1401</v>
      </c>
      <c r="B951">
        <v>946</v>
      </c>
      <c r="C951">
        <v>1414</v>
      </c>
      <c r="D951" t="s">
        <v>2978</v>
      </c>
      <c r="E951" t="str">
        <f>IF(NOT(ISERROR(VLOOKUP(D951,'ESO DungeonFinder'!$A$2:$A$999,1,FALSE))),"X","")</f>
        <v/>
      </c>
      <c r="F951" s="70" t="str">
        <f t="shared" si="56"/>
        <v/>
      </c>
      <c r="G951" s="70" t="str">
        <f t="shared" si="59"/>
        <v>Telvanni Peninsula</v>
      </c>
      <c r="H951" s="70">
        <f t="shared" si="57"/>
        <v>1401</v>
      </c>
      <c r="I951" s="70">
        <f t="shared" si="58"/>
        <v>1414</v>
      </c>
      <c r="J951">
        <v>30</v>
      </c>
      <c r="K951" s="3" t="str">
        <f ca="1">VLOOKUP(J951,ConstDLCIds!$A$4:$B$1000,2,FALSE)</f>
        <v>DLC_NECROM</v>
      </c>
      <c r="L951" s="3" t="str">
        <f ca="1">VLOOKUP(J951,ConstDLCIds!$A$4:$C$1000,3,FALSE)</f>
        <v>Necrom</v>
      </c>
    </row>
    <row r="952" spans="1:12" x14ac:dyDescent="0.25">
      <c r="A952">
        <v>1402</v>
      </c>
      <c r="B952">
        <v>947</v>
      </c>
      <c r="C952">
        <v>1414</v>
      </c>
      <c r="D952" t="s">
        <v>2979</v>
      </c>
      <c r="E952" t="str">
        <f>IF(NOT(ISERROR(VLOOKUP(D952,'ESO DungeonFinder'!$A$2:$A$999,1,FALSE))),"X","")</f>
        <v/>
      </c>
      <c r="F952" s="70" t="str">
        <f t="shared" si="56"/>
        <v/>
      </c>
      <c r="G952" s="70" t="str">
        <f t="shared" si="59"/>
        <v>Telvanni Peninsula</v>
      </c>
      <c r="H952" s="70">
        <f t="shared" si="57"/>
        <v>1402</v>
      </c>
      <c r="I952" s="70">
        <f t="shared" si="58"/>
        <v>1414</v>
      </c>
      <c r="J952">
        <v>30</v>
      </c>
      <c r="K952" s="3" t="str">
        <f ca="1">VLOOKUP(J952,ConstDLCIds!$A$4:$B$1000,2,FALSE)</f>
        <v>DLC_NECROM</v>
      </c>
      <c r="L952" s="3" t="str">
        <f ca="1">VLOOKUP(J952,ConstDLCIds!$A$4:$C$1000,3,FALSE)</f>
        <v>Necrom</v>
      </c>
    </row>
    <row r="953" spans="1:12" x14ac:dyDescent="0.25">
      <c r="A953">
        <v>1403</v>
      </c>
      <c r="B953">
        <v>948</v>
      </c>
      <c r="C953">
        <v>1414</v>
      </c>
      <c r="D953" t="s">
        <v>2980</v>
      </c>
      <c r="E953" t="str">
        <f>IF(NOT(ISERROR(VLOOKUP(D953,'ESO DungeonFinder'!$A$2:$A$999,1,FALSE))),"X","")</f>
        <v/>
      </c>
      <c r="F953" s="70" t="str">
        <f t="shared" si="56"/>
        <v/>
      </c>
      <c r="G953" s="70" t="str">
        <f t="shared" si="59"/>
        <v>Telvanni Peninsula</v>
      </c>
      <c r="H953" s="70">
        <f t="shared" si="57"/>
        <v>1403</v>
      </c>
      <c r="I953" s="70">
        <f t="shared" si="58"/>
        <v>1414</v>
      </c>
      <c r="J953">
        <v>30</v>
      </c>
      <c r="K953" s="3" t="str">
        <f ca="1">VLOOKUP(J953,ConstDLCIds!$A$4:$B$1000,2,FALSE)</f>
        <v>DLC_NECROM</v>
      </c>
      <c r="L953" s="3" t="str">
        <f ca="1">VLOOKUP(J953,ConstDLCIds!$A$4:$C$1000,3,FALSE)</f>
        <v>Necrom</v>
      </c>
    </row>
    <row r="954" spans="1:12" x14ac:dyDescent="0.25">
      <c r="A954">
        <v>1404</v>
      </c>
      <c r="B954">
        <v>949</v>
      </c>
      <c r="C954">
        <v>1414</v>
      </c>
      <c r="D954" t="s">
        <v>2981</v>
      </c>
      <c r="E954" t="str">
        <f>IF(NOT(ISERROR(VLOOKUP(D954,'ESO DungeonFinder'!$A$2:$A$999,1,FALSE))),"X","")</f>
        <v/>
      </c>
      <c r="F954" s="70" t="str">
        <f t="shared" si="56"/>
        <v/>
      </c>
      <c r="G954" s="70" t="str">
        <f t="shared" si="59"/>
        <v>Telvanni Peninsula</v>
      </c>
      <c r="H954" s="70">
        <f t="shared" si="57"/>
        <v>1404</v>
      </c>
      <c r="I954" s="70">
        <f t="shared" si="58"/>
        <v>1414</v>
      </c>
      <c r="J954">
        <v>30</v>
      </c>
      <c r="K954" s="3" t="str">
        <f ca="1">VLOOKUP(J954,ConstDLCIds!$A$4:$B$1000,2,FALSE)</f>
        <v>DLC_NECROM</v>
      </c>
      <c r="L954" s="3" t="str">
        <f ca="1">VLOOKUP(J954,ConstDLCIds!$A$4:$C$1000,3,FALSE)</f>
        <v>Necrom</v>
      </c>
    </row>
    <row r="955" spans="1:12" x14ac:dyDescent="0.25">
      <c r="A955">
        <v>1405</v>
      </c>
      <c r="B955">
        <v>950</v>
      </c>
      <c r="C955">
        <v>1414</v>
      </c>
      <c r="D955" t="s">
        <v>2982</v>
      </c>
      <c r="E955" t="str">
        <f>IF(NOT(ISERROR(VLOOKUP(D955,'ESO DungeonFinder'!$A$2:$A$999,1,FALSE))),"X","")</f>
        <v/>
      </c>
      <c r="F955" s="70" t="str">
        <f t="shared" si="56"/>
        <v/>
      </c>
      <c r="G955" s="70" t="str">
        <f t="shared" si="59"/>
        <v>Telvanni Peninsula</v>
      </c>
      <c r="H955" s="70">
        <f t="shared" si="57"/>
        <v>1405</v>
      </c>
      <c r="I955" s="70">
        <f t="shared" si="58"/>
        <v>1414</v>
      </c>
      <c r="J955">
        <v>30</v>
      </c>
      <c r="K955" s="3" t="str">
        <f ca="1">VLOOKUP(J955,ConstDLCIds!$A$4:$B$1000,2,FALSE)</f>
        <v>DLC_NECROM</v>
      </c>
      <c r="L955" s="3" t="str">
        <f ca="1">VLOOKUP(J955,ConstDLCIds!$A$4:$C$1000,3,FALSE)</f>
        <v>Necrom</v>
      </c>
    </row>
    <row r="956" spans="1:12" x14ac:dyDescent="0.25">
      <c r="A956">
        <v>1406</v>
      </c>
      <c r="B956">
        <v>951</v>
      </c>
      <c r="C956">
        <v>1414</v>
      </c>
      <c r="D956" t="s">
        <v>2983</v>
      </c>
      <c r="E956" t="str">
        <f>IF(NOT(ISERROR(VLOOKUP(D956,'ESO DungeonFinder'!$A$2:$A$999,1,FALSE))),"X","")</f>
        <v/>
      </c>
      <c r="F956" s="70" t="str">
        <f t="shared" si="56"/>
        <v/>
      </c>
      <c r="G956" s="70" t="str">
        <f t="shared" si="59"/>
        <v>Telvanni Peninsula</v>
      </c>
      <c r="H956" s="70">
        <f t="shared" si="57"/>
        <v>1406</v>
      </c>
      <c r="I956" s="70">
        <f t="shared" si="58"/>
        <v>1414</v>
      </c>
      <c r="J956">
        <v>30</v>
      </c>
      <c r="K956" s="3" t="str">
        <f ca="1">VLOOKUP(J956,ConstDLCIds!$A$4:$B$1000,2,FALSE)</f>
        <v>DLC_NECROM</v>
      </c>
      <c r="L956" s="3" t="str">
        <f ca="1">VLOOKUP(J956,ConstDLCIds!$A$4:$C$1000,3,FALSE)</f>
        <v>Necrom</v>
      </c>
    </row>
    <row r="957" spans="1:12" x14ac:dyDescent="0.25">
      <c r="A957">
        <v>1407</v>
      </c>
      <c r="B957">
        <v>952</v>
      </c>
      <c r="C957">
        <v>1414</v>
      </c>
      <c r="D957" t="s">
        <v>2984</v>
      </c>
      <c r="E957" t="str">
        <f>IF(NOT(ISERROR(VLOOKUP(D957,'ESO DungeonFinder'!$A$2:$A$999,1,FALSE))),"X","")</f>
        <v/>
      </c>
      <c r="F957" s="70" t="str">
        <f t="shared" si="56"/>
        <v/>
      </c>
      <c r="G957" s="70" t="str">
        <f t="shared" si="59"/>
        <v>Telvanni Peninsula</v>
      </c>
      <c r="H957" s="70">
        <f t="shared" si="57"/>
        <v>1407</v>
      </c>
      <c r="I957" s="70">
        <f t="shared" si="58"/>
        <v>1414</v>
      </c>
      <c r="J957">
        <v>30</v>
      </c>
      <c r="K957" s="3" t="str">
        <f ca="1">VLOOKUP(J957,ConstDLCIds!$A$4:$B$1000,2,FALSE)</f>
        <v>DLC_NECROM</v>
      </c>
      <c r="L957" s="3" t="str">
        <f ca="1">VLOOKUP(J957,ConstDLCIds!$A$4:$C$1000,3,FALSE)</f>
        <v>Necrom</v>
      </c>
    </row>
    <row r="958" spans="1:12" x14ac:dyDescent="0.25">
      <c r="A958">
        <v>1408</v>
      </c>
      <c r="B958">
        <v>953</v>
      </c>
      <c r="C958">
        <v>1414</v>
      </c>
      <c r="D958" t="s">
        <v>2985</v>
      </c>
      <c r="E958" t="str">
        <f>IF(NOT(ISERROR(VLOOKUP(D958,'ESO DungeonFinder'!$A$2:$A$999,1,FALSE))),"X","")</f>
        <v/>
      </c>
      <c r="F958" s="70" t="str">
        <f t="shared" si="56"/>
        <v/>
      </c>
      <c r="G958" s="70" t="str">
        <f t="shared" si="59"/>
        <v>Telvanni Peninsula</v>
      </c>
      <c r="H958" s="70">
        <f t="shared" si="57"/>
        <v>1408</v>
      </c>
      <c r="I958" s="70">
        <f t="shared" si="58"/>
        <v>1414</v>
      </c>
      <c r="J958">
        <v>30</v>
      </c>
      <c r="K958" s="3" t="str">
        <f ca="1">VLOOKUP(J958,ConstDLCIds!$A$4:$B$1000,2,FALSE)</f>
        <v>DLC_NECROM</v>
      </c>
      <c r="L958" s="3" t="str">
        <f ca="1">VLOOKUP(J958,ConstDLCIds!$A$4:$C$1000,3,FALSE)</f>
        <v>Necrom</v>
      </c>
    </row>
    <row r="959" spans="1:12" x14ac:dyDescent="0.25">
      <c r="A959">
        <v>1409</v>
      </c>
      <c r="B959">
        <v>954</v>
      </c>
      <c r="C959">
        <v>1414</v>
      </c>
      <c r="D959" t="s">
        <v>2986</v>
      </c>
      <c r="E959" t="str">
        <f>IF(NOT(ISERROR(VLOOKUP(D959,'ESO DungeonFinder'!$A$2:$A$999,1,FALSE))),"X","")</f>
        <v/>
      </c>
      <c r="F959" s="70" t="str">
        <f t="shared" si="56"/>
        <v/>
      </c>
      <c r="G959" s="70" t="str">
        <f t="shared" si="59"/>
        <v>Telvanni Peninsula</v>
      </c>
      <c r="H959" s="70">
        <f t="shared" si="57"/>
        <v>1409</v>
      </c>
      <c r="I959" s="70">
        <f t="shared" si="58"/>
        <v>1414</v>
      </c>
      <c r="J959">
        <v>30</v>
      </c>
      <c r="K959" s="3" t="str">
        <f ca="1">VLOOKUP(J959,ConstDLCIds!$A$4:$B$1000,2,FALSE)</f>
        <v>DLC_NECROM</v>
      </c>
      <c r="L959" s="3" t="str">
        <f ca="1">VLOOKUP(J959,ConstDLCIds!$A$4:$C$1000,3,FALSE)</f>
        <v>Necrom</v>
      </c>
    </row>
    <row r="960" spans="1:12" x14ac:dyDescent="0.25">
      <c r="A960">
        <v>1410</v>
      </c>
      <c r="B960">
        <v>955</v>
      </c>
      <c r="C960">
        <v>1414</v>
      </c>
      <c r="D960" t="s">
        <v>2987</v>
      </c>
      <c r="E960" t="str">
        <f>IF(NOT(ISERROR(VLOOKUP(D960,'ESO DungeonFinder'!$A$2:$A$999,1,FALSE))),"X","")</f>
        <v/>
      </c>
      <c r="F960" s="70" t="str">
        <f t="shared" si="56"/>
        <v/>
      </c>
      <c r="G960" s="70" t="str">
        <f t="shared" si="59"/>
        <v>Telvanni Peninsula</v>
      </c>
      <c r="H960" s="70">
        <f t="shared" si="57"/>
        <v>1410</v>
      </c>
      <c r="I960" s="70">
        <f t="shared" si="58"/>
        <v>1414</v>
      </c>
      <c r="J960">
        <v>30</v>
      </c>
      <c r="K960" s="3" t="str">
        <f ca="1">VLOOKUP(J960,ConstDLCIds!$A$4:$B$1000,2,FALSE)</f>
        <v>DLC_NECROM</v>
      </c>
      <c r="L960" s="3" t="str">
        <f ca="1">VLOOKUP(J960,ConstDLCIds!$A$4:$C$1000,3,FALSE)</f>
        <v>Necrom</v>
      </c>
    </row>
    <row r="961" spans="1:12" x14ac:dyDescent="0.25">
      <c r="A961">
        <v>1411</v>
      </c>
      <c r="B961">
        <v>956</v>
      </c>
      <c r="C961">
        <v>1414</v>
      </c>
      <c r="D961" t="s">
        <v>2988</v>
      </c>
      <c r="E961" t="str">
        <f>IF(NOT(ISERROR(VLOOKUP(D961,'ESO DungeonFinder'!$A$2:$A$999,1,FALSE))),"X","")</f>
        <v/>
      </c>
      <c r="F961" s="70" t="str">
        <f t="shared" si="56"/>
        <v/>
      </c>
      <c r="G961" s="70" t="str">
        <f t="shared" si="59"/>
        <v>Telvanni Peninsula</v>
      </c>
      <c r="H961" s="70">
        <f t="shared" si="57"/>
        <v>1411</v>
      </c>
      <c r="I961" s="70">
        <f t="shared" si="58"/>
        <v>1414</v>
      </c>
      <c r="J961">
        <v>30</v>
      </c>
      <c r="K961" s="3" t="str">
        <f ca="1">VLOOKUP(J961,ConstDLCIds!$A$4:$B$1000,2,FALSE)</f>
        <v>DLC_NECROM</v>
      </c>
      <c r="L961" s="3" t="str">
        <f ca="1">VLOOKUP(J961,ConstDLCIds!$A$4:$C$1000,3,FALSE)</f>
        <v>Necrom</v>
      </c>
    </row>
    <row r="962" spans="1:12" x14ac:dyDescent="0.25">
      <c r="A962">
        <v>1412</v>
      </c>
      <c r="B962">
        <v>957</v>
      </c>
      <c r="C962">
        <v>1414</v>
      </c>
      <c r="D962" t="s">
        <v>2989</v>
      </c>
      <c r="E962" t="str">
        <f>IF(NOT(ISERROR(VLOOKUP(D962,'ESO DungeonFinder'!$A$2:$A$999,1,FALSE))),"X","")</f>
        <v/>
      </c>
      <c r="F962" s="70" t="str">
        <f t="shared" si="56"/>
        <v/>
      </c>
      <c r="G962" s="70" t="str">
        <f t="shared" si="59"/>
        <v>Telvanni Peninsula</v>
      </c>
      <c r="H962" s="70">
        <f t="shared" si="57"/>
        <v>1412</v>
      </c>
      <c r="I962" s="70">
        <f t="shared" si="58"/>
        <v>1414</v>
      </c>
      <c r="J962">
        <v>30</v>
      </c>
      <c r="K962" s="3" t="str">
        <f ca="1">VLOOKUP(J962,ConstDLCIds!$A$4:$B$1000,2,FALSE)</f>
        <v>DLC_NECROM</v>
      </c>
      <c r="L962" s="3" t="str">
        <f ca="1">VLOOKUP(J962,ConstDLCIds!$A$4:$C$1000,3,FALSE)</f>
        <v>Necrom</v>
      </c>
    </row>
    <row r="963" spans="1:12" x14ac:dyDescent="0.25">
      <c r="A963">
        <v>1413</v>
      </c>
      <c r="B963">
        <v>958</v>
      </c>
      <c r="C963">
        <v>1414</v>
      </c>
      <c r="D963" t="s">
        <v>1897</v>
      </c>
      <c r="E963" t="str">
        <f>IF(NOT(ISERROR(VLOOKUP(D963,'ESO DungeonFinder'!$A$2:$A$999,1,FALSE))),"X","")</f>
        <v/>
      </c>
      <c r="F963" s="70" t="str">
        <f t="shared" si="56"/>
        <v/>
      </c>
      <c r="G963" s="70" t="str">
        <f t="shared" si="59"/>
        <v>Telvanni Peninsula</v>
      </c>
      <c r="H963" s="70">
        <f t="shared" si="57"/>
        <v>1413</v>
      </c>
      <c r="I963" s="70">
        <f t="shared" si="58"/>
        <v>1414</v>
      </c>
      <c r="J963">
        <v>30</v>
      </c>
      <c r="K963" s="3" t="str">
        <f ca="1">VLOOKUP(J963,ConstDLCIds!$A$4:$B$1000,2,FALSE)</f>
        <v>DLC_NECROM</v>
      </c>
      <c r="L963" s="3" t="str">
        <f ca="1">VLOOKUP(J963,ConstDLCIds!$A$4:$C$1000,3,FALSE)</f>
        <v>Necrom</v>
      </c>
    </row>
    <row r="964" spans="1:12" x14ac:dyDescent="0.25">
      <c r="A964">
        <v>1414</v>
      </c>
      <c r="B964">
        <v>959</v>
      </c>
      <c r="C964">
        <v>1414</v>
      </c>
      <c r="D964" t="s">
        <v>1881</v>
      </c>
      <c r="E964" t="str">
        <f>IF(NOT(ISERROR(VLOOKUP(D964,'ESO DungeonFinder'!$A$2:$A$999,1,FALSE))),"X","")</f>
        <v/>
      </c>
      <c r="F964" s="70" t="str">
        <f t="shared" si="56"/>
        <v>X</v>
      </c>
      <c r="G964" s="70" t="str">
        <f t="shared" si="59"/>
        <v/>
      </c>
      <c r="H964" s="70">
        <f t="shared" si="57"/>
        <v>1414</v>
      </c>
      <c r="I964" s="70">
        <f t="shared" si="58"/>
        <v>1414</v>
      </c>
      <c r="J964">
        <v>30</v>
      </c>
      <c r="K964" s="3" t="str">
        <f ca="1">VLOOKUP(J964,ConstDLCIds!$A$4:$B$1000,2,FALSE)</f>
        <v>DLC_NECROM</v>
      </c>
      <c r="L964" s="3" t="str">
        <f ca="1">VLOOKUP(J964,ConstDLCIds!$A$4:$C$1000,3,FALSE)</f>
        <v>Necrom</v>
      </c>
    </row>
    <row r="965" spans="1:12" x14ac:dyDescent="0.25">
      <c r="A965">
        <v>1415</v>
      </c>
      <c r="B965">
        <v>960</v>
      </c>
      <c r="C965">
        <v>1414</v>
      </c>
      <c r="D965" t="s">
        <v>2195</v>
      </c>
      <c r="E965" t="str">
        <f>IF(NOT(ISERROR(VLOOKUP(D965,'ESO DungeonFinder'!$A$2:$A$999,1,FALSE))),"X","")</f>
        <v/>
      </c>
      <c r="F965" s="70" t="str">
        <f t="shared" ref="F965:F1028" si="60">IF(EXACT(A965,C965),"X","")</f>
        <v/>
      </c>
      <c r="G965" s="70" t="str">
        <f t="shared" si="59"/>
        <v>Telvanni Peninsula</v>
      </c>
      <c r="H965" s="70">
        <f t="shared" ref="H965:H1028" si="61">A965</f>
        <v>1415</v>
      </c>
      <c r="I965" s="70">
        <f t="shared" ref="I965:I1028" si="62">C965</f>
        <v>1414</v>
      </c>
      <c r="J965">
        <v>30</v>
      </c>
      <c r="K965" s="3" t="str">
        <f ca="1">VLOOKUP(J965,ConstDLCIds!$A$4:$B$1000,2,FALSE)</f>
        <v>DLC_NECROM</v>
      </c>
      <c r="L965" s="3" t="str">
        <f ca="1">VLOOKUP(J965,ConstDLCIds!$A$4:$C$1000,3,FALSE)</f>
        <v>Necrom</v>
      </c>
    </row>
    <row r="966" spans="1:12" x14ac:dyDescent="0.25">
      <c r="A966">
        <v>1416</v>
      </c>
      <c r="B966">
        <v>961</v>
      </c>
      <c r="C966">
        <v>1414</v>
      </c>
      <c r="D966" t="s">
        <v>1901</v>
      </c>
      <c r="E966" t="str">
        <f>IF(NOT(ISERROR(VLOOKUP(D966,'ESO DungeonFinder'!$A$2:$A$999,1,FALSE))),"X","")</f>
        <v/>
      </c>
      <c r="F966" s="70" t="str">
        <f t="shared" si="60"/>
        <v/>
      </c>
      <c r="G966" s="70" t="str">
        <f t="shared" ref="G966:G1029" si="63">IF(A966&lt;&gt;C966,VLOOKUP(C966,$A$5:$D$9956,4,FALSE),"")</f>
        <v>Telvanni Peninsula</v>
      </c>
      <c r="H966" s="70">
        <f t="shared" si="61"/>
        <v>1416</v>
      </c>
      <c r="I966" s="70">
        <f t="shared" si="62"/>
        <v>1414</v>
      </c>
      <c r="J966">
        <v>30</v>
      </c>
      <c r="K966" s="3" t="str">
        <f ca="1">VLOOKUP(J966,ConstDLCIds!$A$4:$B$1000,2,FALSE)</f>
        <v>DLC_NECROM</v>
      </c>
      <c r="L966" s="3" t="str">
        <f ca="1">VLOOKUP(J966,ConstDLCIds!$A$4:$C$1000,3,FALSE)</f>
        <v>Necrom</v>
      </c>
    </row>
    <row r="967" spans="1:12" x14ac:dyDescent="0.25">
      <c r="A967">
        <v>1417</v>
      </c>
      <c r="B967">
        <v>962</v>
      </c>
      <c r="C967">
        <v>1414</v>
      </c>
      <c r="D967" t="s">
        <v>2990</v>
      </c>
      <c r="E967" t="str">
        <f>IF(NOT(ISERROR(VLOOKUP(D967,'ESO DungeonFinder'!$A$2:$A$999,1,FALSE))),"X","")</f>
        <v/>
      </c>
      <c r="F967" s="70" t="str">
        <f t="shared" si="60"/>
        <v/>
      </c>
      <c r="G967" s="70" t="str">
        <f t="shared" si="63"/>
        <v>Telvanni Peninsula</v>
      </c>
      <c r="H967" s="70">
        <f t="shared" si="61"/>
        <v>1417</v>
      </c>
      <c r="I967" s="70">
        <f t="shared" si="62"/>
        <v>1414</v>
      </c>
      <c r="J967">
        <v>30</v>
      </c>
      <c r="K967" s="3" t="str">
        <f ca="1">VLOOKUP(J967,ConstDLCIds!$A$4:$B$1000,2,FALSE)</f>
        <v>DLC_NECROM</v>
      </c>
      <c r="L967" s="3" t="str">
        <f ca="1">VLOOKUP(J967,ConstDLCIds!$A$4:$C$1000,3,FALSE)</f>
        <v>Necrom</v>
      </c>
    </row>
    <row r="968" spans="1:12" x14ac:dyDescent="0.25">
      <c r="A968">
        <v>1420</v>
      </c>
      <c r="B968">
        <v>963</v>
      </c>
      <c r="C968">
        <v>1414</v>
      </c>
      <c r="D968" t="s">
        <v>2991</v>
      </c>
      <c r="E968" t="str">
        <f>IF(NOT(ISERROR(VLOOKUP(D968,'ESO DungeonFinder'!$A$2:$A$999,1,FALSE))),"X","")</f>
        <v/>
      </c>
      <c r="F968" s="70" t="str">
        <f t="shared" si="60"/>
        <v/>
      </c>
      <c r="G968" s="70" t="str">
        <f t="shared" si="63"/>
        <v>Telvanni Peninsula</v>
      </c>
      <c r="H968" s="70">
        <f t="shared" si="61"/>
        <v>1420</v>
      </c>
      <c r="I968" s="70">
        <f t="shared" si="62"/>
        <v>1414</v>
      </c>
      <c r="J968">
        <v>30</v>
      </c>
      <c r="K968" s="3" t="str">
        <f ca="1">VLOOKUP(J968,ConstDLCIds!$A$4:$B$1000,2,FALSE)</f>
        <v>DLC_NECROM</v>
      </c>
      <c r="L968" s="3" t="str">
        <f ca="1">VLOOKUP(J968,ConstDLCIds!$A$4:$C$1000,3,FALSE)</f>
        <v>Necrom</v>
      </c>
    </row>
    <row r="969" spans="1:12" x14ac:dyDescent="0.25">
      <c r="A969">
        <v>1421</v>
      </c>
      <c r="B969">
        <v>964</v>
      </c>
      <c r="C969">
        <v>1414</v>
      </c>
      <c r="D969" t="s">
        <v>2992</v>
      </c>
      <c r="E969" t="str">
        <f>IF(NOT(ISERROR(VLOOKUP(D969,'ESO DungeonFinder'!$A$2:$A$999,1,FALSE))),"X","")</f>
        <v/>
      </c>
      <c r="F969" s="70" t="str">
        <f t="shared" si="60"/>
        <v/>
      </c>
      <c r="G969" s="70" t="str">
        <f t="shared" si="63"/>
        <v>Telvanni Peninsula</v>
      </c>
      <c r="H969" s="70">
        <f t="shared" si="61"/>
        <v>1421</v>
      </c>
      <c r="I969" s="70">
        <f t="shared" si="62"/>
        <v>1414</v>
      </c>
      <c r="J969">
        <v>30</v>
      </c>
      <c r="K969" s="3" t="str">
        <f ca="1">VLOOKUP(J969,ConstDLCIds!$A$4:$B$1000,2,FALSE)</f>
        <v>DLC_NECROM</v>
      </c>
      <c r="L969" s="3" t="str">
        <f ca="1">VLOOKUP(J969,ConstDLCIds!$A$4:$C$1000,3,FALSE)</f>
        <v>Necrom</v>
      </c>
    </row>
    <row r="970" spans="1:12" x14ac:dyDescent="0.25">
      <c r="A970">
        <v>1422</v>
      </c>
      <c r="B970">
        <v>965</v>
      </c>
      <c r="C970">
        <v>1414</v>
      </c>
      <c r="D970" t="s">
        <v>2993</v>
      </c>
      <c r="E970" t="str">
        <f>IF(NOT(ISERROR(VLOOKUP(D970,'ESO DungeonFinder'!$A$2:$A$999,1,FALSE))),"X","")</f>
        <v/>
      </c>
      <c r="F970" s="70" t="str">
        <f t="shared" si="60"/>
        <v/>
      </c>
      <c r="G970" s="70" t="str">
        <f t="shared" si="63"/>
        <v>Telvanni Peninsula</v>
      </c>
      <c r="H970" s="70">
        <f t="shared" si="61"/>
        <v>1422</v>
      </c>
      <c r="I970" s="70">
        <f t="shared" si="62"/>
        <v>1414</v>
      </c>
      <c r="J970">
        <v>30</v>
      </c>
      <c r="K970" s="3" t="str">
        <f ca="1">VLOOKUP(J970,ConstDLCIds!$A$4:$B$1000,2,FALSE)</f>
        <v>DLC_NECROM</v>
      </c>
      <c r="L970" s="3" t="str">
        <f ca="1">VLOOKUP(J970,ConstDLCIds!$A$4:$C$1000,3,FALSE)</f>
        <v>Necrom</v>
      </c>
    </row>
    <row r="971" spans="1:12" x14ac:dyDescent="0.25">
      <c r="A971">
        <v>1423</v>
      </c>
      <c r="B971">
        <v>966</v>
      </c>
      <c r="C971">
        <v>1414</v>
      </c>
      <c r="D971" t="s">
        <v>2994</v>
      </c>
      <c r="E971" t="str">
        <f>IF(NOT(ISERROR(VLOOKUP(D971,'ESO DungeonFinder'!$A$2:$A$999,1,FALSE))),"X","")</f>
        <v/>
      </c>
      <c r="F971" s="70" t="str">
        <f t="shared" si="60"/>
        <v/>
      </c>
      <c r="G971" s="70" t="str">
        <f t="shared" si="63"/>
        <v>Telvanni Peninsula</v>
      </c>
      <c r="H971" s="70">
        <f t="shared" si="61"/>
        <v>1423</v>
      </c>
      <c r="I971" s="70">
        <f t="shared" si="62"/>
        <v>1414</v>
      </c>
      <c r="J971">
        <v>30</v>
      </c>
      <c r="K971" s="3" t="str">
        <f ca="1">VLOOKUP(J971,ConstDLCIds!$A$4:$B$1000,2,FALSE)</f>
        <v>DLC_NECROM</v>
      </c>
      <c r="L971" s="3" t="str">
        <f ca="1">VLOOKUP(J971,ConstDLCIds!$A$4:$C$1000,3,FALSE)</f>
        <v>Necrom</v>
      </c>
    </row>
    <row r="972" spans="1:12" x14ac:dyDescent="0.25">
      <c r="A972">
        <v>1424</v>
      </c>
      <c r="B972">
        <v>967</v>
      </c>
      <c r="C972">
        <v>1414</v>
      </c>
      <c r="D972" t="s">
        <v>2995</v>
      </c>
      <c r="E972" t="str">
        <f>IF(NOT(ISERROR(VLOOKUP(D972,'ESO DungeonFinder'!$A$2:$A$999,1,FALSE))),"X","")</f>
        <v/>
      </c>
      <c r="F972" s="70" t="str">
        <f t="shared" si="60"/>
        <v/>
      </c>
      <c r="G972" s="70" t="str">
        <f t="shared" si="63"/>
        <v>Telvanni Peninsula</v>
      </c>
      <c r="H972" s="70">
        <f t="shared" si="61"/>
        <v>1424</v>
      </c>
      <c r="I972" s="70">
        <f t="shared" si="62"/>
        <v>1414</v>
      </c>
      <c r="J972">
        <v>30</v>
      </c>
      <c r="K972" s="3" t="str">
        <f ca="1">VLOOKUP(J972,ConstDLCIds!$A$4:$B$1000,2,FALSE)</f>
        <v>DLC_NECROM</v>
      </c>
      <c r="L972" s="3" t="str">
        <f ca="1">VLOOKUP(J972,ConstDLCIds!$A$4:$C$1000,3,FALSE)</f>
        <v>Necrom</v>
      </c>
    </row>
    <row r="973" spans="1:12" x14ac:dyDescent="0.25">
      <c r="A973">
        <v>1425</v>
      </c>
      <c r="B973">
        <v>968</v>
      </c>
      <c r="C973">
        <v>1414</v>
      </c>
      <c r="D973" t="s">
        <v>2996</v>
      </c>
      <c r="E973" t="str">
        <f>IF(NOT(ISERROR(VLOOKUP(D973,'ESO DungeonFinder'!$A$2:$A$999,1,FALSE))),"X","")</f>
        <v/>
      </c>
      <c r="F973" s="70" t="str">
        <f t="shared" si="60"/>
        <v/>
      </c>
      <c r="G973" s="70" t="str">
        <f t="shared" si="63"/>
        <v>Telvanni Peninsula</v>
      </c>
      <c r="H973" s="70">
        <f t="shared" si="61"/>
        <v>1425</v>
      </c>
      <c r="I973" s="70">
        <f t="shared" si="62"/>
        <v>1414</v>
      </c>
      <c r="J973">
        <v>32</v>
      </c>
      <c r="K973" s="3" t="str">
        <f ca="1">VLOOKUP(J973,ConstDLCIds!$A$4:$B$1000,2,FALSE)</f>
        <v>NO_DLC_SECRET_OF_THE_TELVANNI</v>
      </c>
      <c r="L973" s="3" t="str">
        <f ca="1">VLOOKUP(J973,ConstDLCIds!$A$4:$C$1000,3,FALSE)</f>
        <v>Secret of the Telvanni</v>
      </c>
    </row>
    <row r="974" spans="1:12" x14ac:dyDescent="0.25">
      <c r="A974">
        <v>1427</v>
      </c>
      <c r="B974">
        <v>969</v>
      </c>
      <c r="C974">
        <v>1414</v>
      </c>
      <c r="D974" t="s">
        <v>1915</v>
      </c>
      <c r="E974" t="str">
        <f>IF(NOT(ISERROR(VLOOKUP(D974,'ESO DungeonFinder'!$A$2:$A$999,1,FALSE))),"X","")</f>
        <v/>
      </c>
      <c r="F974" s="70" t="str">
        <f t="shared" si="60"/>
        <v/>
      </c>
      <c r="G974" s="70" t="str">
        <f t="shared" si="63"/>
        <v>Telvanni Peninsula</v>
      </c>
      <c r="H974" s="70">
        <f t="shared" si="61"/>
        <v>1427</v>
      </c>
      <c r="I974" s="70">
        <f t="shared" si="62"/>
        <v>1414</v>
      </c>
      <c r="J974">
        <v>29</v>
      </c>
      <c r="K974" s="3" t="str">
        <f ca="1">VLOOKUP(J974,ConstDLCIds!$A$4:$B$1000,2,FALSE)</f>
        <v>DLC_SCRIBES_OF_FATE</v>
      </c>
      <c r="L974" s="3" t="str">
        <f ca="1">VLOOKUP(J974,ConstDLCIds!$A$4:$C$1000,3,FALSE)</f>
        <v>Scribes of Fate</v>
      </c>
    </row>
    <row r="975" spans="1:12" x14ac:dyDescent="0.25">
      <c r="A975">
        <v>1429</v>
      </c>
      <c r="B975">
        <v>970</v>
      </c>
      <c r="C975">
        <v>1429</v>
      </c>
      <c r="D975" t="s">
        <v>2997</v>
      </c>
      <c r="E975" t="str">
        <f>IF(NOT(ISERROR(VLOOKUP(D975,'ESO DungeonFinder'!$A$2:$A$999,1,FALSE))),"X","")</f>
        <v/>
      </c>
      <c r="F975" s="70" t="str">
        <f t="shared" si="60"/>
        <v>X</v>
      </c>
      <c r="G975" s="70" t="str">
        <f t="shared" si="63"/>
        <v/>
      </c>
      <c r="H975" s="70">
        <f t="shared" si="61"/>
        <v>1429</v>
      </c>
      <c r="I975" s="70">
        <f t="shared" si="62"/>
        <v>1429</v>
      </c>
      <c r="J975">
        <v>30</v>
      </c>
      <c r="K975" s="3" t="str">
        <f ca="1">VLOOKUP(J975,ConstDLCIds!$A$4:$B$1000,2,FALSE)</f>
        <v>DLC_NECROM</v>
      </c>
      <c r="L975" s="3" t="str">
        <f ca="1">VLOOKUP(J975,ConstDLCIds!$A$4:$C$1000,3,FALSE)</f>
        <v>Necrom</v>
      </c>
    </row>
    <row r="976" spans="1:12" x14ac:dyDescent="0.25">
      <c r="A976">
        <v>1432</v>
      </c>
      <c r="B976">
        <v>971</v>
      </c>
      <c r="C976">
        <v>1318</v>
      </c>
      <c r="D976" t="s">
        <v>2998</v>
      </c>
      <c r="E976" t="str">
        <f>IF(NOT(ISERROR(VLOOKUP(D976,'ESO DungeonFinder'!$A$2:$A$999,1,FALSE))),"X","")</f>
        <v/>
      </c>
      <c r="F976" s="70" t="str">
        <f t="shared" si="60"/>
        <v/>
      </c>
      <c r="G976" s="70" t="str">
        <f t="shared" si="63"/>
        <v>High Isle</v>
      </c>
      <c r="H976" s="70">
        <f t="shared" si="61"/>
        <v>1432</v>
      </c>
      <c r="I976" s="70">
        <f t="shared" si="62"/>
        <v>1318</v>
      </c>
      <c r="J976">
        <v>26</v>
      </c>
      <c r="K976" s="3" t="str">
        <f ca="1">VLOOKUP(J976,ConstDLCIds!$A$4:$B$1000,2,FALSE)</f>
        <v>DLC_HIGH_ISLE</v>
      </c>
      <c r="L976" s="3" t="str">
        <f ca="1">VLOOKUP(J976,ConstDLCIds!$A$4:$C$1000,3,FALSE)</f>
        <v>High Isle</v>
      </c>
    </row>
    <row r="977" spans="1:12" x14ac:dyDescent="0.25">
      <c r="A977">
        <v>1433</v>
      </c>
      <c r="B977">
        <v>972</v>
      </c>
      <c r="C977">
        <v>1414</v>
      </c>
      <c r="D977" t="s">
        <v>2999</v>
      </c>
      <c r="E977" t="str">
        <f>IF(NOT(ISERROR(VLOOKUP(D977,'ESO DungeonFinder'!$A$2:$A$999,1,FALSE))),"X","")</f>
        <v/>
      </c>
      <c r="F977" s="70" t="str">
        <f t="shared" si="60"/>
        <v/>
      </c>
      <c r="G977" s="70" t="str">
        <f t="shared" si="63"/>
        <v>Telvanni Peninsula</v>
      </c>
      <c r="H977" s="70">
        <f t="shared" si="61"/>
        <v>1433</v>
      </c>
      <c r="I977" s="70">
        <f t="shared" si="62"/>
        <v>1414</v>
      </c>
      <c r="J977">
        <v>32</v>
      </c>
      <c r="K977" s="3" t="str">
        <f ca="1">VLOOKUP(J977,ConstDLCIds!$A$4:$B$1000,2,FALSE)</f>
        <v>NO_DLC_SECRET_OF_THE_TELVANNI</v>
      </c>
      <c r="L977" s="3" t="str">
        <f ca="1">VLOOKUP(J977,ConstDLCIds!$A$4:$C$1000,3,FALSE)</f>
        <v>Secret of the Telvanni</v>
      </c>
    </row>
    <row r="978" spans="1:12" x14ac:dyDescent="0.25">
      <c r="A978">
        <v>1434</v>
      </c>
      <c r="B978">
        <v>973</v>
      </c>
      <c r="C978">
        <v>1414</v>
      </c>
      <c r="D978" t="s">
        <v>3000</v>
      </c>
      <c r="E978" t="str">
        <f>IF(NOT(ISERROR(VLOOKUP(D978,'ESO DungeonFinder'!$A$2:$A$999,1,FALSE))),"X","")</f>
        <v/>
      </c>
      <c r="F978" s="70" t="str">
        <f t="shared" si="60"/>
        <v/>
      </c>
      <c r="G978" s="70" t="str">
        <f t="shared" si="63"/>
        <v>Telvanni Peninsula</v>
      </c>
      <c r="H978" s="70">
        <f t="shared" si="61"/>
        <v>1434</v>
      </c>
      <c r="I978" s="70">
        <f t="shared" si="62"/>
        <v>1414</v>
      </c>
      <c r="J978">
        <v>32</v>
      </c>
      <c r="K978" s="3" t="str">
        <f ca="1">VLOOKUP(J978,ConstDLCIds!$A$4:$B$1000,2,FALSE)</f>
        <v>NO_DLC_SECRET_OF_THE_TELVANNI</v>
      </c>
      <c r="L978" s="3" t="str">
        <f ca="1">VLOOKUP(J978,ConstDLCIds!$A$4:$C$1000,3,FALSE)</f>
        <v>Secret of the Telvanni</v>
      </c>
    </row>
    <row r="979" spans="1:12" x14ac:dyDescent="0.25">
      <c r="A979">
        <v>1435</v>
      </c>
      <c r="B979">
        <v>974</v>
      </c>
      <c r="C979">
        <v>1383</v>
      </c>
      <c r="D979" t="s">
        <v>3001</v>
      </c>
      <c r="E979" t="str">
        <f>IF(NOT(ISERROR(VLOOKUP(D979,'ESO DungeonFinder'!$A$2:$A$999,1,FALSE))),"X","")</f>
        <v/>
      </c>
      <c r="F979" s="70" t="str">
        <f t="shared" si="60"/>
        <v/>
      </c>
      <c r="G979" s="70" t="str">
        <f t="shared" si="63"/>
        <v>Galen</v>
      </c>
      <c r="H979" s="70">
        <f t="shared" si="61"/>
        <v>1435</v>
      </c>
      <c r="I979" s="70">
        <f t="shared" si="62"/>
        <v>1383</v>
      </c>
      <c r="J979">
        <v>28</v>
      </c>
      <c r="K979" s="3" t="str">
        <f ca="1">VLOOKUP(J979,ConstDLCIds!$A$4:$B$1000,2,FALSE)</f>
        <v>DLC_FIRESONG</v>
      </c>
      <c r="L979" s="3" t="str">
        <f ca="1">VLOOKUP(J979,ConstDLCIds!$A$4:$C$1000,3,FALSE)</f>
        <v>Firesong</v>
      </c>
    </row>
    <row r="980" spans="1:12" x14ac:dyDescent="0.25">
      <c r="A980">
        <v>1436</v>
      </c>
      <c r="B980">
        <v>975</v>
      </c>
      <c r="C980">
        <v>1413</v>
      </c>
      <c r="D980" t="s">
        <v>1930</v>
      </c>
      <c r="E980" t="str">
        <f>IF(NOT(ISERROR(VLOOKUP(D980,'ESO DungeonFinder'!$A$2:$A$999,1,FALSE))),"X","")</f>
        <v/>
      </c>
      <c r="F980" s="70" t="str">
        <f t="shared" si="60"/>
        <v/>
      </c>
      <c r="G980" s="70" t="str">
        <f t="shared" si="63"/>
        <v>Apocrypha</v>
      </c>
      <c r="H980" s="70">
        <f t="shared" si="61"/>
        <v>1436</v>
      </c>
      <c r="I980" s="70">
        <f t="shared" si="62"/>
        <v>1413</v>
      </c>
      <c r="J980">
        <v>30</v>
      </c>
      <c r="K980" s="3" t="str">
        <f ca="1">VLOOKUP(J980,ConstDLCIds!$A$4:$B$1000,2,FALSE)</f>
        <v>DLC_NECROM</v>
      </c>
      <c r="L980" s="3" t="str">
        <f ca="1">VLOOKUP(J980,ConstDLCIds!$A$4:$C$1000,3,FALSE)</f>
        <v>Necrom</v>
      </c>
    </row>
    <row r="981" spans="1:12" x14ac:dyDescent="0.25">
      <c r="A981">
        <v>1437</v>
      </c>
      <c r="B981">
        <v>976</v>
      </c>
      <c r="C981">
        <v>981</v>
      </c>
      <c r="D981" t="s">
        <v>3002</v>
      </c>
      <c r="E981" t="str">
        <f>IF(NOT(ISERROR(VLOOKUP(D981,'ESO DungeonFinder'!$A$2:$A$999,1,FALSE))),"X","")</f>
        <v/>
      </c>
      <c r="F981" s="70" t="str">
        <f t="shared" si="60"/>
        <v/>
      </c>
      <c r="G981" s="70" t="str">
        <f t="shared" si="63"/>
        <v>The Brass Fortress</v>
      </c>
      <c r="H981" s="70">
        <f t="shared" si="61"/>
        <v>1437</v>
      </c>
      <c r="I981" s="70">
        <f t="shared" si="62"/>
        <v>981</v>
      </c>
      <c r="J981">
        <v>8</v>
      </c>
      <c r="K981" s="3" t="str">
        <f ca="1">VLOOKUP(J981,ConstDLCIds!$A$4:$B$1000,2,FALSE)</f>
        <v>DLC_CLOCKWORK_CITY</v>
      </c>
      <c r="L981" s="3" t="str">
        <f ca="1">VLOOKUP(J981,ConstDLCIds!$A$4:$C$1000,3,FALSE)</f>
        <v>Clockwork City</v>
      </c>
    </row>
    <row r="982" spans="1:12" x14ac:dyDescent="0.25">
      <c r="A982">
        <v>1438</v>
      </c>
      <c r="B982">
        <v>977</v>
      </c>
      <c r="C982">
        <v>104</v>
      </c>
      <c r="D982" t="s">
        <v>3003</v>
      </c>
      <c r="E982" t="str">
        <f>IF(NOT(ISERROR(VLOOKUP(D982,'ESO DungeonFinder'!$A$2:$A$999,1,FALSE))),"X","")</f>
        <v/>
      </c>
      <c r="F982" s="70" t="str">
        <f t="shared" si="60"/>
        <v/>
      </c>
      <c r="G982" s="70" t="str">
        <f t="shared" si="63"/>
        <v>Alik'r Desert</v>
      </c>
      <c r="H982" s="70">
        <f t="shared" si="61"/>
        <v>1438</v>
      </c>
      <c r="I982" s="70">
        <f t="shared" si="62"/>
        <v>104</v>
      </c>
      <c r="J982">
        <v>0</v>
      </c>
      <c r="K982" s="3" t="str">
        <f>VLOOKUP(J982,ConstDLCIds!$A$4:$B$1000,2,FALSE)</f>
        <v>DLC_BASE_GAME</v>
      </c>
      <c r="L982" s="3" t="str">
        <f>VLOOKUP(J982,ConstDLCIds!$A$4:$C$1000,3,FALSE)</f>
        <v>Included in base game</v>
      </c>
    </row>
    <row r="983" spans="1:12" x14ac:dyDescent="0.25">
      <c r="A983">
        <v>1439</v>
      </c>
      <c r="B983">
        <v>978</v>
      </c>
      <c r="C983">
        <v>849</v>
      </c>
      <c r="D983" t="s">
        <v>3004</v>
      </c>
      <c r="E983" t="str">
        <f>IF(NOT(ISERROR(VLOOKUP(D983,'ESO DungeonFinder'!$A$2:$A$999,1,FALSE))),"X","")</f>
        <v/>
      </c>
      <c r="F983" s="70" t="str">
        <f t="shared" si="60"/>
        <v/>
      </c>
      <c r="G983" s="70" t="str">
        <f t="shared" si="63"/>
        <v>Vvardenfell</v>
      </c>
      <c r="H983" s="70">
        <f t="shared" si="61"/>
        <v>1439</v>
      </c>
      <c r="I983" s="70">
        <f t="shared" si="62"/>
        <v>849</v>
      </c>
      <c r="J983">
        <v>6</v>
      </c>
      <c r="K983" s="3" t="str">
        <f ca="1">VLOOKUP(J983,ConstDLCIds!$A$4:$B$1000,2,FALSE)</f>
        <v>DLC_MORROWIND</v>
      </c>
      <c r="L983" s="3" t="str">
        <f ca="1">VLOOKUP(J983,ConstDLCIds!$A$4:$C$1000,3,FALSE)</f>
        <v>Morrowind</v>
      </c>
    </row>
    <row r="984" spans="1:12" x14ac:dyDescent="0.25">
      <c r="A984">
        <v>1440</v>
      </c>
      <c r="B984">
        <v>979</v>
      </c>
      <c r="C984">
        <v>1443</v>
      </c>
      <c r="D984" t="s">
        <v>3005</v>
      </c>
      <c r="E984" t="str">
        <f>IF(NOT(ISERROR(VLOOKUP(D984,'ESO DungeonFinder'!$A$2:$A$999,1,FALSE))),"X","")</f>
        <v/>
      </c>
      <c r="F984" s="70" t="str">
        <f t="shared" si="60"/>
        <v/>
      </c>
      <c r="G984" s="70" t="str">
        <f t="shared" si="63"/>
        <v>West Weald</v>
      </c>
      <c r="H984" s="70">
        <f t="shared" si="61"/>
        <v>1440</v>
      </c>
      <c r="I984" s="70">
        <f t="shared" si="62"/>
        <v>1443</v>
      </c>
      <c r="J984">
        <v>34</v>
      </c>
      <c r="K984" s="3" t="str">
        <f ca="1">VLOOKUP(J984,ConstDLCIds!$A$4:$B$1000,2,FALSE)</f>
        <v>DLC_GOLD_ROAD</v>
      </c>
      <c r="L984" s="3" t="str">
        <f ca="1">VLOOKUP(J984,ConstDLCIds!$A$4:$C$1000,3,FALSE)</f>
        <v>Gold Road</v>
      </c>
    </row>
    <row r="985" spans="1:12" x14ac:dyDescent="0.25">
      <c r="A985">
        <v>1441</v>
      </c>
      <c r="B985">
        <v>980</v>
      </c>
      <c r="C985">
        <v>1443</v>
      </c>
      <c r="D985" t="s">
        <v>2935</v>
      </c>
      <c r="E985" t="str">
        <f>IF(NOT(ISERROR(VLOOKUP(D985,'ESO DungeonFinder'!$A$2:$A$999,1,FALSE))),"X","")</f>
        <v/>
      </c>
      <c r="F985" s="70" t="str">
        <f t="shared" si="60"/>
        <v/>
      </c>
      <c r="G985" s="70" t="str">
        <f t="shared" si="63"/>
        <v>West Weald</v>
      </c>
      <c r="H985" s="70">
        <f t="shared" si="61"/>
        <v>1441</v>
      </c>
      <c r="I985" s="70">
        <f t="shared" si="62"/>
        <v>1443</v>
      </c>
      <c r="J985">
        <v>34</v>
      </c>
      <c r="K985" s="3" t="str">
        <f ca="1">VLOOKUP(J985,ConstDLCIds!$A$4:$B$1000,2,FALSE)</f>
        <v>DLC_GOLD_ROAD</v>
      </c>
      <c r="L985" s="3" t="str">
        <f ca="1">VLOOKUP(J985,ConstDLCIds!$A$4:$C$1000,3,FALSE)</f>
        <v>Gold Road</v>
      </c>
    </row>
    <row r="986" spans="1:12" x14ac:dyDescent="0.25">
      <c r="A986">
        <v>1442</v>
      </c>
      <c r="B986">
        <v>981</v>
      </c>
      <c r="C986">
        <v>1443</v>
      </c>
      <c r="D986" t="s">
        <v>3006</v>
      </c>
      <c r="E986" t="str">
        <f>IF(NOT(ISERROR(VLOOKUP(D986,'ESO DungeonFinder'!$A$2:$A$999,1,FALSE))),"X","")</f>
        <v/>
      </c>
      <c r="F986" s="70" t="str">
        <f t="shared" si="60"/>
        <v/>
      </c>
      <c r="G986" s="70" t="str">
        <f t="shared" si="63"/>
        <v>West Weald</v>
      </c>
      <c r="H986" s="70">
        <f t="shared" si="61"/>
        <v>1442</v>
      </c>
      <c r="I986" s="70">
        <f t="shared" si="62"/>
        <v>1443</v>
      </c>
      <c r="J986">
        <v>34</v>
      </c>
      <c r="K986" s="3" t="str">
        <f ca="1">VLOOKUP(J986,ConstDLCIds!$A$4:$B$1000,2,FALSE)</f>
        <v>DLC_GOLD_ROAD</v>
      </c>
      <c r="L986" s="3" t="str">
        <f ca="1">VLOOKUP(J986,ConstDLCIds!$A$4:$C$1000,3,FALSE)</f>
        <v>Gold Road</v>
      </c>
    </row>
    <row r="987" spans="1:12" x14ac:dyDescent="0.25">
      <c r="A987">
        <v>1443</v>
      </c>
      <c r="B987">
        <v>982</v>
      </c>
      <c r="C987">
        <v>1443</v>
      </c>
      <c r="D987" t="s">
        <v>1971</v>
      </c>
      <c r="E987" t="str">
        <f>IF(NOT(ISERROR(VLOOKUP(D987,'ESO DungeonFinder'!$A$2:$A$999,1,FALSE))),"X","")</f>
        <v/>
      </c>
      <c r="F987" s="70" t="str">
        <f t="shared" si="60"/>
        <v>X</v>
      </c>
      <c r="G987" s="70" t="str">
        <f t="shared" si="63"/>
        <v/>
      </c>
      <c r="H987" s="70">
        <f t="shared" si="61"/>
        <v>1443</v>
      </c>
      <c r="I987" s="70">
        <f t="shared" si="62"/>
        <v>1443</v>
      </c>
      <c r="J987">
        <v>34</v>
      </c>
      <c r="K987" s="3" t="str">
        <f ca="1">VLOOKUP(J987,ConstDLCIds!$A$4:$B$1000,2,FALSE)</f>
        <v>DLC_GOLD_ROAD</v>
      </c>
      <c r="L987" s="3" t="str">
        <f ca="1">VLOOKUP(J987,ConstDLCIds!$A$4:$C$1000,3,FALSE)</f>
        <v>Gold Road</v>
      </c>
    </row>
    <row r="988" spans="1:12" x14ac:dyDescent="0.25">
      <c r="A988">
        <v>1444</v>
      </c>
      <c r="B988">
        <v>983</v>
      </c>
      <c r="C988">
        <v>1443</v>
      </c>
      <c r="D988" t="s">
        <v>3007</v>
      </c>
      <c r="E988" t="str">
        <f>IF(NOT(ISERROR(VLOOKUP(D988,'ESO DungeonFinder'!$A$2:$A$999,1,FALSE))),"X","")</f>
        <v/>
      </c>
      <c r="F988" s="70" t="str">
        <f t="shared" si="60"/>
        <v/>
      </c>
      <c r="G988" s="70" t="str">
        <f t="shared" si="63"/>
        <v>West Weald</v>
      </c>
      <c r="H988" s="70">
        <f t="shared" si="61"/>
        <v>1444</v>
      </c>
      <c r="I988" s="70">
        <f t="shared" si="62"/>
        <v>1443</v>
      </c>
      <c r="J988">
        <v>34</v>
      </c>
      <c r="K988" s="3" t="str">
        <f ca="1">VLOOKUP(J988,ConstDLCIds!$A$4:$B$1000,2,FALSE)</f>
        <v>DLC_GOLD_ROAD</v>
      </c>
      <c r="L988" s="3" t="str">
        <f ca="1">VLOOKUP(J988,ConstDLCIds!$A$4:$C$1000,3,FALSE)</f>
        <v>Gold Road</v>
      </c>
    </row>
    <row r="989" spans="1:12" x14ac:dyDescent="0.25">
      <c r="A989">
        <v>1445</v>
      </c>
      <c r="B989">
        <v>984</v>
      </c>
      <c r="C989">
        <v>1443</v>
      </c>
      <c r="D989" t="s">
        <v>3008</v>
      </c>
      <c r="E989" t="str">
        <f>IF(NOT(ISERROR(VLOOKUP(D989,'ESO DungeonFinder'!$A$2:$A$999,1,FALSE))),"X","")</f>
        <v/>
      </c>
      <c r="F989" s="70" t="str">
        <f t="shared" si="60"/>
        <v/>
      </c>
      <c r="G989" s="70" t="str">
        <f t="shared" si="63"/>
        <v>West Weald</v>
      </c>
      <c r="H989" s="70">
        <f t="shared" si="61"/>
        <v>1445</v>
      </c>
      <c r="I989" s="70">
        <f t="shared" si="62"/>
        <v>1443</v>
      </c>
      <c r="J989">
        <v>34</v>
      </c>
      <c r="K989" s="3" t="str">
        <f ca="1">VLOOKUP(J989,ConstDLCIds!$A$4:$B$1000,2,FALSE)</f>
        <v>DLC_GOLD_ROAD</v>
      </c>
      <c r="L989" s="3" t="str">
        <f ca="1">VLOOKUP(J989,ConstDLCIds!$A$4:$C$1000,3,FALSE)</f>
        <v>Gold Road</v>
      </c>
    </row>
    <row r="990" spans="1:12" x14ac:dyDescent="0.25">
      <c r="A990">
        <v>1446</v>
      </c>
      <c r="B990">
        <v>985</v>
      </c>
      <c r="C990">
        <v>1443</v>
      </c>
      <c r="D990" t="s">
        <v>3009</v>
      </c>
      <c r="E990" t="str">
        <f>IF(NOT(ISERROR(VLOOKUP(D990,'ESO DungeonFinder'!$A$2:$A$999,1,FALSE))),"X","")</f>
        <v/>
      </c>
      <c r="F990" s="70" t="str">
        <f t="shared" si="60"/>
        <v/>
      </c>
      <c r="G990" s="70" t="str">
        <f t="shared" si="63"/>
        <v>West Weald</v>
      </c>
      <c r="H990" s="70">
        <f t="shared" si="61"/>
        <v>1446</v>
      </c>
      <c r="I990" s="70">
        <f t="shared" si="62"/>
        <v>1443</v>
      </c>
      <c r="J990">
        <v>34</v>
      </c>
      <c r="K990" s="3" t="str">
        <f ca="1">VLOOKUP(J990,ConstDLCIds!$A$4:$B$1000,2,FALSE)</f>
        <v>DLC_GOLD_ROAD</v>
      </c>
      <c r="L990" s="3" t="str">
        <f ca="1">VLOOKUP(J990,ConstDLCIds!$A$4:$C$1000,3,FALSE)</f>
        <v>Gold Road</v>
      </c>
    </row>
    <row r="991" spans="1:12" x14ac:dyDescent="0.25">
      <c r="A991">
        <v>1447</v>
      </c>
      <c r="B991">
        <v>986</v>
      </c>
      <c r="C991">
        <v>1443</v>
      </c>
      <c r="D991" t="s">
        <v>3010</v>
      </c>
      <c r="E991" t="str">
        <f>IF(NOT(ISERROR(VLOOKUP(D991,'ESO DungeonFinder'!$A$2:$A$999,1,FALSE))),"X","")</f>
        <v/>
      </c>
      <c r="F991" s="70" t="str">
        <f t="shared" si="60"/>
        <v/>
      </c>
      <c r="G991" s="70" t="str">
        <f t="shared" si="63"/>
        <v>West Weald</v>
      </c>
      <c r="H991" s="70">
        <f t="shared" si="61"/>
        <v>1447</v>
      </c>
      <c r="I991" s="70">
        <f t="shared" si="62"/>
        <v>1443</v>
      </c>
      <c r="J991">
        <v>34</v>
      </c>
      <c r="K991" s="3" t="str">
        <f ca="1">VLOOKUP(J991,ConstDLCIds!$A$4:$B$1000,2,FALSE)</f>
        <v>DLC_GOLD_ROAD</v>
      </c>
      <c r="L991" s="3" t="str">
        <f ca="1">VLOOKUP(J991,ConstDLCIds!$A$4:$C$1000,3,FALSE)</f>
        <v>Gold Road</v>
      </c>
    </row>
    <row r="992" spans="1:12" x14ac:dyDescent="0.25">
      <c r="A992">
        <v>1448</v>
      </c>
      <c r="B992">
        <v>987</v>
      </c>
      <c r="C992">
        <v>1443</v>
      </c>
      <c r="D992" t="s">
        <v>3011</v>
      </c>
      <c r="E992" t="str">
        <f>IF(NOT(ISERROR(VLOOKUP(D992,'ESO DungeonFinder'!$A$2:$A$999,1,FALSE))),"X","")</f>
        <v/>
      </c>
      <c r="F992" s="70" t="str">
        <f t="shared" si="60"/>
        <v/>
      </c>
      <c r="G992" s="70" t="str">
        <f t="shared" si="63"/>
        <v>West Weald</v>
      </c>
      <c r="H992" s="70">
        <f t="shared" si="61"/>
        <v>1448</v>
      </c>
      <c r="I992" s="70">
        <f t="shared" si="62"/>
        <v>1443</v>
      </c>
      <c r="J992">
        <v>34</v>
      </c>
      <c r="K992" s="3" t="str">
        <f ca="1">VLOOKUP(J992,ConstDLCIds!$A$4:$B$1000,2,FALSE)</f>
        <v>DLC_GOLD_ROAD</v>
      </c>
      <c r="L992" s="3" t="str">
        <f ca="1">VLOOKUP(J992,ConstDLCIds!$A$4:$C$1000,3,FALSE)</f>
        <v>Gold Road</v>
      </c>
    </row>
    <row r="993" spans="1:12" x14ac:dyDescent="0.25">
      <c r="A993">
        <v>1449</v>
      </c>
      <c r="B993">
        <v>988</v>
      </c>
      <c r="C993">
        <v>1443</v>
      </c>
      <c r="D993" t="s">
        <v>3012</v>
      </c>
      <c r="E993" t="str">
        <f>IF(NOT(ISERROR(VLOOKUP(D993,'ESO DungeonFinder'!$A$2:$A$999,1,FALSE))),"X","")</f>
        <v/>
      </c>
      <c r="F993" s="70" t="str">
        <f t="shared" si="60"/>
        <v/>
      </c>
      <c r="G993" s="70" t="str">
        <f t="shared" si="63"/>
        <v>West Weald</v>
      </c>
      <c r="H993" s="70">
        <f t="shared" si="61"/>
        <v>1449</v>
      </c>
      <c r="I993" s="70">
        <f t="shared" si="62"/>
        <v>1443</v>
      </c>
      <c r="J993">
        <v>34</v>
      </c>
      <c r="K993" s="3" t="str">
        <f ca="1">VLOOKUP(J993,ConstDLCIds!$A$4:$B$1000,2,FALSE)</f>
        <v>DLC_GOLD_ROAD</v>
      </c>
      <c r="L993" s="3" t="str">
        <f ca="1">VLOOKUP(J993,ConstDLCIds!$A$4:$C$1000,3,FALSE)</f>
        <v>Gold Road</v>
      </c>
    </row>
    <row r="994" spans="1:12" x14ac:dyDescent="0.25">
      <c r="A994">
        <v>1450</v>
      </c>
      <c r="B994">
        <v>989</v>
      </c>
      <c r="C994">
        <v>1443</v>
      </c>
      <c r="D994" t="s">
        <v>3013</v>
      </c>
      <c r="E994" t="str">
        <f>IF(NOT(ISERROR(VLOOKUP(D994,'ESO DungeonFinder'!$A$2:$A$999,1,FALSE))),"X","")</f>
        <v/>
      </c>
      <c r="F994" s="70" t="str">
        <f t="shared" si="60"/>
        <v/>
      </c>
      <c r="G994" s="70" t="str">
        <f t="shared" si="63"/>
        <v>West Weald</v>
      </c>
      <c r="H994" s="70">
        <f t="shared" si="61"/>
        <v>1450</v>
      </c>
      <c r="I994" s="70">
        <f t="shared" si="62"/>
        <v>1443</v>
      </c>
      <c r="J994">
        <v>34</v>
      </c>
      <c r="K994" s="3" t="str">
        <f ca="1">VLOOKUP(J994,ConstDLCIds!$A$4:$B$1000,2,FALSE)</f>
        <v>DLC_GOLD_ROAD</v>
      </c>
      <c r="L994" s="3" t="str">
        <f ca="1">VLOOKUP(J994,ConstDLCIds!$A$4:$C$1000,3,FALSE)</f>
        <v>Gold Road</v>
      </c>
    </row>
    <row r="995" spans="1:12" x14ac:dyDescent="0.25">
      <c r="A995">
        <v>1451</v>
      </c>
      <c r="B995">
        <v>990</v>
      </c>
      <c r="C995">
        <v>1443</v>
      </c>
      <c r="D995" t="s">
        <v>3014</v>
      </c>
      <c r="E995" t="str">
        <f>IF(NOT(ISERROR(VLOOKUP(D995,'ESO DungeonFinder'!$A$2:$A$999,1,FALSE))),"X","")</f>
        <v/>
      </c>
      <c r="F995" s="70" t="str">
        <f t="shared" si="60"/>
        <v/>
      </c>
      <c r="G995" s="70" t="str">
        <f t="shared" si="63"/>
        <v>West Weald</v>
      </c>
      <c r="H995" s="70">
        <f t="shared" si="61"/>
        <v>1451</v>
      </c>
      <c r="I995" s="70">
        <f t="shared" si="62"/>
        <v>1443</v>
      </c>
      <c r="J995">
        <v>34</v>
      </c>
      <c r="K995" s="3" t="str">
        <f ca="1">VLOOKUP(J995,ConstDLCIds!$A$4:$B$1000,2,FALSE)</f>
        <v>DLC_GOLD_ROAD</v>
      </c>
      <c r="L995" s="3" t="str">
        <f ca="1">VLOOKUP(J995,ConstDLCIds!$A$4:$C$1000,3,FALSE)</f>
        <v>Gold Road</v>
      </c>
    </row>
    <row r="996" spans="1:12" x14ac:dyDescent="0.25">
      <c r="A996">
        <v>1452</v>
      </c>
      <c r="B996">
        <v>991</v>
      </c>
      <c r="C996">
        <v>1443</v>
      </c>
      <c r="D996" t="s">
        <v>3015</v>
      </c>
      <c r="E996" t="str">
        <f>IF(NOT(ISERROR(VLOOKUP(D996,'ESO DungeonFinder'!$A$2:$A$999,1,FALSE))),"X","")</f>
        <v/>
      </c>
      <c r="F996" s="70" t="str">
        <f t="shared" si="60"/>
        <v/>
      </c>
      <c r="G996" s="70" t="str">
        <f t="shared" si="63"/>
        <v>West Weald</v>
      </c>
      <c r="H996" s="70">
        <f t="shared" si="61"/>
        <v>1452</v>
      </c>
      <c r="I996" s="70">
        <f t="shared" si="62"/>
        <v>1443</v>
      </c>
      <c r="J996">
        <v>34</v>
      </c>
      <c r="K996" s="3" t="str">
        <f ca="1">VLOOKUP(J996,ConstDLCIds!$A$4:$B$1000,2,FALSE)</f>
        <v>DLC_GOLD_ROAD</v>
      </c>
      <c r="L996" s="3" t="str">
        <f ca="1">VLOOKUP(J996,ConstDLCIds!$A$4:$C$1000,3,FALSE)</f>
        <v>Gold Road</v>
      </c>
    </row>
    <row r="997" spans="1:12" x14ac:dyDescent="0.25">
      <c r="A997">
        <v>1453</v>
      </c>
      <c r="B997">
        <v>992</v>
      </c>
      <c r="C997">
        <v>1443</v>
      </c>
      <c r="D997" t="s">
        <v>3016</v>
      </c>
      <c r="E997" t="str">
        <f>IF(NOT(ISERROR(VLOOKUP(D997,'ESO DungeonFinder'!$A$2:$A$999,1,FALSE))),"X","")</f>
        <v/>
      </c>
      <c r="F997" s="70" t="str">
        <f t="shared" si="60"/>
        <v/>
      </c>
      <c r="G997" s="70" t="str">
        <f t="shared" si="63"/>
        <v>West Weald</v>
      </c>
      <c r="H997" s="70">
        <f t="shared" si="61"/>
        <v>1453</v>
      </c>
      <c r="I997" s="70">
        <f t="shared" si="62"/>
        <v>1443</v>
      </c>
      <c r="J997">
        <v>34</v>
      </c>
      <c r="K997" s="3" t="str">
        <f ca="1">VLOOKUP(J997,ConstDLCIds!$A$4:$B$1000,2,FALSE)</f>
        <v>DLC_GOLD_ROAD</v>
      </c>
      <c r="L997" s="3" t="str">
        <f ca="1">VLOOKUP(J997,ConstDLCIds!$A$4:$C$1000,3,FALSE)</f>
        <v>Gold Road</v>
      </c>
    </row>
    <row r="998" spans="1:12" x14ac:dyDescent="0.25">
      <c r="A998">
        <v>1454</v>
      </c>
      <c r="B998">
        <v>993</v>
      </c>
      <c r="C998">
        <v>1443</v>
      </c>
      <c r="D998" t="s">
        <v>3017</v>
      </c>
      <c r="E998" t="str">
        <f>IF(NOT(ISERROR(VLOOKUP(D998,'ESO DungeonFinder'!$A$2:$A$999,1,FALSE))),"X","")</f>
        <v/>
      </c>
      <c r="F998" s="70" t="str">
        <f t="shared" si="60"/>
        <v/>
      </c>
      <c r="G998" s="70" t="str">
        <f t="shared" si="63"/>
        <v>West Weald</v>
      </c>
      <c r="H998" s="70">
        <f t="shared" si="61"/>
        <v>1454</v>
      </c>
      <c r="I998" s="70">
        <f t="shared" si="62"/>
        <v>1443</v>
      </c>
      <c r="J998">
        <v>34</v>
      </c>
      <c r="K998" s="3" t="str">
        <f ca="1">VLOOKUP(J998,ConstDLCIds!$A$4:$B$1000,2,FALSE)</f>
        <v>DLC_GOLD_ROAD</v>
      </c>
      <c r="L998" s="3" t="str">
        <f ca="1">VLOOKUP(J998,ConstDLCIds!$A$4:$C$1000,3,FALSE)</f>
        <v>Gold Road</v>
      </c>
    </row>
    <row r="999" spans="1:12" x14ac:dyDescent="0.25">
      <c r="A999">
        <v>1455</v>
      </c>
      <c r="B999">
        <v>994</v>
      </c>
      <c r="C999">
        <v>1443</v>
      </c>
      <c r="D999" t="s">
        <v>3018</v>
      </c>
      <c r="E999" t="str">
        <f>IF(NOT(ISERROR(VLOOKUP(D999,'ESO DungeonFinder'!$A$2:$A$999,1,FALSE))),"X","")</f>
        <v/>
      </c>
      <c r="F999" s="70" t="str">
        <f t="shared" si="60"/>
        <v/>
      </c>
      <c r="G999" s="70" t="str">
        <f t="shared" si="63"/>
        <v>West Weald</v>
      </c>
      <c r="H999" s="70">
        <f t="shared" si="61"/>
        <v>1455</v>
      </c>
      <c r="I999" s="70">
        <f t="shared" si="62"/>
        <v>1443</v>
      </c>
      <c r="J999">
        <v>34</v>
      </c>
      <c r="K999" s="3" t="str">
        <f ca="1">VLOOKUP(J999,ConstDLCIds!$A$4:$B$1000,2,FALSE)</f>
        <v>DLC_GOLD_ROAD</v>
      </c>
      <c r="L999" s="3" t="str">
        <f ca="1">VLOOKUP(J999,ConstDLCIds!$A$4:$C$1000,3,FALSE)</f>
        <v>Gold Road</v>
      </c>
    </row>
    <row r="1000" spans="1:12" x14ac:dyDescent="0.25">
      <c r="A1000">
        <v>1456</v>
      </c>
      <c r="B1000">
        <v>995</v>
      </c>
      <c r="C1000">
        <v>1443</v>
      </c>
      <c r="D1000" t="s">
        <v>3019</v>
      </c>
      <c r="E1000" t="str">
        <f>IF(NOT(ISERROR(VLOOKUP(D1000,'ESO DungeonFinder'!$A$2:$A$999,1,FALSE))),"X","")</f>
        <v/>
      </c>
      <c r="F1000" s="70" t="str">
        <f t="shared" si="60"/>
        <v/>
      </c>
      <c r="G1000" s="70" t="str">
        <f t="shared" si="63"/>
        <v>West Weald</v>
      </c>
      <c r="H1000" s="70">
        <f t="shared" si="61"/>
        <v>1456</v>
      </c>
      <c r="I1000" s="70">
        <f t="shared" si="62"/>
        <v>1443</v>
      </c>
      <c r="J1000">
        <v>34</v>
      </c>
      <c r="K1000" s="3" t="str">
        <f ca="1">VLOOKUP(J1000,ConstDLCIds!$A$4:$B$1000,2,FALSE)</f>
        <v>DLC_GOLD_ROAD</v>
      </c>
      <c r="L1000" s="3" t="str">
        <f ca="1">VLOOKUP(J1000,ConstDLCIds!$A$4:$C$1000,3,FALSE)</f>
        <v>Gold Road</v>
      </c>
    </row>
    <row r="1001" spans="1:12" x14ac:dyDescent="0.25">
      <c r="A1001">
        <v>1457</v>
      </c>
      <c r="B1001">
        <v>996</v>
      </c>
      <c r="C1001">
        <v>1463</v>
      </c>
      <c r="D1001" t="s">
        <v>3020</v>
      </c>
      <c r="E1001" t="str">
        <f>IF(NOT(ISERROR(VLOOKUP(D1001,'ESO DungeonFinder'!$A$2:$A$999,1,FALSE))),"X","")</f>
        <v/>
      </c>
      <c r="F1001" s="70" t="str">
        <f t="shared" si="60"/>
        <v/>
      </c>
      <c r="G1001" s="70" t="str">
        <f t="shared" si="63"/>
        <v>The Scholarium</v>
      </c>
      <c r="H1001" s="70">
        <f t="shared" si="61"/>
        <v>1457</v>
      </c>
      <c r="I1001" s="70">
        <f t="shared" si="62"/>
        <v>1463</v>
      </c>
      <c r="J1001">
        <v>34</v>
      </c>
      <c r="K1001" s="3" t="str">
        <f ca="1">VLOOKUP(J1001,ConstDLCIds!$A$4:$B$1000,2,FALSE)</f>
        <v>DLC_GOLD_ROAD</v>
      </c>
      <c r="L1001" s="3" t="str">
        <f ca="1">VLOOKUP(J1001,ConstDLCIds!$A$4:$C$1000,3,FALSE)</f>
        <v>Gold Road</v>
      </c>
    </row>
    <row r="1002" spans="1:12" x14ac:dyDescent="0.25">
      <c r="A1002">
        <v>1458</v>
      </c>
      <c r="B1002">
        <v>997</v>
      </c>
      <c r="C1002">
        <v>1443</v>
      </c>
      <c r="D1002" t="s">
        <v>2990</v>
      </c>
      <c r="E1002" t="str">
        <f>IF(NOT(ISERROR(VLOOKUP(D1002,'ESO DungeonFinder'!$A$2:$A$999,1,FALSE))),"X","")</f>
        <v/>
      </c>
      <c r="F1002" s="70" t="str">
        <f t="shared" si="60"/>
        <v/>
      </c>
      <c r="G1002" s="70" t="str">
        <f t="shared" si="63"/>
        <v>West Weald</v>
      </c>
      <c r="H1002" s="70">
        <f t="shared" si="61"/>
        <v>1458</v>
      </c>
      <c r="I1002" s="70">
        <f t="shared" si="62"/>
        <v>1443</v>
      </c>
      <c r="J1002">
        <v>34</v>
      </c>
      <c r="K1002" s="3" t="str">
        <f ca="1">VLOOKUP(J1002,ConstDLCIds!$A$4:$B$1000,2,FALSE)</f>
        <v>DLC_GOLD_ROAD</v>
      </c>
      <c r="L1002" s="3" t="str">
        <f ca="1">VLOOKUP(J1002,ConstDLCIds!$A$4:$C$1000,3,FALSE)</f>
        <v>Gold Road</v>
      </c>
    </row>
    <row r="1003" spans="1:12" x14ac:dyDescent="0.25">
      <c r="A1003">
        <v>1459</v>
      </c>
      <c r="B1003">
        <v>998</v>
      </c>
      <c r="C1003">
        <v>1443</v>
      </c>
      <c r="D1003" t="s">
        <v>3021</v>
      </c>
      <c r="E1003" t="str">
        <f>IF(NOT(ISERROR(VLOOKUP(D1003,'ESO DungeonFinder'!$A$2:$A$999,1,FALSE))),"X","")</f>
        <v/>
      </c>
      <c r="F1003" s="70" t="str">
        <f t="shared" si="60"/>
        <v/>
      </c>
      <c r="G1003" s="70" t="str">
        <f t="shared" si="63"/>
        <v>West Weald</v>
      </c>
      <c r="H1003" s="70">
        <f t="shared" si="61"/>
        <v>1459</v>
      </c>
      <c r="I1003" s="70">
        <f t="shared" si="62"/>
        <v>1443</v>
      </c>
      <c r="J1003">
        <v>34</v>
      </c>
      <c r="K1003" s="3" t="str">
        <f ca="1">VLOOKUP(J1003,ConstDLCIds!$A$4:$B$1000,2,FALSE)</f>
        <v>DLC_GOLD_ROAD</v>
      </c>
      <c r="L1003" s="3" t="str">
        <f ca="1">VLOOKUP(J1003,ConstDLCIds!$A$4:$C$1000,3,FALSE)</f>
        <v>Gold Road</v>
      </c>
    </row>
    <row r="1004" spans="1:12" x14ac:dyDescent="0.25">
      <c r="A1004">
        <v>1460</v>
      </c>
      <c r="B1004">
        <v>999</v>
      </c>
      <c r="C1004">
        <v>1460</v>
      </c>
      <c r="D1004" t="s">
        <v>3022</v>
      </c>
      <c r="E1004" t="str">
        <f>IF(NOT(ISERROR(VLOOKUP(D1004,'ESO DungeonFinder'!$A$2:$A$999,1,FALSE))),"X","")</f>
        <v/>
      </c>
      <c r="F1004" s="70" t="str">
        <f t="shared" si="60"/>
        <v>X</v>
      </c>
      <c r="G1004" s="70" t="str">
        <f t="shared" si="63"/>
        <v/>
      </c>
      <c r="H1004" s="70">
        <f t="shared" si="61"/>
        <v>1460</v>
      </c>
      <c r="I1004" s="70">
        <f t="shared" si="62"/>
        <v>1460</v>
      </c>
      <c r="J1004">
        <v>34</v>
      </c>
      <c r="K1004" s="3" t="str">
        <f ca="1">VLOOKUP(J1004,ConstDLCIds!$A$4:$B$1000,2,FALSE)</f>
        <v>DLC_GOLD_ROAD</v>
      </c>
      <c r="L1004" s="3" t="str">
        <f ca="1">VLOOKUP(J1004,ConstDLCIds!$A$4:$C$1000,3,FALSE)</f>
        <v>Gold Road</v>
      </c>
    </row>
    <row r="1005" spans="1:12" x14ac:dyDescent="0.25">
      <c r="A1005">
        <v>1461</v>
      </c>
      <c r="B1005">
        <v>1000</v>
      </c>
      <c r="C1005">
        <v>1443</v>
      </c>
      <c r="D1005" t="s">
        <v>3023</v>
      </c>
      <c r="E1005" t="str">
        <f>IF(NOT(ISERROR(VLOOKUP(D1005,'ESO DungeonFinder'!$A$2:$A$999,1,FALSE))),"X","")</f>
        <v/>
      </c>
      <c r="F1005" s="70" t="str">
        <f t="shared" si="60"/>
        <v/>
      </c>
      <c r="G1005" s="70" t="str">
        <f t="shared" si="63"/>
        <v>West Weald</v>
      </c>
      <c r="H1005" s="70">
        <f t="shared" si="61"/>
        <v>1461</v>
      </c>
      <c r="I1005" s="70">
        <f t="shared" si="62"/>
        <v>1443</v>
      </c>
      <c r="J1005">
        <v>34</v>
      </c>
      <c r="K1005" s="3" t="str">
        <f ca="1">VLOOKUP(J1005,ConstDLCIds!$A$4:$B$1000,2,FALSE)</f>
        <v>DLC_GOLD_ROAD</v>
      </c>
      <c r="L1005" s="3" t="str">
        <f ca="1">VLOOKUP(J1005,ConstDLCIds!$A$4:$C$1000,3,FALSE)</f>
        <v>Gold Road</v>
      </c>
    </row>
    <row r="1006" spans="1:12" x14ac:dyDescent="0.25">
      <c r="A1006">
        <v>1462</v>
      </c>
      <c r="B1006">
        <v>1001</v>
      </c>
      <c r="C1006">
        <v>1443</v>
      </c>
      <c r="D1006" t="s">
        <v>3024</v>
      </c>
      <c r="E1006" t="str">
        <f>IF(NOT(ISERROR(VLOOKUP(D1006,'ESO DungeonFinder'!$A$2:$A$999,1,FALSE))),"X","")</f>
        <v/>
      </c>
      <c r="F1006" s="70" t="str">
        <f t="shared" si="60"/>
        <v/>
      </c>
      <c r="G1006" s="70" t="str">
        <f t="shared" si="63"/>
        <v>West Weald</v>
      </c>
      <c r="H1006" s="70">
        <f t="shared" si="61"/>
        <v>1462</v>
      </c>
      <c r="I1006" s="70">
        <f t="shared" si="62"/>
        <v>1443</v>
      </c>
      <c r="J1006">
        <v>34</v>
      </c>
      <c r="K1006" s="3" t="str">
        <f ca="1">VLOOKUP(J1006,ConstDLCIds!$A$4:$B$1000,2,FALSE)</f>
        <v>DLC_GOLD_ROAD</v>
      </c>
      <c r="L1006" s="3" t="str">
        <f ca="1">VLOOKUP(J1006,ConstDLCIds!$A$4:$C$1000,3,FALSE)</f>
        <v>Gold Road</v>
      </c>
    </row>
    <row r="1007" spans="1:12" x14ac:dyDescent="0.25">
      <c r="A1007">
        <v>1463</v>
      </c>
      <c r="B1007">
        <v>1002</v>
      </c>
      <c r="C1007">
        <v>1463</v>
      </c>
      <c r="D1007" t="s">
        <v>3025</v>
      </c>
      <c r="E1007" t="str">
        <f>IF(NOT(ISERROR(VLOOKUP(D1007,'ESO DungeonFinder'!$A$2:$A$999,1,FALSE))),"X","")</f>
        <v/>
      </c>
      <c r="F1007" s="70" t="str">
        <f t="shared" si="60"/>
        <v>X</v>
      </c>
      <c r="G1007" s="70" t="str">
        <f t="shared" si="63"/>
        <v/>
      </c>
      <c r="H1007" s="70">
        <f t="shared" si="61"/>
        <v>1463</v>
      </c>
      <c r="I1007" s="70">
        <f t="shared" si="62"/>
        <v>1463</v>
      </c>
      <c r="J1007">
        <v>34</v>
      </c>
      <c r="K1007" s="3" t="str">
        <f ca="1">VLOOKUP(J1007,ConstDLCIds!$A$4:$B$1000,2,FALSE)</f>
        <v>DLC_GOLD_ROAD</v>
      </c>
      <c r="L1007" s="3" t="str">
        <f ca="1">VLOOKUP(J1007,ConstDLCIds!$A$4:$C$1000,3,FALSE)</f>
        <v>Gold Road</v>
      </c>
    </row>
    <row r="1008" spans="1:12" x14ac:dyDescent="0.25">
      <c r="A1008">
        <v>1464</v>
      </c>
      <c r="B1008">
        <v>1003</v>
      </c>
      <c r="C1008">
        <v>1443</v>
      </c>
      <c r="D1008" t="s">
        <v>3026</v>
      </c>
      <c r="E1008" t="str">
        <f>IF(NOT(ISERROR(VLOOKUP(D1008,'ESO DungeonFinder'!$A$2:$A$999,1,FALSE))),"X","")</f>
        <v/>
      </c>
      <c r="F1008" s="70" t="str">
        <f t="shared" si="60"/>
        <v/>
      </c>
      <c r="G1008" s="70" t="str">
        <f t="shared" si="63"/>
        <v>West Weald</v>
      </c>
      <c r="H1008" s="70">
        <f t="shared" si="61"/>
        <v>1464</v>
      </c>
      <c r="I1008" s="70">
        <f t="shared" si="62"/>
        <v>1443</v>
      </c>
      <c r="J1008">
        <v>34</v>
      </c>
      <c r="K1008" s="3" t="str">
        <f ca="1">VLOOKUP(J1008,ConstDLCIds!$A$4:$B$1000,2,FALSE)</f>
        <v>DLC_GOLD_ROAD</v>
      </c>
      <c r="L1008" s="3" t="str">
        <f ca="1">VLOOKUP(J1008,ConstDLCIds!$A$4:$C$1000,3,FALSE)</f>
        <v>Gold Road</v>
      </c>
    </row>
    <row r="1009" spans="1:12" x14ac:dyDescent="0.25">
      <c r="A1009">
        <v>1465</v>
      </c>
      <c r="B1009">
        <v>1004</v>
      </c>
      <c r="C1009">
        <v>1443</v>
      </c>
      <c r="D1009" t="s">
        <v>3027</v>
      </c>
      <c r="E1009" t="str">
        <f>IF(NOT(ISERROR(VLOOKUP(D1009,'ESO DungeonFinder'!$A$2:$A$999,1,FALSE))),"X","")</f>
        <v/>
      </c>
      <c r="F1009" s="70" t="str">
        <f t="shared" si="60"/>
        <v/>
      </c>
      <c r="G1009" s="70" t="str">
        <f t="shared" si="63"/>
        <v>West Weald</v>
      </c>
      <c r="H1009" s="70">
        <f t="shared" si="61"/>
        <v>1465</v>
      </c>
      <c r="I1009" s="70">
        <f t="shared" si="62"/>
        <v>1443</v>
      </c>
      <c r="J1009">
        <v>34</v>
      </c>
      <c r="K1009" s="3" t="str">
        <f ca="1">VLOOKUP(J1009,ConstDLCIds!$A$4:$B$1000,2,FALSE)</f>
        <v>DLC_GOLD_ROAD</v>
      </c>
      <c r="L1009" s="3" t="str">
        <f ca="1">VLOOKUP(J1009,ConstDLCIds!$A$4:$C$1000,3,FALSE)</f>
        <v>Gold Road</v>
      </c>
    </row>
    <row r="1010" spans="1:12" x14ac:dyDescent="0.25">
      <c r="A1010">
        <v>1466</v>
      </c>
      <c r="B1010">
        <v>1005</v>
      </c>
      <c r="C1010">
        <v>1443</v>
      </c>
      <c r="D1010" t="s">
        <v>1972</v>
      </c>
      <c r="E1010" t="str">
        <f>IF(NOT(ISERROR(VLOOKUP(D1010,'ESO DungeonFinder'!$A$2:$A$999,1,FALSE))),"X","")</f>
        <v/>
      </c>
      <c r="F1010" s="70" t="str">
        <f t="shared" si="60"/>
        <v/>
      </c>
      <c r="G1010" s="70" t="str">
        <f t="shared" si="63"/>
        <v>West Weald</v>
      </c>
      <c r="H1010" s="70">
        <f t="shared" si="61"/>
        <v>1466</v>
      </c>
      <c r="I1010" s="70">
        <f t="shared" si="62"/>
        <v>1443</v>
      </c>
      <c r="J1010">
        <v>34</v>
      </c>
      <c r="K1010" s="3" t="str">
        <f ca="1">VLOOKUP(J1010,ConstDLCIds!$A$4:$B$1000,2,FALSE)</f>
        <v>DLC_GOLD_ROAD</v>
      </c>
      <c r="L1010" s="3" t="str">
        <f ca="1">VLOOKUP(J1010,ConstDLCIds!$A$4:$C$1000,3,FALSE)</f>
        <v>Gold Road</v>
      </c>
    </row>
    <row r="1011" spans="1:12" x14ac:dyDescent="0.25">
      <c r="A1011">
        <v>1467</v>
      </c>
      <c r="B1011">
        <v>1006</v>
      </c>
      <c r="C1011">
        <v>1443</v>
      </c>
      <c r="D1011" t="s">
        <v>2196</v>
      </c>
      <c r="E1011" t="str">
        <f>IF(NOT(ISERROR(VLOOKUP(D1011,'ESO DungeonFinder'!$A$2:$A$999,1,FALSE))),"X","")</f>
        <v/>
      </c>
      <c r="F1011" s="70" t="str">
        <f t="shared" si="60"/>
        <v/>
      </c>
      <c r="G1011" s="70" t="str">
        <f t="shared" si="63"/>
        <v>West Weald</v>
      </c>
      <c r="H1011" s="70">
        <f t="shared" si="61"/>
        <v>1467</v>
      </c>
      <c r="I1011" s="70">
        <f t="shared" si="62"/>
        <v>1443</v>
      </c>
      <c r="J1011">
        <v>34</v>
      </c>
      <c r="K1011" s="3" t="str">
        <f ca="1">VLOOKUP(J1011,ConstDLCIds!$A$4:$B$1000,2,FALSE)</f>
        <v>DLC_GOLD_ROAD</v>
      </c>
      <c r="L1011" s="3" t="str">
        <f ca="1">VLOOKUP(J1011,ConstDLCIds!$A$4:$C$1000,3,FALSE)</f>
        <v>Gold Road</v>
      </c>
    </row>
    <row r="1012" spans="1:12" x14ac:dyDescent="0.25">
      <c r="A1012">
        <v>1468</v>
      </c>
      <c r="B1012">
        <v>1007</v>
      </c>
      <c r="C1012">
        <v>1414</v>
      </c>
      <c r="D1012" t="s">
        <v>3028</v>
      </c>
      <c r="E1012" t="str">
        <f>IF(NOT(ISERROR(VLOOKUP(D1012,'ESO DungeonFinder'!$A$2:$A$999,1,FALSE))),"X","")</f>
        <v/>
      </c>
      <c r="F1012" s="70" t="str">
        <f t="shared" si="60"/>
        <v/>
      </c>
      <c r="G1012" s="70" t="str">
        <f t="shared" si="63"/>
        <v>Telvanni Peninsula</v>
      </c>
      <c r="H1012" s="70">
        <f t="shared" si="61"/>
        <v>1468</v>
      </c>
      <c r="I1012" s="70">
        <f t="shared" si="62"/>
        <v>1414</v>
      </c>
      <c r="J1012">
        <v>34</v>
      </c>
      <c r="K1012" s="3" t="str">
        <f ca="1">VLOOKUP(J1012,ConstDLCIds!$A$4:$B$1000,2,FALSE)</f>
        <v>DLC_GOLD_ROAD</v>
      </c>
      <c r="L1012" s="3" t="str">
        <f ca="1">VLOOKUP(J1012,ConstDLCIds!$A$4:$C$1000,3,FALSE)</f>
        <v>Gold Road</v>
      </c>
    </row>
    <row r="1013" spans="1:12" x14ac:dyDescent="0.25">
      <c r="A1013">
        <v>1470</v>
      </c>
      <c r="B1013">
        <v>1008</v>
      </c>
      <c r="C1013">
        <v>1207</v>
      </c>
      <c r="D1013" t="s">
        <v>1956</v>
      </c>
      <c r="E1013" t="str">
        <f>IF(NOT(ISERROR(VLOOKUP(D1013,'ESO DungeonFinder'!$A$2:$A$999,1,FALSE))),"X","")</f>
        <v>X</v>
      </c>
      <c r="F1013" s="70" t="str">
        <f t="shared" si="60"/>
        <v/>
      </c>
      <c r="G1013" s="70" t="str">
        <f t="shared" si="63"/>
        <v>The Reach</v>
      </c>
      <c r="H1013" s="70">
        <f t="shared" si="61"/>
        <v>1470</v>
      </c>
      <c r="I1013" s="70">
        <f t="shared" si="62"/>
        <v>1207</v>
      </c>
      <c r="J1013">
        <v>33</v>
      </c>
      <c r="K1013" s="3" t="str">
        <f ca="1">VLOOKUP(J1013,ConstDLCIds!$A$4:$B$1000,2,FALSE)</f>
        <v>DLC_SCIONS_OF_ITHELIA</v>
      </c>
      <c r="L1013" s="3" t="str">
        <f ca="1">VLOOKUP(J1013,ConstDLCIds!$A$4:$C$1000,3,FALSE)</f>
        <v>Scions of Ithelia</v>
      </c>
    </row>
    <row r="1014" spans="1:12" x14ac:dyDescent="0.25">
      <c r="A1014">
        <v>1471</v>
      </c>
      <c r="B1014">
        <v>1009</v>
      </c>
      <c r="C1014">
        <v>684</v>
      </c>
      <c r="D1014" t="s">
        <v>1962</v>
      </c>
      <c r="E1014" t="str">
        <f>IF(NOT(ISERROR(VLOOKUP(D1014,'ESO DungeonFinder'!$A$2:$A$999,1,FALSE))),"X","")</f>
        <v>X</v>
      </c>
      <c r="F1014" s="70" t="str">
        <f t="shared" si="60"/>
        <v/>
      </c>
      <c r="G1014" s="70" t="str">
        <f t="shared" si="63"/>
        <v>Wrothgar</v>
      </c>
      <c r="H1014" s="70">
        <f t="shared" si="61"/>
        <v>1471</v>
      </c>
      <c r="I1014" s="70">
        <f t="shared" si="62"/>
        <v>684</v>
      </c>
      <c r="J1014">
        <v>33</v>
      </c>
      <c r="K1014" s="3" t="str">
        <f ca="1">VLOOKUP(J1014,ConstDLCIds!$A$4:$B$1000,2,FALSE)</f>
        <v>DLC_SCIONS_OF_ITHELIA</v>
      </c>
      <c r="L1014" s="3" t="str">
        <f ca="1">VLOOKUP(J1014,ConstDLCIds!$A$4:$C$1000,3,FALSE)</f>
        <v>Scions of Ithelia</v>
      </c>
    </row>
    <row r="1015" spans="1:12" x14ac:dyDescent="0.25">
      <c r="A1015">
        <v>1472</v>
      </c>
      <c r="B1015">
        <v>1010</v>
      </c>
      <c r="C1015">
        <v>1383</v>
      </c>
      <c r="D1015" t="s">
        <v>3029</v>
      </c>
      <c r="E1015" t="str">
        <f>IF(NOT(ISERROR(VLOOKUP(D1015,'ESO DungeonFinder'!$A$2:$A$999,1,FALSE))),"X","")</f>
        <v/>
      </c>
      <c r="F1015" s="70" t="str">
        <f t="shared" si="60"/>
        <v/>
      </c>
      <c r="G1015" s="70" t="str">
        <f t="shared" si="63"/>
        <v>Galen</v>
      </c>
      <c r="H1015" s="70">
        <f t="shared" si="61"/>
        <v>1472</v>
      </c>
      <c r="I1015" s="70">
        <f t="shared" si="62"/>
        <v>1383</v>
      </c>
      <c r="J1015">
        <v>28</v>
      </c>
      <c r="K1015" s="3" t="str">
        <f ca="1">VLOOKUP(J1015,ConstDLCIds!$A$4:$B$1000,2,FALSE)</f>
        <v>DLC_FIRESONG</v>
      </c>
      <c r="L1015" s="3" t="str">
        <f ca="1">VLOOKUP(J1015,ConstDLCIds!$A$4:$C$1000,3,FALSE)</f>
        <v>Firesong</v>
      </c>
    </row>
    <row r="1016" spans="1:12" x14ac:dyDescent="0.25">
      <c r="A1016">
        <v>1473</v>
      </c>
      <c r="B1016">
        <v>1011</v>
      </c>
      <c r="C1016">
        <v>1413</v>
      </c>
      <c r="D1016" t="s">
        <v>3030</v>
      </c>
      <c r="E1016" t="str">
        <f>IF(NOT(ISERROR(VLOOKUP(D1016,'ESO DungeonFinder'!$A$2:$A$999,1,FALSE))),"X","")</f>
        <v/>
      </c>
      <c r="F1016" s="70" t="str">
        <f t="shared" si="60"/>
        <v/>
      </c>
      <c r="G1016" s="70" t="str">
        <f t="shared" si="63"/>
        <v>Apocrypha</v>
      </c>
      <c r="H1016" s="70">
        <f t="shared" si="61"/>
        <v>1473</v>
      </c>
      <c r="I1016" s="70">
        <f t="shared" si="62"/>
        <v>1413</v>
      </c>
      <c r="J1016">
        <v>30</v>
      </c>
      <c r="K1016" s="3" t="str">
        <f ca="1">VLOOKUP(J1016,ConstDLCIds!$A$4:$B$1000,2,FALSE)</f>
        <v>DLC_NECROM</v>
      </c>
      <c r="L1016" s="3" t="str">
        <f ca="1">VLOOKUP(J1016,ConstDLCIds!$A$4:$C$1000,3,FALSE)</f>
        <v>Necrom</v>
      </c>
    </row>
    <row r="1017" spans="1:12" x14ac:dyDescent="0.25">
      <c r="A1017">
        <v>1474</v>
      </c>
      <c r="B1017">
        <v>1012</v>
      </c>
      <c r="C1017">
        <v>1443</v>
      </c>
      <c r="D1017" t="s">
        <v>2990</v>
      </c>
      <c r="E1017" t="str">
        <f>IF(NOT(ISERROR(VLOOKUP(D1017,'ESO DungeonFinder'!$A$2:$A$999,1,FALSE))),"X","")</f>
        <v/>
      </c>
      <c r="F1017" s="70" t="str">
        <f t="shared" si="60"/>
        <v/>
      </c>
      <c r="G1017" s="70" t="str">
        <f t="shared" si="63"/>
        <v>West Weald</v>
      </c>
      <c r="H1017" s="70">
        <f t="shared" si="61"/>
        <v>1474</v>
      </c>
      <c r="I1017" s="70">
        <f t="shared" si="62"/>
        <v>1443</v>
      </c>
      <c r="J1017">
        <v>34</v>
      </c>
      <c r="K1017" s="3" t="str">
        <f ca="1">VLOOKUP(J1017,ConstDLCIds!$A$4:$B$1000,2,FALSE)</f>
        <v>DLC_GOLD_ROAD</v>
      </c>
      <c r="L1017" s="3" t="str">
        <f ca="1">VLOOKUP(J1017,ConstDLCIds!$A$4:$C$1000,3,FALSE)</f>
        <v>Gold Road</v>
      </c>
    </row>
    <row r="1018" spans="1:12" x14ac:dyDescent="0.25">
      <c r="A1018">
        <v>1475</v>
      </c>
      <c r="B1018">
        <v>1013</v>
      </c>
      <c r="C1018">
        <v>1475</v>
      </c>
      <c r="D1018" t="s">
        <v>3031</v>
      </c>
      <c r="E1018" t="str">
        <f>IF(NOT(ISERROR(VLOOKUP(D1018,'ESO DungeonFinder'!$A$2:$A$999,1,FALSE))),"X","")</f>
        <v/>
      </c>
      <c r="F1018" s="70" t="str">
        <f t="shared" si="60"/>
        <v>X</v>
      </c>
      <c r="G1018" s="70" t="str">
        <f t="shared" si="63"/>
        <v/>
      </c>
      <c r="H1018" s="70">
        <f t="shared" si="61"/>
        <v>1475</v>
      </c>
      <c r="I1018" s="70">
        <f t="shared" si="62"/>
        <v>1475</v>
      </c>
      <c r="J1018">
        <v>34</v>
      </c>
      <c r="K1018" s="3" t="str">
        <f ca="1">VLOOKUP(J1018,ConstDLCIds!$A$4:$B$1000,2,FALSE)</f>
        <v>DLC_GOLD_ROAD</v>
      </c>
      <c r="L1018" s="3" t="str">
        <f ca="1">VLOOKUP(J1018,ConstDLCIds!$A$4:$C$1000,3,FALSE)</f>
        <v>Gold Road</v>
      </c>
    </row>
    <row r="1019" spans="1:12" x14ac:dyDescent="0.25">
      <c r="A1019">
        <v>1478</v>
      </c>
      <c r="B1019">
        <v>1014</v>
      </c>
      <c r="C1019">
        <v>1443</v>
      </c>
      <c r="D1019" t="s">
        <v>2002</v>
      </c>
      <c r="E1019" t="str">
        <f>IF(NOT(ISERROR(VLOOKUP(D1019,'ESO DungeonFinder'!$A$2:$A$999,1,FALSE))),"X","")</f>
        <v/>
      </c>
      <c r="F1019" s="70" t="str">
        <f t="shared" si="60"/>
        <v/>
      </c>
      <c r="G1019" s="70" t="str">
        <f t="shared" si="63"/>
        <v>West Weald</v>
      </c>
      <c r="H1019" s="70">
        <f t="shared" si="61"/>
        <v>1478</v>
      </c>
      <c r="I1019" s="70">
        <f t="shared" si="62"/>
        <v>1443</v>
      </c>
      <c r="J1019">
        <v>34</v>
      </c>
      <c r="K1019" s="3" t="str">
        <f ca="1">VLOOKUP(J1019,ConstDLCIds!$A$4:$B$1000,2,FALSE)</f>
        <v>DLC_GOLD_ROAD</v>
      </c>
      <c r="L1019" s="3" t="str">
        <f ca="1">VLOOKUP(J1019,ConstDLCIds!$A$4:$C$1000,3,FALSE)</f>
        <v>Gold Road</v>
      </c>
    </row>
    <row r="1020" spans="1:12" x14ac:dyDescent="0.25">
      <c r="A1020">
        <v>1479</v>
      </c>
      <c r="B1020">
        <v>1015</v>
      </c>
      <c r="C1020">
        <v>1261</v>
      </c>
      <c r="D1020" t="s">
        <v>3032</v>
      </c>
      <c r="E1020" t="str">
        <f>IF(NOT(ISERROR(VLOOKUP(D1020,'ESO DungeonFinder'!$A$2:$A$999,1,FALSE))),"X","")</f>
        <v/>
      </c>
      <c r="F1020" s="70" t="str">
        <f t="shared" si="60"/>
        <v/>
      </c>
      <c r="G1020" s="70" t="str">
        <f t="shared" si="63"/>
        <v>Blackwood</v>
      </c>
      <c r="H1020" s="70">
        <f t="shared" si="61"/>
        <v>1479</v>
      </c>
      <c r="I1020" s="70">
        <f t="shared" si="62"/>
        <v>1261</v>
      </c>
      <c r="J1020">
        <v>34</v>
      </c>
      <c r="K1020" s="3" t="str">
        <f ca="1">VLOOKUP(J1020,ConstDLCIds!$A$4:$B$1000,2,FALSE)</f>
        <v>DLC_GOLD_ROAD</v>
      </c>
      <c r="L1020" s="3" t="str">
        <f ca="1">VLOOKUP(J1020,ConstDLCIds!$A$4:$C$1000,3,FALSE)</f>
        <v>Gold Road</v>
      </c>
    </row>
    <row r="1021" spans="1:12" x14ac:dyDescent="0.25">
      <c r="A1021">
        <v>1481</v>
      </c>
      <c r="B1021">
        <v>1016</v>
      </c>
      <c r="C1021">
        <v>1481</v>
      </c>
      <c r="D1021" t="s">
        <v>3033</v>
      </c>
      <c r="E1021" t="str">
        <f>IF(NOT(ISERROR(VLOOKUP(D1021,'ESO DungeonFinder'!$A$2:$A$999,1,FALSE))),"X","")</f>
        <v/>
      </c>
      <c r="F1021" s="70" t="str">
        <f t="shared" si="60"/>
        <v>X</v>
      </c>
      <c r="G1021" s="70" t="str">
        <f t="shared" si="63"/>
        <v/>
      </c>
      <c r="H1021" s="70">
        <f t="shared" si="61"/>
        <v>1481</v>
      </c>
      <c r="I1021" s="70">
        <f t="shared" si="62"/>
        <v>1481</v>
      </c>
      <c r="J1021">
        <v>34</v>
      </c>
      <c r="K1021" s="3" t="str">
        <f ca="1">VLOOKUP(J1021,ConstDLCIds!$A$4:$B$1000,2,FALSE)</f>
        <v>DLC_GOLD_ROAD</v>
      </c>
      <c r="L1021" s="3" t="str">
        <f ca="1">VLOOKUP(J1021,ConstDLCIds!$A$4:$C$1000,3,FALSE)</f>
        <v>Gold Road</v>
      </c>
    </row>
    <row r="1022" spans="1:12" x14ac:dyDescent="0.25">
      <c r="A1022">
        <v>1482</v>
      </c>
      <c r="B1022">
        <v>1017</v>
      </c>
      <c r="C1022">
        <v>1482</v>
      </c>
      <c r="D1022" t="s">
        <v>3034</v>
      </c>
      <c r="E1022" t="str">
        <f>IF(NOT(ISERROR(VLOOKUP(D1022,'ESO DungeonFinder'!$A$2:$A$999,1,FALSE))),"X","")</f>
        <v/>
      </c>
      <c r="F1022" s="70" t="str">
        <f t="shared" si="60"/>
        <v>X</v>
      </c>
      <c r="G1022" s="70" t="str">
        <f t="shared" si="63"/>
        <v/>
      </c>
      <c r="H1022" s="70">
        <f t="shared" si="61"/>
        <v>1482</v>
      </c>
      <c r="I1022" s="70">
        <f t="shared" si="62"/>
        <v>1482</v>
      </c>
      <c r="J1022">
        <v>34</v>
      </c>
      <c r="K1022" s="3" t="str">
        <f ca="1">VLOOKUP(J1022,ConstDLCIds!$A$4:$B$1000,2,FALSE)</f>
        <v>DLC_GOLD_ROAD</v>
      </c>
      <c r="L1022" s="3" t="str">
        <f ca="1">VLOOKUP(J1022,ConstDLCIds!$A$4:$C$1000,3,FALSE)</f>
        <v>Gold Road</v>
      </c>
    </row>
    <row r="1023" spans="1:12" x14ac:dyDescent="0.25">
      <c r="A1023">
        <v>1483</v>
      </c>
      <c r="B1023">
        <v>1018</v>
      </c>
      <c r="C1023">
        <v>1483</v>
      </c>
      <c r="D1023" t="s">
        <v>3035</v>
      </c>
      <c r="E1023" t="str">
        <f>IF(NOT(ISERROR(VLOOKUP(D1023,'ESO DungeonFinder'!$A$2:$A$999,1,FALSE))),"X","")</f>
        <v/>
      </c>
      <c r="F1023" s="70" t="str">
        <f t="shared" si="60"/>
        <v>X</v>
      </c>
      <c r="G1023" s="70" t="str">
        <f t="shared" si="63"/>
        <v/>
      </c>
      <c r="H1023" s="70">
        <f t="shared" si="61"/>
        <v>1483</v>
      </c>
      <c r="I1023" s="70">
        <f t="shared" si="62"/>
        <v>1483</v>
      </c>
      <c r="J1023">
        <v>35</v>
      </c>
      <c r="K1023" s="3" t="str">
        <f ca="1">VLOOKUP(J1023,ConstDLCIds!$A$4:$B$1000,2,FALSE)</f>
        <v>NO_DLC_UPDATE43</v>
      </c>
      <c r="L1023" s="3" t="str">
        <f ca="1">VLOOKUP(J1023,ConstDLCIds!$A$4:$C$1000,3,FALSE)</f>
        <v>Patch 43, House tours, QOL and other</v>
      </c>
    </row>
    <row r="1024" spans="1:12" x14ac:dyDescent="0.25">
      <c r="A1024">
        <v>1484</v>
      </c>
      <c r="B1024">
        <v>1019</v>
      </c>
      <c r="C1024">
        <v>1484</v>
      </c>
      <c r="D1024" t="s">
        <v>3036</v>
      </c>
      <c r="E1024" t="str">
        <f>IF(NOT(ISERROR(VLOOKUP(D1024,'ESO DungeonFinder'!$A$2:$A$999,1,FALSE))),"X","")</f>
        <v/>
      </c>
      <c r="F1024" s="70" t="str">
        <f t="shared" si="60"/>
        <v>X</v>
      </c>
      <c r="G1024" s="70" t="str">
        <f t="shared" si="63"/>
        <v/>
      </c>
      <c r="H1024" s="70">
        <f t="shared" si="61"/>
        <v>1484</v>
      </c>
      <c r="I1024" s="70">
        <f t="shared" si="62"/>
        <v>1484</v>
      </c>
      <c r="J1024">
        <v>35</v>
      </c>
      <c r="K1024" s="3" t="str">
        <f ca="1">VLOOKUP(J1024,ConstDLCIds!$A$4:$B$1000,2,FALSE)</f>
        <v>NO_DLC_UPDATE43</v>
      </c>
      <c r="L1024" s="3" t="str">
        <f ca="1">VLOOKUP(J1024,ConstDLCIds!$A$4:$C$1000,3,FALSE)</f>
        <v>Patch 43, House tours, QOL and other</v>
      </c>
    </row>
    <row r="1025" spans="1:12" x14ac:dyDescent="0.25">
      <c r="A1025">
        <v>1485</v>
      </c>
      <c r="B1025">
        <v>1020</v>
      </c>
      <c r="C1025">
        <v>1485</v>
      </c>
      <c r="D1025" t="s">
        <v>3037</v>
      </c>
      <c r="E1025" t="str">
        <f>IF(NOT(ISERROR(VLOOKUP(D1025,'ESO DungeonFinder'!$A$2:$A$999,1,FALSE))),"X","")</f>
        <v/>
      </c>
      <c r="F1025" s="70" t="str">
        <f t="shared" si="60"/>
        <v>X</v>
      </c>
      <c r="G1025" s="70" t="str">
        <f t="shared" si="63"/>
        <v/>
      </c>
      <c r="H1025" s="70">
        <f t="shared" si="61"/>
        <v>1485</v>
      </c>
      <c r="I1025" s="70">
        <f t="shared" si="62"/>
        <v>1485</v>
      </c>
      <c r="J1025">
        <v>36</v>
      </c>
      <c r="K1025" s="3" t="str">
        <f ca="1">VLOOKUP(J1025,ConstDLCIds!$A$4:$B$1000,2,FALSE)</f>
        <v>NO_DLC_UPDATE44</v>
      </c>
      <c r="L1025" s="3" t="str">
        <f ca="1">VLOOKUP(J1025,ConstDLCIds!$A$4:$C$1000,3,FALSE)</f>
        <v>Patch 44, BG changes, QOL and other</v>
      </c>
    </row>
    <row r="1026" spans="1:12" x14ac:dyDescent="0.25">
      <c r="A1026">
        <v>1487</v>
      </c>
      <c r="B1026">
        <v>1021</v>
      </c>
      <c r="C1026">
        <v>1133</v>
      </c>
      <c r="D1026" t="s">
        <v>3038</v>
      </c>
      <c r="E1026" t="str">
        <f>IF(NOT(ISERROR(VLOOKUP(D1026,'ESO DungeonFinder'!$A$2:$A$999,1,FALSE))),"X","")</f>
        <v/>
      </c>
      <c r="F1026" s="70" t="str">
        <f t="shared" si="60"/>
        <v/>
      </c>
      <c r="G1026" s="70" t="str">
        <f t="shared" si="63"/>
        <v>Southern Elsweyr</v>
      </c>
      <c r="H1026" s="70">
        <f t="shared" si="61"/>
        <v>1487</v>
      </c>
      <c r="I1026" s="70">
        <f t="shared" si="62"/>
        <v>1133</v>
      </c>
      <c r="J1026">
        <v>16</v>
      </c>
      <c r="K1026" s="3" t="str">
        <f ca="1">VLOOKUP(J1026,ConstDLCIds!$A$4:$B$1000,2,FALSE)</f>
        <v>DLC_DRAGONHOLD</v>
      </c>
      <c r="L1026" s="3" t="str">
        <f ca="1">VLOOKUP(J1026,ConstDLCIds!$A$4:$C$1000,3,FALSE)</f>
        <v>Dragonhold</v>
      </c>
    </row>
    <row r="1027" spans="1:12" x14ac:dyDescent="0.25">
      <c r="A1027">
        <v>1488</v>
      </c>
      <c r="B1027">
        <v>1022</v>
      </c>
      <c r="C1027">
        <v>1463</v>
      </c>
      <c r="D1027" t="s">
        <v>3039</v>
      </c>
      <c r="E1027" t="str">
        <f>IF(NOT(ISERROR(VLOOKUP(D1027,'ESO DungeonFinder'!$A$2:$A$999,1,FALSE))),"X","")</f>
        <v/>
      </c>
      <c r="F1027" s="70" t="str">
        <f t="shared" si="60"/>
        <v/>
      </c>
      <c r="G1027" s="70" t="str">
        <f t="shared" si="63"/>
        <v>The Scholarium</v>
      </c>
      <c r="H1027" s="70">
        <f t="shared" si="61"/>
        <v>1488</v>
      </c>
      <c r="I1027" s="70">
        <f t="shared" si="62"/>
        <v>1463</v>
      </c>
      <c r="J1027">
        <v>34</v>
      </c>
      <c r="K1027" s="3" t="str">
        <f ca="1">VLOOKUP(J1027,ConstDLCIds!$A$4:$B$1000,2,FALSE)</f>
        <v>DLC_GOLD_ROAD</v>
      </c>
      <c r="L1027" s="3" t="str">
        <f ca="1">VLOOKUP(J1027,ConstDLCIds!$A$4:$C$1000,3,FALSE)</f>
        <v>Gold Road</v>
      </c>
    </row>
    <row r="1028" spans="1:12" x14ac:dyDescent="0.25">
      <c r="A1028">
        <v>1491</v>
      </c>
      <c r="B1028">
        <v>1023</v>
      </c>
      <c r="C1028">
        <v>1443</v>
      </c>
      <c r="D1028" t="s">
        <v>3040</v>
      </c>
      <c r="E1028" t="str">
        <f>IF(NOT(ISERROR(VLOOKUP(D1028,'ESO DungeonFinder'!$A$2:$A$999,1,FALSE))),"X","")</f>
        <v/>
      </c>
      <c r="F1028" s="70" t="str">
        <f t="shared" si="60"/>
        <v/>
      </c>
      <c r="G1028" s="70" t="str">
        <f t="shared" si="63"/>
        <v>West Weald</v>
      </c>
      <c r="H1028" s="70">
        <f t="shared" si="61"/>
        <v>1491</v>
      </c>
      <c r="I1028" s="70">
        <f t="shared" si="62"/>
        <v>1443</v>
      </c>
      <c r="J1028">
        <v>34</v>
      </c>
      <c r="K1028" s="3" t="str">
        <f ca="1">VLOOKUP(J1028,ConstDLCIds!$A$4:$B$1000,2,FALSE)</f>
        <v>DLC_GOLD_ROAD</v>
      </c>
      <c r="L1028" s="3" t="str">
        <f ca="1">VLOOKUP(J1028,ConstDLCIds!$A$4:$C$1000,3,FALSE)</f>
        <v>Gold Road</v>
      </c>
    </row>
    <row r="1029" spans="1:12" x14ac:dyDescent="0.25">
      <c r="A1029">
        <v>1492</v>
      </c>
      <c r="B1029">
        <v>1024</v>
      </c>
      <c r="C1029">
        <v>1443</v>
      </c>
      <c r="D1029" t="s">
        <v>3041</v>
      </c>
      <c r="E1029" t="str">
        <f>IF(NOT(ISERROR(VLOOKUP(D1029,'ESO DungeonFinder'!$A$2:$A$999,1,FALSE))),"X","")</f>
        <v/>
      </c>
      <c r="F1029" s="70" t="str">
        <f t="shared" ref="F1029:F1092" si="64">IF(EXACT(A1029,C1029),"X","")</f>
        <v/>
      </c>
      <c r="G1029" s="70" t="str">
        <f t="shared" si="63"/>
        <v>West Weald</v>
      </c>
      <c r="H1029" s="70">
        <f t="shared" ref="H1029:H1092" si="65">A1029</f>
        <v>1492</v>
      </c>
      <c r="I1029" s="70">
        <f t="shared" ref="I1029:I1092" si="66">C1029</f>
        <v>1443</v>
      </c>
      <c r="J1029">
        <v>34</v>
      </c>
      <c r="K1029" s="3" t="str">
        <f ca="1">VLOOKUP(J1029,ConstDLCIds!$A$4:$B$1000,2,FALSE)</f>
        <v>DLC_GOLD_ROAD</v>
      </c>
      <c r="L1029" s="3" t="str">
        <f ca="1">VLOOKUP(J1029,ConstDLCIds!$A$4:$C$1000,3,FALSE)</f>
        <v>Gold Road</v>
      </c>
    </row>
    <row r="1030" spans="1:12" x14ac:dyDescent="0.25">
      <c r="A1030">
        <v>1494</v>
      </c>
      <c r="B1030">
        <v>1025</v>
      </c>
      <c r="C1030">
        <v>381</v>
      </c>
      <c r="D1030" t="s">
        <v>3042</v>
      </c>
      <c r="E1030" t="str">
        <f>IF(NOT(ISERROR(VLOOKUP(D1030,'ESO DungeonFinder'!$A$2:$A$999,1,FALSE))),"X","")</f>
        <v/>
      </c>
      <c r="F1030" s="70" t="str">
        <f t="shared" si="64"/>
        <v/>
      </c>
      <c r="G1030" s="70" t="str">
        <f t="shared" ref="G1030:G1098" si="67">IF(A1030&lt;&gt;C1030,VLOOKUP(C1030,$A$5:$D$9956,4,FALSE),"")</f>
        <v>Auridon</v>
      </c>
      <c r="H1030" s="70">
        <f t="shared" si="65"/>
        <v>1494</v>
      </c>
      <c r="I1030" s="70">
        <f t="shared" si="66"/>
        <v>381</v>
      </c>
      <c r="J1030">
        <v>0</v>
      </c>
      <c r="K1030" s="3" t="str">
        <f>VLOOKUP(J1030,ConstDLCIds!$A$4:$B$1000,2,FALSE)</f>
        <v>DLC_BASE_GAME</v>
      </c>
      <c r="L1030" s="3" t="str">
        <f>VLOOKUP(J1030,ConstDLCIds!$A$4:$C$1000,3,FALSE)</f>
        <v>Included in base game</v>
      </c>
    </row>
    <row r="1031" spans="1:12" x14ac:dyDescent="0.25">
      <c r="A1031">
        <v>1495</v>
      </c>
      <c r="B1031">
        <v>1026</v>
      </c>
      <c r="C1031">
        <v>1443</v>
      </c>
      <c r="D1031" t="s">
        <v>3043</v>
      </c>
      <c r="E1031" t="str">
        <f>IF(NOT(ISERROR(VLOOKUP(D1031,'ESO DungeonFinder'!$A$2:$A$999,1,FALSE))),"X","")</f>
        <v/>
      </c>
      <c r="F1031" s="70" t="str">
        <f t="shared" si="64"/>
        <v/>
      </c>
      <c r="G1031" s="70" t="str">
        <f t="shared" si="67"/>
        <v>West Weald</v>
      </c>
      <c r="H1031" s="70">
        <f t="shared" si="65"/>
        <v>1495</v>
      </c>
      <c r="I1031" s="70">
        <f t="shared" si="66"/>
        <v>1443</v>
      </c>
      <c r="J1031">
        <v>34</v>
      </c>
      <c r="K1031" s="3" t="str">
        <f ca="1">VLOOKUP(J1031,ConstDLCIds!$A$4:$B$1000,2,FALSE)</f>
        <v>DLC_GOLD_ROAD</v>
      </c>
      <c r="L1031" s="3" t="str">
        <f ca="1">VLOOKUP(J1031,ConstDLCIds!$A$4:$C$1000,3,FALSE)</f>
        <v>Gold Road</v>
      </c>
    </row>
    <row r="1032" spans="1:12" x14ac:dyDescent="0.25">
      <c r="A1032">
        <v>1496</v>
      </c>
      <c r="B1032">
        <v>1027</v>
      </c>
      <c r="C1032">
        <v>1443</v>
      </c>
      <c r="D1032" t="s">
        <v>2149</v>
      </c>
      <c r="E1032" t="str">
        <f>IF(NOT(ISERROR(VLOOKUP(D1032,'ESO DungeonFinder'!$A$2:$A$999,1,FALSE))),"X","")</f>
        <v>X</v>
      </c>
      <c r="F1032" s="70" t="str">
        <f t="shared" si="64"/>
        <v/>
      </c>
      <c r="G1032" s="70" t="str">
        <f t="shared" si="67"/>
        <v>West Weald</v>
      </c>
      <c r="H1032" s="70">
        <f t="shared" si="65"/>
        <v>1496</v>
      </c>
      <c r="I1032" s="70">
        <f t="shared" si="66"/>
        <v>1443</v>
      </c>
      <c r="J1032">
        <v>37</v>
      </c>
      <c r="K1032" s="3" t="str">
        <f ca="1">VLOOKUP(J1032,ConstDLCIds!$A$4:$B$1000,2,FALSE)</f>
        <v>DLC_FALLEN_BANNERS</v>
      </c>
      <c r="L1032" s="3" t="str">
        <f ca="1">VLOOKUP(J1032,ConstDLCIds!$A$4:$C$1000,3,FALSE)</f>
        <v>Fallen Banners</v>
      </c>
    </row>
    <row r="1033" spans="1:12" x14ac:dyDescent="0.25">
      <c r="A1033">
        <v>1497</v>
      </c>
      <c r="B1033">
        <v>1028</v>
      </c>
      <c r="C1033">
        <v>816</v>
      </c>
      <c r="D1033" t="s">
        <v>2150</v>
      </c>
      <c r="E1033" t="str">
        <f>IF(NOT(ISERROR(VLOOKUP(D1033,'ESO DungeonFinder'!$A$2:$A$999,1,FALSE))),"X","")</f>
        <v>X</v>
      </c>
      <c r="F1033" s="70" t="str">
        <f t="shared" si="64"/>
        <v/>
      </c>
      <c r="G1033" s="70" t="str">
        <f t="shared" si="67"/>
        <v>Hew's Bane</v>
      </c>
      <c r="H1033" s="70">
        <f t="shared" si="65"/>
        <v>1497</v>
      </c>
      <c r="I1033" s="70">
        <f t="shared" si="66"/>
        <v>816</v>
      </c>
      <c r="J1033">
        <v>37</v>
      </c>
      <c r="K1033" s="3" t="str">
        <f ca="1">VLOOKUP(J1033,ConstDLCIds!$A$4:$B$1000,2,FALSE)</f>
        <v>DLC_FALLEN_BANNERS</v>
      </c>
      <c r="L1033" s="3" t="str">
        <f ca="1">VLOOKUP(J1033,ConstDLCIds!$A$4:$C$1000,3,FALSE)</f>
        <v>Fallen Banners</v>
      </c>
    </row>
    <row r="1034" spans="1:12" x14ac:dyDescent="0.25">
      <c r="A1034">
        <v>1498</v>
      </c>
      <c r="B1034">
        <v>1029</v>
      </c>
      <c r="C1034">
        <v>1498</v>
      </c>
      <c r="D1034" t="s">
        <v>3044</v>
      </c>
      <c r="E1034" t="str">
        <f>IF(NOT(ISERROR(VLOOKUP(D1034,'ESO DungeonFinder'!$A$2:$A$999,1,FALSE))),"X","")</f>
        <v/>
      </c>
      <c r="F1034" s="70" t="str">
        <f t="shared" si="64"/>
        <v>X</v>
      </c>
      <c r="G1034" s="70" t="str">
        <f t="shared" si="67"/>
        <v/>
      </c>
      <c r="H1034" s="70">
        <f t="shared" si="65"/>
        <v>1498</v>
      </c>
      <c r="I1034" s="70">
        <f t="shared" si="66"/>
        <v>1498</v>
      </c>
      <c r="J1034">
        <v>36</v>
      </c>
      <c r="K1034" s="3" t="str">
        <f ca="1">VLOOKUP(J1034,ConstDLCIds!$A$4:$B$1000,2,FALSE)</f>
        <v>NO_DLC_UPDATE44</v>
      </c>
      <c r="L1034" s="3" t="str">
        <f ca="1">VLOOKUP(J1034,ConstDLCIds!$A$4:$C$1000,3,FALSE)</f>
        <v>Patch 44, BG changes, QOL and other</v>
      </c>
    </row>
    <row r="1035" spans="1:12" x14ac:dyDescent="0.25">
      <c r="A1035">
        <v>1499</v>
      </c>
      <c r="B1035">
        <v>1030</v>
      </c>
      <c r="C1035">
        <v>1499</v>
      </c>
      <c r="D1035" t="s">
        <v>2780</v>
      </c>
      <c r="E1035" t="str">
        <f>IF(NOT(ISERROR(VLOOKUP(D1035,'ESO DungeonFinder'!$A$2:$A$999,1,FALSE))),"X","")</f>
        <v/>
      </c>
      <c r="F1035" s="70" t="str">
        <f t="shared" si="64"/>
        <v>X</v>
      </c>
      <c r="G1035" s="70" t="str">
        <f t="shared" si="67"/>
        <v/>
      </c>
      <c r="H1035" s="70">
        <f t="shared" si="65"/>
        <v>1499</v>
      </c>
      <c r="I1035" s="70">
        <f t="shared" si="66"/>
        <v>1499</v>
      </c>
      <c r="J1035">
        <v>36</v>
      </c>
      <c r="K1035" s="3" t="str">
        <f ca="1">VLOOKUP(J1035,ConstDLCIds!$A$4:$B$1000,2,FALSE)</f>
        <v>NO_DLC_UPDATE44</v>
      </c>
      <c r="L1035" s="3" t="str">
        <f ca="1">VLOOKUP(J1035,ConstDLCIds!$A$4:$C$1000,3,FALSE)</f>
        <v>Patch 44, BG changes, QOL and other</v>
      </c>
    </row>
    <row r="1036" spans="1:12" x14ac:dyDescent="0.25">
      <c r="A1036">
        <v>1500</v>
      </c>
      <c r="B1036">
        <v>1031</v>
      </c>
      <c r="C1036">
        <v>1161</v>
      </c>
      <c r="D1036" t="s">
        <v>3045</v>
      </c>
      <c r="E1036" t="str">
        <f>IF(NOT(ISERROR(VLOOKUP(D1036,'ESO DungeonFinder'!$A$2:$A$999,1,FALSE))),"X","")</f>
        <v/>
      </c>
      <c r="F1036" s="70" t="str">
        <f t="shared" si="64"/>
        <v/>
      </c>
      <c r="G1036" s="70" t="str">
        <f t="shared" si="67"/>
        <v>Blackreach: Greymoor Caverns</v>
      </c>
      <c r="H1036" s="70">
        <f t="shared" si="65"/>
        <v>1500</v>
      </c>
      <c r="I1036" s="70">
        <f t="shared" si="66"/>
        <v>1161</v>
      </c>
      <c r="J1036">
        <v>18</v>
      </c>
      <c r="K1036" s="3" t="str">
        <f ca="1">VLOOKUP(J1036,ConstDLCIds!$A$4:$B$1000,2,FALSE)</f>
        <v>DLC_GREYMOOR</v>
      </c>
      <c r="L1036" s="3" t="str">
        <f ca="1">VLOOKUP(J1036,ConstDLCIds!$A$4:$C$1000,3,FALSE)</f>
        <v>Greymoor</v>
      </c>
    </row>
    <row r="1037" spans="1:12" x14ac:dyDescent="0.25">
      <c r="A1037">
        <v>1501</v>
      </c>
      <c r="B1037">
        <v>1032</v>
      </c>
      <c r="C1037">
        <v>103</v>
      </c>
      <c r="D1037" t="s">
        <v>3046</v>
      </c>
      <c r="E1037" t="str">
        <f>IF(NOT(ISERROR(VLOOKUP(D1037,'ESO DungeonFinder'!$A$2:$A$999,1,FALSE))),"X","")</f>
        <v/>
      </c>
      <c r="F1037" s="70" t="str">
        <f t="shared" si="64"/>
        <v/>
      </c>
      <c r="G1037" s="70" t="str">
        <f t="shared" si="67"/>
        <v>The Rift</v>
      </c>
      <c r="H1037" s="70">
        <f t="shared" si="65"/>
        <v>1501</v>
      </c>
      <c r="I1037" s="70">
        <f t="shared" si="66"/>
        <v>103</v>
      </c>
      <c r="J1037">
        <v>0</v>
      </c>
      <c r="K1037" s="3" t="str">
        <f>VLOOKUP(J1037,ConstDLCIds!$A$4:$B$1000,2,FALSE)</f>
        <v>DLC_BASE_GAME</v>
      </c>
      <c r="L1037" s="3" t="str">
        <f>VLOOKUP(J1037,ConstDLCIds!$A$4:$C$1000,3,FALSE)</f>
        <v>Included in base game</v>
      </c>
    </row>
    <row r="1038" spans="1:12" x14ac:dyDescent="0.25">
      <c r="A1038">
        <v>1502</v>
      </c>
      <c r="B1038">
        <v>1033</v>
      </c>
      <c r="C1038">
        <v>1502</v>
      </c>
      <c r="D1038" t="s">
        <v>2036</v>
      </c>
      <c r="E1038" t="str">
        <f>IF(NOT(ISERROR(VLOOKUP(D1038,'ESO DungeonFinder'!$A$2:$A$999,1,FALSE))),"X","")</f>
        <v/>
      </c>
      <c r="F1038" s="70" t="str">
        <f t="shared" si="64"/>
        <v>X</v>
      </c>
      <c r="G1038" s="70" t="str">
        <f t="shared" si="67"/>
        <v/>
      </c>
      <c r="H1038" s="70">
        <f t="shared" si="65"/>
        <v>1502</v>
      </c>
      <c r="I1038" s="70">
        <f t="shared" si="66"/>
        <v>1502</v>
      </c>
      <c r="J1038">
        <v>38</v>
      </c>
      <c r="K1038" s="3" t="str">
        <f ca="1">VLOOKUP(J1038,ConstDLCIds!$A$4:$B$1000,2,FALSE)</f>
        <v>DLC_SEASONS_OF_THE_WORMCULT1</v>
      </c>
      <c r="L1038" s="3" t="str">
        <f ca="1">VLOOKUP(J1038,ConstDLCIds!$A$4:$C$1000,3,FALSE)</f>
        <v>Seasons of the Wormcult Part 1</v>
      </c>
    </row>
    <row r="1039" spans="1:12" x14ac:dyDescent="0.25">
      <c r="A1039">
        <v>1504</v>
      </c>
      <c r="B1039">
        <v>1034</v>
      </c>
      <c r="C1039">
        <v>1504</v>
      </c>
      <c r="D1039" t="s">
        <v>3047</v>
      </c>
      <c r="E1039" t="str">
        <f>IF(NOT(ISERROR(VLOOKUP(D1039,'ESO DungeonFinder'!$A$2:$A$999,1,FALSE))),"X","")</f>
        <v/>
      </c>
      <c r="F1039" s="70" t="str">
        <f t="shared" si="64"/>
        <v>X</v>
      </c>
      <c r="G1039" s="70" t="str">
        <f t="shared" si="67"/>
        <v/>
      </c>
      <c r="H1039" s="70">
        <f t="shared" si="65"/>
        <v>1504</v>
      </c>
      <c r="I1039" s="70">
        <f t="shared" si="66"/>
        <v>1504</v>
      </c>
      <c r="J1039">
        <v>36</v>
      </c>
      <c r="K1039" s="3" t="str">
        <f ca="1">VLOOKUP(J1039,ConstDLCIds!$A$4:$B$1000,2,FALSE)</f>
        <v>NO_DLC_UPDATE44</v>
      </c>
      <c r="L1039" s="3" t="str">
        <f ca="1">VLOOKUP(J1039,ConstDLCIds!$A$4:$C$1000,3,FALSE)</f>
        <v>Patch 44, BG changes, QOL and other</v>
      </c>
    </row>
    <row r="1040" spans="1:12" x14ac:dyDescent="0.25">
      <c r="A1040">
        <v>1505</v>
      </c>
      <c r="B1040">
        <v>1035</v>
      </c>
      <c r="C1040">
        <v>20</v>
      </c>
      <c r="D1040" t="s">
        <v>3048</v>
      </c>
      <c r="E1040" t="str">
        <f>IF(NOT(ISERROR(VLOOKUP(D1040,'ESO DungeonFinder'!$A$2:$A$999,1,FALSE))),"X","")</f>
        <v/>
      </c>
      <c r="F1040" s="70" t="str">
        <f t="shared" si="64"/>
        <v/>
      </c>
      <c r="G1040" s="70" t="str">
        <f t="shared" si="67"/>
        <v>Rivenspire</v>
      </c>
      <c r="H1040" s="70">
        <f t="shared" si="65"/>
        <v>1505</v>
      </c>
      <c r="I1040" s="70">
        <f t="shared" si="66"/>
        <v>20</v>
      </c>
      <c r="J1040">
        <v>37</v>
      </c>
      <c r="K1040" s="3" t="str">
        <f ca="1">VLOOKUP(J1040,ConstDLCIds!$A$4:$B$1000,2,FALSE)</f>
        <v>DLC_FALLEN_BANNERS</v>
      </c>
      <c r="L1040" s="3" t="str">
        <f ca="1">VLOOKUP(J1040,ConstDLCIds!$A$4:$C$1000,3,FALSE)</f>
        <v>Fallen Banners</v>
      </c>
    </row>
    <row r="1041" spans="1:12" x14ac:dyDescent="0.25">
      <c r="A1041">
        <v>1506</v>
      </c>
      <c r="B1041">
        <v>1036</v>
      </c>
      <c r="C1041">
        <v>20</v>
      </c>
      <c r="D1041" t="s">
        <v>3049</v>
      </c>
      <c r="E1041" t="str">
        <f>IF(NOT(ISERROR(VLOOKUP(D1041,'ESO DungeonFinder'!$A$2:$A$999,1,FALSE))),"X","")</f>
        <v/>
      </c>
      <c r="F1041" s="70" t="str">
        <f t="shared" si="64"/>
        <v/>
      </c>
      <c r="G1041" s="70" t="str">
        <f t="shared" si="67"/>
        <v>Rivenspire</v>
      </c>
      <c r="H1041" s="70">
        <f t="shared" si="65"/>
        <v>1506</v>
      </c>
      <c r="I1041" s="70">
        <f t="shared" si="66"/>
        <v>20</v>
      </c>
      <c r="J1041">
        <v>37</v>
      </c>
      <c r="K1041" s="3" t="str">
        <f ca="1">VLOOKUP(J1041,ConstDLCIds!$A$4:$B$1000,2,FALSE)</f>
        <v>DLC_FALLEN_BANNERS</v>
      </c>
      <c r="L1041" s="3" t="str">
        <f ca="1">VLOOKUP(J1041,ConstDLCIds!$A$4:$C$1000,3,FALSE)</f>
        <v>Fallen Banners</v>
      </c>
    </row>
    <row r="1042" spans="1:12" x14ac:dyDescent="0.25">
      <c r="A1042">
        <v>1507</v>
      </c>
      <c r="B1042">
        <v>1037</v>
      </c>
      <c r="C1042">
        <v>208</v>
      </c>
      <c r="D1042" t="s">
        <v>554</v>
      </c>
      <c r="E1042" t="str">
        <f>IF(NOT(ISERROR(VLOOKUP(D1042,'ESO DungeonFinder'!$A$2:$A$999,1,FALSE))),"X","")</f>
        <v/>
      </c>
      <c r="F1042" s="70" t="str">
        <f t="shared" si="64"/>
        <v/>
      </c>
      <c r="G1042" s="70" t="str">
        <f t="shared" si="67"/>
        <v>The Earth Forge</v>
      </c>
      <c r="H1042" s="70">
        <f t="shared" si="65"/>
        <v>1507</v>
      </c>
      <c r="I1042" s="70">
        <f t="shared" si="66"/>
        <v>208</v>
      </c>
      <c r="J1042">
        <v>37</v>
      </c>
      <c r="K1042" s="3" t="str">
        <f ca="1">VLOOKUP(J1042,ConstDLCIds!$A$4:$B$1000,2,FALSE)</f>
        <v>DLC_FALLEN_BANNERS</v>
      </c>
      <c r="L1042" s="3" t="str">
        <f ca="1">VLOOKUP(J1042,ConstDLCIds!$A$4:$C$1000,3,FALSE)</f>
        <v>Fallen Banners</v>
      </c>
    </row>
    <row r="1043" spans="1:12" x14ac:dyDescent="0.25">
      <c r="A1043">
        <v>1508</v>
      </c>
      <c r="B1043">
        <v>1038</v>
      </c>
      <c r="C1043">
        <v>1508</v>
      </c>
      <c r="D1043" t="s">
        <v>2479</v>
      </c>
      <c r="E1043" t="str">
        <f>IF(NOT(ISERROR(VLOOKUP(D1043,'ESO DungeonFinder'!$A$2:$A$999,1,FALSE))),"X","")</f>
        <v/>
      </c>
      <c r="F1043" s="70" t="str">
        <f t="shared" si="64"/>
        <v>X</v>
      </c>
      <c r="G1043" s="70" t="str">
        <f t="shared" si="67"/>
        <v/>
      </c>
      <c r="H1043" s="70">
        <f t="shared" si="65"/>
        <v>1508</v>
      </c>
      <c r="I1043" s="70">
        <f t="shared" si="66"/>
        <v>1508</v>
      </c>
      <c r="J1043">
        <v>37</v>
      </c>
      <c r="K1043" s="3" t="str">
        <f ca="1">VLOOKUP(J1043,ConstDLCIds!$A$4:$B$1000,2,FALSE)</f>
        <v>DLC_FALLEN_BANNERS</v>
      </c>
      <c r="L1043" s="3" t="str">
        <f ca="1">VLOOKUP(J1043,ConstDLCIds!$A$4:$C$1000,3,FALSE)</f>
        <v>Fallen Banners</v>
      </c>
    </row>
    <row r="1044" spans="1:12" x14ac:dyDescent="0.25">
      <c r="A1044">
        <v>1509</v>
      </c>
      <c r="B1044">
        <v>1039</v>
      </c>
      <c r="C1044">
        <v>1502</v>
      </c>
      <c r="D1044" t="s">
        <v>3050</v>
      </c>
      <c r="E1044" t="str">
        <f>IF(NOT(ISERROR(VLOOKUP(D1044,'ESO DungeonFinder'!$A$2:$A$999,1,FALSE))),"X","")</f>
        <v/>
      </c>
      <c r="F1044" s="70" t="str">
        <f t="shared" si="64"/>
        <v/>
      </c>
      <c r="G1044" s="70" t="str">
        <f t="shared" si="67"/>
        <v>Solstice</v>
      </c>
      <c r="H1044" s="70">
        <f t="shared" si="65"/>
        <v>1509</v>
      </c>
      <c r="I1044" s="70">
        <f t="shared" si="66"/>
        <v>1502</v>
      </c>
      <c r="J1044">
        <v>38</v>
      </c>
      <c r="K1044" s="3" t="str">
        <f ca="1">VLOOKUP(J1044,ConstDLCIds!$A$4:$B$1000,2,FALSE)</f>
        <v>DLC_SEASONS_OF_THE_WORMCULT1</v>
      </c>
      <c r="L1044" s="3" t="str">
        <f ca="1">VLOOKUP(J1044,ConstDLCIds!$A$4:$C$1000,3,FALSE)</f>
        <v>Seasons of the Wormcult Part 1</v>
      </c>
    </row>
    <row r="1045" spans="1:12" x14ac:dyDescent="0.25">
      <c r="A1045">
        <v>1510</v>
      </c>
      <c r="B1045">
        <v>1040</v>
      </c>
      <c r="C1045">
        <v>1502</v>
      </c>
      <c r="D1045" t="s">
        <v>3051</v>
      </c>
      <c r="E1045" t="str">
        <f>IF(NOT(ISERROR(VLOOKUP(D1045,'ESO DungeonFinder'!$A$2:$A$999,1,FALSE))),"X","")</f>
        <v/>
      </c>
      <c r="F1045" s="70" t="str">
        <f t="shared" si="64"/>
        <v/>
      </c>
      <c r="G1045" s="70" t="str">
        <f t="shared" si="67"/>
        <v>Solstice</v>
      </c>
      <c r="H1045" s="70">
        <f t="shared" si="65"/>
        <v>1510</v>
      </c>
      <c r="I1045" s="70">
        <f t="shared" si="66"/>
        <v>1502</v>
      </c>
      <c r="J1045">
        <v>38</v>
      </c>
      <c r="K1045" s="3" t="str">
        <f ca="1">VLOOKUP(J1045,ConstDLCIds!$A$4:$B$1000,2,FALSE)</f>
        <v>DLC_SEASONS_OF_THE_WORMCULT1</v>
      </c>
      <c r="L1045" s="3" t="str">
        <f ca="1">VLOOKUP(J1045,ConstDLCIds!$A$4:$C$1000,3,FALSE)</f>
        <v>Seasons of the Wormcult Part 1</v>
      </c>
    </row>
    <row r="1046" spans="1:12" x14ac:dyDescent="0.25">
      <c r="A1046">
        <v>1511</v>
      </c>
      <c r="B1046">
        <v>1041</v>
      </c>
      <c r="C1046">
        <v>1502</v>
      </c>
      <c r="D1046" t="s">
        <v>3052</v>
      </c>
      <c r="E1046" t="str">
        <f>IF(NOT(ISERROR(VLOOKUP(D1046,'ESO DungeonFinder'!$A$2:$A$999,1,FALSE))),"X","")</f>
        <v/>
      </c>
      <c r="F1046" s="70" t="str">
        <f t="shared" si="64"/>
        <v/>
      </c>
      <c r="G1046" s="70" t="str">
        <f t="shared" si="67"/>
        <v>Solstice</v>
      </c>
      <c r="H1046" s="70">
        <f t="shared" si="65"/>
        <v>1511</v>
      </c>
      <c r="I1046" s="70">
        <f t="shared" si="66"/>
        <v>1502</v>
      </c>
      <c r="J1046">
        <v>38</v>
      </c>
      <c r="K1046" s="3" t="str">
        <f ca="1">VLOOKUP(J1046,ConstDLCIds!$A$4:$B$1000,2,FALSE)</f>
        <v>DLC_SEASONS_OF_THE_WORMCULT1</v>
      </c>
      <c r="L1046" s="3" t="str">
        <f ca="1">VLOOKUP(J1046,ConstDLCIds!$A$4:$C$1000,3,FALSE)</f>
        <v>Seasons of the Wormcult Part 1</v>
      </c>
    </row>
    <row r="1047" spans="1:12" x14ac:dyDescent="0.25">
      <c r="A1047">
        <v>1512</v>
      </c>
      <c r="B1047">
        <v>1042</v>
      </c>
      <c r="C1047">
        <v>1502</v>
      </c>
      <c r="D1047" t="s">
        <v>2043</v>
      </c>
      <c r="E1047" t="str">
        <f>IF(NOT(ISERROR(VLOOKUP(D1047,'ESO DungeonFinder'!$A$2:$A$999,1,FALSE))),"X","")</f>
        <v/>
      </c>
      <c r="F1047" s="70" t="str">
        <f t="shared" si="64"/>
        <v/>
      </c>
      <c r="G1047" s="70" t="str">
        <f t="shared" si="67"/>
        <v>Solstice</v>
      </c>
      <c r="H1047" s="70">
        <f t="shared" si="65"/>
        <v>1512</v>
      </c>
      <c r="I1047" s="70">
        <f t="shared" si="66"/>
        <v>1502</v>
      </c>
      <c r="J1047">
        <v>38</v>
      </c>
      <c r="K1047" s="3" t="str">
        <f ca="1">VLOOKUP(J1047,ConstDLCIds!$A$4:$B$1000,2,FALSE)</f>
        <v>DLC_SEASONS_OF_THE_WORMCULT1</v>
      </c>
      <c r="L1047" s="3" t="str">
        <f ca="1">VLOOKUP(J1047,ConstDLCIds!$A$4:$C$1000,3,FALSE)</f>
        <v>Seasons of the Wormcult Part 1</v>
      </c>
    </row>
    <row r="1048" spans="1:12" x14ac:dyDescent="0.25">
      <c r="A1048">
        <v>1513</v>
      </c>
      <c r="B1048">
        <v>1043</v>
      </c>
      <c r="C1048">
        <v>1502</v>
      </c>
      <c r="D1048" t="s">
        <v>2058</v>
      </c>
      <c r="E1048" t="str">
        <f>IF(NOT(ISERROR(VLOOKUP(D1048,'ESO DungeonFinder'!$A$2:$A$999,1,FALSE))),"X","")</f>
        <v/>
      </c>
      <c r="F1048" s="70" t="str">
        <f t="shared" si="64"/>
        <v/>
      </c>
      <c r="G1048" s="70" t="str">
        <f t="shared" si="67"/>
        <v>Solstice</v>
      </c>
      <c r="H1048" s="70">
        <f t="shared" si="65"/>
        <v>1513</v>
      </c>
      <c r="I1048" s="70">
        <f t="shared" si="66"/>
        <v>1502</v>
      </c>
      <c r="J1048">
        <v>38</v>
      </c>
      <c r="K1048" s="3" t="str">
        <f ca="1">VLOOKUP(J1048,ConstDLCIds!$A$4:$B$1000,2,FALSE)</f>
        <v>DLC_SEASONS_OF_THE_WORMCULT1</v>
      </c>
      <c r="L1048" s="3" t="str">
        <f ca="1">VLOOKUP(J1048,ConstDLCIds!$A$4:$C$1000,3,FALSE)</f>
        <v>Seasons of the Wormcult Part 1</v>
      </c>
    </row>
    <row r="1049" spans="1:12" x14ac:dyDescent="0.25">
      <c r="A1049">
        <v>1514</v>
      </c>
      <c r="B1049">
        <v>1044</v>
      </c>
      <c r="C1049">
        <v>1502</v>
      </c>
      <c r="D1049" t="s">
        <v>3053</v>
      </c>
      <c r="E1049" t="str">
        <f>IF(NOT(ISERROR(VLOOKUP(D1049,'ESO DungeonFinder'!$A$2:$A$999,1,FALSE))),"X","")</f>
        <v/>
      </c>
      <c r="F1049" s="70" t="str">
        <f t="shared" si="64"/>
        <v/>
      </c>
      <c r="G1049" s="70" t="str">
        <f t="shared" si="67"/>
        <v>Solstice</v>
      </c>
      <c r="H1049" s="70">
        <f t="shared" si="65"/>
        <v>1514</v>
      </c>
      <c r="I1049" s="70">
        <f t="shared" si="66"/>
        <v>1502</v>
      </c>
      <c r="J1049">
        <v>38</v>
      </c>
      <c r="K1049" s="3" t="str">
        <f ca="1">VLOOKUP(J1049,ConstDLCIds!$A$4:$B$1000,2,FALSE)</f>
        <v>DLC_SEASONS_OF_THE_WORMCULT1</v>
      </c>
      <c r="L1049" s="3" t="str">
        <f ca="1">VLOOKUP(J1049,ConstDLCIds!$A$4:$C$1000,3,FALSE)</f>
        <v>Seasons of the Wormcult Part 1</v>
      </c>
    </row>
    <row r="1050" spans="1:12" x14ac:dyDescent="0.25">
      <c r="A1050">
        <v>1515</v>
      </c>
      <c r="B1050">
        <v>1045</v>
      </c>
      <c r="C1050">
        <v>1502</v>
      </c>
      <c r="D1050" t="s">
        <v>3054</v>
      </c>
      <c r="E1050" t="str">
        <f>IF(NOT(ISERROR(VLOOKUP(D1050,'ESO DungeonFinder'!$A$2:$A$999,1,FALSE))),"X","")</f>
        <v/>
      </c>
      <c r="F1050" s="70" t="str">
        <f t="shared" si="64"/>
        <v/>
      </c>
      <c r="G1050" s="70" t="str">
        <f t="shared" si="67"/>
        <v>Solstice</v>
      </c>
      <c r="H1050" s="70">
        <f t="shared" si="65"/>
        <v>1515</v>
      </c>
      <c r="I1050" s="70">
        <f t="shared" si="66"/>
        <v>1502</v>
      </c>
      <c r="J1050">
        <v>38</v>
      </c>
      <c r="K1050" s="3" t="str">
        <f ca="1">VLOOKUP(J1050,ConstDLCIds!$A$4:$B$1000,2,FALSE)</f>
        <v>DLC_SEASONS_OF_THE_WORMCULT1</v>
      </c>
      <c r="L1050" s="3" t="str">
        <f ca="1">VLOOKUP(J1050,ConstDLCIds!$A$4:$C$1000,3,FALSE)</f>
        <v>Seasons of the Wormcult Part 1</v>
      </c>
    </row>
    <row r="1051" spans="1:12" x14ac:dyDescent="0.25">
      <c r="A1051">
        <v>1516</v>
      </c>
      <c r="B1051">
        <v>1046</v>
      </c>
      <c r="C1051">
        <v>1502</v>
      </c>
      <c r="D1051" t="s">
        <v>3055</v>
      </c>
      <c r="E1051" t="str">
        <f>IF(NOT(ISERROR(VLOOKUP(D1051,'ESO DungeonFinder'!$A$2:$A$999,1,FALSE))),"X","")</f>
        <v/>
      </c>
      <c r="F1051" s="70" t="str">
        <f t="shared" si="64"/>
        <v/>
      </c>
      <c r="G1051" s="70" t="str">
        <f t="shared" si="67"/>
        <v>Solstice</v>
      </c>
      <c r="H1051" s="70">
        <f t="shared" si="65"/>
        <v>1516</v>
      </c>
      <c r="I1051" s="70">
        <f t="shared" si="66"/>
        <v>1502</v>
      </c>
      <c r="J1051">
        <v>38</v>
      </c>
      <c r="K1051" s="3" t="str">
        <f ca="1">VLOOKUP(J1051,ConstDLCIds!$A$4:$B$1000,2,FALSE)</f>
        <v>DLC_SEASONS_OF_THE_WORMCULT1</v>
      </c>
      <c r="L1051" s="3" t="str">
        <f ca="1">VLOOKUP(J1051,ConstDLCIds!$A$4:$C$1000,3,FALSE)</f>
        <v>Seasons of the Wormcult Part 1</v>
      </c>
    </row>
    <row r="1052" spans="1:12" x14ac:dyDescent="0.25">
      <c r="A1052">
        <v>1517</v>
      </c>
      <c r="B1052">
        <v>1047</v>
      </c>
      <c r="C1052">
        <v>1502</v>
      </c>
      <c r="D1052" t="s">
        <v>3056</v>
      </c>
      <c r="E1052" t="str">
        <f>IF(NOT(ISERROR(VLOOKUP(D1052,'ESO DungeonFinder'!$A$2:$A$999,1,FALSE))),"X","")</f>
        <v/>
      </c>
      <c r="F1052" s="70" t="str">
        <f t="shared" si="64"/>
        <v/>
      </c>
      <c r="G1052" s="70" t="str">
        <f t="shared" si="67"/>
        <v>Solstice</v>
      </c>
      <c r="H1052" s="70">
        <f t="shared" si="65"/>
        <v>1517</v>
      </c>
      <c r="I1052" s="70">
        <f t="shared" si="66"/>
        <v>1502</v>
      </c>
      <c r="J1052">
        <v>38</v>
      </c>
      <c r="K1052" s="3" t="str">
        <f ca="1">VLOOKUP(J1052,ConstDLCIds!$A$4:$B$1000,2,FALSE)</f>
        <v>DLC_SEASONS_OF_THE_WORMCULT1</v>
      </c>
      <c r="L1052" s="3" t="str">
        <f ca="1">VLOOKUP(J1052,ConstDLCIds!$A$4:$C$1000,3,FALSE)</f>
        <v>Seasons of the Wormcult Part 1</v>
      </c>
    </row>
    <row r="1053" spans="1:12" x14ac:dyDescent="0.25">
      <c r="A1053">
        <v>1518</v>
      </c>
      <c r="B1053">
        <v>1048</v>
      </c>
      <c r="C1053">
        <v>1502</v>
      </c>
      <c r="D1053" t="s">
        <v>3057</v>
      </c>
      <c r="E1053" t="str">
        <f>IF(NOT(ISERROR(VLOOKUP(D1053,'ESO DungeonFinder'!$A$2:$A$999,1,FALSE))),"X","")</f>
        <v/>
      </c>
      <c r="F1053" s="70" t="str">
        <f t="shared" si="64"/>
        <v/>
      </c>
      <c r="G1053" s="70" t="str">
        <f t="shared" si="67"/>
        <v>Solstice</v>
      </c>
      <c r="H1053" s="70">
        <f t="shared" si="65"/>
        <v>1518</v>
      </c>
      <c r="I1053" s="70">
        <f t="shared" si="66"/>
        <v>1502</v>
      </c>
      <c r="J1053">
        <v>38</v>
      </c>
      <c r="K1053" s="3" t="str">
        <f ca="1">VLOOKUP(J1053,ConstDLCIds!$A$4:$B$1000,2,FALSE)</f>
        <v>DLC_SEASONS_OF_THE_WORMCULT1</v>
      </c>
      <c r="L1053" s="3" t="str">
        <f ca="1">VLOOKUP(J1053,ConstDLCIds!$A$4:$C$1000,3,FALSE)</f>
        <v>Seasons of the Wormcult Part 1</v>
      </c>
    </row>
    <row r="1054" spans="1:12" x14ac:dyDescent="0.25">
      <c r="A1054">
        <v>1520</v>
      </c>
      <c r="B1054">
        <v>1049</v>
      </c>
      <c r="C1054">
        <v>1502</v>
      </c>
      <c r="D1054" t="s">
        <v>3058</v>
      </c>
      <c r="E1054" t="str">
        <f>IF(NOT(ISERROR(VLOOKUP(D1054,'ESO DungeonFinder'!$A$2:$A$999,1,FALSE))),"X","")</f>
        <v/>
      </c>
      <c r="F1054" s="70" t="str">
        <f t="shared" si="64"/>
        <v/>
      </c>
      <c r="G1054" s="70" t="str">
        <f t="shared" si="67"/>
        <v>Solstice</v>
      </c>
      <c r="H1054" s="70">
        <f t="shared" si="65"/>
        <v>1520</v>
      </c>
      <c r="I1054" s="70">
        <f t="shared" si="66"/>
        <v>1502</v>
      </c>
      <c r="J1054">
        <v>38</v>
      </c>
      <c r="K1054" s="3" t="str">
        <f ca="1">VLOOKUP(J1054,ConstDLCIds!$A$4:$B$1000,2,FALSE)</f>
        <v>DLC_SEASONS_OF_THE_WORMCULT1</v>
      </c>
      <c r="L1054" s="3" t="str">
        <f ca="1">VLOOKUP(J1054,ConstDLCIds!$A$4:$C$1000,3,FALSE)</f>
        <v>Seasons of the Wormcult Part 1</v>
      </c>
    </row>
    <row r="1055" spans="1:12" x14ac:dyDescent="0.25">
      <c r="A1055">
        <v>1521</v>
      </c>
      <c r="B1055">
        <v>1050</v>
      </c>
      <c r="C1055">
        <v>1502</v>
      </c>
      <c r="D1055" t="s">
        <v>2501</v>
      </c>
      <c r="E1055" t="str">
        <f>IF(NOT(ISERROR(VLOOKUP(D1055,'ESO DungeonFinder'!$A$2:$A$999,1,FALSE))),"X","")</f>
        <v/>
      </c>
      <c r="F1055" s="70" t="str">
        <f t="shared" si="64"/>
        <v/>
      </c>
      <c r="G1055" s="70" t="str">
        <f t="shared" si="67"/>
        <v>Solstice</v>
      </c>
      <c r="H1055" s="70">
        <f t="shared" si="65"/>
        <v>1521</v>
      </c>
      <c r="I1055" s="70">
        <f t="shared" si="66"/>
        <v>1502</v>
      </c>
      <c r="J1055">
        <v>38</v>
      </c>
      <c r="K1055" s="3" t="str">
        <f ca="1">VLOOKUP(J1055,ConstDLCIds!$A$4:$B$1000,2,FALSE)</f>
        <v>DLC_SEASONS_OF_THE_WORMCULT1</v>
      </c>
      <c r="L1055" s="3" t="str">
        <f ca="1">VLOOKUP(J1055,ConstDLCIds!$A$4:$C$1000,3,FALSE)</f>
        <v>Seasons of the Wormcult Part 1</v>
      </c>
    </row>
    <row r="1056" spans="1:12" x14ac:dyDescent="0.25">
      <c r="A1056">
        <v>1522</v>
      </c>
      <c r="B1056">
        <v>1051</v>
      </c>
      <c r="C1056">
        <v>1502</v>
      </c>
      <c r="D1056" t="s">
        <v>3059</v>
      </c>
      <c r="E1056" t="str">
        <f>IF(NOT(ISERROR(VLOOKUP(D1056,'ESO DungeonFinder'!$A$2:$A$999,1,FALSE))),"X","")</f>
        <v/>
      </c>
      <c r="F1056" s="70" t="str">
        <f t="shared" si="64"/>
        <v/>
      </c>
      <c r="G1056" s="70" t="str">
        <f t="shared" si="67"/>
        <v>Solstice</v>
      </c>
      <c r="H1056" s="70">
        <f t="shared" si="65"/>
        <v>1522</v>
      </c>
      <c r="I1056" s="70">
        <f t="shared" si="66"/>
        <v>1502</v>
      </c>
      <c r="J1056">
        <v>38</v>
      </c>
      <c r="K1056" s="3" t="str">
        <f ca="1">VLOOKUP(J1056,ConstDLCIds!$A$4:$B$1000,2,FALSE)</f>
        <v>DLC_SEASONS_OF_THE_WORMCULT1</v>
      </c>
      <c r="L1056" s="3" t="str">
        <f ca="1">VLOOKUP(J1056,ConstDLCIds!$A$4:$C$1000,3,FALSE)</f>
        <v>Seasons of the Wormcult Part 1</v>
      </c>
    </row>
    <row r="1057" spans="1:12" x14ac:dyDescent="0.25">
      <c r="A1057">
        <v>1523</v>
      </c>
      <c r="B1057">
        <v>1052</v>
      </c>
      <c r="C1057">
        <v>1502</v>
      </c>
      <c r="D1057" t="s">
        <v>3060</v>
      </c>
      <c r="E1057" t="str">
        <f>IF(NOT(ISERROR(VLOOKUP(D1057,'ESO DungeonFinder'!$A$2:$A$999,1,FALSE))),"X","")</f>
        <v/>
      </c>
      <c r="F1057" s="70" t="str">
        <f t="shared" si="64"/>
        <v/>
      </c>
      <c r="G1057" s="70" t="str">
        <f t="shared" si="67"/>
        <v>Solstice</v>
      </c>
      <c r="H1057" s="70">
        <f t="shared" si="65"/>
        <v>1523</v>
      </c>
      <c r="I1057" s="70">
        <f t="shared" si="66"/>
        <v>1502</v>
      </c>
      <c r="J1057">
        <v>38</v>
      </c>
      <c r="K1057" s="3" t="str">
        <f ca="1">VLOOKUP(J1057,ConstDLCIds!$A$4:$B$1000,2,FALSE)</f>
        <v>DLC_SEASONS_OF_THE_WORMCULT1</v>
      </c>
      <c r="L1057" s="3" t="str">
        <f ca="1">VLOOKUP(J1057,ConstDLCIds!$A$4:$C$1000,3,FALSE)</f>
        <v>Seasons of the Wormcult Part 1</v>
      </c>
    </row>
    <row r="1058" spans="1:12" x14ac:dyDescent="0.25">
      <c r="A1058">
        <v>1524</v>
      </c>
      <c r="B1058">
        <v>1053</v>
      </c>
      <c r="C1058">
        <v>1524</v>
      </c>
      <c r="D1058" t="s">
        <v>3061</v>
      </c>
      <c r="E1058" t="str">
        <f>IF(NOT(ISERROR(VLOOKUP(D1058,'ESO DungeonFinder'!$A$2:$A$999,1,FALSE))),"X","")</f>
        <v/>
      </c>
      <c r="F1058" s="70" t="str">
        <f t="shared" si="64"/>
        <v>X</v>
      </c>
      <c r="G1058" s="70" t="str">
        <f t="shared" si="67"/>
        <v/>
      </c>
      <c r="H1058" s="70">
        <f t="shared" si="65"/>
        <v>1524</v>
      </c>
      <c r="I1058" s="70">
        <f t="shared" si="66"/>
        <v>1524</v>
      </c>
      <c r="J1058">
        <v>37</v>
      </c>
      <c r="K1058" s="3" t="str">
        <f ca="1">VLOOKUP(J1058,ConstDLCIds!$A$4:$B$1000,2,FALSE)</f>
        <v>DLC_FALLEN_BANNERS</v>
      </c>
      <c r="L1058" s="3" t="str">
        <f ca="1">VLOOKUP(J1058,ConstDLCIds!$A$4:$C$1000,3,FALSE)</f>
        <v>Fallen Banners</v>
      </c>
    </row>
    <row r="1059" spans="1:12" x14ac:dyDescent="0.25">
      <c r="A1059">
        <v>1526</v>
      </c>
      <c r="B1059">
        <v>1054</v>
      </c>
      <c r="C1059">
        <v>1502</v>
      </c>
      <c r="D1059" t="s">
        <v>3062</v>
      </c>
      <c r="E1059" t="str">
        <f>IF(NOT(ISERROR(VLOOKUP(D1059,'ESO DungeonFinder'!$A$2:$A$999,1,FALSE))),"X","")</f>
        <v/>
      </c>
      <c r="F1059" s="70" t="str">
        <f t="shared" si="64"/>
        <v/>
      </c>
      <c r="G1059" s="70" t="str">
        <f t="shared" si="67"/>
        <v>Solstice</v>
      </c>
      <c r="H1059" s="70">
        <f t="shared" si="65"/>
        <v>1526</v>
      </c>
      <c r="I1059" s="70">
        <f t="shared" si="66"/>
        <v>1502</v>
      </c>
      <c r="J1059">
        <v>37</v>
      </c>
      <c r="K1059" s="3" t="str">
        <f ca="1">VLOOKUP(J1059,ConstDLCIds!$A$4:$B$1000,2,FALSE)</f>
        <v>DLC_FALLEN_BANNERS</v>
      </c>
      <c r="L1059" s="3" t="str">
        <f ca="1">VLOOKUP(J1059,ConstDLCIds!$A$4:$C$1000,3,FALSE)</f>
        <v>Fallen Banners</v>
      </c>
    </row>
    <row r="1060" spans="1:12" x14ac:dyDescent="0.25">
      <c r="A1060">
        <v>1527</v>
      </c>
      <c r="B1060">
        <v>1055</v>
      </c>
      <c r="C1060">
        <v>1502</v>
      </c>
      <c r="D1060" t="s">
        <v>3063</v>
      </c>
      <c r="E1060" t="str">
        <f>IF(NOT(ISERROR(VLOOKUP(D1060,'ESO DungeonFinder'!$A$2:$A$999,1,FALSE))),"X","")</f>
        <v/>
      </c>
      <c r="F1060" s="70" t="str">
        <f t="shared" si="64"/>
        <v/>
      </c>
      <c r="G1060" s="70" t="str">
        <f t="shared" si="67"/>
        <v>Solstice</v>
      </c>
      <c r="H1060" s="70">
        <f t="shared" si="65"/>
        <v>1527</v>
      </c>
      <c r="I1060" s="70">
        <f t="shared" si="66"/>
        <v>1502</v>
      </c>
      <c r="J1060">
        <v>38</v>
      </c>
      <c r="K1060" s="3" t="str">
        <f ca="1">VLOOKUP(J1060,ConstDLCIds!$A$4:$B$1000,2,FALSE)</f>
        <v>DLC_SEASONS_OF_THE_WORMCULT1</v>
      </c>
      <c r="L1060" s="3" t="str">
        <f ca="1">VLOOKUP(J1060,ConstDLCIds!$A$4:$C$1000,3,FALSE)</f>
        <v>Seasons of the Wormcult Part 1</v>
      </c>
    </row>
    <row r="1061" spans="1:12" x14ac:dyDescent="0.25">
      <c r="A1061">
        <v>1528</v>
      </c>
      <c r="B1061">
        <v>1056</v>
      </c>
      <c r="C1061">
        <v>1502</v>
      </c>
      <c r="D1061" t="s">
        <v>3064</v>
      </c>
      <c r="E1061" t="str">
        <f>IF(NOT(ISERROR(VLOOKUP(D1061,'ESO DungeonFinder'!$A$2:$A$999,1,FALSE))),"X","")</f>
        <v/>
      </c>
      <c r="F1061" s="70" t="str">
        <f t="shared" si="64"/>
        <v/>
      </c>
      <c r="G1061" s="70" t="str">
        <f t="shared" si="67"/>
        <v>Solstice</v>
      </c>
      <c r="H1061" s="70">
        <f t="shared" si="65"/>
        <v>1528</v>
      </c>
      <c r="I1061" s="70">
        <f t="shared" si="66"/>
        <v>1502</v>
      </c>
      <c r="J1061">
        <v>38</v>
      </c>
      <c r="K1061" s="3" t="str">
        <f ca="1">VLOOKUP(J1061,ConstDLCIds!$A$4:$B$1000,2,FALSE)</f>
        <v>DLC_SEASONS_OF_THE_WORMCULT1</v>
      </c>
      <c r="L1061" s="3" t="str">
        <f ca="1">VLOOKUP(J1061,ConstDLCIds!$A$4:$C$1000,3,FALSE)</f>
        <v>Seasons of the Wormcult Part 1</v>
      </c>
    </row>
    <row r="1062" spans="1:12" x14ac:dyDescent="0.25">
      <c r="A1062">
        <v>1529</v>
      </c>
      <c r="B1062">
        <v>1057</v>
      </c>
      <c r="C1062">
        <v>1502</v>
      </c>
      <c r="D1062" t="s">
        <v>3065</v>
      </c>
      <c r="E1062" t="str">
        <f>IF(NOT(ISERROR(VLOOKUP(D1062,'ESO DungeonFinder'!$A$2:$A$999,1,FALSE))),"X","")</f>
        <v/>
      </c>
      <c r="F1062" s="70" t="str">
        <f t="shared" si="64"/>
        <v/>
      </c>
      <c r="G1062" s="70" t="str">
        <f t="shared" si="67"/>
        <v>Solstice</v>
      </c>
      <c r="H1062" s="70">
        <f t="shared" si="65"/>
        <v>1529</v>
      </c>
      <c r="I1062" s="70">
        <f t="shared" si="66"/>
        <v>1502</v>
      </c>
      <c r="J1062">
        <v>38</v>
      </c>
      <c r="K1062" s="3" t="str">
        <f ca="1">VLOOKUP(J1062,ConstDLCIds!$A$4:$B$1000,2,FALSE)</f>
        <v>DLC_SEASONS_OF_THE_WORMCULT1</v>
      </c>
      <c r="L1062" s="3" t="str">
        <f ca="1">VLOOKUP(J1062,ConstDLCIds!$A$4:$C$1000,3,FALSE)</f>
        <v>Seasons of the Wormcult Part 1</v>
      </c>
    </row>
    <row r="1063" spans="1:12" x14ac:dyDescent="0.25">
      <c r="A1063">
        <v>1530</v>
      </c>
      <c r="B1063">
        <v>1058</v>
      </c>
      <c r="C1063">
        <v>1502</v>
      </c>
      <c r="D1063" t="s">
        <v>2197</v>
      </c>
      <c r="E1063" t="str">
        <f>IF(NOT(ISERROR(VLOOKUP(D1063,'ESO DungeonFinder'!$A$2:$A$999,1,FALSE))),"X","")</f>
        <v/>
      </c>
      <c r="F1063" s="70" t="str">
        <f t="shared" si="64"/>
        <v/>
      </c>
      <c r="G1063" s="70" t="str">
        <f t="shared" si="67"/>
        <v>Solstice</v>
      </c>
      <c r="H1063" s="70">
        <f t="shared" si="65"/>
        <v>1530</v>
      </c>
      <c r="I1063" s="70">
        <f t="shared" si="66"/>
        <v>1502</v>
      </c>
      <c r="J1063">
        <v>38</v>
      </c>
      <c r="K1063" s="3" t="str">
        <f ca="1">VLOOKUP(J1063,ConstDLCIds!$A$4:$B$1000,2,FALSE)</f>
        <v>DLC_SEASONS_OF_THE_WORMCULT1</v>
      </c>
      <c r="L1063" s="3" t="str">
        <f ca="1">VLOOKUP(J1063,ConstDLCIds!$A$4:$C$1000,3,FALSE)</f>
        <v>Seasons of the Wormcult Part 1</v>
      </c>
    </row>
    <row r="1064" spans="1:12" x14ac:dyDescent="0.25">
      <c r="A1064">
        <v>1531</v>
      </c>
      <c r="B1064">
        <v>1059</v>
      </c>
      <c r="C1064">
        <v>1502</v>
      </c>
      <c r="D1064" t="s">
        <v>3066</v>
      </c>
      <c r="E1064" t="str">
        <f>IF(NOT(ISERROR(VLOOKUP(D1064,'ESO DungeonFinder'!$A$2:$A$999,1,FALSE))),"X","")</f>
        <v/>
      </c>
      <c r="F1064" s="70" t="str">
        <f t="shared" si="64"/>
        <v/>
      </c>
      <c r="G1064" s="70" t="str">
        <f t="shared" si="67"/>
        <v>Solstice</v>
      </c>
      <c r="H1064" s="70">
        <f t="shared" si="65"/>
        <v>1531</v>
      </c>
      <c r="I1064" s="70">
        <f t="shared" si="66"/>
        <v>1502</v>
      </c>
      <c r="J1064">
        <v>38</v>
      </c>
      <c r="K1064" s="3" t="str">
        <f ca="1">VLOOKUP(J1064,ConstDLCIds!$A$4:$B$1000,2,FALSE)</f>
        <v>DLC_SEASONS_OF_THE_WORMCULT1</v>
      </c>
      <c r="L1064" s="3" t="str">
        <f ca="1">VLOOKUP(J1064,ConstDLCIds!$A$4:$C$1000,3,FALSE)</f>
        <v>Seasons of the Wormcult Part 1</v>
      </c>
    </row>
    <row r="1065" spans="1:12" x14ac:dyDescent="0.25">
      <c r="A1065">
        <v>1532</v>
      </c>
      <c r="B1065">
        <v>1060</v>
      </c>
      <c r="C1065">
        <v>1502</v>
      </c>
      <c r="D1065" t="s">
        <v>3067</v>
      </c>
      <c r="E1065" t="str">
        <f>IF(NOT(ISERROR(VLOOKUP(D1065,'ESO DungeonFinder'!$A$2:$A$999,1,FALSE))),"X","")</f>
        <v/>
      </c>
      <c r="F1065" s="70" t="str">
        <f t="shared" si="64"/>
        <v/>
      </c>
      <c r="G1065" s="70" t="str">
        <f t="shared" si="67"/>
        <v>Solstice</v>
      </c>
      <c r="H1065" s="70">
        <f t="shared" si="65"/>
        <v>1532</v>
      </c>
      <c r="I1065" s="70">
        <f t="shared" si="66"/>
        <v>1502</v>
      </c>
      <c r="J1065">
        <v>39</v>
      </c>
      <c r="K1065" s="3" t="str">
        <f ca="1">VLOOKUP(J1065,ConstDLCIds!$A$4:$B$1000,2,FALSE)</f>
        <v>DLC_FEAST_OF_SHADOWS</v>
      </c>
      <c r="L1065" s="3" t="str">
        <f ca="1">VLOOKUP(J1065,ConstDLCIds!$A$4:$C$1000,3,FALSE)</f>
        <v>Feast of Shadows</v>
      </c>
    </row>
    <row r="1066" spans="1:12" x14ac:dyDescent="0.25">
      <c r="A1066">
        <v>1534</v>
      </c>
      <c r="B1066">
        <v>1061</v>
      </c>
      <c r="C1066">
        <v>1502</v>
      </c>
      <c r="D1066" t="s">
        <v>3068</v>
      </c>
      <c r="E1066" t="str">
        <f>IF(NOT(ISERROR(VLOOKUP(D1066,'ESO DungeonFinder'!$A$2:$A$999,1,FALSE))),"X","")</f>
        <v/>
      </c>
      <c r="F1066" s="70" t="str">
        <f t="shared" si="64"/>
        <v/>
      </c>
      <c r="G1066" s="70" t="str">
        <f t="shared" si="67"/>
        <v>Solstice</v>
      </c>
      <c r="H1066" s="70">
        <f t="shared" si="65"/>
        <v>1534</v>
      </c>
      <c r="I1066" s="70">
        <f t="shared" si="66"/>
        <v>1502</v>
      </c>
      <c r="J1066">
        <v>39</v>
      </c>
      <c r="K1066" s="3" t="str">
        <f ca="1">VLOOKUP(J1066,ConstDLCIds!$A$4:$B$1000,2,FALSE)</f>
        <v>DLC_FEAST_OF_SHADOWS</v>
      </c>
      <c r="L1066" s="3" t="str">
        <f ca="1">VLOOKUP(J1066,ConstDLCIds!$A$4:$C$1000,3,FALSE)</f>
        <v>Feast of Shadows</v>
      </c>
    </row>
    <row r="1067" spans="1:12" x14ac:dyDescent="0.25">
      <c r="A1067">
        <v>1535</v>
      </c>
      <c r="B1067">
        <v>1062</v>
      </c>
      <c r="C1067">
        <v>1502</v>
      </c>
      <c r="D1067" t="s">
        <v>3069</v>
      </c>
      <c r="E1067" t="str">
        <f>IF(NOT(ISERROR(VLOOKUP(D1067,'ESO DungeonFinder'!$A$2:$A$999,1,FALSE))),"X","")</f>
        <v/>
      </c>
      <c r="F1067" s="70" t="str">
        <f t="shared" si="64"/>
        <v/>
      </c>
      <c r="G1067" s="70" t="str">
        <f t="shared" si="67"/>
        <v>Solstice</v>
      </c>
      <c r="H1067" s="70">
        <f t="shared" si="65"/>
        <v>1535</v>
      </c>
      <c r="I1067" s="70">
        <f t="shared" si="66"/>
        <v>1502</v>
      </c>
      <c r="J1067">
        <v>39</v>
      </c>
      <c r="K1067" s="3" t="str">
        <f ca="1">VLOOKUP(J1067,ConstDLCIds!$A$4:$B$1000,2,FALSE)</f>
        <v>DLC_FEAST_OF_SHADOWS</v>
      </c>
      <c r="L1067" s="3" t="str">
        <f ca="1">VLOOKUP(J1067,ConstDLCIds!$A$4:$C$1000,3,FALSE)</f>
        <v>Feast of Shadows</v>
      </c>
    </row>
    <row r="1068" spans="1:12" x14ac:dyDescent="0.25">
      <c r="A1068">
        <v>1537</v>
      </c>
      <c r="B1068">
        <v>1063</v>
      </c>
      <c r="C1068">
        <v>1502</v>
      </c>
      <c r="D1068" t="s">
        <v>3070</v>
      </c>
      <c r="E1068" t="str">
        <f>IF(NOT(ISERROR(VLOOKUP(D1068,'ESO DungeonFinder'!$A$2:$A$999,1,FALSE))),"X","")</f>
        <v/>
      </c>
      <c r="F1068" s="70" t="str">
        <f t="shared" si="64"/>
        <v/>
      </c>
      <c r="G1068" s="70" t="str">
        <f t="shared" si="67"/>
        <v>Solstice</v>
      </c>
      <c r="H1068" s="70">
        <f t="shared" si="65"/>
        <v>1537</v>
      </c>
      <c r="I1068" s="70">
        <f t="shared" si="66"/>
        <v>1502</v>
      </c>
      <c r="J1068">
        <v>39</v>
      </c>
      <c r="K1068" s="3" t="str">
        <f ca="1">VLOOKUP(J1068,ConstDLCIds!$A$4:$B$1000,2,FALSE)</f>
        <v>DLC_FEAST_OF_SHADOWS</v>
      </c>
      <c r="L1068" s="3" t="str">
        <f ca="1">VLOOKUP(J1068,ConstDLCIds!$A$4:$C$1000,3,FALSE)</f>
        <v>Feast of Shadows</v>
      </c>
    </row>
    <row r="1069" spans="1:12" x14ac:dyDescent="0.25">
      <c r="A1069">
        <v>1546</v>
      </c>
      <c r="B1069">
        <v>1064</v>
      </c>
      <c r="C1069">
        <v>1282</v>
      </c>
      <c r="D1069" t="s">
        <v>3071</v>
      </c>
      <c r="E1069" t="str">
        <f>IF(NOT(ISERROR(VLOOKUP(D1069,'ESO DungeonFinder'!$A$2:$A$999,1,FALSE))),"X","")</f>
        <v/>
      </c>
      <c r="F1069" s="70" t="str">
        <f t="shared" si="64"/>
        <v/>
      </c>
      <c r="G1069" s="70" t="str">
        <f t="shared" si="67"/>
        <v>Fargrave</v>
      </c>
      <c r="H1069" s="70">
        <f t="shared" si="65"/>
        <v>1546</v>
      </c>
      <c r="I1069" s="70">
        <f t="shared" si="66"/>
        <v>1282</v>
      </c>
      <c r="J1069">
        <v>39</v>
      </c>
      <c r="K1069" s="3" t="str">
        <f ca="1">VLOOKUP(J1069,ConstDLCIds!$A$4:$B$1000,2,FALSE)</f>
        <v>DLC_FEAST_OF_SHADOWS</v>
      </c>
      <c r="L1069" s="3" t="str">
        <f ca="1">VLOOKUP(J1069,ConstDLCIds!$A$4:$C$1000,3,FALSE)</f>
        <v>Feast of Shadows</v>
      </c>
    </row>
    <row r="1070" spans="1:12" x14ac:dyDescent="0.25">
      <c r="A1070">
        <v>1547</v>
      </c>
      <c r="B1070">
        <v>1065</v>
      </c>
      <c r="C1070">
        <v>1443</v>
      </c>
      <c r="D1070" t="s">
        <v>3072</v>
      </c>
      <c r="E1070" t="str">
        <f>IF(NOT(ISERROR(VLOOKUP(D1070,'ESO DungeonFinder'!$A$2:$A$999,1,FALSE))),"X","")</f>
        <v/>
      </c>
      <c r="F1070" s="70" t="str">
        <f t="shared" si="64"/>
        <v/>
      </c>
      <c r="G1070" s="70" t="str">
        <f t="shared" si="67"/>
        <v>West Weald</v>
      </c>
      <c r="H1070" s="70">
        <f t="shared" si="65"/>
        <v>1547</v>
      </c>
      <c r="I1070" s="70">
        <f t="shared" si="66"/>
        <v>1443</v>
      </c>
      <c r="J1070">
        <v>39</v>
      </c>
      <c r="K1070" s="3" t="str">
        <f ca="1">VLOOKUP(J1070,ConstDLCIds!$A$4:$B$1000,2,FALSE)</f>
        <v>DLC_FEAST_OF_SHADOWS</v>
      </c>
      <c r="L1070" s="3" t="str">
        <f ca="1">VLOOKUP(J1070,ConstDLCIds!$A$4:$C$1000,3,FALSE)</f>
        <v>Feast of Shadows</v>
      </c>
    </row>
    <row r="1071" spans="1:12" x14ac:dyDescent="0.25">
      <c r="A1071">
        <v>1548</v>
      </c>
      <c r="B1071">
        <v>1066</v>
      </c>
      <c r="C1071">
        <v>1502</v>
      </c>
      <c r="D1071" t="s">
        <v>2064</v>
      </c>
      <c r="E1071" t="str">
        <f>IF(NOT(ISERROR(VLOOKUP(D1071,'ESO DungeonFinder'!$A$2:$A$999,1,FALSE))),"X","")</f>
        <v/>
      </c>
      <c r="F1071" s="70" t="str">
        <f t="shared" si="64"/>
        <v/>
      </c>
      <c r="G1071" s="70" t="str">
        <f t="shared" si="67"/>
        <v>Solstice</v>
      </c>
      <c r="H1071" s="70">
        <f t="shared" si="65"/>
        <v>1548</v>
      </c>
      <c r="I1071" s="70">
        <f t="shared" si="66"/>
        <v>1502</v>
      </c>
      <c r="J1071">
        <v>40</v>
      </c>
      <c r="K1071" s="3" t="str">
        <f ca="1">VLOOKUP(J1071,ConstDLCIds!$A$4:$B$1000,2,FALSE)</f>
        <v>DLC_SEASONS_OF_THE_WORMCULT2</v>
      </c>
      <c r="L1071" s="3" t="str">
        <f ca="1">VLOOKUP(J1071,ConstDLCIds!$A$4:$C$1000,3,FALSE)</f>
        <v>Seasons of the Wormcult Part 2</v>
      </c>
    </row>
    <row r="1072" spans="1:12" x14ac:dyDescent="0.25">
      <c r="A1072">
        <v>1551</v>
      </c>
      <c r="B1072">
        <v>1067</v>
      </c>
      <c r="C1072">
        <v>1502</v>
      </c>
      <c r="D1072" t="s">
        <v>2077</v>
      </c>
      <c r="E1072" t="str">
        <f>IF(NOT(ISERROR(VLOOKUP(D1072,'ESO DungeonFinder'!$A$2:$A$999,1,FALSE))),"X","")</f>
        <v>X</v>
      </c>
      <c r="F1072" s="70" t="str">
        <f t="shared" si="64"/>
        <v/>
      </c>
      <c r="G1072" s="70" t="str">
        <f t="shared" si="67"/>
        <v>Solstice</v>
      </c>
      <c r="H1072" s="70">
        <f t="shared" si="65"/>
        <v>1551</v>
      </c>
      <c r="I1072" s="70">
        <f t="shared" si="66"/>
        <v>1502</v>
      </c>
      <c r="J1072">
        <v>40</v>
      </c>
      <c r="K1072" s="3" t="str">
        <f ca="1">VLOOKUP(J1072,ConstDLCIds!$A$4:$B$1000,2,FALSE)</f>
        <v>DLC_SEASONS_OF_THE_WORMCULT2</v>
      </c>
      <c r="L1072" s="3" t="str">
        <f ca="1">VLOOKUP(J1072,ConstDLCIds!$A$4:$C$1000,3,FALSE)</f>
        <v>Seasons of the Wormcult Part 2</v>
      </c>
    </row>
    <row r="1073" spans="1:12" x14ac:dyDescent="0.25">
      <c r="A1073">
        <v>1552</v>
      </c>
      <c r="B1073">
        <v>1068</v>
      </c>
      <c r="C1073">
        <v>1502</v>
      </c>
      <c r="D1073" t="s">
        <v>2073</v>
      </c>
      <c r="E1073" t="str">
        <f>IF(NOT(ISERROR(VLOOKUP(D1073,'ESO DungeonFinder'!$A$2:$A$999,1,FALSE))),"X","")</f>
        <v>X</v>
      </c>
      <c r="F1073" s="70" t="str">
        <f t="shared" si="64"/>
        <v/>
      </c>
      <c r="G1073" s="70" t="str">
        <f t="shared" si="67"/>
        <v>Solstice</v>
      </c>
      <c r="H1073" s="70">
        <f t="shared" si="65"/>
        <v>1552</v>
      </c>
      <c r="I1073" s="70">
        <f t="shared" si="66"/>
        <v>1502</v>
      </c>
      <c r="J1073">
        <v>40</v>
      </c>
      <c r="K1073" s="3" t="str">
        <f ca="1">VLOOKUP(J1073,ConstDLCIds!$A$4:$B$1000,2,FALSE)</f>
        <v>DLC_SEASONS_OF_THE_WORMCULT2</v>
      </c>
      <c r="L1073" s="3" t="str">
        <f ca="1">VLOOKUP(J1073,ConstDLCIds!$A$4:$C$1000,3,FALSE)</f>
        <v>Seasons of the Wormcult Part 2</v>
      </c>
    </row>
    <row r="1074" spans="1:12" x14ac:dyDescent="0.25">
      <c r="A1074">
        <v>1553</v>
      </c>
      <c r="B1074">
        <v>1069</v>
      </c>
      <c r="C1074">
        <v>1502</v>
      </c>
      <c r="D1074" t="s">
        <v>3073</v>
      </c>
      <c r="E1074" t="str">
        <f>IF(NOT(ISERROR(VLOOKUP(D1074,'ESO DungeonFinder'!$A$2:$A$999,1,FALSE))),"X","")</f>
        <v/>
      </c>
      <c r="F1074" s="70" t="str">
        <f t="shared" si="64"/>
        <v/>
      </c>
      <c r="G1074" s="70" t="str">
        <f t="shared" si="67"/>
        <v>Solstice</v>
      </c>
      <c r="H1074" s="70">
        <f t="shared" si="65"/>
        <v>1553</v>
      </c>
      <c r="I1074" s="70">
        <f t="shared" si="66"/>
        <v>1502</v>
      </c>
      <c r="J1074">
        <v>40</v>
      </c>
      <c r="K1074" s="3" t="str">
        <f ca="1">VLOOKUP(J1074,ConstDLCIds!$A$4:$B$1000,2,FALSE)</f>
        <v>DLC_SEASONS_OF_THE_WORMCULT2</v>
      </c>
      <c r="L1074" s="3" t="str">
        <f ca="1">VLOOKUP(J1074,ConstDLCIds!$A$4:$C$1000,3,FALSE)</f>
        <v>Seasons of the Wormcult Part 2</v>
      </c>
    </row>
    <row r="1075" spans="1:12" x14ac:dyDescent="0.25">
      <c r="A1075">
        <v>1554</v>
      </c>
      <c r="B1075">
        <v>1070</v>
      </c>
      <c r="C1075">
        <v>1261</v>
      </c>
      <c r="D1075" t="s">
        <v>3074</v>
      </c>
      <c r="E1075" t="str">
        <f>IF(NOT(ISERROR(VLOOKUP(D1075,'ESO DungeonFinder'!$A$2:$A$999,1,FALSE))),"X","")</f>
        <v/>
      </c>
      <c r="F1075" s="70" t="str">
        <f t="shared" si="64"/>
        <v/>
      </c>
      <c r="G1075" s="70" t="str">
        <f t="shared" si="67"/>
        <v>Blackwood</v>
      </c>
      <c r="H1075" s="70">
        <f t="shared" si="65"/>
        <v>1554</v>
      </c>
      <c r="I1075" s="70">
        <f t="shared" si="66"/>
        <v>1261</v>
      </c>
      <c r="J1075">
        <v>40</v>
      </c>
      <c r="K1075" s="3" t="str">
        <f ca="1">VLOOKUP(J1075,ConstDLCIds!$A$4:$B$1000,2,FALSE)</f>
        <v>DLC_SEASONS_OF_THE_WORMCULT2</v>
      </c>
      <c r="L1075" s="3" t="str">
        <f ca="1">VLOOKUP(J1075,ConstDLCIds!$A$4:$C$1000,3,FALSE)</f>
        <v>Seasons of the Wormcult Part 2</v>
      </c>
    </row>
    <row r="1076" spans="1:12" x14ac:dyDescent="0.25">
      <c r="A1076">
        <v>1555</v>
      </c>
      <c r="B1076">
        <v>1071</v>
      </c>
      <c r="C1076">
        <v>1502</v>
      </c>
      <c r="D1076" t="s">
        <v>3075</v>
      </c>
      <c r="E1076" t="str">
        <f>IF(NOT(ISERROR(VLOOKUP(D1076,'ESO DungeonFinder'!$A$2:$A$999,1,FALSE))),"X","")</f>
        <v/>
      </c>
      <c r="F1076" s="70" t="str">
        <f t="shared" si="64"/>
        <v/>
      </c>
      <c r="G1076" s="70" t="str">
        <f t="shared" si="67"/>
        <v>Solstice</v>
      </c>
      <c r="H1076" s="70">
        <f t="shared" si="65"/>
        <v>1555</v>
      </c>
      <c r="I1076" s="70">
        <f t="shared" si="66"/>
        <v>1502</v>
      </c>
      <c r="J1076">
        <v>40</v>
      </c>
      <c r="K1076" s="3" t="str">
        <f ca="1">VLOOKUP(J1076,ConstDLCIds!$A$4:$B$1000,2,FALSE)</f>
        <v>DLC_SEASONS_OF_THE_WORMCULT2</v>
      </c>
      <c r="L1076" s="3" t="str">
        <f ca="1">VLOOKUP(J1076,ConstDLCIds!$A$4:$C$1000,3,FALSE)</f>
        <v>Seasons of the Wormcult Part 2</v>
      </c>
    </row>
    <row r="1077" spans="1:12" x14ac:dyDescent="0.25">
      <c r="A1077">
        <v>1556</v>
      </c>
      <c r="B1077">
        <v>1072</v>
      </c>
      <c r="C1077">
        <v>1502</v>
      </c>
      <c r="D1077" t="s">
        <v>3076</v>
      </c>
      <c r="E1077" t="str">
        <f>IF(NOT(ISERROR(VLOOKUP(D1077,'ESO DungeonFinder'!$A$2:$A$999,1,FALSE))),"X","")</f>
        <v/>
      </c>
      <c r="F1077" s="70" t="str">
        <f t="shared" si="64"/>
        <v/>
      </c>
      <c r="G1077" s="70" t="str">
        <f t="shared" si="67"/>
        <v>Solstice</v>
      </c>
      <c r="H1077" s="70">
        <f t="shared" si="65"/>
        <v>1556</v>
      </c>
      <c r="I1077" s="70">
        <f t="shared" si="66"/>
        <v>1502</v>
      </c>
      <c r="J1077">
        <v>40</v>
      </c>
      <c r="K1077" s="3" t="str">
        <f ca="1">VLOOKUP(J1077,ConstDLCIds!$A$4:$B$1000,2,FALSE)</f>
        <v>DLC_SEASONS_OF_THE_WORMCULT2</v>
      </c>
      <c r="L1077" s="3" t="str">
        <f ca="1">VLOOKUP(J1077,ConstDLCIds!$A$4:$C$1000,3,FALSE)</f>
        <v>Seasons of the Wormcult Part 2</v>
      </c>
    </row>
    <row r="1078" spans="1:12" x14ac:dyDescent="0.25">
      <c r="A1078">
        <v>1557</v>
      </c>
      <c r="B1078">
        <v>1073</v>
      </c>
      <c r="C1078">
        <v>1557</v>
      </c>
      <c r="D1078" t="s">
        <v>3077</v>
      </c>
      <c r="E1078" t="str">
        <f>IF(NOT(ISERROR(VLOOKUP(D1078,'ESO DungeonFinder'!$A$2:$A$999,1,FALSE))),"X","")</f>
        <v/>
      </c>
      <c r="F1078" s="70" t="str">
        <f t="shared" si="64"/>
        <v>X</v>
      </c>
      <c r="G1078" s="70" t="str">
        <f t="shared" si="67"/>
        <v/>
      </c>
      <c r="H1078" s="70">
        <f t="shared" si="65"/>
        <v>1557</v>
      </c>
      <c r="I1078" s="70">
        <f t="shared" si="66"/>
        <v>1557</v>
      </c>
      <c r="J1078">
        <v>40</v>
      </c>
      <c r="K1078" s="3" t="str">
        <f ca="1">VLOOKUP(J1078,ConstDLCIds!$A$4:$B$1000,2,FALSE)</f>
        <v>DLC_SEASONS_OF_THE_WORMCULT2</v>
      </c>
      <c r="L1078" s="3" t="str">
        <f ca="1">VLOOKUP(J1078,ConstDLCIds!$A$4:$C$1000,3,FALSE)</f>
        <v>Seasons of the Wormcult Part 2</v>
      </c>
    </row>
    <row r="1079" spans="1:12" x14ac:dyDescent="0.25">
      <c r="A1079">
        <v>1559</v>
      </c>
      <c r="B1079">
        <v>1074</v>
      </c>
      <c r="C1079">
        <v>1283</v>
      </c>
      <c r="D1079" t="s">
        <v>311</v>
      </c>
      <c r="E1079" t="str">
        <f>IF(NOT(ISERROR(VLOOKUP(D1079,'ESO DungeonFinder'!$A$2:$A$999,1,FALSE))),"X","")</f>
        <v>X</v>
      </c>
      <c r="F1079" s="70" t="str">
        <f t="shared" si="64"/>
        <v/>
      </c>
      <c r="G1079" s="70" t="str">
        <f t="shared" si="67"/>
        <v>The Shambles</v>
      </c>
      <c r="H1079" s="70">
        <f t="shared" si="65"/>
        <v>1559</v>
      </c>
      <c r="I1079" s="70">
        <f t="shared" si="66"/>
        <v>1283</v>
      </c>
      <c r="J1079">
        <v>40</v>
      </c>
      <c r="K1079" s="3" t="str">
        <f ca="1">VLOOKUP(J1079,ConstDLCIds!$A$4:$B$1000,2,FALSE)</f>
        <v>DLC_SEASONS_OF_THE_WORMCULT2</v>
      </c>
      <c r="L1079" s="3" t="str">
        <f ca="1">VLOOKUP(J1079,ConstDLCIds!$A$4:$C$1000,3,FALSE)</f>
        <v>Seasons of the Wormcult Part 2</v>
      </c>
    </row>
    <row r="1080" spans="1:12" x14ac:dyDescent="0.25">
      <c r="A1080">
        <v>1560</v>
      </c>
      <c r="B1080">
        <v>1075</v>
      </c>
      <c r="C1080">
        <v>823</v>
      </c>
      <c r="D1080" t="s">
        <v>3078</v>
      </c>
      <c r="E1080" t="str">
        <f>IF(NOT(ISERROR(VLOOKUP(D1080,'ESO DungeonFinder'!$A$2:$A$999,1,FALSE))),"X","")</f>
        <v/>
      </c>
      <c r="F1080" s="70" t="str">
        <f t="shared" si="64"/>
        <v/>
      </c>
      <c r="G1080" s="70" t="str">
        <f t="shared" si="67"/>
        <v>Gold Coast</v>
      </c>
      <c r="H1080" s="70">
        <f t="shared" si="65"/>
        <v>1560</v>
      </c>
      <c r="I1080" s="70">
        <f t="shared" si="66"/>
        <v>823</v>
      </c>
      <c r="J1080">
        <v>40</v>
      </c>
      <c r="K1080" s="3" t="str">
        <f ca="1">VLOOKUP(J1080,ConstDLCIds!$A$4:$B$1000,2,FALSE)</f>
        <v>DLC_SEASONS_OF_THE_WORMCULT2</v>
      </c>
      <c r="L1080" s="3" t="str">
        <f ca="1">VLOOKUP(J1080,ConstDLCIds!$A$4:$C$1000,3,FALSE)</f>
        <v>Seasons of the Wormcult Part 2</v>
      </c>
    </row>
    <row r="1081" spans="1:12" x14ac:dyDescent="0.25">
      <c r="A1081">
        <v>1561</v>
      </c>
      <c r="B1081">
        <v>1076</v>
      </c>
      <c r="C1081">
        <v>1443</v>
      </c>
      <c r="D1081" t="s">
        <v>3079</v>
      </c>
      <c r="E1081" t="str">
        <f>IF(NOT(ISERROR(VLOOKUP(D1081,'ESO DungeonFinder'!$A$2:$A$999,1,FALSE))),"X","")</f>
        <v/>
      </c>
      <c r="F1081" s="70" t="str">
        <f t="shared" si="64"/>
        <v/>
      </c>
      <c r="G1081" s="70" t="str">
        <f t="shared" si="67"/>
        <v>West Weald</v>
      </c>
      <c r="H1081" s="70">
        <f t="shared" si="65"/>
        <v>1561</v>
      </c>
      <c r="I1081" s="70">
        <f t="shared" si="66"/>
        <v>1443</v>
      </c>
      <c r="J1081">
        <v>40</v>
      </c>
      <c r="K1081" s="3" t="str">
        <f ca="1">VLOOKUP(J1081,ConstDLCIds!$A$4:$B$1000,2,FALSE)</f>
        <v>DLC_SEASONS_OF_THE_WORMCULT2</v>
      </c>
      <c r="L1081" s="3" t="str">
        <f ca="1">VLOOKUP(J1081,ConstDLCIds!$A$4:$C$1000,3,FALSE)</f>
        <v>Seasons of the Wormcult Part 2</v>
      </c>
    </row>
    <row r="1082" spans="1:12" x14ac:dyDescent="0.25">
      <c r="A1082">
        <v>1562</v>
      </c>
      <c r="B1082">
        <v>1077</v>
      </c>
      <c r="C1082">
        <v>1559</v>
      </c>
      <c r="D1082" t="s">
        <v>3080</v>
      </c>
      <c r="E1082" t="str">
        <f>IF(NOT(ISERROR(VLOOKUP(D1082,'ESO DungeonFinder'!$A$2:$A$999,1,FALSE))),"X","")</f>
        <v/>
      </c>
      <c r="F1082" s="70" t="str">
        <f t="shared" si="64"/>
        <v/>
      </c>
      <c r="G1082" s="70" t="str">
        <f t="shared" si="67"/>
        <v>Night Market</v>
      </c>
      <c r="H1082" s="70">
        <f t="shared" si="65"/>
        <v>1562</v>
      </c>
      <c r="I1082" s="70">
        <f t="shared" si="66"/>
        <v>1559</v>
      </c>
      <c r="J1082">
        <v>40</v>
      </c>
      <c r="K1082" s="3" t="str">
        <f ca="1">VLOOKUP(J1082,ConstDLCIds!$A$4:$B$1000,2,FALSE)</f>
        <v>DLC_SEASONS_OF_THE_WORMCULT2</v>
      </c>
      <c r="L1082" s="3" t="str">
        <f ca="1">VLOOKUP(J1082,ConstDLCIds!$A$4:$C$1000,3,FALSE)</f>
        <v>Seasons of the Wormcult Part 2</v>
      </c>
    </row>
    <row r="1083" spans="1:12" x14ac:dyDescent="0.25">
      <c r="A1083">
        <v>1563</v>
      </c>
      <c r="B1083">
        <v>1078</v>
      </c>
      <c r="C1083">
        <v>1559</v>
      </c>
      <c r="D1083" t="s">
        <v>3081</v>
      </c>
      <c r="E1083" t="str">
        <f>IF(NOT(ISERROR(VLOOKUP(D1083,'ESO DungeonFinder'!$A$2:$A$999,1,FALSE))),"X","")</f>
        <v/>
      </c>
      <c r="F1083" s="70" t="str">
        <f t="shared" si="64"/>
        <v/>
      </c>
      <c r="G1083" s="70" t="str">
        <f t="shared" si="67"/>
        <v>Night Market</v>
      </c>
      <c r="H1083" s="70">
        <f t="shared" si="65"/>
        <v>1563</v>
      </c>
      <c r="I1083" s="70">
        <f t="shared" si="66"/>
        <v>1559</v>
      </c>
      <c r="J1083">
        <v>40</v>
      </c>
      <c r="K1083" s="3" t="str">
        <f ca="1">VLOOKUP(J1083,ConstDLCIds!$A$4:$B$1000,2,FALSE)</f>
        <v>DLC_SEASONS_OF_THE_WORMCULT2</v>
      </c>
      <c r="L1083" s="3" t="str">
        <f ca="1">VLOOKUP(J1083,ConstDLCIds!$A$4:$C$1000,3,FALSE)</f>
        <v>Seasons of the Wormcult Part 2</v>
      </c>
    </row>
    <row r="1084" spans="1:12" x14ac:dyDescent="0.25">
      <c r="A1084">
        <v>1564</v>
      </c>
      <c r="B1084">
        <v>1079</v>
      </c>
      <c r="C1084">
        <v>1559</v>
      </c>
      <c r="D1084" t="s">
        <v>3082</v>
      </c>
      <c r="E1084" t="str">
        <f>IF(NOT(ISERROR(VLOOKUP(D1084,'ESO DungeonFinder'!$A$2:$A$999,1,FALSE))),"X","")</f>
        <v/>
      </c>
      <c r="F1084" s="70" t="str">
        <f t="shared" si="64"/>
        <v/>
      </c>
      <c r="G1084" s="70" t="str">
        <f t="shared" si="67"/>
        <v>Night Market</v>
      </c>
      <c r="H1084" s="70">
        <f t="shared" si="65"/>
        <v>1564</v>
      </c>
      <c r="I1084" s="70">
        <f t="shared" si="66"/>
        <v>1559</v>
      </c>
      <c r="J1084">
        <v>40</v>
      </c>
      <c r="K1084" s="3" t="str">
        <f ca="1">VLOOKUP(J1084,ConstDLCIds!$A$4:$B$1000,2,FALSE)</f>
        <v>DLC_SEASONS_OF_THE_WORMCULT2</v>
      </c>
      <c r="L1084" s="3" t="str">
        <f ca="1">VLOOKUP(J1084,ConstDLCIds!$A$4:$C$1000,3,FALSE)</f>
        <v>Seasons of the Wormcult Part 2</v>
      </c>
    </row>
    <row r="1085" spans="1:12" x14ac:dyDescent="0.25">
      <c r="A1085">
        <v>1565</v>
      </c>
      <c r="B1085">
        <v>1080</v>
      </c>
      <c r="C1085">
        <v>1559</v>
      </c>
      <c r="D1085" t="s">
        <v>3083</v>
      </c>
      <c r="E1085" t="str">
        <f>IF(NOT(ISERROR(VLOOKUP(D1085,'ESO DungeonFinder'!$A$2:$A$999,1,FALSE))),"X","")</f>
        <v/>
      </c>
      <c r="F1085" s="70" t="str">
        <f t="shared" si="64"/>
        <v/>
      </c>
      <c r="G1085" s="70" t="str">
        <f t="shared" si="67"/>
        <v>Night Market</v>
      </c>
      <c r="H1085" s="70">
        <f t="shared" si="65"/>
        <v>1565</v>
      </c>
      <c r="I1085" s="70">
        <f t="shared" si="66"/>
        <v>1559</v>
      </c>
      <c r="J1085">
        <v>41</v>
      </c>
      <c r="K1085" s="3" t="str">
        <f ca="1">VLOOKUP(J1085,ConstDLCIds!$A$4:$B$1000,2,FALSE)</f>
        <v>DLC_SEASON0</v>
      </c>
      <c r="L1085" s="3" t="str">
        <f ca="1">VLOOKUP(J1085,ConstDLCIds!$A$4:$C$1000,3,FALSE)</f>
        <v>Season 0</v>
      </c>
    </row>
    <row r="1086" spans="1:12" x14ac:dyDescent="0.25">
      <c r="A1086">
        <v>1566</v>
      </c>
      <c r="B1086">
        <v>1081</v>
      </c>
      <c r="C1086">
        <v>1502</v>
      </c>
      <c r="D1086" t="s">
        <v>3084</v>
      </c>
      <c r="E1086" t="str">
        <f>IF(NOT(ISERROR(VLOOKUP(D1086,'ESO DungeonFinder'!$A$2:$A$999,1,FALSE))),"X","")</f>
        <v/>
      </c>
      <c r="F1086" s="70" t="str">
        <f t="shared" si="64"/>
        <v/>
      </c>
      <c r="G1086" s="70" t="str">
        <f t="shared" si="67"/>
        <v>Solstice</v>
      </c>
      <c r="H1086" s="70">
        <f t="shared" si="65"/>
        <v>1566</v>
      </c>
      <c r="I1086" s="70">
        <f t="shared" si="66"/>
        <v>1502</v>
      </c>
      <c r="J1086">
        <v>41</v>
      </c>
      <c r="K1086" s="3" t="str">
        <f ca="1">VLOOKUP(J1086,ConstDLCIds!$A$4:$B$1000,2,FALSE)</f>
        <v>DLC_SEASON0</v>
      </c>
      <c r="L1086" s="3" t="str">
        <f ca="1">VLOOKUP(J1086,ConstDLCIds!$A$4:$C$1000,3,FALSE)</f>
        <v>Season 0</v>
      </c>
    </row>
    <row r="1087" spans="1:12" x14ac:dyDescent="0.25">
      <c r="A1087">
        <v>1567</v>
      </c>
      <c r="B1087">
        <v>1082</v>
      </c>
      <c r="C1087">
        <v>1318</v>
      </c>
      <c r="D1087" t="s">
        <v>3085</v>
      </c>
      <c r="E1087" t="str">
        <f>IF(NOT(ISERROR(VLOOKUP(D1087,'ESO DungeonFinder'!$A$2:$A$999,1,FALSE))),"X","")</f>
        <v/>
      </c>
      <c r="F1087" s="70" t="str">
        <f t="shared" si="64"/>
        <v/>
      </c>
      <c r="G1087" s="70" t="str">
        <f t="shared" si="67"/>
        <v>High Isle</v>
      </c>
      <c r="H1087" s="70">
        <f t="shared" si="65"/>
        <v>1567</v>
      </c>
      <c r="I1087" s="70">
        <f t="shared" si="66"/>
        <v>1318</v>
      </c>
      <c r="J1087">
        <v>41</v>
      </c>
      <c r="K1087" s="3" t="str">
        <f ca="1">VLOOKUP(J1087,ConstDLCIds!$A$4:$B$1000,2,FALSE)</f>
        <v>DLC_SEASON0</v>
      </c>
      <c r="L1087" s="3" t="str">
        <f ca="1">VLOOKUP(J1087,ConstDLCIds!$A$4:$C$1000,3,FALSE)</f>
        <v>Season 0</v>
      </c>
    </row>
    <row r="1088" spans="1:12" x14ac:dyDescent="0.25">
      <c r="A1088">
        <v>1568</v>
      </c>
      <c r="B1088">
        <v>1083</v>
      </c>
      <c r="C1088">
        <v>1559</v>
      </c>
      <c r="D1088" t="s">
        <v>3086</v>
      </c>
      <c r="E1088" t="str">
        <f>IF(NOT(ISERROR(VLOOKUP(D1088,'ESO DungeonFinder'!$A$2:$A$999,1,FALSE))),"X","")</f>
        <v/>
      </c>
      <c r="F1088" s="70" t="str">
        <f t="shared" si="64"/>
        <v/>
      </c>
      <c r="G1088" s="70" t="str">
        <f t="shared" si="67"/>
        <v>Night Market</v>
      </c>
      <c r="H1088" s="70">
        <f t="shared" si="65"/>
        <v>1568</v>
      </c>
      <c r="I1088" s="70">
        <f t="shared" si="66"/>
        <v>1559</v>
      </c>
      <c r="J1088">
        <v>41</v>
      </c>
      <c r="K1088" s="3" t="str">
        <f ca="1">VLOOKUP(J1088,ConstDLCIds!$A$4:$B$1000,2,FALSE)</f>
        <v>DLC_SEASON0</v>
      </c>
      <c r="L1088" s="3" t="str">
        <f ca="1">VLOOKUP(J1088,ConstDLCIds!$A$4:$C$1000,3,FALSE)</f>
        <v>Season 0</v>
      </c>
    </row>
    <row r="1089" spans="1:12" x14ac:dyDescent="0.25">
      <c r="A1089">
        <v>1569</v>
      </c>
      <c r="B1089">
        <v>1084</v>
      </c>
      <c r="C1089">
        <v>534</v>
      </c>
      <c r="D1089" t="s">
        <v>3087</v>
      </c>
      <c r="E1089" t="str">
        <f>IF(NOT(ISERROR(VLOOKUP(D1089,'ESO DungeonFinder'!$A$2:$A$999,1,FALSE))),"X","")</f>
        <v/>
      </c>
      <c r="F1089" s="70" t="str">
        <f t="shared" si="64"/>
        <v/>
      </c>
      <c r="G1089" s="70" t="str">
        <f t="shared" si="67"/>
        <v>Stros M'Kai</v>
      </c>
      <c r="H1089" s="70">
        <f t="shared" si="65"/>
        <v>1569</v>
      </c>
      <c r="I1089" s="70">
        <f t="shared" si="66"/>
        <v>534</v>
      </c>
      <c r="J1089">
        <v>41</v>
      </c>
      <c r="K1089" s="3" t="str">
        <f ca="1">VLOOKUP(J1089,ConstDLCIds!$A$4:$B$1000,2,FALSE)</f>
        <v>DLC_SEASON0</v>
      </c>
      <c r="L1089" s="3" t="str">
        <f ca="1">VLOOKUP(J1089,ConstDLCIds!$A$4:$C$1000,3,FALSE)</f>
        <v>Season 0</v>
      </c>
    </row>
    <row r="1090" spans="1:12" x14ac:dyDescent="0.25">
      <c r="A1090" s="93">
        <v>1574</v>
      </c>
      <c r="B1090">
        <v>1088</v>
      </c>
      <c r="C1090">
        <v>3</v>
      </c>
      <c r="D1090" t="s">
        <v>4297</v>
      </c>
      <c r="E1090" t="str">
        <f>IF(NOT(ISERROR(VLOOKUP(D1090,'ESO DungeonFinder'!$A$2:$A$999,1,FALSE))),"X","")</f>
        <v/>
      </c>
      <c r="F1090" s="70" t="str">
        <f t="shared" si="64"/>
        <v/>
      </c>
      <c r="G1090" s="70" t="str">
        <f t="shared" si="67"/>
        <v>Glenumbra</v>
      </c>
      <c r="H1090" s="70">
        <f t="shared" si="65"/>
        <v>1574</v>
      </c>
      <c r="I1090" s="70">
        <f t="shared" si="66"/>
        <v>3</v>
      </c>
      <c r="J1090">
        <v>42</v>
      </c>
      <c r="K1090" s="3" t="str">
        <f ca="1">VLOOKUP(J1090,ConstDLCIds!$A$4:$B$1000,2,FALSE)</f>
        <v>DLC_SEASON0_PART2</v>
      </c>
      <c r="L1090" s="3" t="str">
        <f ca="1">VLOOKUP(J1090,ConstDLCIds!$A$4:$C$1000,3,FALSE)</f>
        <v>Season 0 - Part 2</v>
      </c>
    </row>
    <row r="1091" spans="1:12" x14ac:dyDescent="0.25">
      <c r="A1091" s="93">
        <v>1575</v>
      </c>
      <c r="B1091">
        <v>1089</v>
      </c>
      <c r="C1091">
        <v>3</v>
      </c>
      <c r="D1091" t="s">
        <v>4298</v>
      </c>
      <c r="E1091" t="str">
        <f>IF(NOT(ISERROR(VLOOKUP(D1091,'ESO DungeonFinder'!$A$2:$A$999,1,FALSE))),"X","")</f>
        <v/>
      </c>
      <c r="F1091" s="70" t="str">
        <f t="shared" si="64"/>
        <v/>
      </c>
      <c r="G1091" s="70" t="str">
        <f t="shared" si="67"/>
        <v>Glenumbra</v>
      </c>
      <c r="H1091" s="70">
        <f t="shared" si="65"/>
        <v>1575</v>
      </c>
      <c r="I1091" s="70">
        <f t="shared" si="66"/>
        <v>3</v>
      </c>
      <c r="J1091">
        <v>42</v>
      </c>
      <c r="K1091" s="3" t="str">
        <f ca="1">VLOOKUP(J1091,ConstDLCIds!$A$4:$B$1000,2,FALSE)</f>
        <v>DLC_SEASON0_PART2</v>
      </c>
      <c r="L1091" s="3" t="str">
        <f ca="1">VLOOKUP(J1091,ConstDLCIds!$A$4:$C$1000,3,FALSE)</f>
        <v>Season 0 - Part 2</v>
      </c>
    </row>
    <row r="1092" spans="1:12" x14ac:dyDescent="0.25">
      <c r="A1092" s="93">
        <v>1577</v>
      </c>
      <c r="B1092">
        <v>1090</v>
      </c>
      <c r="C1092">
        <v>3</v>
      </c>
      <c r="D1092" t="s">
        <v>4299</v>
      </c>
      <c r="E1092" t="str">
        <f>IF(NOT(ISERROR(VLOOKUP(D1092,'ESO DungeonFinder'!$A$2:$A$999,1,FALSE))),"X","")</f>
        <v/>
      </c>
      <c r="F1092" s="70" t="str">
        <f t="shared" si="64"/>
        <v/>
      </c>
      <c r="G1092" s="70" t="str">
        <f t="shared" si="67"/>
        <v>Glenumbra</v>
      </c>
      <c r="H1092" s="70">
        <f t="shared" si="65"/>
        <v>1577</v>
      </c>
      <c r="I1092" s="70">
        <f t="shared" si="66"/>
        <v>3</v>
      </c>
      <c r="J1092">
        <v>42</v>
      </c>
      <c r="K1092" s="3" t="str">
        <f ca="1">VLOOKUP(J1092,ConstDLCIds!$A$4:$B$1000,2,FALSE)</f>
        <v>DLC_SEASON0_PART2</v>
      </c>
      <c r="L1092" s="3" t="str">
        <f ca="1">VLOOKUP(J1092,ConstDLCIds!$A$4:$C$1000,3,FALSE)</f>
        <v>Season 0 - Part 2</v>
      </c>
    </row>
    <row r="1093" spans="1:12" x14ac:dyDescent="0.25">
      <c r="A1093" s="93">
        <v>1578</v>
      </c>
      <c r="B1093">
        <v>1091</v>
      </c>
      <c r="C1093">
        <v>3</v>
      </c>
      <c r="D1093" t="s">
        <v>4300</v>
      </c>
      <c r="E1093" t="str">
        <f>IF(NOT(ISERROR(VLOOKUP(D1093,'ESO DungeonFinder'!$A$2:$A$999,1,FALSE))),"X","")</f>
        <v/>
      </c>
      <c r="F1093" s="70" t="str">
        <f t="shared" ref="F1093:F1098" si="68">IF(EXACT(A1093,C1093),"X","")</f>
        <v/>
      </c>
      <c r="G1093" s="70" t="str">
        <f t="shared" si="67"/>
        <v>Glenumbra</v>
      </c>
      <c r="H1093" s="70">
        <f t="shared" ref="H1093:H1098" si="69">A1093</f>
        <v>1578</v>
      </c>
      <c r="I1093" s="70">
        <f t="shared" ref="I1093:I1098" si="70">C1093</f>
        <v>3</v>
      </c>
      <c r="J1093">
        <v>42</v>
      </c>
      <c r="K1093" s="3" t="str">
        <f ca="1">VLOOKUP(J1093,ConstDLCIds!$A$4:$B$1000,2,FALSE)</f>
        <v>DLC_SEASON0_PART2</v>
      </c>
      <c r="L1093" s="3" t="str">
        <f ca="1">VLOOKUP(J1093,ConstDLCIds!$A$4:$C$1000,3,FALSE)</f>
        <v>Season 0 - Part 2</v>
      </c>
    </row>
    <row r="1094" spans="1:12" x14ac:dyDescent="0.25">
      <c r="A1094" s="93">
        <v>1579</v>
      </c>
      <c r="B1094">
        <v>1092</v>
      </c>
      <c r="C1094">
        <v>3</v>
      </c>
      <c r="D1094" t="s">
        <v>4301</v>
      </c>
      <c r="E1094" t="str">
        <f>IF(NOT(ISERROR(VLOOKUP(D1094,'ESO DungeonFinder'!$A$2:$A$999,1,FALSE))),"X","")</f>
        <v/>
      </c>
      <c r="F1094" s="70" t="str">
        <f t="shared" si="68"/>
        <v/>
      </c>
      <c r="G1094" s="70" t="str">
        <f t="shared" si="67"/>
        <v>Glenumbra</v>
      </c>
      <c r="H1094" s="70">
        <f t="shared" si="69"/>
        <v>1579</v>
      </c>
      <c r="I1094" s="70">
        <f t="shared" si="70"/>
        <v>3</v>
      </c>
      <c r="J1094">
        <v>42</v>
      </c>
      <c r="K1094" s="3" t="str">
        <f ca="1">VLOOKUP(J1094,ConstDLCIds!$A$4:$B$1000,2,FALSE)</f>
        <v>DLC_SEASON0_PART2</v>
      </c>
      <c r="L1094" s="3" t="str">
        <f ca="1">VLOOKUP(J1094,ConstDLCIds!$A$4:$C$1000,3,FALSE)</f>
        <v>Season 0 - Part 2</v>
      </c>
    </row>
    <row r="1095" spans="1:12" x14ac:dyDescent="0.25">
      <c r="A1095" s="93">
        <v>1583</v>
      </c>
      <c r="B1095">
        <v>1093</v>
      </c>
      <c r="C1095">
        <v>3</v>
      </c>
      <c r="D1095" t="s">
        <v>4302</v>
      </c>
      <c r="E1095" t="str">
        <f>IF(NOT(ISERROR(VLOOKUP(D1095,'ESO DungeonFinder'!$A$2:$A$999,1,FALSE))),"X","")</f>
        <v/>
      </c>
      <c r="F1095" s="70" t="str">
        <f t="shared" si="68"/>
        <v/>
      </c>
      <c r="G1095" s="70" t="str">
        <f t="shared" si="67"/>
        <v>Glenumbra</v>
      </c>
      <c r="H1095" s="70">
        <f t="shared" si="69"/>
        <v>1583</v>
      </c>
      <c r="I1095" s="70">
        <f t="shared" si="70"/>
        <v>3</v>
      </c>
      <c r="J1095">
        <v>42</v>
      </c>
      <c r="K1095" s="3" t="str">
        <f ca="1">VLOOKUP(J1095,ConstDLCIds!$A$4:$B$1000,2,FALSE)</f>
        <v>DLC_SEASON0_PART2</v>
      </c>
      <c r="L1095" s="3" t="str">
        <f ca="1">VLOOKUP(J1095,ConstDLCIds!$A$4:$C$1000,3,FALSE)</f>
        <v>Season 0 - Part 2</v>
      </c>
    </row>
    <row r="1096" spans="1:12" x14ac:dyDescent="0.25">
      <c r="A1096" s="93">
        <v>1594</v>
      </c>
      <c r="B1096">
        <v>1094</v>
      </c>
      <c r="C1096">
        <v>3</v>
      </c>
      <c r="D1096" t="s">
        <v>4303</v>
      </c>
      <c r="E1096" t="str">
        <f>IF(NOT(ISERROR(VLOOKUP(D1096,'ESO DungeonFinder'!$A$2:$A$999,1,FALSE))),"X","")</f>
        <v/>
      </c>
      <c r="F1096" s="70" t="str">
        <f t="shared" si="68"/>
        <v/>
      </c>
      <c r="G1096" s="70" t="str">
        <f t="shared" si="67"/>
        <v>Glenumbra</v>
      </c>
      <c r="H1096" s="70">
        <f t="shared" si="69"/>
        <v>1594</v>
      </c>
      <c r="I1096" s="70">
        <f t="shared" si="70"/>
        <v>3</v>
      </c>
      <c r="J1096">
        <v>42</v>
      </c>
      <c r="K1096" s="3" t="str">
        <f ca="1">VLOOKUP(J1096,ConstDLCIds!$A$4:$B$1000,2,FALSE)</f>
        <v>DLC_SEASON0_PART2</v>
      </c>
      <c r="L1096" s="3" t="str">
        <f ca="1">VLOOKUP(J1096,ConstDLCIds!$A$4:$C$1000,3,FALSE)</f>
        <v>Season 0 - Part 2</v>
      </c>
    </row>
    <row r="1097" spans="1:12" x14ac:dyDescent="0.25">
      <c r="A1097" s="93">
        <v>1595</v>
      </c>
      <c r="B1097">
        <v>1095</v>
      </c>
      <c r="C1097">
        <v>1011</v>
      </c>
      <c r="D1097" t="s">
        <v>4304</v>
      </c>
      <c r="E1097" t="str">
        <f>IF(NOT(ISERROR(VLOOKUP(D1097,'ESO DungeonFinder'!$A$2:$A$999,1,FALSE))),"X","")</f>
        <v/>
      </c>
      <c r="F1097" s="70" t="str">
        <f t="shared" si="68"/>
        <v/>
      </c>
      <c r="G1097" s="70" t="str">
        <f t="shared" si="67"/>
        <v>Summerset</v>
      </c>
      <c r="H1097" s="70">
        <f t="shared" si="69"/>
        <v>1595</v>
      </c>
      <c r="I1097" s="70">
        <f t="shared" si="70"/>
        <v>1011</v>
      </c>
      <c r="J1097">
        <v>42</v>
      </c>
      <c r="K1097" s="3" t="str">
        <f ca="1">VLOOKUP(J1097,ConstDLCIds!$A$4:$B$1000,2,FALSE)</f>
        <v>DLC_SEASON0_PART2</v>
      </c>
      <c r="L1097" s="3" t="str">
        <f ca="1">VLOOKUP(J1097,ConstDLCIds!$A$4:$C$1000,3,FALSE)</f>
        <v>Season 0 - Part 2</v>
      </c>
    </row>
    <row r="1098" spans="1:12" x14ac:dyDescent="0.25">
      <c r="A1098" s="93">
        <v>1597</v>
      </c>
      <c r="B1098">
        <v>1096</v>
      </c>
      <c r="C1098">
        <v>1207</v>
      </c>
      <c r="D1098" t="s">
        <v>4305</v>
      </c>
      <c r="E1098" t="str">
        <f>IF(NOT(ISERROR(VLOOKUP(D1098,'ESO DungeonFinder'!$A$2:$A$999,1,FALSE))),"X","")</f>
        <v/>
      </c>
      <c r="F1098" s="70" t="str">
        <f t="shared" si="68"/>
        <v/>
      </c>
      <c r="G1098" s="70" t="str">
        <f t="shared" si="67"/>
        <v>The Reach</v>
      </c>
      <c r="H1098" s="70">
        <f t="shared" si="69"/>
        <v>1597</v>
      </c>
      <c r="I1098" s="70">
        <f t="shared" si="70"/>
        <v>1207</v>
      </c>
      <c r="J1098">
        <v>42</v>
      </c>
      <c r="K1098" s="3" t="str">
        <f ca="1">VLOOKUP(J1098,ConstDLCIds!$A$4:$B$1000,2,FALSE)</f>
        <v>DLC_SEASON0_PART2</v>
      </c>
      <c r="L1098" s="3" t="str">
        <f ca="1">VLOOKUP(J1098,ConstDLCIds!$A$4:$C$1000,3,FALSE)</f>
        <v>Season 0 - Part 2</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9"/>
  <sheetViews>
    <sheetView workbookViewId="0">
      <pane ySplit="2" topLeftCell="A4" activePane="bottomLeft" state="frozen"/>
      <selection pane="bottomLeft" activeCell="C28" sqref="C28"/>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2129</v>
      </c>
      <c r="E1" s="46"/>
      <c r="F1" s="46"/>
      <c r="G1" s="46"/>
      <c r="H1" s="46"/>
      <c r="I1" s="46"/>
      <c r="J1" s="39"/>
      <c r="K1" s="39"/>
      <c r="L1" s="39"/>
      <c r="M1" s="39"/>
      <c r="N1" s="39"/>
      <c r="O1" s="39"/>
      <c r="P1" s="39"/>
      <c r="Q1" s="39"/>
    </row>
    <row r="2" spans="1:17" s="6" customFormat="1" x14ac:dyDescent="0.25">
      <c r="A2" t="s">
        <v>3088</v>
      </c>
      <c r="B2" t="s">
        <v>3089</v>
      </c>
      <c r="C2" t="s">
        <v>3090</v>
      </c>
      <c r="D2" t="s">
        <v>2164</v>
      </c>
      <c r="E2" s="3" t="s">
        <v>3091</v>
      </c>
      <c r="F2" s="3" t="s">
        <v>2165</v>
      </c>
      <c r="G2"/>
      <c r="H2"/>
    </row>
    <row r="3" spans="1:17" x14ac:dyDescent="0.25">
      <c r="A3">
        <v>1</v>
      </c>
      <c r="B3">
        <v>2</v>
      </c>
      <c r="C3" t="s">
        <v>496</v>
      </c>
      <c r="D3">
        <v>3</v>
      </c>
      <c r="E3" t="s">
        <v>496</v>
      </c>
      <c r="F3" s="3">
        <f>VLOOKUP(D3,'ESO zones'!$A$5:$B$10003,2,FALSE)</f>
        <v>2</v>
      </c>
    </row>
    <row r="4" spans="1:17" x14ac:dyDescent="0.25">
      <c r="A4">
        <v>7</v>
      </c>
      <c r="B4">
        <v>11</v>
      </c>
      <c r="C4" t="s">
        <v>433</v>
      </c>
      <c r="D4">
        <v>41</v>
      </c>
      <c r="E4" t="s">
        <v>433</v>
      </c>
      <c r="F4" s="3">
        <f>VLOOKUP(D4,'ESO zones'!$A$5:$B$10003,2,FALSE)</f>
        <v>9</v>
      </c>
    </row>
    <row r="5" spans="1:17" x14ac:dyDescent="0.25">
      <c r="A5">
        <v>9</v>
      </c>
      <c r="B5">
        <v>7</v>
      </c>
      <c r="C5" t="s">
        <v>451</v>
      </c>
      <c r="D5">
        <v>383</v>
      </c>
      <c r="E5" t="s">
        <v>451</v>
      </c>
      <c r="F5" s="3">
        <f>VLOOKUP(D5,'ESO zones'!$A$5:$B$10003,2,FALSE)</f>
        <v>180</v>
      </c>
    </row>
    <row r="6" spans="1:17" x14ac:dyDescent="0.25">
      <c r="A6">
        <v>10</v>
      </c>
      <c r="B6">
        <v>3</v>
      </c>
      <c r="C6" t="s">
        <v>501</v>
      </c>
      <c r="D6">
        <v>20</v>
      </c>
      <c r="E6" t="s">
        <v>501</v>
      </c>
      <c r="F6" s="3">
        <f>VLOOKUP(D6,'ESO zones'!$A$5:$B$10003,2,FALSE)</f>
        <v>5</v>
      </c>
    </row>
    <row r="7" spans="1:17" x14ac:dyDescent="0.25">
      <c r="A7">
        <v>12</v>
      </c>
      <c r="B7">
        <v>4</v>
      </c>
      <c r="C7" t="s">
        <v>413</v>
      </c>
      <c r="D7">
        <v>19</v>
      </c>
      <c r="E7" t="s">
        <v>413</v>
      </c>
      <c r="F7" s="3">
        <f>VLOOKUP(D7,'ESO zones'!$A$5:$B$10003,2,FALSE)</f>
        <v>4</v>
      </c>
    </row>
    <row r="8" spans="1:17" x14ac:dyDescent="0.25">
      <c r="A8">
        <v>13</v>
      </c>
      <c r="B8">
        <v>10</v>
      </c>
      <c r="C8" t="s">
        <v>436</v>
      </c>
      <c r="D8">
        <v>57</v>
      </c>
      <c r="E8" t="s">
        <v>436</v>
      </c>
      <c r="F8" s="3">
        <f>VLOOKUP(D8,'ESO zones'!$A$5:$B$10003,2,FALSE)</f>
        <v>10</v>
      </c>
    </row>
    <row r="9" spans="1:17" x14ac:dyDescent="0.25">
      <c r="A9">
        <v>16</v>
      </c>
      <c r="B9">
        <v>14</v>
      </c>
      <c r="C9" t="s">
        <v>166</v>
      </c>
      <c r="D9">
        <v>181</v>
      </c>
      <c r="E9" t="s">
        <v>166</v>
      </c>
      <c r="F9" s="3">
        <f>VLOOKUP(D9,'ESO zones'!$A$5:$B$10003,2,FALSE)</f>
        <v>38</v>
      </c>
    </row>
    <row r="10" spans="1:17" x14ac:dyDescent="0.25">
      <c r="A10">
        <v>20</v>
      </c>
      <c r="B10">
        <v>6</v>
      </c>
      <c r="C10" t="s">
        <v>524</v>
      </c>
      <c r="D10">
        <v>92</v>
      </c>
      <c r="E10" t="s">
        <v>524</v>
      </c>
      <c r="F10" s="3">
        <f>VLOOKUP(D10,'ESO zones'!$A$5:$B$10003,2,FALSE)</f>
        <v>14</v>
      </c>
    </row>
    <row r="11" spans="1:17" x14ac:dyDescent="0.25">
      <c r="A11">
        <v>22</v>
      </c>
      <c r="B11">
        <v>8</v>
      </c>
      <c r="C11" t="s">
        <v>429</v>
      </c>
      <c r="D11">
        <v>58</v>
      </c>
      <c r="E11" t="s">
        <v>429</v>
      </c>
      <c r="F11" s="3">
        <f>VLOOKUP(D11,'ESO zones'!$A$5:$B$10003,2,FALSE)</f>
        <v>11</v>
      </c>
    </row>
    <row r="12" spans="1:17" x14ac:dyDescent="0.25">
      <c r="A12">
        <v>26</v>
      </c>
      <c r="B12">
        <v>9</v>
      </c>
      <c r="C12" t="s">
        <v>506</v>
      </c>
      <c r="D12">
        <v>117</v>
      </c>
      <c r="E12" t="s">
        <v>506</v>
      </c>
      <c r="F12" s="3">
        <f>VLOOKUP(D12,'ESO zones'!$A$5:$B$10003,2,FALSE)</f>
        <v>19</v>
      </c>
    </row>
    <row r="13" spans="1:17" x14ac:dyDescent="0.25">
      <c r="A13">
        <v>30</v>
      </c>
      <c r="B13">
        <v>5</v>
      </c>
      <c r="C13" t="s">
        <v>442</v>
      </c>
      <c r="D13">
        <v>104</v>
      </c>
      <c r="E13" t="s">
        <v>442</v>
      </c>
      <c r="F13" s="3">
        <f>VLOOKUP(D13,'ESO zones'!$A$5:$B$10003,2,FALSE)</f>
        <v>17</v>
      </c>
    </row>
    <row r="14" spans="1:17" x14ac:dyDescent="0.25">
      <c r="A14">
        <v>61</v>
      </c>
      <c r="B14">
        <v>13</v>
      </c>
      <c r="C14" t="s">
        <v>409</v>
      </c>
      <c r="D14">
        <v>101</v>
      </c>
      <c r="E14" t="s">
        <v>409</v>
      </c>
      <c r="F14" s="3">
        <f>VLOOKUP(D14,'ESO zones'!$A$5:$B$10003,2,FALSE)</f>
        <v>15</v>
      </c>
    </row>
    <row r="15" spans="1:17" x14ac:dyDescent="0.25">
      <c r="A15">
        <v>74</v>
      </c>
      <c r="B15">
        <v>22</v>
      </c>
      <c r="C15" t="s">
        <v>964</v>
      </c>
      <c r="D15">
        <v>280</v>
      </c>
      <c r="E15" t="s">
        <v>964</v>
      </c>
      <c r="F15" s="3">
        <f>VLOOKUP(D15,'ESO zones'!$A$5:$B$10003,2,FALSE)</f>
        <v>109</v>
      </c>
    </row>
    <row r="16" spans="1:17" x14ac:dyDescent="0.25">
      <c r="A16">
        <v>75</v>
      </c>
      <c r="B16">
        <v>18</v>
      </c>
      <c r="C16" t="s">
        <v>965</v>
      </c>
      <c r="D16">
        <v>281</v>
      </c>
      <c r="E16" t="s">
        <v>965</v>
      </c>
      <c r="F16" s="3">
        <f>VLOOKUP(D16,'ESO zones'!$A$5:$B$10003,2,FALSE)</f>
        <v>110</v>
      </c>
    </row>
    <row r="17" spans="1:6" x14ac:dyDescent="0.25">
      <c r="A17">
        <v>108</v>
      </c>
      <c r="B17">
        <v>52</v>
      </c>
      <c r="C17" t="s">
        <v>561</v>
      </c>
      <c r="D17">
        <v>267</v>
      </c>
      <c r="E17" t="s">
        <v>561</v>
      </c>
      <c r="F17" s="3">
        <f>VLOOKUP(D17,'ESO zones'!$A$5:$B$10003,2,FALSE)</f>
        <v>99</v>
      </c>
    </row>
    <row r="18" spans="1:6" x14ac:dyDescent="0.25">
      <c r="A18">
        <v>125</v>
      </c>
      <c r="B18">
        <v>12</v>
      </c>
      <c r="C18" t="s">
        <v>406</v>
      </c>
      <c r="D18">
        <v>103</v>
      </c>
      <c r="E18" t="s">
        <v>406</v>
      </c>
      <c r="F18" s="3">
        <f>VLOOKUP(D18,'ESO zones'!$A$5:$B$10003,2,FALSE)</f>
        <v>16</v>
      </c>
    </row>
    <row r="19" spans="1:6" x14ac:dyDescent="0.25">
      <c r="A19">
        <v>143</v>
      </c>
      <c r="B19">
        <v>15</v>
      </c>
      <c r="C19" t="s">
        <v>439</v>
      </c>
      <c r="D19">
        <v>381</v>
      </c>
      <c r="E19" t="s">
        <v>439</v>
      </c>
      <c r="F19" s="3">
        <f>VLOOKUP(D19,'ESO zones'!$A$5:$B$10003,2,FALSE)</f>
        <v>178</v>
      </c>
    </row>
    <row r="20" spans="1:6" x14ac:dyDescent="0.25">
      <c r="A20">
        <v>201</v>
      </c>
      <c r="B20">
        <v>19</v>
      </c>
      <c r="C20" t="s">
        <v>2452</v>
      </c>
      <c r="D20">
        <v>534</v>
      </c>
      <c r="E20" t="s">
        <v>2452</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255</v>
      </c>
      <c r="B22">
        <v>23</v>
      </c>
      <c r="C22" t="s">
        <v>423</v>
      </c>
      <c r="D22">
        <v>347</v>
      </c>
      <c r="E22" t="s">
        <v>423</v>
      </c>
      <c r="F22" s="3">
        <f>VLOOKUP(D22,'ESO zones'!$A$5:$B$10003,2,FALSE)</f>
        <v>154</v>
      </c>
    </row>
    <row r="23" spans="1:6" x14ac:dyDescent="0.25">
      <c r="A23">
        <v>256</v>
      </c>
      <c r="B23">
        <v>17</v>
      </c>
      <c r="C23" t="s">
        <v>568</v>
      </c>
      <c r="D23">
        <v>382</v>
      </c>
      <c r="E23" t="s">
        <v>568</v>
      </c>
      <c r="F23" s="3">
        <f>VLOOKUP(D23,'ESO zones'!$A$5:$B$10003,2,FALSE)</f>
        <v>179</v>
      </c>
    </row>
    <row r="24" spans="1:6" x14ac:dyDescent="0.25">
      <c r="A24">
        <v>258</v>
      </c>
      <c r="B24">
        <v>21</v>
      </c>
      <c r="C24" t="s">
        <v>2453</v>
      </c>
      <c r="D24">
        <v>537</v>
      </c>
      <c r="E24" t="s">
        <v>2453</v>
      </c>
      <c r="F24" s="3">
        <f>VLOOKUP(D24,'ESO zones'!$A$5:$B$10003,2,FALSE)</f>
        <v>307</v>
      </c>
    </row>
    <row r="25" spans="1:6" x14ac:dyDescent="0.25">
      <c r="A25">
        <v>300</v>
      </c>
      <c r="B25">
        <v>16</v>
      </c>
      <c r="C25" t="s">
        <v>511</v>
      </c>
      <c r="D25">
        <v>108</v>
      </c>
      <c r="E25" t="s">
        <v>511</v>
      </c>
      <c r="F25" s="3">
        <f>VLOOKUP(D25,'ESO zones'!$A$5:$B$10003,2,FALSE)</f>
        <v>18</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1126</v>
      </c>
      <c r="B31">
        <v>25</v>
      </c>
      <c r="C31" t="s">
        <v>686</v>
      </c>
      <c r="D31">
        <v>888</v>
      </c>
      <c r="E31" t="s">
        <v>686</v>
      </c>
      <c r="F31" s="3">
        <f>VLOOKUP(D31,'ESO zones'!$A$5:$B$10003,2,FALSE)</f>
        <v>501</v>
      </c>
    </row>
    <row r="32" spans="1:6" x14ac:dyDescent="0.25">
      <c r="A32">
        <v>1313</v>
      </c>
      <c r="B32">
        <v>31</v>
      </c>
      <c r="C32" t="s">
        <v>32</v>
      </c>
      <c r="D32">
        <v>980</v>
      </c>
      <c r="E32" t="s">
        <v>32</v>
      </c>
      <c r="F32" s="3">
        <f>VLOOKUP(D32,'ESO zones'!$A$5:$B$10003,2,FALSE)</f>
        <v>590</v>
      </c>
    </row>
    <row r="33" spans="1:6" x14ac:dyDescent="0.25">
      <c r="A33">
        <v>1349</v>
      </c>
      <c r="B33">
        <v>32</v>
      </c>
      <c r="C33" t="s">
        <v>38</v>
      </c>
      <c r="D33">
        <v>1011</v>
      </c>
      <c r="E33" t="s">
        <v>38</v>
      </c>
      <c r="F33" s="3">
        <f>VLOOKUP(D33,'ESO zones'!$A$5:$B$10003,2,FALSE)</f>
        <v>617</v>
      </c>
    </row>
    <row r="34" spans="1:6" x14ac:dyDescent="0.25">
      <c r="A34">
        <v>1429</v>
      </c>
      <c r="B34">
        <v>33</v>
      </c>
      <c r="C34" t="s">
        <v>1166</v>
      </c>
      <c r="D34">
        <v>1027</v>
      </c>
      <c r="E34" t="s">
        <v>1166</v>
      </c>
      <c r="F34" s="3">
        <f>VLOOKUP(D34,'ESO zones'!$A$5:$B$10003,2,FALSE)</f>
        <v>633</v>
      </c>
    </row>
    <row r="35" spans="1:6" x14ac:dyDescent="0.25">
      <c r="A35">
        <v>1484</v>
      </c>
      <c r="B35">
        <v>34</v>
      </c>
      <c r="C35" t="s">
        <v>44</v>
      </c>
      <c r="D35">
        <v>726</v>
      </c>
      <c r="E35" t="s">
        <v>44</v>
      </c>
      <c r="F35" s="3">
        <f>VLOOKUP(D35,'ESO zones'!$A$5:$B$10003,2,FALSE)</f>
        <v>408</v>
      </c>
    </row>
    <row r="36" spans="1:6" x14ac:dyDescent="0.25">
      <c r="A36">
        <v>1552</v>
      </c>
      <c r="B36">
        <v>35</v>
      </c>
      <c r="C36" t="s">
        <v>2759</v>
      </c>
      <c r="D36">
        <v>1072</v>
      </c>
      <c r="E36" t="s">
        <v>2759</v>
      </c>
      <c r="F36" s="3">
        <f>VLOOKUP(D36,'ESO zones'!$A$5:$B$10003,2,FALSE)</f>
        <v>669</v>
      </c>
    </row>
    <row r="37" spans="1:6" x14ac:dyDescent="0.25">
      <c r="A37">
        <v>1555</v>
      </c>
      <c r="B37">
        <v>36</v>
      </c>
      <c r="C37" t="s">
        <v>1288</v>
      </c>
      <c r="D37">
        <v>1086</v>
      </c>
      <c r="E37" t="s">
        <v>1288</v>
      </c>
      <c r="F37" s="3">
        <f>VLOOKUP(D37,'ESO zones'!$A$5:$B$10003,2,FALSE)</f>
        <v>682</v>
      </c>
    </row>
    <row r="38" spans="1:6" x14ac:dyDescent="0.25">
      <c r="A38">
        <v>1654</v>
      </c>
      <c r="B38">
        <v>37</v>
      </c>
      <c r="C38" t="s">
        <v>1329</v>
      </c>
      <c r="D38">
        <v>1133</v>
      </c>
      <c r="E38" t="s">
        <v>1329</v>
      </c>
      <c r="F38" s="3">
        <f>VLOOKUP(D38,'ESO zones'!$A$5:$B$10003,2,FALSE)</f>
        <v>721</v>
      </c>
    </row>
    <row r="39" spans="1:6" x14ac:dyDescent="0.25">
      <c r="A39">
        <v>1719</v>
      </c>
      <c r="B39">
        <v>38</v>
      </c>
      <c r="C39" t="s">
        <v>1372</v>
      </c>
      <c r="D39">
        <v>1160</v>
      </c>
      <c r="E39" t="s">
        <v>1372</v>
      </c>
      <c r="F39" s="3">
        <f>VLOOKUP(D39,'ESO zones'!$A$5:$B$10003,2,FALSE)</f>
        <v>744</v>
      </c>
    </row>
    <row r="40" spans="1:6" x14ac:dyDescent="0.25">
      <c r="A40">
        <v>1747</v>
      </c>
      <c r="B40">
        <v>39</v>
      </c>
      <c r="C40" t="s">
        <v>2192</v>
      </c>
      <c r="D40">
        <v>1161</v>
      </c>
      <c r="E40" t="s">
        <v>2192</v>
      </c>
      <c r="F40" s="3">
        <f>VLOOKUP(D40,'ESO zones'!$A$5:$B$10003,2,FALSE)</f>
        <v>745</v>
      </c>
    </row>
    <row r="41" spans="1:6" x14ac:dyDescent="0.25">
      <c r="A41">
        <v>1814</v>
      </c>
      <c r="B41">
        <v>42</v>
      </c>
      <c r="C41" t="s">
        <v>1492</v>
      </c>
      <c r="D41">
        <v>1207</v>
      </c>
      <c r="E41" t="s">
        <v>1492</v>
      </c>
      <c r="F41" s="3">
        <f>VLOOKUP(D41,'ESO zones'!$A$5:$B$10003,2,FALSE)</f>
        <v>784</v>
      </c>
    </row>
    <row r="42" spans="1:6" x14ac:dyDescent="0.25">
      <c r="A42">
        <v>1850</v>
      </c>
      <c r="B42">
        <v>41</v>
      </c>
      <c r="C42" t="s">
        <v>2850</v>
      </c>
      <c r="D42">
        <v>1208</v>
      </c>
      <c r="E42" t="s">
        <v>2850</v>
      </c>
      <c r="F42" s="3">
        <f>VLOOKUP(D42,'ESO zones'!$A$5:$B$10003,2,FALSE)</f>
        <v>785</v>
      </c>
    </row>
    <row r="43" spans="1:6" x14ac:dyDescent="0.25">
      <c r="A43">
        <v>1887</v>
      </c>
      <c r="B43">
        <v>43</v>
      </c>
      <c r="C43" t="s">
        <v>74</v>
      </c>
      <c r="D43">
        <v>1261</v>
      </c>
      <c r="E43" t="s">
        <v>74</v>
      </c>
      <c r="F43" s="3">
        <f>VLOOKUP(D43,'ESO zones'!$A$5:$B$10003,2,FALSE)</f>
        <v>835</v>
      </c>
    </row>
    <row r="44" spans="1:6" x14ac:dyDescent="0.25">
      <c r="A44">
        <v>2021</v>
      </c>
      <c r="B44">
        <v>45</v>
      </c>
      <c r="C44" t="s">
        <v>80</v>
      </c>
      <c r="D44">
        <v>1286</v>
      </c>
      <c r="E44" t="s">
        <v>80</v>
      </c>
      <c r="F44" s="3">
        <f>VLOOKUP(D44,'ESO zones'!$A$5:$B$10003,2,FALSE)</f>
        <v>858</v>
      </c>
    </row>
    <row r="45" spans="1:6" x14ac:dyDescent="0.25">
      <c r="A45">
        <v>2035</v>
      </c>
      <c r="B45">
        <v>47</v>
      </c>
      <c r="C45" t="s">
        <v>3092</v>
      </c>
      <c r="D45">
        <v>1282</v>
      </c>
      <c r="E45" t="s">
        <v>1674</v>
      </c>
      <c r="F45" s="3">
        <f>VLOOKUP(D45,'ESO zones'!$A$5:$B$10003,2,FALSE)</f>
        <v>854</v>
      </c>
    </row>
    <row r="46" spans="1:6" x14ac:dyDescent="0.25">
      <c r="A46">
        <v>2114</v>
      </c>
      <c r="B46">
        <v>46</v>
      </c>
      <c r="C46" t="s">
        <v>3093</v>
      </c>
      <c r="D46">
        <v>1318</v>
      </c>
      <c r="E46" t="s">
        <v>86</v>
      </c>
      <c r="F46" s="3">
        <f>VLOOKUP(D46,'ESO zones'!$A$5:$B$10003,2,FALSE)</f>
        <v>884</v>
      </c>
    </row>
    <row r="47" spans="1:6" x14ac:dyDescent="0.25">
      <c r="A47">
        <v>2119</v>
      </c>
      <c r="B47">
        <v>44</v>
      </c>
      <c r="C47" t="s">
        <v>1674</v>
      </c>
      <c r="D47">
        <v>1283</v>
      </c>
      <c r="E47" t="s">
        <v>1643</v>
      </c>
      <c r="F47" s="3">
        <f>VLOOKUP(D47,'ESO zones'!$A$5:$B$10003,2,FALSE)</f>
        <v>855</v>
      </c>
    </row>
    <row r="48" spans="1:6" x14ac:dyDescent="0.25">
      <c r="A48">
        <v>2212</v>
      </c>
      <c r="B48">
        <v>48</v>
      </c>
      <c r="C48" t="s">
        <v>3094</v>
      </c>
      <c r="D48">
        <v>1383</v>
      </c>
      <c r="E48" t="s">
        <v>1813</v>
      </c>
      <c r="F48" s="3">
        <f>VLOOKUP(D48,'ESO zones'!$A$5:$B$10003,2,FALSE)</f>
        <v>930</v>
      </c>
    </row>
    <row r="49" spans="1:6" x14ac:dyDescent="0.25">
      <c r="A49">
        <v>2274</v>
      </c>
      <c r="B49">
        <v>49</v>
      </c>
      <c r="C49" t="s">
        <v>1881</v>
      </c>
      <c r="D49">
        <v>1414</v>
      </c>
      <c r="E49" t="s">
        <v>1881</v>
      </c>
      <c r="F49" s="3">
        <f>VLOOKUP(D49,'ESO zones'!$A$5:$B$10003,2,FALSE)</f>
        <v>959</v>
      </c>
    </row>
    <row r="50" spans="1:6" x14ac:dyDescent="0.25">
      <c r="A50">
        <v>2275</v>
      </c>
      <c r="B50">
        <v>50</v>
      </c>
      <c r="C50" t="s">
        <v>1897</v>
      </c>
      <c r="D50">
        <v>1413</v>
      </c>
      <c r="E50" t="s">
        <v>1897</v>
      </c>
      <c r="F50" s="3">
        <f>VLOOKUP(D50,'ESO zones'!$A$5:$B$10003,2,FALSE)</f>
        <v>958</v>
      </c>
    </row>
    <row r="51" spans="1:6" x14ac:dyDescent="0.25">
      <c r="A51">
        <v>2427</v>
      </c>
      <c r="B51">
        <v>51</v>
      </c>
      <c r="C51" t="s">
        <v>1971</v>
      </c>
      <c r="D51">
        <v>1443</v>
      </c>
      <c r="E51" t="s">
        <v>1971</v>
      </c>
      <c r="F51" s="3">
        <f>VLOOKUP(D51,'ESO zones'!$A$5:$B$10003,2,FALSE)</f>
        <v>982</v>
      </c>
    </row>
    <row r="52" spans="1:6" x14ac:dyDescent="0.25">
      <c r="A52">
        <v>2603</v>
      </c>
      <c r="B52">
        <v>53</v>
      </c>
      <c r="C52" t="s">
        <v>2036</v>
      </c>
      <c r="D52">
        <v>1502</v>
      </c>
      <c r="E52" t="s">
        <v>2036</v>
      </c>
      <c r="F52" s="3">
        <f>VLOOKUP(D52,'ESO zones'!$A$5:$B$10003,2,FALSE)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9-0000-0000-00000D000000}">
    <sortState xmlns:xlrd2="http://schemas.microsoft.com/office/spreadsheetml/2017/richdata2" ref="A3:A48">
      <sortCondition ref="A2:A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587"/>
  <sheetViews>
    <sheetView zoomScale="85" workbookViewId="0">
      <pane ySplit="2" topLeftCell="A554" activePane="bottomLeft" state="frozen"/>
      <selection pane="bottomLeft" activeCell="H583" sqref="H583"/>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2129</v>
      </c>
      <c r="J1" s="2"/>
      <c r="K1" s="3"/>
      <c r="L1" s="3"/>
      <c r="M1" s="3"/>
      <c r="N1" s="3"/>
    </row>
    <row r="2" spans="1:14" x14ac:dyDescent="0.25">
      <c r="A2" s="6" t="s">
        <v>3095</v>
      </c>
      <c r="B2" s="6" t="s">
        <v>3096</v>
      </c>
      <c r="C2" s="6" t="s">
        <v>3097</v>
      </c>
      <c r="D2" s="6" t="s">
        <v>3098</v>
      </c>
      <c r="E2" s="6" t="s">
        <v>3099</v>
      </c>
      <c r="F2" s="6" t="s">
        <v>3100</v>
      </c>
      <c r="G2" s="6" t="s">
        <v>3101</v>
      </c>
      <c r="H2" s="6" t="s">
        <v>3102</v>
      </c>
      <c r="I2" s="6" t="s">
        <v>3103</v>
      </c>
      <c r="J2" s="2" t="s">
        <v>3104</v>
      </c>
      <c r="K2" s="3" t="s">
        <v>3095</v>
      </c>
      <c r="L2" s="3" t="s">
        <v>3105</v>
      </c>
      <c r="M2" s="3" t="s">
        <v>3106</v>
      </c>
      <c r="N2" s="3" t="s">
        <v>2167</v>
      </c>
    </row>
    <row r="3" spans="1:14" x14ac:dyDescent="0.25">
      <c r="A3" s="58">
        <v>1</v>
      </c>
      <c r="B3">
        <v>2</v>
      </c>
      <c r="C3">
        <v>1</v>
      </c>
      <c r="D3" t="s">
        <v>496</v>
      </c>
      <c r="E3">
        <v>2</v>
      </c>
      <c r="F3">
        <v>3</v>
      </c>
      <c r="G3" t="s">
        <v>496</v>
      </c>
      <c r="H3">
        <v>1</v>
      </c>
      <c r="I3" t="s">
        <v>3107</v>
      </c>
      <c r="J3" s="2" t="str">
        <f t="shared" ref="J3:J66" si="0">IF(A3&lt;&gt;"",IF(F3&lt;&gt;"",IF(OR(ISNA(A3),ISNA(F3)),"","["&amp;A3&amp;"]="&amp;F3&amp;","),""),"")</f>
        <v>[1]=3,</v>
      </c>
      <c r="K3" s="3">
        <f t="shared" ref="K3:K66" si="1">A3</f>
        <v>1</v>
      </c>
      <c r="L3" s="3">
        <f t="shared" ref="L3:L66" si="2">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3108</v>
      </c>
      <c r="J4" s="2" t="str">
        <f t="shared" si="0"/>
        <v>[2]=3,</v>
      </c>
      <c r="K4" s="3">
        <f t="shared" si="1"/>
        <v>2</v>
      </c>
      <c r="L4" s="3">
        <f t="shared" si="2"/>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3109</v>
      </c>
      <c r="J5" s="2" t="str">
        <f t="shared" si="0"/>
        <v>[3]=3,</v>
      </c>
      <c r="K5" s="3">
        <f t="shared" si="1"/>
        <v>3</v>
      </c>
      <c r="L5" s="3">
        <f t="shared" si="2"/>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3110</v>
      </c>
      <c r="J6" s="2" t="str">
        <f t="shared" si="0"/>
        <v>[4]=3,</v>
      </c>
      <c r="K6" s="3">
        <f t="shared" si="1"/>
        <v>4</v>
      </c>
      <c r="L6" s="3">
        <f t="shared" si="2"/>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3111</v>
      </c>
      <c r="J7" s="2" t="str">
        <f t="shared" si="0"/>
        <v>[5]=3,</v>
      </c>
      <c r="K7" s="3">
        <f t="shared" si="1"/>
        <v>5</v>
      </c>
      <c r="L7" s="3">
        <f t="shared" si="2"/>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3112</v>
      </c>
      <c r="J8" s="2" t="str">
        <f t="shared" si="0"/>
        <v>[6]=3,</v>
      </c>
      <c r="K8" s="3">
        <f t="shared" si="1"/>
        <v>6</v>
      </c>
      <c r="L8" s="3">
        <f t="shared" si="2"/>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3113</v>
      </c>
      <c r="J9" s="2" t="str">
        <f t="shared" si="0"/>
        <v>[7]=3,</v>
      </c>
      <c r="K9" s="3">
        <f t="shared" si="1"/>
        <v>7</v>
      </c>
      <c r="L9" s="3">
        <f t="shared" si="2"/>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3114</v>
      </c>
      <c r="J10" s="2" t="str">
        <f t="shared" si="0"/>
        <v>[8]=3,</v>
      </c>
      <c r="K10" s="3">
        <f t="shared" si="1"/>
        <v>8</v>
      </c>
      <c r="L10" s="3">
        <f t="shared" si="2"/>
        <v>3</v>
      </c>
      <c r="M10" s="9" t="str">
        <f>VLOOKUP(A10,WayshrineNames!$A$3:$B$967,2,)</f>
        <v>Farwatch Wayshrine</v>
      </c>
      <c r="N10" s="3" t="str">
        <f>VLOOKUP(F10,'ESO zones'!$A$5:$D$10003,4,FALSE)</f>
        <v>Glenumbra</v>
      </c>
    </row>
    <row r="11" spans="1:14" x14ac:dyDescent="0.25">
      <c r="A11" s="58">
        <v>9</v>
      </c>
      <c r="B11">
        <v>3</v>
      </c>
      <c r="C11">
        <v>10</v>
      </c>
      <c r="D11" t="s">
        <v>3115</v>
      </c>
      <c r="E11">
        <v>5</v>
      </c>
      <c r="F11">
        <v>20</v>
      </c>
      <c r="G11" t="s">
        <v>3115</v>
      </c>
      <c r="H11">
        <v>1</v>
      </c>
      <c r="I11" t="s">
        <v>3116</v>
      </c>
      <c r="J11" s="2" t="str">
        <f t="shared" si="0"/>
        <v>[9]=20,</v>
      </c>
      <c r="K11" s="3">
        <f t="shared" si="1"/>
        <v>9</v>
      </c>
      <c r="L11" s="3">
        <f t="shared" si="2"/>
        <v>20</v>
      </c>
      <c r="M11" s="9" t="str">
        <f>VLOOKUP(A11,WayshrineNames!$A$3:$B$967,2,)</f>
        <v>Oldgate Wayshrine</v>
      </c>
      <c r="N11" s="3" t="str">
        <f>VLOOKUP(F11,'ESO zones'!$A$5:$D$10003,4,FALSE)</f>
        <v>Rivenspire</v>
      </c>
    </row>
    <row r="12" spans="1:14" x14ac:dyDescent="0.25">
      <c r="A12" s="58">
        <v>10</v>
      </c>
      <c r="B12">
        <v>3</v>
      </c>
      <c r="C12">
        <v>10</v>
      </c>
      <c r="D12" t="s">
        <v>3115</v>
      </c>
      <c r="E12">
        <v>5</v>
      </c>
      <c r="F12">
        <v>20</v>
      </c>
      <c r="G12" t="s">
        <v>3115</v>
      </c>
      <c r="H12">
        <v>1</v>
      </c>
      <c r="I12" t="s">
        <v>3117</v>
      </c>
      <c r="J12" s="2" t="str">
        <f t="shared" si="0"/>
        <v>[10]=20,</v>
      </c>
      <c r="K12" s="3">
        <f t="shared" si="1"/>
        <v>10</v>
      </c>
      <c r="L12" s="3">
        <f t="shared" si="2"/>
        <v>20</v>
      </c>
      <c r="M12" s="9" t="str">
        <f>VLOOKUP(A12,WayshrineNames!$A$3:$B$967,2,)</f>
        <v>Crestshade Wayshrine</v>
      </c>
      <c r="N12" s="3" t="str">
        <f>VLOOKUP(F12,'ESO zones'!$A$5:$D$10003,4,FALSE)</f>
        <v>Rivenspire</v>
      </c>
    </row>
    <row r="13" spans="1:14" x14ac:dyDescent="0.25">
      <c r="A13" s="58">
        <v>11</v>
      </c>
      <c r="B13">
        <v>3</v>
      </c>
      <c r="C13">
        <v>10</v>
      </c>
      <c r="D13" t="s">
        <v>3115</v>
      </c>
      <c r="E13">
        <v>5</v>
      </c>
      <c r="F13">
        <v>20</v>
      </c>
      <c r="G13" t="s">
        <v>3115</v>
      </c>
      <c r="H13">
        <v>1</v>
      </c>
      <c r="I13" t="s">
        <v>3118</v>
      </c>
      <c r="J13" s="2" t="str">
        <f t="shared" si="0"/>
        <v>[11]=20,</v>
      </c>
      <c r="K13" s="3">
        <f t="shared" si="1"/>
        <v>11</v>
      </c>
      <c r="L13" s="3">
        <f t="shared" si="2"/>
        <v>20</v>
      </c>
      <c r="M13" s="9" t="str">
        <f>VLOOKUP(A13,WayshrineNames!$A$3:$B$967,2,)</f>
        <v>Tamrith Camp Wayshrine</v>
      </c>
      <c r="N13" s="3" t="str">
        <f>VLOOKUP(F13,'ESO zones'!$A$5:$D$10003,4,FALSE)</f>
        <v>Rivenspire</v>
      </c>
    </row>
    <row r="14" spans="1:14" x14ac:dyDescent="0.25">
      <c r="A14" s="58">
        <v>12</v>
      </c>
      <c r="B14">
        <v>3</v>
      </c>
      <c r="C14">
        <v>10</v>
      </c>
      <c r="D14" t="s">
        <v>3115</v>
      </c>
      <c r="E14">
        <v>5</v>
      </c>
      <c r="F14">
        <v>20</v>
      </c>
      <c r="G14" t="s">
        <v>3115</v>
      </c>
      <c r="H14">
        <v>1</v>
      </c>
      <c r="I14" t="s">
        <v>3119</v>
      </c>
      <c r="J14" s="2" t="str">
        <f t="shared" si="0"/>
        <v>[12]=20,</v>
      </c>
      <c r="K14" s="3">
        <f t="shared" si="1"/>
        <v>12</v>
      </c>
      <c r="L14" s="3">
        <f t="shared" si="2"/>
        <v>20</v>
      </c>
      <c r="M14" s="9" t="str">
        <f>VLOOKUP(A14,WayshrineNames!$A$3:$B$967,2,)</f>
        <v>Boralis Wayshrine</v>
      </c>
      <c r="N14" s="3" t="str">
        <f>VLOOKUP(F14,'ESO zones'!$A$5:$D$10003,4,FALSE)</f>
        <v>Rivenspire</v>
      </c>
    </row>
    <row r="15" spans="1:14" x14ac:dyDescent="0.25">
      <c r="A15" s="58">
        <v>13</v>
      </c>
      <c r="B15">
        <v>3</v>
      </c>
      <c r="C15">
        <v>10</v>
      </c>
      <c r="D15" t="s">
        <v>3115</v>
      </c>
      <c r="E15">
        <v>5</v>
      </c>
      <c r="F15">
        <v>20</v>
      </c>
      <c r="G15" t="s">
        <v>3115</v>
      </c>
      <c r="H15">
        <v>1</v>
      </c>
      <c r="I15" t="s">
        <v>3120</v>
      </c>
      <c r="J15" s="2" t="str">
        <f t="shared" si="0"/>
        <v>[13]=20,</v>
      </c>
      <c r="K15" s="3">
        <f t="shared" si="1"/>
        <v>13</v>
      </c>
      <c r="L15" s="3">
        <f t="shared" si="2"/>
        <v>20</v>
      </c>
      <c r="M15" s="9" t="str">
        <f>VLOOKUP(A15,WayshrineNames!$A$3:$B$967,2,)</f>
        <v>Staging Grounds Wayshrine</v>
      </c>
      <c r="N15" s="3" t="str">
        <f>VLOOKUP(F15,'ESO zones'!$A$5:$D$10003,4,FALSE)</f>
        <v>Rivenspire</v>
      </c>
    </row>
    <row r="16" spans="1:14" x14ac:dyDescent="0.25">
      <c r="A16" s="58">
        <v>14</v>
      </c>
      <c r="B16">
        <v>4</v>
      </c>
      <c r="C16">
        <v>12</v>
      </c>
      <c r="D16" t="s">
        <v>3121</v>
      </c>
      <c r="E16">
        <v>4</v>
      </c>
      <c r="F16">
        <v>19</v>
      </c>
      <c r="G16" t="s">
        <v>3121</v>
      </c>
      <c r="H16">
        <v>1</v>
      </c>
      <c r="I16" t="s">
        <v>3122</v>
      </c>
      <c r="J16" s="2" t="str">
        <f t="shared" si="0"/>
        <v>[14]=19,</v>
      </c>
      <c r="K16" s="3">
        <f t="shared" si="1"/>
        <v>14</v>
      </c>
      <c r="L16" s="3">
        <f t="shared" si="2"/>
        <v>19</v>
      </c>
      <c r="M16" s="9" t="str">
        <f>VLOOKUP(A16,WayshrineNames!$A$3:$B$967,2,)</f>
        <v>Koeglin Village Wayshrine</v>
      </c>
      <c r="N16" s="3" t="str">
        <f>VLOOKUP(F16,'ESO zones'!$A$5:$D$10003,4,FALSE)</f>
        <v>Stormhaven</v>
      </c>
    </row>
    <row r="17" spans="1:14" x14ac:dyDescent="0.25">
      <c r="A17" s="58">
        <v>15</v>
      </c>
      <c r="B17">
        <v>4</v>
      </c>
      <c r="C17">
        <v>12</v>
      </c>
      <c r="D17" t="s">
        <v>3121</v>
      </c>
      <c r="E17">
        <v>4</v>
      </c>
      <c r="F17">
        <v>19</v>
      </c>
      <c r="G17" t="s">
        <v>3121</v>
      </c>
      <c r="H17">
        <v>1</v>
      </c>
      <c r="I17" t="s">
        <v>3123</v>
      </c>
      <c r="J17" s="2" t="str">
        <f t="shared" si="0"/>
        <v>[15]=19,</v>
      </c>
      <c r="K17" s="3">
        <f t="shared" si="1"/>
        <v>15</v>
      </c>
      <c r="L17" s="3">
        <f t="shared" si="2"/>
        <v>19</v>
      </c>
      <c r="M17" s="9" t="str">
        <f>VLOOKUP(A17,WayshrineNames!$A$3:$B$967,2,)</f>
        <v>Alcaire Castle Wayshrine</v>
      </c>
      <c r="N17" s="3" t="str">
        <f>VLOOKUP(F17,'ESO zones'!$A$5:$D$10003,4,FALSE)</f>
        <v>Stormhaven</v>
      </c>
    </row>
    <row r="18" spans="1:14" x14ac:dyDescent="0.25">
      <c r="A18" s="58">
        <v>16</v>
      </c>
      <c r="B18">
        <v>4</v>
      </c>
      <c r="C18">
        <v>12</v>
      </c>
      <c r="D18" t="s">
        <v>3121</v>
      </c>
      <c r="E18">
        <v>4</v>
      </c>
      <c r="F18">
        <v>19</v>
      </c>
      <c r="G18" t="s">
        <v>3121</v>
      </c>
      <c r="H18">
        <v>1</v>
      </c>
      <c r="I18" t="s">
        <v>3124</v>
      </c>
      <c r="J18" s="2" t="str">
        <f t="shared" si="0"/>
        <v>[16]=19,</v>
      </c>
      <c r="K18" s="3">
        <f t="shared" si="1"/>
        <v>16</v>
      </c>
      <c r="L18" s="3">
        <f t="shared" si="2"/>
        <v>19</v>
      </c>
      <c r="M18" s="9" t="str">
        <f>VLOOKUP(A18,WayshrineNames!$A$3:$B$967,2,)</f>
        <v>Firebrand Keep Wayshrine</v>
      </c>
      <c r="N18" s="3" t="str">
        <f>VLOOKUP(F18,'ESO zones'!$A$5:$D$10003,4,FALSE)</f>
        <v>Stormhaven</v>
      </c>
    </row>
    <row r="19" spans="1:14" x14ac:dyDescent="0.25">
      <c r="A19" s="58">
        <v>17</v>
      </c>
      <c r="B19">
        <v>4</v>
      </c>
      <c r="C19">
        <v>12</v>
      </c>
      <c r="D19" t="s">
        <v>3121</v>
      </c>
      <c r="E19">
        <v>4</v>
      </c>
      <c r="F19">
        <v>19</v>
      </c>
      <c r="G19" t="s">
        <v>3121</v>
      </c>
      <c r="H19">
        <v>1</v>
      </c>
      <c r="I19" t="s">
        <v>3125</v>
      </c>
      <c r="J19" s="2" t="str">
        <f t="shared" si="0"/>
        <v>[17]=19,</v>
      </c>
      <c r="K19" s="3">
        <f t="shared" si="1"/>
        <v>17</v>
      </c>
      <c r="L19" s="3">
        <f t="shared" si="2"/>
        <v>19</v>
      </c>
      <c r="M19" s="9" t="str">
        <f>VLOOKUP(A19,WayshrineNames!$A$3:$B$967,2,)</f>
        <v>Bonesnap Ruins Wayshrine</v>
      </c>
      <c r="N19" s="3" t="str">
        <f>VLOOKUP(F19,'ESO zones'!$A$5:$D$10003,4,FALSE)</f>
        <v>Stormhaven</v>
      </c>
    </row>
    <row r="20" spans="1:14" x14ac:dyDescent="0.25">
      <c r="A20" s="58">
        <v>18</v>
      </c>
      <c r="B20">
        <v>4</v>
      </c>
      <c r="C20">
        <v>12</v>
      </c>
      <c r="D20" t="s">
        <v>3121</v>
      </c>
      <c r="E20">
        <v>4</v>
      </c>
      <c r="F20">
        <v>19</v>
      </c>
      <c r="G20" t="s">
        <v>3121</v>
      </c>
      <c r="H20">
        <v>1</v>
      </c>
      <c r="I20" t="s">
        <v>3126</v>
      </c>
      <c r="J20" s="2" t="str">
        <f t="shared" si="0"/>
        <v>[18]=19,</v>
      </c>
      <c r="K20" s="3">
        <f t="shared" si="1"/>
        <v>18</v>
      </c>
      <c r="L20" s="3">
        <f t="shared" si="2"/>
        <v>19</v>
      </c>
      <c r="M20" s="9" t="str">
        <f>VLOOKUP(A20,WayshrineNames!$A$3:$B$967,2,)</f>
        <v>Soulshriven Wayshrine</v>
      </c>
      <c r="N20" s="3" t="str">
        <f>VLOOKUP(F20,'ESO zones'!$A$5:$D$10003,4,FALSE)</f>
        <v>Stormhaven</v>
      </c>
    </row>
    <row r="21" spans="1:14" x14ac:dyDescent="0.25">
      <c r="A21" s="58">
        <v>19</v>
      </c>
      <c r="B21">
        <v>4</v>
      </c>
      <c r="C21">
        <v>12</v>
      </c>
      <c r="D21" t="s">
        <v>3121</v>
      </c>
      <c r="E21">
        <v>4</v>
      </c>
      <c r="F21">
        <v>19</v>
      </c>
      <c r="G21" t="s">
        <v>3121</v>
      </c>
      <c r="H21">
        <v>1</v>
      </c>
      <c r="I21" t="s">
        <v>3127</v>
      </c>
      <c r="J21" s="2" t="str">
        <f t="shared" si="0"/>
        <v>[19]=19,</v>
      </c>
      <c r="K21" s="3">
        <f t="shared" si="1"/>
        <v>19</v>
      </c>
      <c r="L21" s="3">
        <f t="shared" si="2"/>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3128</v>
      </c>
      <c r="J22" s="2" t="str">
        <f t="shared" si="0"/>
        <v>[20]=3,</v>
      </c>
      <c r="K22" s="3">
        <f t="shared" si="1"/>
        <v>20</v>
      </c>
      <c r="L22" s="3">
        <f t="shared" si="2"/>
        <v>3</v>
      </c>
      <c r="M22" s="9" t="str">
        <f>VLOOKUP(A22,WayshrineNames!$A$3:$B$967,2,)</f>
        <v>Baelborne Rock Wayshrine</v>
      </c>
      <c r="N22" s="3" t="str">
        <f>VLOOKUP(F22,'ESO zones'!$A$5:$D$10003,4,FALSE)</f>
        <v>Glenumbra</v>
      </c>
    </row>
    <row r="23" spans="1:14" x14ac:dyDescent="0.25">
      <c r="A23" s="58">
        <v>21</v>
      </c>
      <c r="B23">
        <v>7</v>
      </c>
      <c r="C23">
        <v>9</v>
      </c>
      <c r="D23" t="s">
        <v>3129</v>
      </c>
      <c r="E23">
        <v>181</v>
      </c>
      <c r="F23">
        <v>383</v>
      </c>
      <c r="G23" t="s">
        <v>3129</v>
      </c>
      <c r="H23">
        <v>1</v>
      </c>
      <c r="I23" t="s">
        <v>3130</v>
      </c>
      <c r="J23" s="2" t="str">
        <f t="shared" si="0"/>
        <v>[21]=383,</v>
      </c>
      <c r="K23" s="3">
        <f t="shared" si="1"/>
        <v>21</v>
      </c>
      <c r="L23" s="3">
        <f t="shared" si="2"/>
        <v>383</v>
      </c>
      <c r="M23" s="9" t="str">
        <f>VLOOKUP(A23,WayshrineNames!$A$3:$B$967,2,)</f>
        <v>Elden Root Temple Wayshrine</v>
      </c>
      <c r="N23" s="3" t="str">
        <f>VLOOKUP(F23,'ESO zones'!$A$5:$D$10003,4,FALSE)</f>
        <v>Grahtwood</v>
      </c>
    </row>
    <row r="24" spans="1:14" x14ac:dyDescent="0.25">
      <c r="A24" s="58">
        <v>22</v>
      </c>
      <c r="B24">
        <v>4</v>
      </c>
      <c r="C24">
        <v>12</v>
      </c>
      <c r="D24" t="s">
        <v>3121</v>
      </c>
      <c r="E24">
        <v>4</v>
      </c>
      <c r="F24">
        <v>19</v>
      </c>
      <c r="G24" t="s">
        <v>3121</v>
      </c>
      <c r="H24">
        <v>1</v>
      </c>
      <c r="I24" t="s">
        <v>3131</v>
      </c>
      <c r="J24" s="2" t="str">
        <f t="shared" si="0"/>
        <v>[22]=19,</v>
      </c>
      <c r="K24" s="3">
        <f t="shared" si="1"/>
        <v>22</v>
      </c>
      <c r="L24" s="3">
        <f t="shared" si="2"/>
        <v>19</v>
      </c>
      <c r="M24" s="9" t="str">
        <f>VLOOKUP(A24,WayshrineNames!$A$3:$B$967,2,)</f>
        <v>Wind Keep Wayshrine</v>
      </c>
      <c r="N24" s="3" t="str">
        <f>VLOOKUP(F24,'ESO zones'!$A$5:$D$10003,4,FALSE)</f>
        <v>Stormhaven</v>
      </c>
    </row>
    <row r="25" spans="1:14" x14ac:dyDescent="0.25">
      <c r="A25" s="58">
        <v>23</v>
      </c>
      <c r="B25">
        <v>4</v>
      </c>
      <c r="C25">
        <v>12</v>
      </c>
      <c r="D25" t="s">
        <v>3121</v>
      </c>
      <c r="E25">
        <v>4</v>
      </c>
      <c r="F25">
        <v>19</v>
      </c>
      <c r="G25" t="s">
        <v>3121</v>
      </c>
      <c r="H25">
        <v>1</v>
      </c>
      <c r="I25" t="s">
        <v>3132</v>
      </c>
      <c r="J25" s="2" t="str">
        <f t="shared" si="0"/>
        <v>[23]=19,</v>
      </c>
      <c r="K25" s="3">
        <f t="shared" si="1"/>
        <v>23</v>
      </c>
      <c r="L25" s="3">
        <f t="shared" si="2"/>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3133</v>
      </c>
      <c r="J26" s="2" t="str">
        <f t="shared" si="0"/>
        <v>[24]=57,</v>
      </c>
      <c r="K26" s="3">
        <f t="shared" si="1"/>
        <v>24</v>
      </c>
      <c r="L26" s="3">
        <f t="shared" si="2"/>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3134</v>
      </c>
      <c r="J27" s="2" t="str">
        <f t="shared" si="0"/>
        <v>[25]=57,</v>
      </c>
      <c r="K27" s="3">
        <f t="shared" si="1"/>
        <v>25</v>
      </c>
      <c r="L27" s="3">
        <f t="shared" si="2"/>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3135</v>
      </c>
      <c r="J28" s="2" t="str">
        <f t="shared" si="0"/>
        <v>[26]=57,</v>
      </c>
      <c r="K28" s="3">
        <f t="shared" si="1"/>
        <v>26</v>
      </c>
      <c r="L28" s="3">
        <f t="shared" si="2"/>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3136</v>
      </c>
      <c r="J29" s="2" t="str">
        <f t="shared" si="0"/>
        <v>[27]=57,</v>
      </c>
      <c r="K29" s="3">
        <f t="shared" si="1"/>
        <v>27</v>
      </c>
      <c r="L29" s="3">
        <f t="shared" si="2"/>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3137</v>
      </c>
      <c r="J30" s="2" t="str">
        <f t="shared" si="0"/>
        <v>[28]=57,</v>
      </c>
      <c r="K30" s="3">
        <f t="shared" si="1"/>
        <v>28</v>
      </c>
      <c r="L30" s="3">
        <f t="shared" si="2"/>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3138</v>
      </c>
      <c r="J31" s="2" t="str">
        <f t="shared" si="0"/>
        <v>[29]=57,</v>
      </c>
      <c r="K31" s="3">
        <f t="shared" si="1"/>
        <v>29</v>
      </c>
      <c r="L31" s="3">
        <f t="shared" si="2"/>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3139</v>
      </c>
      <c r="J32" s="2" t="str">
        <f t="shared" si="0"/>
        <v>[30]=57,</v>
      </c>
      <c r="K32" s="3">
        <f t="shared" si="1"/>
        <v>30</v>
      </c>
      <c r="L32" s="3">
        <f t="shared" si="2"/>
        <v>57</v>
      </c>
      <c r="M32" s="9" t="str">
        <f>VLOOKUP(A32,WayshrineNames!$A$3:$B$967,2,)</f>
        <v>Obsidian Gorge Wayshrine</v>
      </c>
      <c r="N32" s="3" t="str">
        <f>VLOOKUP(F32,'ESO zones'!$A$5:$D$10003,4,FALSE)</f>
        <v>Deshaan</v>
      </c>
    </row>
    <row r="33" spans="1:14" x14ac:dyDescent="0.25">
      <c r="A33" s="58">
        <v>31</v>
      </c>
      <c r="B33">
        <v>4</v>
      </c>
      <c r="C33">
        <v>12</v>
      </c>
      <c r="D33" t="s">
        <v>3121</v>
      </c>
      <c r="E33">
        <v>4</v>
      </c>
      <c r="F33">
        <v>19</v>
      </c>
      <c r="G33" t="s">
        <v>3121</v>
      </c>
      <c r="H33">
        <v>1</v>
      </c>
      <c r="I33" t="s">
        <v>3140</v>
      </c>
      <c r="J33" s="2" t="str">
        <f t="shared" si="0"/>
        <v>[31]=19,</v>
      </c>
      <c r="K33" s="3">
        <f t="shared" si="1"/>
        <v>31</v>
      </c>
      <c r="L33" s="3">
        <f t="shared" si="2"/>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3141</v>
      </c>
      <c r="J34" s="2" t="str">
        <f t="shared" si="0"/>
        <v>[32]=57,</v>
      </c>
      <c r="K34" s="3">
        <f t="shared" si="1"/>
        <v>32</v>
      </c>
      <c r="L34" s="3">
        <f t="shared" si="2"/>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3142</v>
      </c>
      <c r="J35" s="2" t="str">
        <f t="shared" si="0"/>
        <v>[33]=92,</v>
      </c>
      <c r="K35" s="3">
        <f t="shared" si="1"/>
        <v>33</v>
      </c>
      <c r="L35" s="3">
        <f t="shared" si="2"/>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3143</v>
      </c>
      <c r="J36" s="2" t="str">
        <f t="shared" si="0"/>
        <v>[34]=92,</v>
      </c>
      <c r="K36" s="3">
        <f t="shared" si="1"/>
        <v>34</v>
      </c>
      <c r="L36" s="3">
        <f t="shared" si="2"/>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3144</v>
      </c>
      <c r="J37" s="2" t="str">
        <f t="shared" si="0"/>
        <v>[35]=92,</v>
      </c>
      <c r="K37" s="3">
        <f t="shared" si="1"/>
        <v>35</v>
      </c>
      <c r="L37" s="3">
        <f t="shared" si="2"/>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3145</v>
      </c>
      <c r="J38" s="2" t="str">
        <f t="shared" si="0"/>
        <v>[36]=92,</v>
      </c>
      <c r="K38" s="3">
        <f t="shared" si="1"/>
        <v>36</v>
      </c>
      <c r="L38" s="3">
        <f t="shared" si="2"/>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3146</v>
      </c>
      <c r="J39" s="2" t="str">
        <f t="shared" si="0"/>
        <v>[37]=92,</v>
      </c>
      <c r="K39" s="3">
        <f t="shared" si="1"/>
        <v>37</v>
      </c>
      <c r="L39" s="3">
        <f t="shared" si="2"/>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3147</v>
      </c>
      <c r="J40" s="2" t="str">
        <f t="shared" si="0"/>
        <v>[38]=92,</v>
      </c>
      <c r="K40" s="3">
        <f t="shared" si="1"/>
        <v>38</v>
      </c>
      <c r="L40" s="3">
        <f t="shared" si="2"/>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3148</v>
      </c>
      <c r="J41" s="2" t="str">
        <f t="shared" si="0"/>
        <v>[39]=92,</v>
      </c>
      <c r="K41" s="3">
        <f t="shared" si="1"/>
        <v>39</v>
      </c>
      <c r="L41" s="3">
        <f t="shared" si="2"/>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3149</v>
      </c>
      <c r="J42" s="2" t="str">
        <f t="shared" si="0"/>
        <v>[40]=92,</v>
      </c>
      <c r="K42" s="3">
        <f t="shared" si="1"/>
        <v>40</v>
      </c>
      <c r="L42" s="3">
        <f t="shared" si="2"/>
        <v>92</v>
      </c>
      <c r="M42" s="9" t="str">
        <f>VLOOKUP(A42,WayshrineNames!$A$3:$B$967,2,)</f>
        <v>Onsi's Breath Wayshrine</v>
      </c>
      <c r="N42" s="3" t="str">
        <f>VLOOKUP(F42,'ESO zones'!$A$5:$D$10003,4,FALSE)</f>
        <v>Bangkorai</v>
      </c>
    </row>
    <row r="43" spans="1:14" x14ac:dyDescent="0.25">
      <c r="A43" s="58">
        <v>41</v>
      </c>
      <c r="B43">
        <v>11</v>
      </c>
      <c r="C43">
        <v>7</v>
      </c>
      <c r="D43" t="s">
        <v>3150</v>
      </c>
      <c r="E43">
        <v>9</v>
      </c>
      <c r="F43">
        <v>41</v>
      </c>
      <c r="G43" t="s">
        <v>3150</v>
      </c>
      <c r="H43">
        <v>1</v>
      </c>
      <c r="I43" t="s">
        <v>3151</v>
      </c>
      <c r="J43" s="2" t="str">
        <f t="shared" si="0"/>
        <v>[41]=41,</v>
      </c>
      <c r="K43" s="3">
        <f t="shared" si="1"/>
        <v>41</v>
      </c>
      <c r="L43" s="3">
        <f t="shared" si="2"/>
        <v>41</v>
      </c>
      <c r="M43" s="9" t="str">
        <f>VLOOKUP(A43,WayshrineNames!$A$3:$B$967,2,)</f>
        <v>Fort Arand Wayshrine</v>
      </c>
      <c r="N43" s="3" t="str">
        <f>VLOOKUP(F43,'ESO zones'!$A$5:$D$10003,4,FALSE)</f>
        <v>Stonefalls</v>
      </c>
    </row>
    <row r="44" spans="1:14" x14ac:dyDescent="0.25">
      <c r="A44" s="58">
        <v>42</v>
      </c>
      <c r="B44">
        <v>5</v>
      </c>
      <c r="C44">
        <v>30</v>
      </c>
      <c r="D44" t="s">
        <v>3152</v>
      </c>
      <c r="E44">
        <v>17</v>
      </c>
      <c r="F44">
        <v>104</v>
      </c>
      <c r="G44" t="s">
        <v>3153</v>
      </c>
      <c r="H44">
        <v>1</v>
      </c>
      <c r="I44" t="s">
        <v>3154</v>
      </c>
      <c r="J44" s="2" t="str">
        <f t="shared" si="0"/>
        <v>[42]=104,</v>
      </c>
      <c r="K44" s="3">
        <f t="shared" si="1"/>
        <v>42</v>
      </c>
      <c r="L44" s="3">
        <f t="shared" si="2"/>
        <v>104</v>
      </c>
      <c r="M44" s="9" t="str">
        <f>VLOOKUP(A44,WayshrineNames!$A$3:$B$967,2,)</f>
        <v>Morwha's Bounty Wayshrine</v>
      </c>
      <c r="N44" s="3" t="str">
        <f>VLOOKUP(F44,'ESO zones'!$A$5:$D$10003,4,FALSE)</f>
        <v>Alik'r Desert</v>
      </c>
    </row>
    <row r="45" spans="1:14" x14ac:dyDescent="0.25">
      <c r="A45" s="58">
        <v>43</v>
      </c>
      <c r="B45">
        <v>5</v>
      </c>
      <c r="C45">
        <v>30</v>
      </c>
      <c r="D45" t="s">
        <v>3152</v>
      </c>
      <c r="E45">
        <v>17</v>
      </c>
      <c r="F45">
        <v>104</v>
      </c>
      <c r="G45" t="s">
        <v>3153</v>
      </c>
      <c r="H45">
        <v>1</v>
      </c>
      <c r="I45" t="s">
        <v>3155</v>
      </c>
      <c r="J45" s="2" t="str">
        <f t="shared" si="0"/>
        <v>[43]=104,</v>
      </c>
      <c r="K45" s="3">
        <f t="shared" si="1"/>
        <v>43</v>
      </c>
      <c r="L45" s="3">
        <f t="shared" si="2"/>
        <v>104</v>
      </c>
      <c r="M45" s="9" t="str">
        <f>VLOOKUP(A45,WayshrineNames!$A$3:$B$967,2,)</f>
        <v>Sentinel Wayshrine</v>
      </c>
      <c r="N45" s="3" t="str">
        <f>VLOOKUP(F45,'ESO zones'!$A$5:$D$10003,4,FALSE)</f>
        <v>Alik'r Desert</v>
      </c>
    </row>
    <row r="46" spans="1:14" x14ac:dyDescent="0.25">
      <c r="A46" s="58">
        <v>44</v>
      </c>
      <c r="B46">
        <v>5</v>
      </c>
      <c r="C46">
        <v>30</v>
      </c>
      <c r="D46" t="s">
        <v>3152</v>
      </c>
      <c r="E46">
        <v>17</v>
      </c>
      <c r="F46">
        <v>104</v>
      </c>
      <c r="G46" t="s">
        <v>3153</v>
      </c>
      <c r="H46">
        <v>1</v>
      </c>
      <c r="I46" t="s">
        <v>3156</v>
      </c>
      <c r="J46" s="2" t="str">
        <f t="shared" si="0"/>
        <v>[44]=104,</v>
      </c>
      <c r="K46" s="3">
        <f t="shared" si="1"/>
        <v>44</v>
      </c>
      <c r="L46" s="3">
        <f t="shared" si="2"/>
        <v>104</v>
      </c>
      <c r="M46" s="9" t="str">
        <f>VLOOKUP(A46,WayshrineNames!$A$3:$B$967,2,)</f>
        <v>Bergama Wayshrine</v>
      </c>
      <c r="N46" s="3" t="str">
        <f>VLOOKUP(F46,'ESO zones'!$A$5:$D$10003,4,FALSE)</f>
        <v>Alik'r Desert</v>
      </c>
    </row>
    <row r="47" spans="1:14" x14ac:dyDescent="0.25">
      <c r="A47" s="58">
        <v>45</v>
      </c>
      <c r="B47">
        <v>5</v>
      </c>
      <c r="C47">
        <v>30</v>
      </c>
      <c r="D47" t="s">
        <v>3152</v>
      </c>
      <c r="E47">
        <v>17</v>
      </c>
      <c r="F47">
        <v>104</v>
      </c>
      <c r="G47" t="s">
        <v>3153</v>
      </c>
      <c r="H47">
        <v>1</v>
      </c>
      <c r="I47" t="s">
        <v>3157</v>
      </c>
      <c r="J47" s="2" t="str">
        <f t="shared" si="0"/>
        <v>[45]=104,</v>
      </c>
      <c r="K47" s="3">
        <f t="shared" si="1"/>
        <v>45</v>
      </c>
      <c r="L47" s="3">
        <f t="shared" si="2"/>
        <v>104</v>
      </c>
      <c r="M47" s="9" t="str">
        <f>VLOOKUP(A47,WayshrineNames!$A$3:$B$967,2,)</f>
        <v>Leki's Blade Wayshrine</v>
      </c>
      <c r="N47" s="3" t="str">
        <f>VLOOKUP(F47,'ESO zones'!$A$5:$D$10003,4,FALSE)</f>
        <v>Alik'r Desert</v>
      </c>
    </row>
    <row r="48" spans="1:14" x14ac:dyDescent="0.25">
      <c r="A48" s="58">
        <v>46</v>
      </c>
      <c r="B48">
        <v>5</v>
      </c>
      <c r="C48">
        <v>30</v>
      </c>
      <c r="D48" t="s">
        <v>3152</v>
      </c>
      <c r="E48">
        <v>17</v>
      </c>
      <c r="F48">
        <v>104</v>
      </c>
      <c r="G48" t="s">
        <v>3153</v>
      </c>
      <c r="H48">
        <v>1</v>
      </c>
      <c r="I48" t="s">
        <v>3158</v>
      </c>
      <c r="J48" s="2" t="str">
        <f t="shared" si="0"/>
        <v>[46]=104,</v>
      </c>
      <c r="K48" s="3">
        <f t="shared" si="1"/>
        <v>46</v>
      </c>
      <c r="L48" s="3">
        <f t="shared" si="2"/>
        <v>104</v>
      </c>
      <c r="M48" s="9" t="str">
        <f>VLOOKUP(A48,WayshrineNames!$A$3:$B$967,2,)</f>
        <v>Satakalaam Wayshrine</v>
      </c>
      <c r="N48" s="3" t="str">
        <f>VLOOKUP(F48,'ESO zones'!$A$5:$D$10003,4,FALSE)</f>
        <v>Alik'r Desert</v>
      </c>
    </row>
    <row r="49" spans="1:14" x14ac:dyDescent="0.25">
      <c r="A49" s="58">
        <v>47</v>
      </c>
      <c r="B49">
        <v>9</v>
      </c>
      <c r="C49">
        <v>26</v>
      </c>
      <c r="D49" t="s">
        <v>3159</v>
      </c>
      <c r="E49">
        <v>19</v>
      </c>
      <c r="F49">
        <v>117</v>
      </c>
      <c r="G49" t="s">
        <v>3159</v>
      </c>
      <c r="H49">
        <v>1</v>
      </c>
      <c r="I49" t="s">
        <v>3160</v>
      </c>
      <c r="J49" s="2" t="str">
        <f t="shared" si="0"/>
        <v>[47]=117,</v>
      </c>
      <c r="K49" s="3">
        <f t="shared" si="1"/>
        <v>47</v>
      </c>
      <c r="L49" s="3">
        <f t="shared" si="2"/>
        <v>117</v>
      </c>
      <c r="M49" s="9" t="str">
        <f>VLOOKUP(A49,WayshrineNames!$A$3:$B$967,2,)</f>
        <v>Stillrise Wayshrine</v>
      </c>
      <c r="N49" s="3" t="str">
        <f>VLOOKUP(F49,'ESO zones'!$A$5:$D$10003,4,FALSE)</f>
        <v>Shadowfen</v>
      </c>
    </row>
    <row r="50" spans="1:14" x14ac:dyDescent="0.25">
      <c r="A50" s="58">
        <v>48</v>
      </c>
      <c r="B50">
        <v>9</v>
      </c>
      <c r="C50">
        <v>26</v>
      </c>
      <c r="D50" t="s">
        <v>3159</v>
      </c>
      <c r="E50">
        <v>19</v>
      </c>
      <c r="F50">
        <v>117</v>
      </c>
      <c r="G50" t="s">
        <v>3159</v>
      </c>
      <c r="H50">
        <v>1</v>
      </c>
      <c r="I50" t="s">
        <v>3161</v>
      </c>
      <c r="J50" s="2" t="str">
        <f t="shared" si="0"/>
        <v>[48]=117,</v>
      </c>
      <c r="K50" s="3">
        <f t="shared" si="1"/>
        <v>48</v>
      </c>
      <c r="L50" s="3">
        <f t="shared" si="2"/>
        <v>117</v>
      </c>
      <c r="M50" s="9" t="str">
        <f>VLOOKUP(A50,WayshrineNames!$A$3:$B$967,2,)</f>
        <v>Stormhold Wayshrine</v>
      </c>
      <c r="N50" s="3" t="str">
        <f>VLOOKUP(F50,'ESO zones'!$A$5:$D$10003,4,FALSE)</f>
        <v>Shadowfen</v>
      </c>
    </row>
    <row r="51" spans="1:14" x14ac:dyDescent="0.25">
      <c r="A51" s="58">
        <v>49</v>
      </c>
      <c r="B51">
        <v>9</v>
      </c>
      <c r="C51">
        <v>26</v>
      </c>
      <c r="D51" t="s">
        <v>3159</v>
      </c>
      <c r="E51">
        <v>19</v>
      </c>
      <c r="F51">
        <v>117</v>
      </c>
      <c r="G51" t="s">
        <v>3159</v>
      </c>
      <c r="H51">
        <v>1</v>
      </c>
      <c r="I51" t="s">
        <v>3162</v>
      </c>
      <c r="J51" s="2" t="str">
        <f t="shared" si="0"/>
        <v>[49]=117,</v>
      </c>
      <c r="K51" s="3">
        <f t="shared" si="1"/>
        <v>49</v>
      </c>
      <c r="L51" s="3">
        <f t="shared" si="2"/>
        <v>117</v>
      </c>
      <c r="M51" s="9" t="str">
        <f>VLOOKUP(A51,WayshrineNames!$A$3:$B$967,2,)</f>
        <v>Hatching Pools Wayshrine</v>
      </c>
      <c r="N51" s="3" t="str">
        <f>VLOOKUP(F51,'ESO zones'!$A$5:$D$10003,4,FALSE)</f>
        <v>Shadowfen</v>
      </c>
    </row>
    <row r="52" spans="1:14" x14ac:dyDescent="0.25">
      <c r="A52" s="58">
        <v>50</v>
      </c>
      <c r="B52">
        <v>9</v>
      </c>
      <c r="C52">
        <v>26</v>
      </c>
      <c r="D52" t="s">
        <v>3159</v>
      </c>
      <c r="E52">
        <v>19</v>
      </c>
      <c r="F52">
        <v>117</v>
      </c>
      <c r="G52" t="s">
        <v>3159</v>
      </c>
      <c r="H52">
        <v>1</v>
      </c>
      <c r="I52" t="s">
        <v>3163</v>
      </c>
      <c r="J52" s="2" t="str">
        <f t="shared" si="0"/>
        <v>[50]=117,</v>
      </c>
      <c r="K52" s="3">
        <f t="shared" si="1"/>
        <v>50</v>
      </c>
      <c r="L52" s="3">
        <f t="shared" si="2"/>
        <v>117</v>
      </c>
      <c r="M52" s="9" t="str">
        <f>VLOOKUP(A52,WayshrineNames!$A$3:$B$967,2,)</f>
        <v>Alten Corimont Wayshrine</v>
      </c>
      <c r="N52" s="3" t="str">
        <f>VLOOKUP(F52,'ESO zones'!$A$5:$D$10003,4,FALSE)</f>
        <v>Shadowfen</v>
      </c>
    </row>
    <row r="53" spans="1:14" x14ac:dyDescent="0.25">
      <c r="A53" s="58">
        <v>51</v>
      </c>
      <c r="B53">
        <v>9</v>
      </c>
      <c r="C53">
        <v>26</v>
      </c>
      <c r="D53" t="s">
        <v>3159</v>
      </c>
      <c r="E53">
        <v>19</v>
      </c>
      <c r="F53">
        <v>117</v>
      </c>
      <c r="G53" t="s">
        <v>3159</v>
      </c>
      <c r="H53">
        <v>1</v>
      </c>
      <c r="I53" t="s">
        <v>3164</v>
      </c>
      <c r="J53" s="2" t="str">
        <f t="shared" si="0"/>
        <v>[51]=117,</v>
      </c>
      <c r="K53" s="3">
        <f t="shared" si="1"/>
        <v>51</v>
      </c>
      <c r="L53" s="3">
        <f t="shared" si="2"/>
        <v>117</v>
      </c>
      <c r="M53" s="9" t="str">
        <f>VLOOKUP(A53,WayshrineNames!$A$3:$B$967,2,)</f>
        <v>Percolating Mire Wayshrine</v>
      </c>
      <c r="N53" s="3" t="str">
        <f>VLOOKUP(F53,'ESO zones'!$A$5:$D$10003,4,FALSE)</f>
        <v>Shadowfen</v>
      </c>
    </row>
    <row r="54" spans="1:14" x14ac:dyDescent="0.25">
      <c r="A54" s="58">
        <v>52</v>
      </c>
      <c r="B54">
        <v>9</v>
      </c>
      <c r="C54">
        <v>26</v>
      </c>
      <c r="D54" t="s">
        <v>3159</v>
      </c>
      <c r="E54">
        <v>19</v>
      </c>
      <c r="F54">
        <v>117</v>
      </c>
      <c r="G54" t="s">
        <v>3159</v>
      </c>
      <c r="H54">
        <v>1</v>
      </c>
      <c r="I54" t="s">
        <v>3165</v>
      </c>
      <c r="J54" s="2" t="str">
        <f t="shared" si="0"/>
        <v>[52]=117,</v>
      </c>
      <c r="K54" s="3">
        <f t="shared" si="1"/>
        <v>52</v>
      </c>
      <c r="L54" s="3">
        <f t="shared" si="2"/>
        <v>117</v>
      </c>
      <c r="M54" s="9" t="str">
        <f>VLOOKUP(A54,WayshrineNames!$A$3:$B$967,2,)</f>
        <v>Hissmir Wayshrine</v>
      </c>
      <c r="N54" s="3" t="str">
        <f>VLOOKUP(F54,'ESO zones'!$A$5:$D$10003,4,FALSE)</f>
        <v>Shadowfen</v>
      </c>
    </row>
    <row r="55" spans="1:14" x14ac:dyDescent="0.25">
      <c r="A55" s="58">
        <v>53</v>
      </c>
      <c r="B55">
        <v>9</v>
      </c>
      <c r="C55">
        <v>26</v>
      </c>
      <c r="D55" t="s">
        <v>3159</v>
      </c>
      <c r="E55">
        <v>19</v>
      </c>
      <c r="F55">
        <v>117</v>
      </c>
      <c r="G55" t="s">
        <v>3159</v>
      </c>
      <c r="H55">
        <v>1</v>
      </c>
      <c r="I55" t="s">
        <v>3166</v>
      </c>
      <c r="J55" s="2" t="str">
        <f t="shared" si="0"/>
        <v>[53]=117,</v>
      </c>
      <c r="K55" s="3">
        <f t="shared" si="1"/>
        <v>53</v>
      </c>
      <c r="L55" s="3">
        <f t="shared" si="2"/>
        <v>117</v>
      </c>
      <c r="M55" s="9" t="str">
        <f>VLOOKUP(A55,WayshrineNames!$A$3:$B$967,2,)</f>
        <v>Loriasel Wayshrine</v>
      </c>
      <c r="N55" s="3" t="str">
        <f>VLOOKUP(F55,'ESO zones'!$A$5:$D$10003,4,FALSE)</f>
        <v>Shadowfen</v>
      </c>
    </row>
    <row r="56" spans="1:14" x14ac:dyDescent="0.25">
      <c r="A56" s="58">
        <v>55</v>
      </c>
      <c r="B56">
        <v>3</v>
      </c>
      <c r="C56">
        <v>10</v>
      </c>
      <c r="D56" t="s">
        <v>3115</v>
      </c>
      <c r="E56">
        <v>5</v>
      </c>
      <c r="F56">
        <v>20</v>
      </c>
      <c r="G56" t="s">
        <v>3115</v>
      </c>
      <c r="H56">
        <v>1</v>
      </c>
      <c r="I56" t="s">
        <v>3167</v>
      </c>
      <c r="J56" s="2" t="str">
        <f t="shared" si="0"/>
        <v>[55]=20,</v>
      </c>
      <c r="K56" s="3">
        <f t="shared" si="1"/>
        <v>55</v>
      </c>
      <c r="L56" s="3">
        <f t="shared" si="2"/>
        <v>20</v>
      </c>
      <c r="M56" s="9" t="str">
        <f>VLOOKUP(A56,WayshrineNames!$A$3:$B$967,2,)</f>
        <v>Shornhelm Wayshrine</v>
      </c>
      <c r="N56" s="3" t="str">
        <f>VLOOKUP(F56,'ESO zones'!$A$5:$D$10003,4,FALSE)</f>
        <v>Rivenspire</v>
      </c>
    </row>
    <row r="57" spans="1:14" x14ac:dyDescent="0.25">
      <c r="A57" s="58">
        <v>56</v>
      </c>
      <c r="B57">
        <v>4</v>
      </c>
      <c r="C57">
        <v>12</v>
      </c>
      <c r="D57" t="s">
        <v>3121</v>
      </c>
      <c r="E57">
        <v>4</v>
      </c>
      <c r="F57">
        <v>19</v>
      </c>
      <c r="G57" t="s">
        <v>3121</v>
      </c>
      <c r="H57">
        <v>1</v>
      </c>
      <c r="I57" t="s">
        <v>3168</v>
      </c>
      <c r="J57" s="2" t="str">
        <f t="shared" si="0"/>
        <v>[56]=19,</v>
      </c>
      <c r="K57" s="3">
        <f t="shared" si="1"/>
        <v>56</v>
      </c>
      <c r="L57" s="3">
        <f t="shared" si="2"/>
        <v>19</v>
      </c>
      <c r="M57" s="9" t="str">
        <f>VLOOKUP(A57,WayshrineNames!$A$3:$B$967,2,)</f>
        <v>Wayrest Wayshrine</v>
      </c>
      <c r="N57" s="3" t="str">
        <f>VLOOKUP(F57,'ESO zones'!$A$5:$D$10003,4,FALSE)</f>
        <v>Stormhaven</v>
      </c>
    </row>
    <row r="58" spans="1:14" x14ac:dyDescent="0.25">
      <c r="A58" s="58">
        <v>57</v>
      </c>
      <c r="B58">
        <v>5</v>
      </c>
      <c r="C58">
        <v>30</v>
      </c>
      <c r="D58" t="s">
        <v>3152</v>
      </c>
      <c r="E58">
        <v>17</v>
      </c>
      <c r="F58">
        <v>104</v>
      </c>
      <c r="G58" t="s">
        <v>3153</v>
      </c>
      <c r="H58">
        <v>1</v>
      </c>
      <c r="I58" t="s">
        <v>3169</v>
      </c>
      <c r="J58" s="2" t="str">
        <f t="shared" si="0"/>
        <v>[57]=104,</v>
      </c>
      <c r="K58" s="3">
        <f t="shared" si="1"/>
        <v>57</v>
      </c>
      <c r="L58" s="3">
        <f t="shared" si="2"/>
        <v>104</v>
      </c>
      <c r="M58" s="9" t="str">
        <f>VLOOKUP(A58,WayshrineNames!$A$3:$B$967,2,)</f>
        <v>Divad's Chagrin Mine Wayshrine</v>
      </c>
      <c r="N58" s="3" t="str">
        <f>VLOOKUP(F58,'ESO zones'!$A$5:$D$10003,4,FALSE)</f>
        <v>Alik'r Desert</v>
      </c>
    </row>
    <row r="59" spans="1:14" x14ac:dyDescent="0.25">
      <c r="A59" s="58">
        <v>58</v>
      </c>
      <c r="B59">
        <v>5</v>
      </c>
      <c r="C59">
        <v>30</v>
      </c>
      <c r="D59" t="s">
        <v>3152</v>
      </c>
      <c r="E59">
        <v>17</v>
      </c>
      <c r="F59">
        <v>104</v>
      </c>
      <c r="G59" t="s">
        <v>3153</v>
      </c>
      <c r="H59">
        <v>1</v>
      </c>
      <c r="I59" t="s">
        <v>3170</v>
      </c>
      <c r="J59" s="2" t="str">
        <f t="shared" si="0"/>
        <v>[58]=104,</v>
      </c>
      <c r="K59" s="3">
        <f t="shared" si="1"/>
        <v>58</v>
      </c>
      <c r="L59" s="3">
        <f t="shared" si="2"/>
        <v>104</v>
      </c>
      <c r="M59" s="9" t="str">
        <f>VLOOKUP(A59,WayshrineNames!$A$3:$B$967,2,)</f>
        <v>Kulati Mines Wayshrine</v>
      </c>
      <c r="N59" s="3" t="str">
        <f>VLOOKUP(F59,'ESO zones'!$A$5:$D$10003,4,FALSE)</f>
        <v>Alik'r Desert</v>
      </c>
    </row>
    <row r="60" spans="1:14" x14ac:dyDescent="0.25">
      <c r="A60" s="58">
        <v>59</v>
      </c>
      <c r="B60">
        <v>5</v>
      </c>
      <c r="C60">
        <v>30</v>
      </c>
      <c r="D60" t="s">
        <v>3152</v>
      </c>
      <c r="E60">
        <v>17</v>
      </c>
      <c r="F60">
        <v>104</v>
      </c>
      <c r="G60" t="s">
        <v>3153</v>
      </c>
      <c r="H60">
        <v>1</v>
      </c>
      <c r="I60" t="s">
        <v>3171</v>
      </c>
      <c r="J60" s="2" t="str">
        <f t="shared" si="0"/>
        <v>[59]=104,</v>
      </c>
      <c r="K60" s="3">
        <f t="shared" si="1"/>
        <v>59</v>
      </c>
      <c r="L60" s="3">
        <f t="shared" si="2"/>
        <v>104</v>
      </c>
      <c r="M60" s="9" t="str">
        <f>VLOOKUP(A60,WayshrineNames!$A$3:$B$967,2,)</f>
        <v>Aswala Stables Wayshrine</v>
      </c>
      <c r="N60" s="3" t="str">
        <f>VLOOKUP(F60,'ESO zones'!$A$5:$D$10003,4,FALSE)</f>
        <v>Alik'r Desert</v>
      </c>
    </row>
    <row r="61" spans="1:14" x14ac:dyDescent="0.25">
      <c r="A61" s="58">
        <v>60</v>
      </c>
      <c r="B61">
        <v>5</v>
      </c>
      <c r="C61">
        <v>30</v>
      </c>
      <c r="D61" t="s">
        <v>3152</v>
      </c>
      <c r="E61">
        <v>17</v>
      </c>
      <c r="F61">
        <v>104</v>
      </c>
      <c r="G61" t="s">
        <v>3153</v>
      </c>
      <c r="H61">
        <v>1</v>
      </c>
      <c r="I61" t="s">
        <v>3172</v>
      </c>
      <c r="J61" s="2" t="str">
        <f t="shared" si="0"/>
        <v>[60]=104,</v>
      </c>
      <c r="K61" s="3">
        <f t="shared" si="1"/>
        <v>60</v>
      </c>
      <c r="L61" s="3">
        <f t="shared" si="2"/>
        <v>104</v>
      </c>
      <c r="M61" s="9" t="str">
        <f>VLOOKUP(A61,WayshrineNames!$A$3:$B$967,2,)</f>
        <v>Shrikes' Aerie Wayshrine</v>
      </c>
      <c r="N61" s="3" t="str">
        <f>VLOOKUP(F61,'ESO zones'!$A$5:$D$10003,4,FALSE)</f>
        <v>Alik'r Desert</v>
      </c>
    </row>
    <row r="62" spans="1:14" x14ac:dyDescent="0.25">
      <c r="A62" s="58">
        <v>61</v>
      </c>
      <c r="B62">
        <v>5</v>
      </c>
      <c r="C62">
        <v>30</v>
      </c>
      <c r="D62" t="s">
        <v>3152</v>
      </c>
      <c r="E62">
        <v>17</v>
      </c>
      <c r="F62">
        <v>104</v>
      </c>
      <c r="G62" t="s">
        <v>3153</v>
      </c>
      <c r="H62">
        <v>1</v>
      </c>
      <c r="I62" t="s">
        <v>3173</v>
      </c>
      <c r="J62" s="2" t="str">
        <f t="shared" si="0"/>
        <v>[61]=104,</v>
      </c>
      <c r="K62" s="3">
        <f t="shared" si="1"/>
        <v>61</v>
      </c>
      <c r="L62" s="3">
        <f t="shared" si="2"/>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3174</v>
      </c>
      <c r="J63" s="2" t="str">
        <f t="shared" si="0"/>
        <v>[62]=3,</v>
      </c>
      <c r="K63" s="3">
        <f t="shared" si="1"/>
        <v>62</v>
      </c>
      <c r="L63" s="3">
        <f t="shared" si="2"/>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3175</v>
      </c>
      <c r="J64" s="2" t="str">
        <f t="shared" si="0"/>
        <v>[63]=92,</v>
      </c>
      <c r="K64" s="3">
        <f t="shared" si="1"/>
        <v>63</v>
      </c>
      <c r="L64" s="3">
        <f t="shared" si="2"/>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3176</v>
      </c>
      <c r="J65" s="2" t="str">
        <f t="shared" si="0"/>
        <v>[64]=3,</v>
      </c>
      <c r="K65" s="3">
        <f t="shared" si="1"/>
        <v>64</v>
      </c>
      <c r="L65" s="3">
        <f t="shared" si="2"/>
        <v>3</v>
      </c>
      <c r="M65" s="9" t="str">
        <f>VLOOKUP(A65,WayshrineNames!$A$3:$B$967,2,)</f>
        <v>Burial Tombs Wayshrine</v>
      </c>
      <c r="N65" s="3" t="str">
        <f>VLOOKUP(F65,'ESO zones'!$A$5:$D$10003,4,FALSE)</f>
        <v>Glenumbra</v>
      </c>
    </row>
    <row r="66" spans="1:14" x14ac:dyDescent="0.25">
      <c r="A66" s="58">
        <v>65</v>
      </c>
      <c r="B66">
        <v>11</v>
      </c>
      <c r="C66">
        <v>7</v>
      </c>
      <c r="D66" t="s">
        <v>3150</v>
      </c>
      <c r="E66">
        <v>9</v>
      </c>
      <c r="F66">
        <v>41</v>
      </c>
      <c r="G66" t="s">
        <v>3150</v>
      </c>
      <c r="H66">
        <v>1</v>
      </c>
      <c r="I66" t="s">
        <v>3177</v>
      </c>
      <c r="J66" s="2" t="str">
        <f t="shared" si="0"/>
        <v>[65]=41,</v>
      </c>
      <c r="K66" s="3">
        <f t="shared" si="1"/>
        <v>65</v>
      </c>
      <c r="L66" s="3">
        <f t="shared" si="2"/>
        <v>41</v>
      </c>
      <c r="M66" s="9" t="str">
        <f>VLOOKUP(A66,WayshrineNames!$A$3:$B$967,2,)</f>
        <v>Davon's Watch Wayshrine</v>
      </c>
      <c r="N66" s="3" t="str">
        <f>VLOOKUP(F66,'ESO zones'!$A$5:$D$10003,4,FALSE)</f>
        <v>Stonefalls</v>
      </c>
    </row>
    <row r="67" spans="1:14" x14ac:dyDescent="0.25">
      <c r="A67" s="58">
        <v>66</v>
      </c>
      <c r="B67">
        <v>11</v>
      </c>
      <c r="C67">
        <v>7</v>
      </c>
      <c r="D67" t="s">
        <v>3150</v>
      </c>
      <c r="E67">
        <v>9</v>
      </c>
      <c r="F67">
        <v>41</v>
      </c>
      <c r="G67" t="s">
        <v>3150</v>
      </c>
      <c r="H67">
        <v>1</v>
      </c>
      <c r="I67" t="s">
        <v>3178</v>
      </c>
      <c r="J67" s="2" t="str">
        <f t="shared" ref="J67:J130" si="3">IF(A67&lt;&gt;"",IF(F67&lt;&gt;"",IF(OR(ISNA(A67),ISNA(F67)),"","["&amp;A67&amp;"]="&amp;F67&amp;","),""),"")</f>
        <v>[66]=41,</v>
      </c>
      <c r="K67" s="3">
        <f t="shared" ref="K67:K130" si="4">A67</f>
        <v>66</v>
      </c>
      <c r="L67" s="3">
        <f t="shared" ref="L67:L130" si="5">F67</f>
        <v>41</v>
      </c>
      <c r="M67" s="9" t="str">
        <f>VLOOKUP(A67,WayshrineNames!$A$3:$B$967,2,)</f>
        <v>Othrenis Wayshrine</v>
      </c>
      <c r="N67" s="3" t="str">
        <f>VLOOKUP(F67,'ESO zones'!$A$5:$D$10003,4,FALSE)</f>
        <v>Stonefalls</v>
      </c>
    </row>
    <row r="68" spans="1:14" x14ac:dyDescent="0.25">
      <c r="A68" s="58">
        <v>67</v>
      </c>
      <c r="B68">
        <v>11</v>
      </c>
      <c r="C68">
        <v>7</v>
      </c>
      <c r="D68" t="s">
        <v>3150</v>
      </c>
      <c r="E68">
        <v>9</v>
      </c>
      <c r="F68">
        <v>41</v>
      </c>
      <c r="G68" t="s">
        <v>3150</v>
      </c>
      <c r="H68">
        <v>1</v>
      </c>
      <c r="I68" t="s">
        <v>3179</v>
      </c>
      <c r="J68" s="2" t="str">
        <f t="shared" si="3"/>
        <v>[67]=41,</v>
      </c>
      <c r="K68" s="3">
        <f t="shared" si="4"/>
        <v>67</v>
      </c>
      <c r="L68" s="3">
        <f t="shared" si="5"/>
        <v>41</v>
      </c>
      <c r="M68" s="9" t="str">
        <f>VLOOKUP(A68,WayshrineNames!$A$3:$B$967,2,)</f>
        <v>Ebonheart Wayshrine</v>
      </c>
      <c r="N68" s="3" t="str">
        <f>VLOOKUP(F68,'ESO zones'!$A$5:$D$10003,4,FALSE)</f>
        <v>Stonefalls</v>
      </c>
    </row>
    <row r="69" spans="1:14" x14ac:dyDescent="0.25">
      <c r="A69" s="58">
        <v>68</v>
      </c>
      <c r="B69">
        <v>11</v>
      </c>
      <c r="C69">
        <v>7</v>
      </c>
      <c r="D69" t="s">
        <v>3150</v>
      </c>
      <c r="E69">
        <v>9</v>
      </c>
      <c r="F69">
        <v>41</v>
      </c>
      <c r="G69" t="s">
        <v>3150</v>
      </c>
      <c r="H69">
        <v>1</v>
      </c>
      <c r="I69" t="s">
        <v>3180</v>
      </c>
      <c r="J69" s="2" t="str">
        <f t="shared" si="3"/>
        <v>[68]=41,</v>
      </c>
      <c r="K69" s="3">
        <f t="shared" si="4"/>
        <v>68</v>
      </c>
      <c r="L69" s="3">
        <f t="shared" si="5"/>
        <v>41</v>
      </c>
      <c r="M69" s="9" t="str">
        <f>VLOOKUP(A69,WayshrineNames!$A$3:$B$967,2,)</f>
        <v>Vivec's Antlers Wayshrine</v>
      </c>
      <c r="N69" s="3" t="str">
        <f>VLOOKUP(F69,'ESO zones'!$A$5:$D$10003,4,FALSE)</f>
        <v>Stonefalls</v>
      </c>
    </row>
    <row r="70" spans="1:14" x14ac:dyDescent="0.25">
      <c r="A70" s="58">
        <v>69</v>
      </c>
      <c r="B70">
        <v>11</v>
      </c>
      <c r="C70">
        <v>7</v>
      </c>
      <c r="D70" t="s">
        <v>3150</v>
      </c>
      <c r="E70">
        <v>9</v>
      </c>
      <c r="F70">
        <v>41</v>
      </c>
      <c r="G70" t="s">
        <v>3150</v>
      </c>
      <c r="H70">
        <v>1</v>
      </c>
      <c r="I70" t="s">
        <v>3181</v>
      </c>
      <c r="J70" s="2" t="str">
        <f t="shared" si="3"/>
        <v>[69]=41,</v>
      </c>
      <c r="K70" s="3">
        <f t="shared" si="4"/>
        <v>69</v>
      </c>
      <c r="L70" s="3">
        <f t="shared" si="5"/>
        <v>41</v>
      </c>
      <c r="M70" s="9" t="str">
        <f>VLOOKUP(A70,WayshrineNames!$A$3:$B$967,2,)</f>
        <v>Sulfur Pools Wayshrine</v>
      </c>
      <c r="N70" s="3" t="str">
        <f>VLOOKUP(F70,'ESO zones'!$A$5:$D$10003,4,FALSE)</f>
        <v>Stonefalls</v>
      </c>
    </row>
    <row r="71" spans="1:14" x14ac:dyDescent="0.25">
      <c r="A71" s="58">
        <v>71</v>
      </c>
      <c r="B71">
        <v>11</v>
      </c>
      <c r="C71">
        <v>7</v>
      </c>
      <c r="D71" t="s">
        <v>3150</v>
      </c>
      <c r="E71">
        <v>9</v>
      </c>
      <c r="F71">
        <v>41</v>
      </c>
      <c r="G71" t="s">
        <v>3150</v>
      </c>
      <c r="H71">
        <v>1</v>
      </c>
      <c r="I71" t="s">
        <v>3182</v>
      </c>
      <c r="J71" s="2" t="str">
        <f t="shared" si="3"/>
        <v>[71]=41,</v>
      </c>
      <c r="K71" s="3">
        <f t="shared" si="4"/>
        <v>71</v>
      </c>
      <c r="L71" s="3">
        <f t="shared" si="5"/>
        <v>41</v>
      </c>
      <c r="M71" s="9" t="str">
        <f>VLOOKUP(A71,WayshrineNames!$A$3:$B$967,2,)</f>
        <v>Brothers of Strife Wayshrine</v>
      </c>
      <c r="N71" s="3" t="str">
        <f>VLOOKUP(F71,'ESO zones'!$A$5:$D$10003,4,FALSE)</f>
        <v>Stonefalls</v>
      </c>
    </row>
    <row r="72" spans="1:14" x14ac:dyDescent="0.25">
      <c r="A72" s="58">
        <v>72</v>
      </c>
      <c r="B72">
        <v>11</v>
      </c>
      <c r="C72">
        <v>7</v>
      </c>
      <c r="D72" t="s">
        <v>3150</v>
      </c>
      <c r="E72">
        <v>9</v>
      </c>
      <c r="F72">
        <v>41</v>
      </c>
      <c r="G72" t="s">
        <v>3150</v>
      </c>
      <c r="H72">
        <v>1</v>
      </c>
      <c r="I72" t="s">
        <v>3183</v>
      </c>
      <c r="J72" s="2" t="str">
        <f t="shared" si="3"/>
        <v>[72]=41,</v>
      </c>
      <c r="K72" s="3">
        <f t="shared" si="4"/>
        <v>72</v>
      </c>
      <c r="L72" s="3">
        <f t="shared" si="5"/>
        <v>41</v>
      </c>
      <c r="M72" s="9" t="str">
        <f>VLOOKUP(A72,WayshrineNames!$A$3:$B$967,2,)</f>
        <v>Hrogar's Hold Wayshrine</v>
      </c>
      <c r="N72" s="3" t="str">
        <f>VLOOKUP(F72,'ESO zones'!$A$5:$D$10003,4,FALSE)</f>
        <v>Stonefalls</v>
      </c>
    </row>
    <row r="73" spans="1:14" x14ac:dyDescent="0.25">
      <c r="A73" s="58">
        <v>73</v>
      </c>
      <c r="B73">
        <v>11</v>
      </c>
      <c r="C73">
        <v>7</v>
      </c>
      <c r="D73" t="s">
        <v>3150</v>
      </c>
      <c r="E73">
        <v>9</v>
      </c>
      <c r="F73">
        <v>41</v>
      </c>
      <c r="G73" t="s">
        <v>3150</v>
      </c>
      <c r="H73">
        <v>1</v>
      </c>
      <c r="I73" t="s">
        <v>3184</v>
      </c>
      <c r="J73" s="2" t="str">
        <f t="shared" si="3"/>
        <v>[73]=41,</v>
      </c>
      <c r="K73" s="3">
        <f t="shared" si="4"/>
        <v>73</v>
      </c>
      <c r="L73" s="3">
        <f t="shared" si="5"/>
        <v>41</v>
      </c>
      <c r="M73" s="9" t="str">
        <f>VLOOKUP(A73,WayshrineNames!$A$3:$B$967,2,)</f>
        <v>Fort Virak Wayshrine</v>
      </c>
      <c r="N73" s="3" t="str">
        <f>VLOOKUP(F73,'ESO zones'!$A$5:$D$10003,4,FALSE)</f>
        <v>Stonefalls</v>
      </c>
    </row>
    <row r="74" spans="1:14" x14ac:dyDescent="0.25">
      <c r="A74" s="58">
        <v>74</v>
      </c>
      <c r="B74">
        <v>11</v>
      </c>
      <c r="C74">
        <v>7</v>
      </c>
      <c r="D74" t="s">
        <v>3150</v>
      </c>
      <c r="E74">
        <v>9</v>
      </c>
      <c r="F74">
        <v>41</v>
      </c>
      <c r="G74" t="s">
        <v>3150</v>
      </c>
      <c r="H74">
        <v>1</v>
      </c>
      <c r="I74" t="s">
        <v>3185</v>
      </c>
      <c r="J74" s="2" t="str">
        <f t="shared" si="3"/>
        <v>[74]=41,</v>
      </c>
      <c r="K74" s="3">
        <f t="shared" si="4"/>
        <v>74</v>
      </c>
      <c r="L74" s="3">
        <f t="shared" si="5"/>
        <v>41</v>
      </c>
      <c r="M74" s="9" t="str">
        <f>VLOOKUP(A74,WayshrineNames!$A$3:$B$967,2,)</f>
        <v>Iliath Temple Wayshrine</v>
      </c>
      <c r="N74" s="3" t="str">
        <f>VLOOKUP(F74,'ESO zones'!$A$5:$D$10003,4,FALSE)</f>
        <v>Stonefalls</v>
      </c>
    </row>
    <row r="75" spans="1:14" x14ac:dyDescent="0.25">
      <c r="A75" s="58">
        <v>75</v>
      </c>
      <c r="B75">
        <v>11</v>
      </c>
      <c r="C75">
        <v>7</v>
      </c>
      <c r="D75" t="s">
        <v>3150</v>
      </c>
      <c r="E75">
        <v>9</v>
      </c>
      <c r="F75">
        <v>41</v>
      </c>
      <c r="G75" t="s">
        <v>3150</v>
      </c>
      <c r="H75">
        <v>1</v>
      </c>
      <c r="I75" t="s">
        <v>3186</v>
      </c>
      <c r="J75" s="2" t="str">
        <f t="shared" si="3"/>
        <v>[75]=41,</v>
      </c>
      <c r="K75" s="3">
        <f t="shared" si="4"/>
        <v>75</v>
      </c>
      <c r="L75" s="3">
        <f t="shared" si="5"/>
        <v>41</v>
      </c>
      <c r="M75" s="9" t="str">
        <f>VLOOKUP(A75,WayshrineNames!$A$3:$B$967,2,)</f>
        <v>Sathram Plantation Wayshrine</v>
      </c>
      <c r="N75" s="3" t="str">
        <f>VLOOKUP(F75,'ESO zones'!$A$5:$D$10003,4,FALSE)</f>
        <v>Stonefalls</v>
      </c>
    </row>
    <row r="76" spans="1:14" x14ac:dyDescent="0.25">
      <c r="A76" s="58">
        <v>76</v>
      </c>
      <c r="B76">
        <v>11</v>
      </c>
      <c r="C76">
        <v>7</v>
      </c>
      <c r="D76" t="s">
        <v>3150</v>
      </c>
      <c r="E76">
        <v>9</v>
      </c>
      <c r="F76">
        <v>41</v>
      </c>
      <c r="G76" t="s">
        <v>3150</v>
      </c>
      <c r="H76">
        <v>1</v>
      </c>
      <c r="I76" t="s">
        <v>3187</v>
      </c>
      <c r="J76" s="2" t="str">
        <f t="shared" si="3"/>
        <v>[76]=41,</v>
      </c>
      <c r="K76" s="3">
        <f t="shared" si="4"/>
        <v>76</v>
      </c>
      <c r="L76" s="3">
        <f t="shared" si="5"/>
        <v>41</v>
      </c>
      <c r="M76" s="9" t="str">
        <f>VLOOKUP(A76,WayshrineNames!$A$3:$B$967,2,)</f>
        <v>Kragenmoor Wayshrine</v>
      </c>
      <c r="N76" s="3" t="str">
        <f>VLOOKUP(F76,'ESO zones'!$A$5:$D$10003,4,FALSE)</f>
        <v>Stonefalls</v>
      </c>
    </row>
    <row r="77" spans="1:14" x14ac:dyDescent="0.25">
      <c r="A77" s="58">
        <v>77</v>
      </c>
      <c r="B77">
        <v>11</v>
      </c>
      <c r="C77">
        <v>7</v>
      </c>
      <c r="D77" t="s">
        <v>3150</v>
      </c>
      <c r="E77">
        <v>9</v>
      </c>
      <c r="F77">
        <v>41</v>
      </c>
      <c r="G77" t="s">
        <v>3150</v>
      </c>
      <c r="H77">
        <v>1</v>
      </c>
      <c r="I77" t="s">
        <v>3188</v>
      </c>
      <c r="J77" s="2" t="str">
        <f t="shared" si="3"/>
        <v>[77]=41,</v>
      </c>
      <c r="K77" s="3">
        <f t="shared" si="4"/>
        <v>77</v>
      </c>
      <c r="L77" s="3">
        <f t="shared" si="5"/>
        <v>41</v>
      </c>
      <c r="M77" s="9" t="str">
        <f>VLOOKUP(A77,WayshrineNames!$A$3:$B$967,2,)</f>
        <v>Ashen Road Wayshrine</v>
      </c>
      <c r="N77" s="3" t="str">
        <f>VLOOKUP(F77,'ESO zones'!$A$5:$D$10003,4,FALSE)</f>
        <v>Stonefalls</v>
      </c>
    </row>
    <row r="78" spans="1:14" x14ac:dyDescent="0.25">
      <c r="A78" s="58">
        <v>78</v>
      </c>
      <c r="B78">
        <v>9</v>
      </c>
      <c r="C78">
        <v>26</v>
      </c>
      <c r="D78" t="s">
        <v>3159</v>
      </c>
      <c r="E78">
        <v>19</v>
      </c>
      <c r="F78">
        <v>117</v>
      </c>
      <c r="G78" t="s">
        <v>3159</v>
      </c>
      <c r="H78">
        <v>1</v>
      </c>
      <c r="I78" t="s">
        <v>3189</v>
      </c>
      <c r="J78" s="2" t="str">
        <f t="shared" si="3"/>
        <v>[78]=117,</v>
      </c>
      <c r="K78" s="3">
        <f t="shared" si="4"/>
        <v>78</v>
      </c>
      <c r="L78" s="3">
        <f t="shared" si="5"/>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3190</v>
      </c>
      <c r="J79" s="2" t="str">
        <f t="shared" si="3"/>
        <v>[79]=57,</v>
      </c>
      <c r="K79" s="3">
        <f t="shared" si="4"/>
        <v>79</v>
      </c>
      <c r="L79" s="3">
        <f t="shared" si="5"/>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3191</v>
      </c>
      <c r="J80" s="2" t="str">
        <f t="shared" si="3"/>
        <v>[80]=57,</v>
      </c>
      <c r="K80" s="3">
        <f t="shared" si="4"/>
        <v>80</v>
      </c>
      <c r="L80" s="3">
        <f t="shared" si="5"/>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3192</v>
      </c>
      <c r="J81" s="2" t="str">
        <f t="shared" si="3"/>
        <v>[81]=57,</v>
      </c>
      <c r="K81" s="3">
        <f t="shared" si="4"/>
        <v>81</v>
      </c>
      <c r="L81" s="3">
        <f t="shared" si="5"/>
        <v>57</v>
      </c>
      <c r="M81" s="9" t="str">
        <f>VLOOKUP(A81,WayshrineNames!$A$3:$B$967,2,)</f>
        <v>Eidolon's Hollow Wayshrine</v>
      </c>
      <c r="N81" s="3" t="str">
        <f>VLOOKUP(F81,'ESO zones'!$A$5:$D$10003,4,FALSE)</f>
        <v>Deshaan</v>
      </c>
    </row>
    <row r="82" spans="1:14" x14ac:dyDescent="0.25">
      <c r="A82" s="58">
        <v>82</v>
      </c>
      <c r="B82">
        <v>3</v>
      </c>
      <c r="C82">
        <v>10</v>
      </c>
      <c r="D82" t="s">
        <v>3115</v>
      </c>
      <c r="E82">
        <v>5</v>
      </c>
      <c r="F82">
        <v>20</v>
      </c>
      <c r="G82" t="s">
        <v>3115</v>
      </c>
      <c r="H82">
        <v>1</v>
      </c>
      <c r="I82" t="s">
        <v>3193</v>
      </c>
      <c r="J82" s="2" t="str">
        <f t="shared" si="3"/>
        <v>[82]=20,</v>
      </c>
      <c r="K82" s="3">
        <f t="shared" si="4"/>
        <v>82</v>
      </c>
      <c r="L82" s="3">
        <f t="shared" si="5"/>
        <v>20</v>
      </c>
      <c r="M82" s="9" t="str">
        <f>VLOOKUP(A82,WayshrineNames!$A$3:$B$967,2,)</f>
        <v>Northpoint Wayshrine</v>
      </c>
      <c r="N82" s="3" t="str">
        <f>VLOOKUP(F82,'ESO zones'!$A$5:$D$10003,4,FALSE)</f>
        <v>Rivenspire</v>
      </c>
    </row>
    <row r="83" spans="1:14" x14ac:dyDescent="0.25">
      <c r="A83" s="58">
        <v>83</v>
      </c>
      <c r="B83">
        <v>3</v>
      </c>
      <c r="C83">
        <v>10</v>
      </c>
      <c r="D83" t="s">
        <v>3115</v>
      </c>
      <c r="E83">
        <v>5</v>
      </c>
      <c r="F83">
        <v>20</v>
      </c>
      <c r="G83" t="s">
        <v>3115</v>
      </c>
      <c r="H83">
        <v>1</v>
      </c>
      <c r="I83" t="s">
        <v>3194</v>
      </c>
      <c r="J83" s="2" t="str">
        <f t="shared" si="3"/>
        <v>[83]=20,</v>
      </c>
      <c r="K83" s="3">
        <f t="shared" si="4"/>
        <v>83</v>
      </c>
      <c r="L83" s="3">
        <f t="shared" si="5"/>
        <v>20</v>
      </c>
      <c r="M83" s="9" t="str">
        <f>VLOOKUP(A83,WayshrineNames!$A$3:$B$967,2,)</f>
        <v>Fell's Run Wayshrine</v>
      </c>
      <c r="N83" s="3" t="str">
        <f>VLOOKUP(F83,'ESO zones'!$A$5:$D$10003,4,FALSE)</f>
        <v>Rivenspire</v>
      </c>
    </row>
    <row r="84" spans="1:14" x14ac:dyDescent="0.25">
      <c r="A84" s="58">
        <v>84</v>
      </c>
      <c r="B84">
        <v>3</v>
      </c>
      <c r="C84">
        <v>10</v>
      </c>
      <c r="D84" t="s">
        <v>3115</v>
      </c>
      <c r="E84">
        <v>5</v>
      </c>
      <c r="F84">
        <v>20</v>
      </c>
      <c r="G84" t="s">
        <v>3115</v>
      </c>
      <c r="H84">
        <v>1</v>
      </c>
      <c r="I84" t="s">
        <v>3195</v>
      </c>
      <c r="J84" s="2" t="str">
        <f t="shared" si="3"/>
        <v>[84]=20,</v>
      </c>
      <c r="K84" s="3">
        <f t="shared" si="4"/>
        <v>84</v>
      </c>
      <c r="L84" s="3">
        <f t="shared" si="5"/>
        <v>20</v>
      </c>
      <c r="M84" s="9" t="str">
        <f>VLOOKUP(A84,WayshrineNames!$A$3:$B$967,2,)</f>
        <v>Hoarfrost Downs Wayshrine</v>
      </c>
      <c r="N84" s="3" t="str">
        <f>VLOOKUP(F84,'ESO zones'!$A$5:$D$10003,4,FALSE)</f>
        <v>Rivenspire</v>
      </c>
    </row>
    <row r="85" spans="1:14" x14ac:dyDescent="0.25">
      <c r="A85" s="58">
        <v>85</v>
      </c>
      <c r="B85">
        <v>9</v>
      </c>
      <c r="C85">
        <v>26</v>
      </c>
      <c r="D85" t="s">
        <v>3159</v>
      </c>
      <c r="E85">
        <v>19</v>
      </c>
      <c r="F85">
        <v>117</v>
      </c>
      <c r="G85" t="s">
        <v>3159</v>
      </c>
      <c r="H85">
        <v>1</v>
      </c>
      <c r="I85" t="s">
        <v>3196</v>
      </c>
      <c r="J85" s="2" t="str">
        <f t="shared" si="3"/>
        <v>[85]=117,</v>
      </c>
      <c r="K85" s="3">
        <f t="shared" si="4"/>
        <v>85</v>
      </c>
      <c r="L85" s="3">
        <f t="shared" si="5"/>
        <v>117</v>
      </c>
      <c r="M85" s="9" t="str">
        <f>VLOOKUP(A85,WayshrineNames!$A$3:$B$967,2,)</f>
        <v>Forsaken Hamlet Wayshrine</v>
      </c>
      <c r="N85" s="3" t="str">
        <f>VLOOKUP(F85,'ESO zones'!$A$5:$D$10003,4,FALSE)</f>
        <v>Shadowfen</v>
      </c>
    </row>
    <row r="86" spans="1:14" x14ac:dyDescent="0.25">
      <c r="A86" s="58">
        <v>86</v>
      </c>
      <c r="B86">
        <v>3</v>
      </c>
      <c r="C86">
        <v>10</v>
      </c>
      <c r="D86" t="s">
        <v>3115</v>
      </c>
      <c r="E86">
        <v>5</v>
      </c>
      <c r="F86">
        <v>20</v>
      </c>
      <c r="G86" t="s">
        <v>3115</v>
      </c>
      <c r="H86">
        <v>1</v>
      </c>
      <c r="I86" t="s">
        <v>3197</v>
      </c>
      <c r="J86" s="2" t="str">
        <f t="shared" si="3"/>
        <v>[86]=20,</v>
      </c>
      <c r="K86" s="3">
        <f t="shared" si="4"/>
        <v>86</v>
      </c>
      <c r="L86" s="3">
        <f t="shared" si="5"/>
        <v>20</v>
      </c>
      <c r="M86" s="9" t="str">
        <f>VLOOKUP(A86,WayshrineNames!$A$3:$B$967,2,)</f>
        <v>Sanguine Barrows Wayshrine</v>
      </c>
      <c r="N86" s="3" t="str">
        <f>VLOOKUP(F86,'ESO zones'!$A$5:$D$10003,4,FALSE)</f>
        <v>Rivenspire</v>
      </c>
    </row>
    <row r="87" spans="1:14" x14ac:dyDescent="0.25">
      <c r="A87" s="58">
        <v>87</v>
      </c>
      <c r="B87">
        <v>13</v>
      </c>
      <c r="C87">
        <v>61</v>
      </c>
      <c r="D87" t="s">
        <v>3198</v>
      </c>
      <c r="E87">
        <v>15</v>
      </c>
      <c r="F87">
        <v>101</v>
      </c>
      <c r="G87" t="s">
        <v>3198</v>
      </c>
      <c r="H87">
        <v>1</v>
      </c>
      <c r="I87" t="s">
        <v>3199</v>
      </c>
      <c r="J87" s="2" t="str">
        <f t="shared" si="3"/>
        <v>[87]=101,</v>
      </c>
      <c r="K87" s="3">
        <f t="shared" si="4"/>
        <v>87</v>
      </c>
      <c r="L87" s="3">
        <f t="shared" si="5"/>
        <v>101</v>
      </c>
      <c r="M87" s="9" t="str">
        <f>VLOOKUP(A87,WayshrineNames!$A$3:$B$967,2,)</f>
        <v>Windhelm Wayshrine</v>
      </c>
      <c r="N87" s="3" t="str">
        <f>VLOOKUP(F87,'ESO zones'!$A$5:$D$10003,4,FALSE)</f>
        <v>Eastmarch</v>
      </c>
    </row>
    <row r="88" spans="1:14" x14ac:dyDescent="0.25">
      <c r="A88" s="58">
        <v>88</v>
      </c>
      <c r="B88">
        <v>13</v>
      </c>
      <c r="C88">
        <v>61</v>
      </c>
      <c r="D88" t="s">
        <v>3198</v>
      </c>
      <c r="E88">
        <v>15</v>
      </c>
      <c r="F88">
        <v>101</v>
      </c>
      <c r="G88" t="s">
        <v>3198</v>
      </c>
      <c r="H88">
        <v>1</v>
      </c>
      <c r="I88" t="s">
        <v>3200</v>
      </c>
      <c r="J88" s="2" t="str">
        <f t="shared" si="3"/>
        <v>[88]=101,</v>
      </c>
      <c r="K88" s="3">
        <f t="shared" si="4"/>
        <v>88</v>
      </c>
      <c r="L88" s="3">
        <f t="shared" si="5"/>
        <v>101</v>
      </c>
      <c r="M88" s="9" t="str">
        <f>VLOOKUP(A88,WayshrineNames!$A$3:$B$967,2,)</f>
        <v>Fort Morvunskar Wayshrine</v>
      </c>
      <c r="N88" s="3" t="str">
        <f>VLOOKUP(F88,'ESO zones'!$A$5:$D$10003,4,FALSE)</f>
        <v>Eastmarch</v>
      </c>
    </row>
    <row r="89" spans="1:14" x14ac:dyDescent="0.25">
      <c r="A89" s="58">
        <v>89</v>
      </c>
      <c r="B89">
        <v>13</v>
      </c>
      <c r="C89">
        <v>61</v>
      </c>
      <c r="D89" t="s">
        <v>3198</v>
      </c>
      <c r="E89">
        <v>15</v>
      </c>
      <c r="F89">
        <v>101</v>
      </c>
      <c r="G89" t="s">
        <v>3198</v>
      </c>
      <c r="H89">
        <v>1</v>
      </c>
      <c r="I89" t="s">
        <v>3201</v>
      </c>
      <c r="J89" s="2" t="str">
        <f t="shared" si="3"/>
        <v>[89]=101,</v>
      </c>
      <c r="K89" s="3">
        <f t="shared" si="4"/>
        <v>89</v>
      </c>
      <c r="L89" s="3">
        <f t="shared" si="5"/>
        <v>101</v>
      </c>
      <c r="M89" s="9" t="str">
        <f>VLOOKUP(A89,WayshrineNames!$A$3:$B$967,2,)</f>
        <v>Kynesgrove Wayshrine</v>
      </c>
      <c r="N89" s="3" t="str">
        <f>VLOOKUP(F89,'ESO zones'!$A$5:$D$10003,4,FALSE)</f>
        <v>Eastmarch</v>
      </c>
    </row>
    <row r="90" spans="1:14" x14ac:dyDescent="0.25">
      <c r="A90" s="58">
        <v>90</v>
      </c>
      <c r="B90">
        <v>13</v>
      </c>
      <c r="C90">
        <v>61</v>
      </c>
      <c r="D90" t="s">
        <v>3198</v>
      </c>
      <c r="E90">
        <v>15</v>
      </c>
      <c r="F90">
        <v>101</v>
      </c>
      <c r="G90" t="s">
        <v>3198</v>
      </c>
      <c r="H90">
        <v>1</v>
      </c>
      <c r="I90" t="s">
        <v>3202</v>
      </c>
      <c r="J90" s="2" t="str">
        <f t="shared" si="3"/>
        <v>[90]=101,</v>
      </c>
      <c r="K90" s="3">
        <f t="shared" si="4"/>
        <v>90</v>
      </c>
      <c r="L90" s="3">
        <f t="shared" si="5"/>
        <v>101</v>
      </c>
      <c r="M90" s="9" t="str">
        <f>VLOOKUP(A90,WayshrineNames!$A$3:$B$967,2,)</f>
        <v>Voljar Meadery Wayshrine</v>
      </c>
      <c r="N90" s="3" t="str">
        <f>VLOOKUP(F90,'ESO zones'!$A$5:$D$10003,4,FALSE)</f>
        <v>Eastmarch</v>
      </c>
    </row>
    <row r="91" spans="1:14" x14ac:dyDescent="0.25">
      <c r="A91" s="58">
        <v>91</v>
      </c>
      <c r="B91">
        <v>13</v>
      </c>
      <c r="C91">
        <v>61</v>
      </c>
      <c r="D91" t="s">
        <v>3198</v>
      </c>
      <c r="E91">
        <v>15</v>
      </c>
      <c r="F91">
        <v>101</v>
      </c>
      <c r="G91" t="s">
        <v>3198</v>
      </c>
      <c r="H91">
        <v>1</v>
      </c>
      <c r="I91" t="s">
        <v>3203</v>
      </c>
      <c r="J91" s="2" t="str">
        <f t="shared" si="3"/>
        <v>[91]=101,</v>
      </c>
      <c r="K91" s="3">
        <f t="shared" si="4"/>
        <v>91</v>
      </c>
      <c r="L91" s="3">
        <f t="shared" si="5"/>
        <v>101</v>
      </c>
      <c r="M91" s="9" t="str">
        <f>VLOOKUP(A91,WayshrineNames!$A$3:$B$967,2,)</f>
        <v>Cradlecrush Wayshrine</v>
      </c>
      <c r="N91" s="3" t="str">
        <f>VLOOKUP(F91,'ESO zones'!$A$5:$D$10003,4,FALSE)</f>
        <v>Eastmarch</v>
      </c>
    </row>
    <row r="92" spans="1:14" x14ac:dyDescent="0.25">
      <c r="A92" s="58">
        <v>92</v>
      </c>
      <c r="B92">
        <v>13</v>
      </c>
      <c r="C92">
        <v>61</v>
      </c>
      <c r="D92" t="s">
        <v>3198</v>
      </c>
      <c r="E92">
        <v>15</v>
      </c>
      <c r="F92">
        <v>101</v>
      </c>
      <c r="G92" t="s">
        <v>3198</v>
      </c>
      <c r="H92">
        <v>1</v>
      </c>
      <c r="I92" t="s">
        <v>3204</v>
      </c>
      <c r="J92" s="2" t="str">
        <f t="shared" si="3"/>
        <v>[92]=101,</v>
      </c>
      <c r="K92" s="3">
        <f t="shared" si="4"/>
        <v>92</v>
      </c>
      <c r="L92" s="3">
        <f t="shared" si="5"/>
        <v>101</v>
      </c>
      <c r="M92" s="9" t="str">
        <f>VLOOKUP(A92,WayshrineNames!$A$3:$B$967,2,)</f>
        <v>Fort Amol Wayshrine</v>
      </c>
      <c r="N92" s="3" t="str">
        <f>VLOOKUP(F92,'ESO zones'!$A$5:$D$10003,4,FALSE)</f>
        <v>Eastmarch</v>
      </c>
    </row>
    <row r="93" spans="1:14" x14ac:dyDescent="0.25">
      <c r="A93" s="58">
        <v>93</v>
      </c>
      <c r="B93">
        <v>13</v>
      </c>
      <c r="C93">
        <v>61</v>
      </c>
      <c r="D93" t="s">
        <v>3198</v>
      </c>
      <c r="E93">
        <v>15</v>
      </c>
      <c r="F93">
        <v>101</v>
      </c>
      <c r="G93" t="s">
        <v>3198</v>
      </c>
      <c r="H93">
        <v>1</v>
      </c>
      <c r="I93" t="s">
        <v>3205</v>
      </c>
      <c r="J93" s="2" t="str">
        <f t="shared" si="3"/>
        <v>[93]=101,</v>
      </c>
      <c r="K93" s="3">
        <f t="shared" si="4"/>
        <v>93</v>
      </c>
      <c r="L93" s="3">
        <f t="shared" si="5"/>
        <v>101</v>
      </c>
      <c r="M93" s="9" t="str">
        <f>VLOOKUP(A93,WayshrineNames!$A$3:$B$967,2,)</f>
        <v>Wittestadr Wayshrine</v>
      </c>
      <c r="N93" s="3" t="str">
        <f>VLOOKUP(F93,'ESO zones'!$A$5:$D$10003,4,FALSE)</f>
        <v>Eastmarch</v>
      </c>
    </row>
    <row r="94" spans="1:14" x14ac:dyDescent="0.25">
      <c r="A94" s="58">
        <v>94</v>
      </c>
      <c r="B94">
        <v>13</v>
      </c>
      <c r="C94">
        <v>61</v>
      </c>
      <c r="D94" t="s">
        <v>3198</v>
      </c>
      <c r="E94">
        <v>15</v>
      </c>
      <c r="F94">
        <v>101</v>
      </c>
      <c r="G94" t="s">
        <v>3198</v>
      </c>
      <c r="H94">
        <v>1</v>
      </c>
      <c r="I94" t="s">
        <v>3206</v>
      </c>
      <c r="J94" s="2" t="str">
        <f t="shared" si="3"/>
        <v>[94]=101,</v>
      </c>
      <c r="K94" s="3">
        <f t="shared" si="4"/>
        <v>94</v>
      </c>
      <c r="L94" s="3">
        <f t="shared" si="5"/>
        <v>101</v>
      </c>
      <c r="M94" s="9" t="str">
        <f>VLOOKUP(A94,WayshrineNames!$A$3:$B$967,2,)</f>
        <v>Mistwatch Wayshrine</v>
      </c>
      <c r="N94" s="3" t="str">
        <f>VLOOKUP(F94,'ESO zones'!$A$5:$D$10003,4,FALSE)</f>
        <v>Eastmarch</v>
      </c>
    </row>
    <row r="95" spans="1:14" x14ac:dyDescent="0.25">
      <c r="A95" s="58">
        <v>95</v>
      </c>
      <c r="B95">
        <v>13</v>
      </c>
      <c r="C95">
        <v>61</v>
      </c>
      <c r="D95" t="s">
        <v>3198</v>
      </c>
      <c r="E95">
        <v>15</v>
      </c>
      <c r="F95">
        <v>101</v>
      </c>
      <c r="G95" t="s">
        <v>3198</v>
      </c>
      <c r="H95">
        <v>1</v>
      </c>
      <c r="I95" t="s">
        <v>3207</v>
      </c>
      <c r="J95" s="2" t="str">
        <f t="shared" si="3"/>
        <v>[95]=101,</v>
      </c>
      <c r="K95" s="3">
        <f t="shared" si="4"/>
        <v>95</v>
      </c>
      <c r="L95" s="3">
        <f t="shared" si="5"/>
        <v>101</v>
      </c>
      <c r="M95" s="9" t="str">
        <f>VLOOKUP(A95,WayshrineNames!$A$3:$B$967,2,)</f>
        <v>Jorunn's Stand Wayshrine</v>
      </c>
      <c r="N95" s="3" t="str">
        <f>VLOOKUP(F95,'ESO zones'!$A$5:$D$10003,4,FALSE)</f>
        <v>Eastmarch</v>
      </c>
    </row>
    <row r="96" spans="1:14" x14ac:dyDescent="0.25">
      <c r="A96" s="58">
        <v>96</v>
      </c>
      <c r="B96">
        <v>13</v>
      </c>
      <c r="C96">
        <v>61</v>
      </c>
      <c r="D96" t="s">
        <v>3198</v>
      </c>
      <c r="E96">
        <v>15</v>
      </c>
      <c r="F96">
        <v>101</v>
      </c>
      <c r="G96" t="s">
        <v>3198</v>
      </c>
      <c r="H96">
        <v>1</v>
      </c>
      <c r="I96" t="s">
        <v>3208</v>
      </c>
      <c r="J96" s="2" t="str">
        <f t="shared" si="3"/>
        <v>[96]=101,</v>
      </c>
      <c r="K96" s="3">
        <f t="shared" si="4"/>
        <v>96</v>
      </c>
      <c r="L96" s="3">
        <f t="shared" si="5"/>
        <v>101</v>
      </c>
      <c r="M96" s="9" t="str">
        <f>VLOOKUP(A96,WayshrineNames!$A$3:$B$967,2,)</f>
        <v>Logging Camp Wayshrine</v>
      </c>
      <c r="N96" s="3" t="str">
        <f>VLOOKUP(F96,'ESO zones'!$A$5:$D$10003,4,FALSE)</f>
        <v>Eastmarch</v>
      </c>
    </row>
    <row r="97" spans="1:14" x14ac:dyDescent="0.25">
      <c r="A97" s="58">
        <v>97</v>
      </c>
      <c r="B97">
        <v>13</v>
      </c>
      <c r="C97">
        <v>61</v>
      </c>
      <c r="D97" t="s">
        <v>3198</v>
      </c>
      <c r="E97">
        <v>15</v>
      </c>
      <c r="F97">
        <v>101</v>
      </c>
      <c r="G97" t="s">
        <v>3198</v>
      </c>
      <c r="H97">
        <v>1</v>
      </c>
      <c r="I97" t="s">
        <v>3209</v>
      </c>
      <c r="J97" s="2" t="str">
        <f t="shared" si="3"/>
        <v>[97]=101,</v>
      </c>
      <c r="K97" s="3">
        <f t="shared" si="4"/>
        <v>97</v>
      </c>
      <c r="L97" s="3">
        <f t="shared" si="5"/>
        <v>101</v>
      </c>
      <c r="M97" s="9" t="str">
        <f>VLOOKUP(A97,WayshrineNames!$A$3:$B$967,2,)</f>
        <v>Skuldafn Wayshrine</v>
      </c>
      <c r="N97" s="3" t="str">
        <f>VLOOKUP(F97,'ESO zones'!$A$5:$D$10003,4,FALSE)</f>
        <v>Eastmarch</v>
      </c>
    </row>
    <row r="98" spans="1:14" x14ac:dyDescent="0.25">
      <c r="A98" s="58">
        <v>98</v>
      </c>
      <c r="B98">
        <v>11</v>
      </c>
      <c r="C98">
        <v>7</v>
      </c>
      <c r="D98" t="s">
        <v>3150</v>
      </c>
      <c r="E98">
        <v>9</v>
      </c>
      <c r="F98">
        <v>41</v>
      </c>
      <c r="G98" t="s">
        <v>3150</v>
      </c>
      <c r="H98">
        <v>6</v>
      </c>
      <c r="I98" t="s">
        <v>3210</v>
      </c>
      <c r="J98" s="2" t="str">
        <f t="shared" si="3"/>
        <v>[98]=41,</v>
      </c>
      <c r="K98" s="3">
        <f t="shared" si="4"/>
        <v>98</v>
      </c>
      <c r="L98" s="3">
        <f t="shared" si="5"/>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3211</v>
      </c>
      <c r="J99" s="2" t="str">
        <f t="shared" si="3"/>
        <v>[99]=58,</v>
      </c>
      <c r="K99" s="3">
        <f t="shared" si="4"/>
        <v>99</v>
      </c>
      <c r="L99" s="3">
        <f t="shared" si="5"/>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3212</v>
      </c>
      <c r="J100" s="2" t="str">
        <f t="shared" si="3"/>
        <v>[100]=58,</v>
      </c>
      <c r="K100" s="3">
        <f t="shared" si="4"/>
        <v>100</v>
      </c>
      <c r="L100" s="3">
        <f t="shared" si="5"/>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3213</v>
      </c>
      <c r="J101" s="2" t="str">
        <f t="shared" si="3"/>
        <v>[101]=58,</v>
      </c>
      <c r="K101" s="3">
        <f t="shared" si="4"/>
        <v>101</v>
      </c>
      <c r="L101" s="3">
        <f t="shared" si="5"/>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3214</v>
      </c>
      <c r="J102" s="2" t="str">
        <f t="shared" si="3"/>
        <v>[102]=58,</v>
      </c>
      <c r="K102" s="3">
        <f t="shared" si="4"/>
        <v>102</v>
      </c>
      <c r="L102" s="3">
        <f t="shared" si="5"/>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3215</v>
      </c>
      <c r="J103" s="2" t="str">
        <f t="shared" si="3"/>
        <v>[103]=58,</v>
      </c>
      <c r="K103" s="3">
        <f t="shared" si="4"/>
        <v>103</v>
      </c>
      <c r="L103" s="3">
        <f t="shared" si="5"/>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3216</v>
      </c>
      <c r="J104" s="2" t="str">
        <f t="shared" si="3"/>
        <v>[104]=58,</v>
      </c>
      <c r="K104" s="3">
        <f t="shared" si="4"/>
        <v>104</v>
      </c>
      <c r="L104" s="3">
        <f t="shared" si="5"/>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3217</v>
      </c>
      <c r="J105" s="2" t="str">
        <f t="shared" si="3"/>
        <v>[105]=58,</v>
      </c>
      <c r="K105" s="3">
        <f t="shared" si="4"/>
        <v>105</v>
      </c>
      <c r="L105" s="3">
        <f t="shared" si="5"/>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3218</v>
      </c>
      <c r="J106" s="2" t="str">
        <f t="shared" si="3"/>
        <v>[106]=58,</v>
      </c>
      <c r="K106" s="3">
        <f t="shared" si="4"/>
        <v>106</v>
      </c>
      <c r="L106" s="3">
        <f t="shared" si="5"/>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3219</v>
      </c>
      <c r="J107" s="2" t="str">
        <f t="shared" si="3"/>
        <v>[107]=58,</v>
      </c>
      <c r="K107" s="3">
        <f t="shared" si="4"/>
        <v>107</v>
      </c>
      <c r="L107" s="3">
        <f t="shared" si="5"/>
        <v>58</v>
      </c>
      <c r="M107" s="9" t="str">
        <f>VLOOKUP(A107,WayshrineNames!$A$3:$B$967,2,)</f>
        <v>Valeguard Wayshrine</v>
      </c>
      <c r="N107" s="3" t="str">
        <f>VLOOKUP(F107,'ESO zones'!$A$5:$D$10003,4,FALSE)</f>
        <v>Malabal Tor</v>
      </c>
    </row>
    <row r="108" spans="1:14" x14ac:dyDescent="0.25">
      <c r="A108" s="58">
        <v>108</v>
      </c>
      <c r="B108">
        <v>11</v>
      </c>
      <c r="C108">
        <v>7</v>
      </c>
      <c r="D108" t="s">
        <v>3150</v>
      </c>
      <c r="E108">
        <v>9</v>
      </c>
      <c r="F108">
        <v>41</v>
      </c>
      <c r="G108" t="s">
        <v>3150</v>
      </c>
      <c r="H108">
        <v>1</v>
      </c>
      <c r="I108" t="s">
        <v>3220</v>
      </c>
      <c r="J108" s="2" t="str">
        <f t="shared" si="3"/>
        <v>[108]=41,</v>
      </c>
      <c r="K108" s="3">
        <f t="shared" si="4"/>
        <v>108</v>
      </c>
      <c r="L108" s="3">
        <f t="shared" si="5"/>
        <v>41</v>
      </c>
      <c r="M108" s="9" t="str">
        <f>VLOOKUP(A108,WayshrineNames!$A$3:$B$967,2,)</f>
        <v>Senie Wayshrine</v>
      </c>
      <c r="N108" s="3" t="str">
        <f>VLOOKUP(F108,'ESO zones'!$A$5:$D$10003,4,FALSE)</f>
        <v>Stonefalls</v>
      </c>
    </row>
    <row r="109" spans="1:14" x14ac:dyDescent="0.25">
      <c r="A109" s="58">
        <v>109</v>
      </c>
      <c r="B109">
        <v>12</v>
      </c>
      <c r="C109">
        <v>125</v>
      </c>
      <c r="D109" t="s">
        <v>3221</v>
      </c>
      <c r="E109">
        <v>16</v>
      </c>
      <c r="F109">
        <v>103</v>
      </c>
      <c r="G109" t="s">
        <v>3221</v>
      </c>
      <c r="H109">
        <v>1</v>
      </c>
      <c r="I109" t="s">
        <v>3222</v>
      </c>
      <c r="J109" s="2" t="str">
        <f t="shared" si="3"/>
        <v>[109]=103,</v>
      </c>
      <c r="K109" s="3">
        <f t="shared" si="4"/>
        <v>109</v>
      </c>
      <c r="L109" s="3">
        <f t="shared" si="5"/>
        <v>103</v>
      </c>
      <c r="M109" s="9" t="str">
        <f>VLOOKUP(A109,WayshrineNames!$A$3:$B$967,2,)</f>
        <v>Riften Wayshrine</v>
      </c>
      <c r="N109" s="3" t="str">
        <f>VLOOKUP(F109,'ESO zones'!$A$5:$D$10003,4,FALSE)</f>
        <v>The Rift</v>
      </c>
    </row>
    <row r="110" spans="1:14" x14ac:dyDescent="0.25">
      <c r="A110" s="58">
        <v>110</v>
      </c>
      <c r="B110">
        <v>12</v>
      </c>
      <c r="C110">
        <v>125</v>
      </c>
      <c r="D110" t="s">
        <v>3221</v>
      </c>
      <c r="E110">
        <v>16</v>
      </c>
      <c r="F110">
        <v>103</v>
      </c>
      <c r="G110" t="s">
        <v>3221</v>
      </c>
      <c r="H110">
        <v>1</v>
      </c>
      <c r="I110" t="s">
        <v>3223</v>
      </c>
      <c r="J110" s="2" t="str">
        <f t="shared" si="3"/>
        <v>[110]=103,</v>
      </c>
      <c r="K110" s="3">
        <f t="shared" si="4"/>
        <v>110</v>
      </c>
      <c r="L110" s="3">
        <f t="shared" si="5"/>
        <v>103</v>
      </c>
      <c r="M110" s="9" t="str">
        <f>VLOOKUP(A110,WayshrineNames!$A$3:$B$967,2,)</f>
        <v>Skald's Retreat Wayshrine</v>
      </c>
      <c r="N110" s="3" t="str">
        <f>VLOOKUP(F110,'ESO zones'!$A$5:$D$10003,4,FALSE)</f>
        <v>The Rift</v>
      </c>
    </row>
    <row r="111" spans="1:14" x14ac:dyDescent="0.25">
      <c r="A111" s="58">
        <v>111</v>
      </c>
      <c r="B111">
        <v>12</v>
      </c>
      <c r="C111">
        <v>125</v>
      </c>
      <c r="D111" t="s">
        <v>3221</v>
      </c>
      <c r="E111">
        <v>16</v>
      </c>
      <c r="F111">
        <v>103</v>
      </c>
      <c r="G111" t="s">
        <v>3221</v>
      </c>
      <c r="H111">
        <v>1</v>
      </c>
      <c r="I111" t="s">
        <v>3224</v>
      </c>
      <c r="J111" s="2" t="str">
        <f t="shared" si="3"/>
        <v>[111]=103,</v>
      </c>
      <c r="K111" s="3">
        <f t="shared" si="4"/>
        <v>111</v>
      </c>
      <c r="L111" s="3">
        <f t="shared" si="5"/>
        <v>103</v>
      </c>
      <c r="M111" s="9" t="str">
        <f>VLOOKUP(A111,WayshrineNames!$A$3:$B$967,2,)</f>
        <v>Trolhetta Wayshrine</v>
      </c>
      <c r="N111" s="3" t="str">
        <f>VLOOKUP(F111,'ESO zones'!$A$5:$D$10003,4,FALSE)</f>
        <v>The Rift</v>
      </c>
    </row>
    <row r="112" spans="1:14" x14ac:dyDescent="0.25">
      <c r="A112" s="58">
        <v>112</v>
      </c>
      <c r="B112">
        <v>12</v>
      </c>
      <c r="C112">
        <v>125</v>
      </c>
      <c r="D112" t="s">
        <v>3221</v>
      </c>
      <c r="E112">
        <v>16</v>
      </c>
      <c r="F112">
        <v>103</v>
      </c>
      <c r="G112" t="s">
        <v>3221</v>
      </c>
      <c r="H112">
        <v>1</v>
      </c>
      <c r="I112" t="s">
        <v>3225</v>
      </c>
      <c r="J112" s="2" t="str">
        <f t="shared" si="3"/>
        <v>[112]=103,</v>
      </c>
      <c r="K112" s="3">
        <f t="shared" si="4"/>
        <v>112</v>
      </c>
      <c r="L112" s="3">
        <f t="shared" si="5"/>
        <v>103</v>
      </c>
      <c r="M112" s="9" t="str">
        <f>VLOOKUP(A112,WayshrineNames!$A$3:$B$967,2,)</f>
        <v>Trolhetta Summit Wayshrine</v>
      </c>
      <c r="N112" s="3" t="str">
        <f>VLOOKUP(F112,'ESO zones'!$A$5:$D$10003,4,FALSE)</f>
        <v>The Rift</v>
      </c>
    </row>
    <row r="113" spans="1:14" x14ac:dyDescent="0.25">
      <c r="A113" s="58">
        <v>113</v>
      </c>
      <c r="B113">
        <v>12</v>
      </c>
      <c r="C113">
        <v>125</v>
      </c>
      <c r="D113" t="s">
        <v>3221</v>
      </c>
      <c r="E113">
        <v>16</v>
      </c>
      <c r="F113">
        <v>103</v>
      </c>
      <c r="G113" t="s">
        <v>3221</v>
      </c>
      <c r="H113">
        <v>1</v>
      </c>
      <c r="I113" t="s">
        <v>3226</v>
      </c>
      <c r="J113" s="2" t="str">
        <f t="shared" si="3"/>
        <v>[113]=103,</v>
      </c>
      <c r="K113" s="3">
        <f t="shared" si="4"/>
        <v>113</v>
      </c>
      <c r="L113" s="3">
        <f t="shared" si="5"/>
        <v>103</v>
      </c>
      <c r="M113" s="9" t="str">
        <f>VLOOKUP(A113,WayshrineNames!$A$3:$B$967,2,)</f>
        <v>Honrich Tower Wayshrine</v>
      </c>
      <c r="N113" s="3" t="str">
        <f>VLOOKUP(F113,'ESO zones'!$A$5:$D$10003,4,FALSE)</f>
        <v>The Rift</v>
      </c>
    </row>
    <row r="114" spans="1:14" x14ac:dyDescent="0.25">
      <c r="A114" s="58">
        <v>114</v>
      </c>
      <c r="B114">
        <v>12</v>
      </c>
      <c r="C114">
        <v>125</v>
      </c>
      <c r="D114" t="s">
        <v>3221</v>
      </c>
      <c r="E114">
        <v>16</v>
      </c>
      <c r="F114">
        <v>103</v>
      </c>
      <c r="G114" t="s">
        <v>3221</v>
      </c>
      <c r="H114">
        <v>1</v>
      </c>
      <c r="I114" t="s">
        <v>3227</v>
      </c>
      <c r="J114" s="2" t="str">
        <f t="shared" si="3"/>
        <v>[114]=103,</v>
      </c>
      <c r="K114" s="3">
        <f t="shared" si="4"/>
        <v>114</v>
      </c>
      <c r="L114" s="3">
        <f t="shared" si="5"/>
        <v>103</v>
      </c>
      <c r="M114" s="9" t="str">
        <f>VLOOKUP(A114,WayshrineNames!$A$3:$B$967,2,)</f>
        <v>Fallowstone Hall Wayshrine</v>
      </c>
      <c r="N114" s="3" t="str">
        <f>VLOOKUP(F114,'ESO zones'!$A$5:$D$10003,4,FALSE)</f>
        <v>The Rift</v>
      </c>
    </row>
    <row r="115" spans="1:14" x14ac:dyDescent="0.25">
      <c r="A115" s="58">
        <v>115</v>
      </c>
      <c r="B115">
        <v>12</v>
      </c>
      <c r="C115">
        <v>125</v>
      </c>
      <c r="D115" t="s">
        <v>3221</v>
      </c>
      <c r="E115">
        <v>16</v>
      </c>
      <c r="F115">
        <v>103</v>
      </c>
      <c r="G115" t="s">
        <v>3221</v>
      </c>
      <c r="H115">
        <v>1</v>
      </c>
      <c r="I115" t="s">
        <v>3228</v>
      </c>
      <c r="J115" s="2" t="str">
        <f t="shared" si="3"/>
        <v>[115]=103,</v>
      </c>
      <c r="K115" s="3">
        <f t="shared" si="4"/>
        <v>115</v>
      </c>
      <c r="L115" s="3">
        <f t="shared" si="5"/>
        <v>103</v>
      </c>
      <c r="M115" s="9" t="str">
        <f>VLOOKUP(A115,WayshrineNames!$A$3:$B$967,2,)</f>
        <v>Northwind Mine Wayshrine</v>
      </c>
      <c r="N115" s="3" t="str">
        <f>VLOOKUP(F115,'ESO zones'!$A$5:$D$10003,4,FALSE)</f>
        <v>The Rift</v>
      </c>
    </row>
    <row r="116" spans="1:14" x14ac:dyDescent="0.25">
      <c r="A116" s="58">
        <v>116</v>
      </c>
      <c r="B116">
        <v>12</v>
      </c>
      <c r="C116">
        <v>125</v>
      </c>
      <c r="D116" t="s">
        <v>3221</v>
      </c>
      <c r="E116">
        <v>16</v>
      </c>
      <c r="F116">
        <v>103</v>
      </c>
      <c r="G116" t="s">
        <v>3221</v>
      </c>
      <c r="H116">
        <v>1</v>
      </c>
      <c r="I116" t="s">
        <v>3229</v>
      </c>
      <c r="J116" s="2" t="str">
        <f t="shared" si="3"/>
        <v>[116]=103,</v>
      </c>
      <c r="K116" s="3">
        <f t="shared" si="4"/>
        <v>116</v>
      </c>
      <c r="L116" s="3">
        <f t="shared" si="5"/>
        <v>103</v>
      </c>
      <c r="M116" s="9" t="str">
        <f>VLOOKUP(A116,WayshrineNames!$A$3:$B$967,2,)</f>
        <v>Geirmund's Hall Wayshrine</v>
      </c>
      <c r="N116" s="3" t="str">
        <f>VLOOKUP(F116,'ESO zones'!$A$5:$D$10003,4,FALSE)</f>
        <v>The Rift</v>
      </c>
    </row>
    <row r="117" spans="1:14" x14ac:dyDescent="0.25">
      <c r="A117" s="58">
        <v>117</v>
      </c>
      <c r="B117">
        <v>12</v>
      </c>
      <c r="C117">
        <v>125</v>
      </c>
      <c r="D117" t="s">
        <v>3221</v>
      </c>
      <c r="E117">
        <v>16</v>
      </c>
      <c r="F117">
        <v>103</v>
      </c>
      <c r="G117" t="s">
        <v>3221</v>
      </c>
      <c r="H117">
        <v>1</v>
      </c>
      <c r="I117" t="s">
        <v>3230</v>
      </c>
      <c r="J117" s="2" t="str">
        <f t="shared" si="3"/>
        <v>[117]=103,</v>
      </c>
      <c r="K117" s="3">
        <f t="shared" si="4"/>
        <v>117</v>
      </c>
      <c r="L117" s="3">
        <f t="shared" si="5"/>
        <v>103</v>
      </c>
      <c r="M117" s="9" t="str">
        <f>VLOOKUP(A117,WayshrineNames!$A$3:$B$967,2,)</f>
        <v>Taarengrav Wayshrine</v>
      </c>
      <c r="N117" s="3" t="str">
        <f>VLOOKUP(F117,'ESO zones'!$A$5:$D$10003,4,FALSE)</f>
        <v>The Rift</v>
      </c>
    </row>
    <row r="118" spans="1:14" x14ac:dyDescent="0.25">
      <c r="A118" s="58">
        <v>118</v>
      </c>
      <c r="B118">
        <v>12</v>
      </c>
      <c r="C118">
        <v>125</v>
      </c>
      <c r="D118" t="s">
        <v>3221</v>
      </c>
      <c r="E118">
        <v>16</v>
      </c>
      <c r="F118">
        <v>103</v>
      </c>
      <c r="G118" t="s">
        <v>3221</v>
      </c>
      <c r="H118">
        <v>1</v>
      </c>
      <c r="I118" t="s">
        <v>3231</v>
      </c>
      <c r="J118" s="2" t="str">
        <f t="shared" si="3"/>
        <v>[118]=103,</v>
      </c>
      <c r="K118" s="3">
        <f t="shared" si="4"/>
        <v>118</v>
      </c>
      <c r="L118" s="3">
        <f t="shared" si="5"/>
        <v>103</v>
      </c>
      <c r="M118" s="9" t="str">
        <f>VLOOKUP(A118,WayshrineNames!$A$3:$B$967,2,)</f>
        <v>Nimalten Wayshrine</v>
      </c>
      <c r="N118" s="3" t="str">
        <f>VLOOKUP(F118,'ESO zones'!$A$5:$D$10003,4,FALSE)</f>
        <v>The Rift</v>
      </c>
    </row>
    <row r="119" spans="1:14" x14ac:dyDescent="0.25">
      <c r="A119" s="58">
        <v>119</v>
      </c>
      <c r="B119">
        <v>12</v>
      </c>
      <c r="C119">
        <v>125</v>
      </c>
      <c r="D119" t="s">
        <v>3221</v>
      </c>
      <c r="E119">
        <v>16</v>
      </c>
      <c r="F119">
        <v>103</v>
      </c>
      <c r="G119" t="s">
        <v>3221</v>
      </c>
      <c r="H119">
        <v>1</v>
      </c>
      <c r="I119" t="s">
        <v>3232</v>
      </c>
      <c r="J119" s="2" t="str">
        <f t="shared" si="3"/>
        <v>[119]=103,</v>
      </c>
      <c r="K119" s="3">
        <f t="shared" si="4"/>
        <v>119</v>
      </c>
      <c r="L119" s="3">
        <f t="shared" si="5"/>
        <v>103</v>
      </c>
      <c r="M119" s="9" t="str">
        <f>VLOOKUP(A119,WayshrineNames!$A$3:$B$967,2,)</f>
        <v>Ragged Hills Wayshrine</v>
      </c>
      <c r="N119" s="3" t="str">
        <f>VLOOKUP(F119,'ESO zones'!$A$5:$D$10003,4,FALSE)</f>
        <v>The Rift</v>
      </c>
    </row>
    <row r="120" spans="1:14" x14ac:dyDescent="0.25">
      <c r="A120" s="58">
        <v>120</v>
      </c>
      <c r="B120">
        <v>12</v>
      </c>
      <c r="C120">
        <v>125</v>
      </c>
      <c r="D120" t="s">
        <v>3221</v>
      </c>
      <c r="E120">
        <v>16</v>
      </c>
      <c r="F120">
        <v>103</v>
      </c>
      <c r="G120" t="s">
        <v>3221</v>
      </c>
      <c r="H120">
        <v>1</v>
      </c>
      <c r="I120" t="s">
        <v>3233</v>
      </c>
      <c r="J120" s="2" t="str">
        <f t="shared" si="3"/>
        <v>[120]=103,</v>
      </c>
      <c r="K120" s="3">
        <f t="shared" si="4"/>
        <v>120</v>
      </c>
      <c r="L120" s="3">
        <f t="shared" si="5"/>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3234</v>
      </c>
      <c r="J121" s="2" t="str">
        <f t="shared" si="3"/>
        <v>[121]=381,</v>
      </c>
      <c r="K121" s="3">
        <f t="shared" si="4"/>
        <v>121</v>
      </c>
      <c r="L121" s="3">
        <f t="shared" si="5"/>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3235</v>
      </c>
      <c r="J122" s="2" t="str">
        <f t="shared" si="3"/>
        <v>[122]=381,</v>
      </c>
      <c r="K122" s="3">
        <f t="shared" si="4"/>
        <v>122</v>
      </c>
      <c r="L122" s="3">
        <f t="shared" si="5"/>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3236</v>
      </c>
      <c r="J123" s="2" t="str">
        <f t="shared" si="3"/>
        <v>[123]=381,</v>
      </c>
      <c r="K123" s="3">
        <f t="shared" si="4"/>
        <v>123</v>
      </c>
      <c r="L123" s="3">
        <f t="shared" si="5"/>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3237</v>
      </c>
      <c r="J124" s="2" t="str">
        <f t="shared" si="3"/>
        <v>[124]=381,</v>
      </c>
      <c r="K124" s="3">
        <f t="shared" si="4"/>
        <v>124</v>
      </c>
      <c r="L124" s="3">
        <f t="shared" si="5"/>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3238</v>
      </c>
      <c r="J125" s="2" t="str">
        <f t="shared" si="3"/>
        <v>[125]=281,</v>
      </c>
      <c r="K125" s="3">
        <f t="shared" si="4"/>
        <v>125</v>
      </c>
      <c r="L125" s="3">
        <f t="shared" si="5"/>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3239</v>
      </c>
      <c r="J126" s="2" t="str">
        <f t="shared" si="3"/>
        <v>[126]=281,</v>
      </c>
      <c r="K126" s="3">
        <f t="shared" si="4"/>
        <v>126</v>
      </c>
      <c r="L126" s="3">
        <f t="shared" si="5"/>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3240</v>
      </c>
      <c r="J127" s="2" t="str">
        <f t="shared" si="3"/>
        <v>[127]=381,</v>
      </c>
      <c r="K127" s="3">
        <f t="shared" si="4"/>
        <v>127</v>
      </c>
      <c r="L127" s="3">
        <f t="shared" si="5"/>
        <v>381</v>
      </c>
      <c r="M127" s="9" t="str">
        <f>VLOOKUP(A127,WayshrineNames!$A$3:$B$967,2,)</f>
        <v>Windy Glade Wayshrine</v>
      </c>
      <c r="N127" s="3" t="str">
        <f>VLOOKUP(F127,'ESO zones'!$A$5:$D$10003,4,FALSE)</f>
        <v>Auridon</v>
      </c>
    </row>
    <row r="128" spans="1:14" x14ac:dyDescent="0.25">
      <c r="A128" s="58">
        <v>128</v>
      </c>
      <c r="B128">
        <v>23</v>
      </c>
      <c r="C128">
        <v>255</v>
      </c>
      <c r="D128" t="s">
        <v>3241</v>
      </c>
      <c r="E128">
        <v>155</v>
      </c>
      <c r="F128">
        <v>347</v>
      </c>
      <c r="G128" t="s">
        <v>3241</v>
      </c>
      <c r="H128">
        <v>1</v>
      </c>
      <c r="I128" t="s">
        <v>3242</v>
      </c>
      <c r="J128" s="2" t="str">
        <f t="shared" si="3"/>
        <v>[128]=347,</v>
      </c>
      <c r="K128" s="3">
        <f t="shared" si="4"/>
        <v>128</v>
      </c>
      <c r="L128" s="3">
        <f t="shared" si="5"/>
        <v>347</v>
      </c>
      <c r="M128" s="9" t="str">
        <f>VLOOKUP(A128,WayshrineNames!$A$3:$B$967,2,)</f>
        <v>Library of Dusk Wayshrine</v>
      </c>
      <c r="N128" s="3" t="str">
        <f>VLOOKUP(F128,'ESO zones'!$A$5:$D$10003,4,FALSE)</f>
        <v>Coldharbour</v>
      </c>
    </row>
    <row r="129" spans="1:14" x14ac:dyDescent="0.25">
      <c r="A129" s="58">
        <v>129</v>
      </c>
      <c r="B129">
        <v>23</v>
      </c>
      <c r="C129">
        <v>255</v>
      </c>
      <c r="D129" t="s">
        <v>3241</v>
      </c>
      <c r="E129">
        <v>155</v>
      </c>
      <c r="F129">
        <v>347</v>
      </c>
      <c r="G129" t="s">
        <v>3241</v>
      </c>
      <c r="H129">
        <v>1</v>
      </c>
      <c r="I129" t="s">
        <v>3243</v>
      </c>
      <c r="J129" s="2" t="str">
        <f t="shared" si="3"/>
        <v>[129]=347,</v>
      </c>
      <c r="K129" s="3">
        <f t="shared" si="4"/>
        <v>129</v>
      </c>
      <c r="L129" s="3">
        <f t="shared" si="5"/>
        <v>347</v>
      </c>
      <c r="M129" s="9" t="str">
        <f>VLOOKUP(A129,WayshrineNames!$A$3:$B$967,2,)</f>
        <v>Great Shackle Wayshrine</v>
      </c>
      <c r="N129" s="3" t="str">
        <f>VLOOKUP(F129,'ESO zones'!$A$5:$D$10003,4,FALSE)</f>
        <v>Coldharbour</v>
      </c>
    </row>
    <row r="130" spans="1:14" x14ac:dyDescent="0.25">
      <c r="A130" s="58">
        <v>130</v>
      </c>
      <c r="B130">
        <v>23</v>
      </c>
      <c r="C130">
        <v>255</v>
      </c>
      <c r="D130" t="s">
        <v>3241</v>
      </c>
      <c r="E130">
        <v>155</v>
      </c>
      <c r="F130">
        <v>347</v>
      </c>
      <c r="G130" t="s">
        <v>3241</v>
      </c>
      <c r="H130">
        <v>1</v>
      </c>
      <c r="I130" t="s">
        <v>3244</v>
      </c>
      <c r="J130" s="2" t="str">
        <f t="shared" si="3"/>
        <v>[130]=347,</v>
      </c>
      <c r="K130" s="3">
        <f t="shared" si="4"/>
        <v>130</v>
      </c>
      <c r="L130" s="3">
        <f t="shared" si="5"/>
        <v>347</v>
      </c>
      <c r="M130" s="9" t="str">
        <f>VLOOKUP(A130,WayshrineNames!$A$3:$B$967,2,)</f>
        <v>The Chasm Wayshrine</v>
      </c>
      <c r="N130" s="3" t="str">
        <f>VLOOKUP(F130,'ESO zones'!$A$5:$D$10003,4,FALSE)</f>
        <v>Coldharbour</v>
      </c>
    </row>
    <row r="131" spans="1:14" x14ac:dyDescent="0.25">
      <c r="A131" s="58">
        <v>131</v>
      </c>
      <c r="B131">
        <v>23</v>
      </c>
      <c r="C131">
        <v>255</v>
      </c>
      <c r="D131" t="s">
        <v>3241</v>
      </c>
      <c r="E131">
        <v>155</v>
      </c>
      <c r="F131">
        <v>347</v>
      </c>
      <c r="G131" t="s">
        <v>3241</v>
      </c>
      <c r="H131">
        <v>1</v>
      </c>
      <c r="I131" t="s">
        <v>3245</v>
      </c>
      <c r="J131" s="2" t="str">
        <f t="shared" ref="J131:J194" si="6">IF(A131&lt;&gt;"",IF(F131&lt;&gt;"",IF(OR(ISNA(A131),ISNA(F131)),"","["&amp;A131&amp;"]="&amp;F131&amp;","),""),"")</f>
        <v>[131]=347,</v>
      </c>
      <c r="K131" s="3">
        <f t="shared" ref="K131:K194" si="7">A131</f>
        <v>131</v>
      </c>
      <c r="L131" s="3">
        <f t="shared" ref="L131:L194" si="8">F131</f>
        <v>347</v>
      </c>
      <c r="M131" s="9" t="str">
        <f>VLOOKUP(A131,WayshrineNames!$A$3:$B$967,2,)</f>
        <v>Hollow City Wayshrine</v>
      </c>
      <c r="N131" s="3" t="str">
        <f>VLOOKUP(F131,'ESO zones'!$A$5:$D$10003,4,FALSE)</f>
        <v>Coldharbour</v>
      </c>
    </row>
    <row r="132" spans="1:14" x14ac:dyDescent="0.25">
      <c r="A132" s="58">
        <v>132</v>
      </c>
      <c r="B132">
        <v>23</v>
      </c>
      <c r="C132">
        <v>255</v>
      </c>
      <c r="D132" t="s">
        <v>3241</v>
      </c>
      <c r="E132">
        <v>155</v>
      </c>
      <c r="F132">
        <v>347</v>
      </c>
      <c r="G132" t="s">
        <v>3241</v>
      </c>
      <c r="H132">
        <v>1</v>
      </c>
      <c r="I132" t="s">
        <v>3246</v>
      </c>
      <c r="J132" s="2" t="str">
        <f t="shared" si="6"/>
        <v>[132]=347,</v>
      </c>
      <c r="K132" s="3">
        <f t="shared" si="7"/>
        <v>132</v>
      </c>
      <c r="L132" s="3">
        <f t="shared" si="8"/>
        <v>347</v>
      </c>
      <c r="M132" s="9" t="str">
        <f>VLOOKUP(A132,WayshrineNames!$A$3:$B$967,2,)</f>
        <v>Endless Stair Wayshrine</v>
      </c>
      <c r="N132" s="3" t="str">
        <f>VLOOKUP(F132,'ESO zones'!$A$5:$D$10003,4,FALSE)</f>
        <v>Coldharbour</v>
      </c>
    </row>
    <row r="133" spans="1:14" x14ac:dyDescent="0.25">
      <c r="A133" s="58">
        <v>133</v>
      </c>
      <c r="B133">
        <v>23</v>
      </c>
      <c r="C133">
        <v>255</v>
      </c>
      <c r="D133" t="s">
        <v>3241</v>
      </c>
      <c r="E133">
        <v>155</v>
      </c>
      <c r="F133">
        <v>347</v>
      </c>
      <c r="G133" t="s">
        <v>3241</v>
      </c>
      <c r="H133">
        <v>1</v>
      </c>
      <c r="I133" t="s">
        <v>3247</v>
      </c>
      <c r="J133" s="2" t="str">
        <f t="shared" si="6"/>
        <v>[133]=347,</v>
      </c>
      <c r="K133" s="3">
        <f t="shared" si="7"/>
        <v>133</v>
      </c>
      <c r="L133" s="3">
        <f t="shared" si="8"/>
        <v>347</v>
      </c>
      <c r="M133" s="9" t="str">
        <f>VLOOKUP(A133,WayshrineNames!$A$3:$B$967,2,)</f>
        <v>Everfull Flagon Wayshrine</v>
      </c>
      <c r="N133" s="3" t="str">
        <f>VLOOKUP(F133,'ESO zones'!$A$5:$D$10003,4,FALSE)</f>
        <v>Coldharbour</v>
      </c>
    </row>
    <row r="134" spans="1:14" x14ac:dyDescent="0.25">
      <c r="A134" s="58">
        <v>134</v>
      </c>
      <c r="B134">
        <v>23</v>
      </c>
      <c r="C134">
        <v>255</v>
      </c>
      <c r="D134" t="s">
        <v>3241</v>
      </c>
      <c r="E134">
        <v>155</v>
      </c>
      <c r="F134">
        <v>347</v>
      </c>
      <c r="G134" t="s">
        <v>3241</v>
      </c>
      <c r="H134">
        <v>1</v>
      </c>
      <c r="I134" t="s">
        <v>3248</v>
      </c>
      <c r="J134" s="2" t="str">
        <f t="shared" si="6"/>
        <v>[134]=347,</v>
      </c>
      <c r="K134" s="3">
        <f t="shared" si="7"/>
        <v>134</v>
      </c>
      <c r="L134" s="3">
        <f t="shared" si="8"/>
        <v>347</v>
      </c>
      <c r="M134" s="9" t="str">
        <f>VLOOKUP(A134,WayshrineNames!$A$3:$B$967,2,)</f>
        <v>Moonless Walk Wayshrine</v>
      </c>
      <c r="N134" s="3" t="str">
        <f>VLOOKUP(F134,'ESO zones'!$A$5:$D$10003,4,FALSE)</f>
        <v>Coldharbour</v>
      </c>
    </row>
    <row r="135" spans="1:14" x14ac:dyDescent="0.25">
      <c r="A135" s="58">
        <v>135</v>
      </c>
      <c r="B135">
        <v>23</v>
      </c>
      <c r="C135">
        <v>255</v>
      </c>
      <c r="D135" t="s">
        <v>3241</v>
      </c>
      <c r="E135">
        <v>155</v>
      </c>
      <c r="F135">
        <v>347</v>
      </c>
      <c r="G135" t="s">
        <v>3241</v>
      </c>
      <c r="H135">
        <v>1</v>
      </c>
      <c r="I135" t="s">
        <v>3249</v>
      </c>
      <c r="J135" s="2" t="str">
        <f t="shared" si="6"/>
        <v>[135]=347,</v>
      </c>
      <c r="K135" s="3">
        <f t="shared" si="7"/>
        <v>135</v>
      </c>
      <c r="L135" s="3">
        <f t="shared" si="8"/>
        <v>347</v>
      </c>
      <c r="M135" s="9" t="str">
        <f>VLOOKUP(A135,WayshrineNames!$A$3:$B$967,2,)</f>
        <v>Haj Uxith Wayshrine</v>
      </c>
      <c r="N135" s="3" t="str">
        <f>VLOOKUP(F135,'ESO zones'!$A$5:$D$10003,4,FALSE)</f>
        <v>Coldharbour</v>
      </c>
    </row>
    <row r="136" spans="1:14" x14ac:dyDescent="0.25">
      <c r="A136" s="58">
        <v>136</v>
      </c>
      <c r="B136">
        <v>23</v>
      </c>
      <c r="C136">
        <v>255</v>
      </c>
      <c r="D136" t="s">
        <v>3241</v>
      </c>
      <c r="E136">
        <v>155</v>
      </c>
      <c r="F136">
        <v>347</v>
      </c>
      <c r="G136" t="s">
        <v>3241</v>
      </c>
      <c r="H136">
        <v>1</v>
      </c>
      <c r="I136" t="s">
        <v>3250</v>
      </c>
      <c r="J136" s="2" t="str">
        <f t="shared" si="6"/>
        <v>[136]=347,</v>
      </c>
      <c r="K136" s="3">
        <f t="shared" si="7"/>
        <v>136</v>
      </c>
      <c r="L136" s="3">
        <f t="shared" si="8"/>
        <v>347</v>
      </c>
      <c r="M136" s="9" t="str">
        <f>VLOOKUP(A136,WayshrineNames!$A$3:$B$967,2,)</f>
        <v>Manor of Revelry Wayshrine</v>
      </c>
      <c r="N136" s="3" t="str">
        <f>VLOOKUP(F136,'ESO zones'!$A$5:$D$10003,4,FALSE)</f>
        <v>Coldharbour</v>
      </c>
    </row>
    <row r="137" spans="1:14" x14ac:dyDescent="0.25">
      <c r="A137" s="58">
        <v>137</v>
      </c>
      <c r="B137">
        <v>5</v>
      </c>
      <c r="C137">
        <v>30</v>
      </c>
      <c r="D137" t="s">
        <v>3152</v>
      </c>
      <c r="E137">
        <v>17</v>
      </c>
      <c r="F137">
        <v>104</v>
      </c>
      <c r="G137" t="s">
        <v>3153</v>
      </c>
      <c r="H137">
        <v>1</v>
      </c>
      <c r="I137" t="s">
        <v>3251</v>
      </c>
      <c r="J137" s="2" t="str">
        <f t="shared" si="6"/>
        <v>[137]=104,</v>
      </c>
      <c r="K137" s="3">
        <f t="shared" si="7"/>
        <v>137</v>
      </c>
      <c r="L137" s="3">
        <f t="shared" si="8"/>
        <v>104</v>
      </c>
      <c r="M137" s="9" t="str">
        <f>VLOOKUP(A137,WayshrineNames!$A$3:$B$967,2,)</f>
        <v>Sep's Spine Wayshrine</v>
      </c>
      <c r="N137" s="3" t="str">
        <f>VLOOKUP(F137,'ESO zones'!$A$5:$D$10003,4,FALSE)</f>
        <v>Alik'r Desert</v>
      </c>
    </row>
    <row r="138" spans="1:14" x14ac:dyDescent="0.25">
      <c r="A138" s="58">
        <v>138</v>
      </c>
      <c r="B138">
        <v>19</v>
      </c>
      <c r="C138">
        <v>201</v>
      </c>
      <c r="D138" t="s">
        <v>2452</v>
      </c>
      <c r="E138">
        <v>305</v>
      </c>
      <c r="F138">
        <v>534</v>
      </c>
      <c r="G138" t="s">
        <v>2452</v>
      </c>
      <c r="H138">
        <v>1</v>
      </c>
      <c r="I138" t="s">
        <v>3252</v>
      </c>
      <c r="J138" s="2" t="str">
        <f t="shared" si="6"/>
        <v>[138]=534,</v>
      </c>
      <c r="K138" s="3">
        <f t="shared" si="7"/>
        <v>138</v>
      </c>
      <c r="L138" s="3">
        <f t="shared" si="8"/>
        <v>534</v>
      </c>
      <c r="M138" s="9" t="str">
        <f>VLOOKUP(A138,WayshrineNames!$A$3:$B$967,2,)</f>
        <v>Port Hunding Wayshrine</v>
      </c>
      <c r="N138" s="3" t="str">
        <f>VLOOKUP(F138,'ESO zones'!$A$5:$D$10003,4,FALSE)</f>
        <v>Stros M'Kai</v>
      </c>
    </row>
    <row r="139" spans="1:14" x14ac:dyDescent="0.25">
      <c r="A139" s="58">
        <v>139</v>
      </c>
      <c r="B139">
        <v>23</v>
      </c>
      <c r="C139">
        <v>255</v>
      </c>
      <c r="D139" t="s">
        <v>3241</v>
      </c>
      <c r="E139">
        <v>155</v>
      </c>
      <c r="F139">
        <v>347</v>
      </c>
      <c r="G139" t="s">
        <v>3241</v>
      </c>
      <c r="H139">
        <v>1</v>
      </c>
      <c r="I139" t="s">
        <v>3253</v>
      </c>
      <c r="J139" s="2" t="str">
        <f t="shared" si="6"/>
        <v>[139]=347,</v>
      </c>
      <c r="K139" s="3">
        <f t="shared" si="7"/>
        <v>139</v>
      </c>
      <c r="L139" s="3">
        <f t="shared" si="8"/>
        <v>347</v>
      </c>
      <c r="M139" s="9" t="str">
        <f>VLOOKUP(A139,WayshrineNames!$A$3:$B$967,2,)</f>
        <v>Reaver Citadel Wayshrine</v>
      </c>
      <c r="N139" s="3" t="str">
        <f>VLOOKUP(F139,'ESO zones'!$A$5:$D$10003,4,FALSE)</f>
        <v>Coldharbour</v>
      </c>
    </row>
    <row r="140" spans="1:14" x14ac:dyDescent="0.25">
      <c r="A140" s="58">
        <v>140</v>
      </c>
      <c r="B140">
        <v>23</v>
      </c>
      <c r="C140">
        <v>255</v>
      </c>
      <c r="D140" t="s">
        <v>3241</v>
      </c>
      <c r="E140">
        <v>155</v>
      </c>
      <c r="F140">
        <v>347</v>
      </c>
      <c r="G140" t="s">
        <v>3241</v>
      </c>
      <c r="H140">
        <v>1</v>
      </c>
      <c r="I140" t="s">
        <v>3254</v>
      </c>
      <c r="J140" s="2" t="str">
        <f t="shared" si="6"/>
        <v>[140]=347,</v>
      </c>
      <c r="K140" s="3">
        <f t="shared" si="7"/>
        <v>140</v>
      </c>
      <c r="L140" s="3">
        <f t="shared" si="8"/>
        <v>347</v>
      </c>
      <c r="M140" s="9" t="str">
        <f>VLOOKUP(A140,WayshrineNames!$A$3:$B$967,2,)</f>
        <v>The Orchard Wayshrine</v>
      </c>
      <c r="N140" s="3" t="str">
        <f>VLOOKUP(F140,'ESO zones'!$A$5:$D$10003,4,FALSE)</f>
        <v>Coldharbour</v>
      </c>
    </row>
    <row r="141" spans="1:14" x14ac:dyDescent="0.25">
      <c r="A141" s="58">
        <v>141</v>
      </c>
      <c r="B141">
        <v>21</v>
      </c>
      <c r="C141">
        <v>258</v>
      </c>
      <c r="D141" t="s">
        <v>3255</v>
      </c>
      <c r="E141">
        <v>307</v>
      </c>
      <c r="F141">
        <v>537</v>
      </c>
      <c r="G141" t="s">
        <v>3255</v>
      </c>
      <c r="H141">
        <v>1</v>
      </c>
      <c r="I141" t="s">
        <v>3256</v>
      </c>
      <c r="J141" s="2" t="str">
        <f t="shared" si="6"/>
        <v>[141]=537,</v>
      </c>
      <c r="K141" s="3">
        <f t="shared" si="7"/>
        <v>141</v>
      </c>
      <c r="L141" s="3">
        <f t="shared" si="8"/>
        <v>537</v>
      </c>
      <c r="M141" s="9" t="str">
        <f>VLOOKUP(A141,WayshrineNames!$A$3:$B$967,2,)</f>
        <v>Khenarthi's Roost Wayshrine</v>
      </c>
      <c r="N141" s="3" t="str">
        <f>VLOOKUP(F141,'ESO zones'!$A$5:$D$10003,4,FALSE)</f>
        <v>Khenarthi's Roost</v>
      </c>
    </row>
    <row r="142" spans="1:14" x14ac:dyDescent="0.25">
      <c r="A142" s="58">
        <v>142</v>
      </c>
      <c r="B142">
        <v>21</v>
      </c>
      <c r="C142">
        <v>258</v>
      </c>
      <c r="D142" t="s">
        <v>3255</v>
      </c>
      <c r="E142">
        <v>307</v>
      </c>
      <c r="F142">
        <v>537</v>
      </c>
      <c r="G142" t="s">
        <v>3255</v>
      </c>
      <c r="H142">
        <v>1</v>
      </c>
      <c r="I142" t="s">
        <v>3257</v>
      </c>
      <c r="J142" s="2" t="str">
        <f t="shared" si="6"/>
        <v>[142]=537,</v>
      </c>
      <c r="K142" s="3">
        <f t="shared" si="7"/>
        <v>142</v>
      </c>
      <c r="L142" s="3">
        <f t="shared" si="8"/>
        <v>537</v>
      </c>
      <c r="M142" s="9" t="str">
        <f>VLOOKUP(A142,WayshrineNames!$A$3:$B$967,2,)</f>
        <v>Mistral Wayshrine</v>
      </c>
      <c r="N142" s="3" t="str">
        <f>VLOOKUP(F142,'ESO zones'!$A$5:$D$10003,4,FALSE)</f>
        <v>Khenarthi's Roost</v>
      </c>
    </row>
    <row r="143" spans="1:14" x14ac:dyDescent="0.25">
      <c r="A143" s="58">
        <v>143</v>
      </c>
      <c r="B143">
        <v>16</v>
      </c>
      <c r="C143">
        <v>300</v>
      </c>
      <c r="D143" t="s">
        <v>3258</v>
      </c>
      <c r="E143">
        <v>18</v>
      </c>
      <c r="F143">
        <v>108</v>
      </c>
      <c r="G143" t="s">
        <v>3258</v>
      </c>
      <c r="H143">
        <v>1</v>
      </c>
      <c r="I143" t="s">
        <v>3259</v>
      </c>
      <c r="J143" s="2" t="str">
        <f t="shared" si="6"/>
        <v>[143]=108,</v>
      </c>
      <c r="K143" s="3">
        <f t="shared" si="7"/>
        <v>143</v>
      </c>
      <c r="L143" s="3">
        <f t="shared" si="8"/>
        <v>108</v>
      </c>
      <c r="M143" s="9" t="str">
        <f>VLOOKUP(A143,WayshrineNames!$A$3:$B$967,2,)</f>
        <v>Marbruk Wayshrine</v>
      </c>
      <c r="N143" s="3" t="str">
        <f>VLOOKUP(F143,'ESO zones'!$A$5:$D$10003,4,FALSE)</f>
        <v>Greenshade</v>
      </c>
    </row>
    <row r="144" spans="1:14" x14ac:dyDescent="0.25">
      <c r="A144" s="58">
        <v>144</v>
      </c>
      <c r="B144">
        <v>17</v>
      </c>
      <c r="C144">
        <v>256</v>
      </c>
      <c r="D144" t="s">
        <v>3260</v>
      </c>
      <c r="E144">
        <v>180</v>
      </c>
      <c r="F144">
        <v>382</v>
      </c>
      <c r="G144" t="s">
        <v>3260</v>
      </c>
      <c r="H144">
        <v>1</v>
      </c>
      <c r="I144" t="s">
        <v>3261</v>
      </c>
      <c r="J144" s="2" t="str">
        <f t="shared" si="6"/>
        <v>[144]=382,</v>
      </c>
      <c r="K144" s="3">
        <f t="shared" si="7"/>
        <v>144</v>
      </c>
      <c r="L144" s="3">
        <f t="shared" si="8"/>
        <v>382</v>
      </c>
      <c r="M144" s="9" t="str">
        <f>VLOOKUP(A144,WayshrineNames!$A$3:$B$967,2,)</f>
        <v>Vinedusk Wayshrine</v>
      </c>
      <c r="N144" s="3" t="str">
        <f>VLOOKUP(F144,'ESO zones'!$A$5:$D$10003,4,FALSE)</f>
        <v>Reaper's March</v>
      </c>
    </row>
    <row r="145" spans="1:14" x14ac:dyDescent="0.25">
      <c r="A145" s="58">
        <v>145</v>
      </c>
      <c r="B145">
        <v>23</v>
      </c>
      <c r="C145">
        <v>255</v>
      </c>
      <c r="D145" t="s">
        <v>3241</v>
      </c>
      <c r="E145">
        <v>155</v>
      </c>
      <c r="F145">
        <v>347</v>
      </c>
      <c r="G145" t="s">
        <v>3241</v>
      </c>
      <c r="H145">
        <v>1</v>
      </c>
      <c r="I145" t="s">
        <v>3262</v>
      </c>
      <c r="J145" s="2" t="str">
        <f t="shared" si="6"/>
        <v>[145]=347,</v>
      </c>
      <c r="K145" s="3">
        <f t="shared" si="7"/>
        <v>145</v>
      </c>
      <c r="L145" s="3">
        <f t="shared" si="8"/>
        <v>347</v>
      </c>
      <c r="M145" s="9" t="str">
        <f>VLOOKUP(A145,WayshrineNames!$A$3:$B$967,2,)</f>
        <v>Shrouded Plains Wayshrine</v>
      </c>
      <c r="N145" s="3" t="str">
        <f>VLOOKUP(F145,'ESO zones'!$A$5:$D$10003,4,FALSE)</f>
        <v>Coldharbour</v>
      </c>
    </row>
    <row r="146" spans="1:14" x14ac:dyDescent="0.25">
      <c r="A146" s="58">
        <v>146</v>
      </c>
      <c r="B146">
        <v>23</v>
      </c>
      <c r="C146">
        <v>255</v>
      </c>
      <c r="D146" t="s">
        <v>3241</v>
      </c>
      <c r="E146">
        <v>155</v>
      </c>
      <c r="F146">
        <v>347</v>
      </c>
      <c r="G146" t="s">
        <v>3241</v>
      </c>
      <c r="H146">
        <v>1</v>
      </c>
      <c r="I146" t="s">
        <v>3263</v>
      </c>
      <c r="J146" s="2" t="str">
        <f t="shared" si="6"/>
        <v>[146]=347,</v>
      </c>
      <c r="K146" s="3">
        <f t="shared" si="7"/>
        <v>146</v>
      </c>
      <c r="L146" s="3">
        <f t="shared" si="8"/>
        <v>347</v>
      </c>
      <c r="M146" s="9" t="str">
        <f>VLOOKUP(A146,WayshrineNames!$A$3:$B$967,2,)</f>
        <v>Court of Contempt Wayshrine</v>
      </c>
      <c r="N146" s="3" t="str">
        <f>VLOOKUP(F146,'ESO zones'!$A$5:$D$10003,4,FALSE)</f>
        <v>Coldharbour</v>
      </c>
    </row>
    <row r="147" spans="1:14" x14ac:dyDescent="0.25">
      <c r="A147" s="58">
        <v>147</v>
      </c>
      <c r="B147">
        <v>16</v>
      </c>
      <c r="C147">
        <v>300</v>
      </c>
      <c r="D147" t="s">
        <v>3258</v>
      </c>
      <c r="E147">
        <v>18</v>
      </c>
      <c r="F147">
        <v>108</v>
      </c>
      <c r="G147" t="s">
        <v>3258</v>
      </c>
      <c r="H147">
        <v>1</v>
      </c>
      <c r="I147" t="s">
        <v>3264</v>
      </c>
      <c r="J147" s="2" t="str">
        <f t="shared" si="6"/>
        <v>[147]=108,</v>
      </c>
      <c r="K147" s="3">
        <f t="shared" si="7"/>
        <v>147</v>
      </c>
      <c r="L147" s="3">
        <f t="shared" si="8"/>
        <v>108</v>
      </c>
      <c r="M147" s="9" t="str">
        <f>VLOOKUP(A147,WayshrineNames!$A$3:$B$967,2,)</f>
        <v>Greenheart Wayshrine</v>
      </c>
      <c r="N147" s="3" t="str">
        <f>VLOOKUP(F147,'ESO zones'!$A$5:$D$10003,4,FALSE)</f>
        <v>Greenshade</v>
      </c>
    </row>
    <row r="148" spans="1:14" x14ac:dyDescent="0.25">
      <c r="A148" s="58">
        <v>148</v>
      </c>
      <c r="B148">
        <v>16</v>
      </c>
      <c r="C148">
        <v>300</v>
      </c>
      <c r="D148" t="s">
        <v>3258</v>
      </c>
      <c r="E148">
        <v>18</v>
      </c>
      <c r="F148">
        <v>108</v>
      </c>
      <c r="G148" t="s">
        <v>3258</v>
      </c>
      <c r="H148">
        <v>1</v>
      </c>
      <c r="I148" t="s">
        <v>3265</v>
      </c>
      <c r="J148" s="2" t="str">
        <f t="shared" si="6"/>
        <v>[148]=108,</v>
      </c>
      <c r="K148" s="3">
        <f t="shared" si="7"/>
        <v>148</v>
      </c>
      <c r="L148" s="3">
        <f t="shared" si="8"/>
        <v>108</v>
      </c>
      <c r="M148" s="9" t="str">
        <f>VLOOKUP(A148,WayshrineNames!$A$3:$B$967,2,)</f>
        <v>Labyrinth Wayshrine</v>
      </c>
      <c r="N148" s="3" t="str">
        <f>VLOOKUP(F148,'ESO zones'!$A$5:$D$10003,4,FALSE)</f>
        <v>Greenshade</v>
      </c>
    </row>
    <row r="149" spans="1:14" x14ac:dyDescent="0.25">
      <c r="A149" s="58">
        <v>149</v>
      </c>
      <c r="B149">
        <v>16</v>
      </c>
      <c r="C149">
        <v>300</v>
      </c>
      <c r="D149" t="s">
        <v>3258</v>
      </c>
      <c r="E149">
        <v>18</v>
      </c>
      <c r="F149">
        <v>108</v>
      </c>
      <c r="G149" t="s">
        <v>3258</v>
      </c>
      <c r="H149">
        <v>1</v>
      </c>
      <c r="I149" t="s">
        <v>3266</v>
      </c>
      <c r="J149" s="2" t="str">
        <f t="shared" si="6"/>
        <v>[149]=108,</v>
      </c>
      <c r="K149" s="3">
        <f t="shared" si="7"/>
        <v>149</v>
      </c>
      <c r="L149" s="3">
        <f t="shared" si="8"/>
        <v>108</v>
      </c>
      <c r="M149" s="9" t="str">
        <f>VLOOKUP(A149,WayshrineNames!$A$3:$B$967,2,)</f>
        <v>Falinesti Wayshrine</v>
      </c>
      <c r="N149" s="3" t="str">
        <f>VLOOKUP(F149,'ESO zones'!$A$5:$D$10003,4,FALSE)</f>
        <v>Greenshade</v>
      </c>
    </row>
    <row r="150" spans="1:14" x14ac:dyDescent="0.25">
      <c r="A150" s="58">
        <v>150</v>
      </c>
      <c r="B150">
        <v>16</v>
      </c>
      <c r="C150">
        <v>300</v>
      </c>
      <c r="D150" t="s">
        <v>3258</v>
      </c>
      <c r="E150">
        <v>18</v>
      </c>
      <c r="F150">
        <v>108</v>
      </c>
      <c r="G150" t="s">
        <v>3258</v>
      </c>
      <c r="H150">
        <v>1</v>
      </c>
      <c r="I150" t="s">
        <v>3267</v>
      </c>
      <c r="J150" s="2" t="str">
        <f t="shared" si="6"/>
        <v>[150]=108,</v>
      </c>
      <c r="K150" s="3">
        <f t="shared" si="7"/>
        <v>150</v>
      </c>
      <c r="L150" s="3">
        <f t="shared" si="8"/>
        <v>108</v>
      </c>
      <c r="M150" s="9" t="str">
        <f>VLOOKUP(A150,WayshrineNames!$A$3:$B$967,2,)</f>
        <v>Seaside Sanctuary</v>
      </c>
      <c r="N150" s="3" t="str">
        <f>VLOOKUP(F150,'ESO zones'!$A$5:$D$10003,4,FALSE)</f>
        <v>Greenshade</v>
      </c>
    </row>
    <row r="151" spans="1:14" x14ac:dyDescent="0.25">
      <c r="A151" s="58">
        <v>151</v>
      </c>
      <c r="B151">
        <v>16</v>
      </c>
      <c r="C151">
        <v>300</v>
      </c>
      <c r="D151" t="s">
        <v>3258</v>
      </c>
      <c r="E151">
        <v>18</v>
      </c>
      <c r="F151">
        <v>108</v>
      </c>
      <c r="G151" t="s">
        <v>3258</v>
      </c>
      <c r="H151">
        <v>1</v>
      </c>
      <c r="I151" t="s">
        <v>3268</v>
      </c>
      <c r="J151" s="2" t="str">
        <f t="shared" si="6"/>
        <v>[151]=108,</v>
      </c>
      <c r="K151" s="3">
        <f t="shared" si="7"/>
        <v>151</v>
      </c>
      <c r="L151" s="3">
        <f t="shared" si="8"/>
        <v>108</v>
      </c>
      <c r="M151" s="9" t="str">
        <f>VLOOKUP(A151,WayshrineNames!$A$3:$B$967,2,)</f>
        <v>Verrant Morass Wayshrine</v>
      </c>
      <c r="N151" s="3" t="str">
        <f>VLOOKUP(F151,'ESO zones'!$A$5:$D$10003,4,FALSE)</f>
        <v>Greenshade</v>
      </c>
    </row>
    <row r="152" spans="1:14" x14ac:dyDescent="0.25">
      <c r="A152" s="58">
        <v>152</v>
      </c>
      <c r="B152">
        <v>16</v>
      </c>
      <c r="C152">
        <v>300</v>
      </c>
      <c r="D152" t="s">
        <v>3258</v>
      </c>
      <c r="E152">
        <v>18</v>
      </c>
      <c r="F152">
        <v>108</v>
      </c>
      <c r="G152" t="s">
        <v>3258</v>
      </c>
      <c r="H152">
        <v>1</v>
      </c>
      <c r="I152" t="s">
        <v>3269</v>
      </c>
      <c r="J152" s="2" t="str">
        <f t="shared" si="6"/>
        <v>[152]=108,</v>
      </c>
      <c r="K152" s="3">
        <f t="shared" si="7"/>
        <v>152</v>
      </c>
      <c r="L152" s="3">
        <f t="shared" si="8"/>
        <v>108</v>
      </c>
      <c r="M152" s="9" t="str">
        <f>VLOOKUP(A152,WayshrineNames!$A$3:$B$967,2,)</f>
        <v>Woodhearth Wayshrine</v>
      </c>
      <c r="N152" s="3" t="str">
        <f>VLOOKUP(F152,'ESO zones'!$A$5:$D$10003,4,FALSE)</f>
        <v>Greenshade</v>
      </c>
    </row>
    <row r="153" spans="1:14" x14ac:dyDescent="0.25">
      <c r="A153" s="58">
        <v>153</v>
      </c>
      <c r="B153">
        <v>16</v>
      </c>
      <c r="C153">
        <v>300</v>
      </c>
      <c r="D153" t="s">
        <v>3258</v>
      </c>
      <c r="E153">
        <v>18</v>
      </c>
      <c r="F153">
        <v>108</v>
      </c>
      <c r="G153" t="s">
        <v>3258</v>
      </c>
      <c r="H153">
        <v>1</v>
      </c>
      <c r="I153" t="s">
        <v>3270</v>
      </c>
      <c r="J153" s="2" t="str">
        <f t="shared" si="6"/>
        <v>[153]=108,</v>
      </c>
      <c r="K153" s="3">
        <f t="shared" si="7"/>
        <v>153</v>
      </c>
      <c r="L153" s="3">
        <f t="shared" si="8"/>
        <v>108</v>
      </c>
      <c r="M153" s="9" t="str">
        <f>VLOOKUP(A153,WayshrineNames!$A$3:$B$967,2,)</f>
        <v>Moonhenge Wayshrine</v>
      </c>
      <c r="N153" s="3" t="str">
        <f>VLOOKUP(F153,'ESO zones'!$A$5:$D$10003,4,FALSE)</f>
        <v>Greenshade</v>
      </c>
    </row>
    <row r="154" spans="1:14" x14ac:dyDescent="0.25">
      <c r="A154" s="58">
        <v>154</v>
      </c>
      <c r="B154">
        <v>16</v>
      </c>
      <c r="C154">
        <v>300</v>
      </c>
      <c r="D154" t="s">
        <v>3258</v>
      </c>
      <c r="E154">
        <v>18</v>
      </c>
      <c r="F154">
        <v>108</v>
      </c>
      <c r="G154" t="s">
        <v>3258</v>
      </c>
      <c r="H154">
        <v>1</v>
      </c>
      <c r="I154" t="s">
        <v>3271</v>
      </c>
      <c r="J154" s="2" t="str">
        <f t="shared" si="6"/>
        <v>[154]=108,</v>
      </c>
      <c r="K154" s="3">
        <f t="shared" si="7"/>
        <v>154</v>
      </c>
      <c r="L154" s="3">
        <f t="shared" si="8"/>
        <v>108</v>
      </c>
      <c r="M154" s="9" t="str">
        <f>VLOOKUP(A154,WayshrineNames!$A$3:$B$967,2,)</f>
        <v>Serpent's Grotto Wayshrine</v>
      </c>
      <c r="N154" s="3" t="str">
        <f>VLOOKUP(F154,'ESO zones'!$A$5:$D$10003,4,FALSE)</f>
        <v>Greenshade</v>
      </c>
    </row>
    <row r="155" spans="1:14" x14ac:dyDescent="0.25">
      <c r="A155" s="58">
        <v>155</v>
      </c>
      <c r="B155">
        <v>5</v>
      </c>
      <c r="C155">
        <v>30</v>
      </c>
      <c r="D155" t="s">
        <v>3152</v>
      </c>
      <c r="E155">
        <v>17</v>
      </c>
      <c r="F155">
        <v>104</v>
      </c>
      <c r="G155" t="s">
        <v>3153</v>
      </c>
      <c r="H155">
        <v>1</v>
      </c>
      <c r="I155" t="s">
        <v>3272</v>
      </c>
      <c r="J155" s="2" t="str">
        <f t="shared" si="6"/>
        <v>[155]=104,</v>
      </c>
      <c r="K155" s="3">
        <f t="shared" si="7"/>
        <v>155</v>
      </c>
      <c r="L155" s="3">
        <f t="shared" si="8"/>
        <v>104</v>
      </c>
      <c r="M155" s="9" t="str">
        <f>VLOOKUP(A155,WayshrineNames!$A$3:$B$967,2,)</f>
        <v>Goat's Head Oasis Wayshrine</v>
      </c>
      <c r="N155" s="3" t="str">
        <f>VLOOKUP(F155,'ESO zones'!$A$5:$D$10003,4,FALSE)</f>
        <v>Alik'r Desert</v>
      </c>
    </row>
    <row r="156" spans="1:14" x14ac:dyDescent="0.25">
      <c r="A156" s="58">
        <v>156</v>
      </c>
      <c r="B156">
        <v>17</v>
      </c>
      <c r="C156">
        <v>256</v>
      </c>
      <c r="D156" t="s">
        <v>3260</v>
      </c>
      <c r="E156">
        <v>180</v>
      </c>
      <c r="F156">
        <v>382</v>
      </c>
      <c r="G156" t="s">
        <v>3260</v>
      </c>
      <c r="H156">
        <v>1</v>
      </c>
      <c r="I156" t="s">
        <v>3273</v>
      </c>
      <c r="J156" s="2" t="str">
        <f t="shared" si="6"/>
        <v>[156]=382,</v>
      </c>
      <c r="K156" s="3">
        <f t="shared" si="7"/>
        <v>156</v>
      </c>
      <c r="L156" s="3">
        <f t="shared" si="8"/>
        <v>382</v>
      </c>
      <c r="M156" s="9" t="str">
        <f>VLOOKUP(A156,WayshrineNames!$A$3:$B$967,2,)</f>
        <v>Fort Grimwatch Wayshrine</v>
      </c>
      <c r="N156" s="3" t="str">
        <f>VLOOKUP(F156,'ESO zones'!$A$5:$D$10003,4,FALSE)</f>
        <v>Reaper's March</v>
      </c>
    </row>
    <row r="157" spans="1:14" x14ac:dyDescent="0.25">
      <c r="A157" s="58">
        <v>157</v>
      </c>
      <c r="B157">
        <v>17</v>
      </c>
      <c r="C157">
        <v>256</v>
      </c>
      <c r="D157" t="s">
        <v>3260</v>
      </c>
      <c r="E157">
        <v>180</v>
      </c>
      <c r="F157">
        <v>382</v>
      </c>
      <c r="G157" t="s">
        <v>3260</v>
      </c>
      <c r="H157">
        <v>1</v>
      </c>
      <c r="I157" t="s">
        <v>3274</v>
      </c>
      <c r="J157" s="2" t="str">
        <f t="shared" si="6"/>
        <v>[157]=382,</v>
      </c>
      <c r="K157" s="3">
        <f t="shared" si="7"/>
        <v>157</v>
      </c>
      <c r="L157" s="3">
        <f t="shared" si="8"/>
        <v>382</v>
      </c>
      <c r="M157" s="9" t="str">
        <f>VLOOKUP(A157,WayshrineNames!$A$3:$B$967,2,)</f>
        <v>Fort Sphinxmoth Wayshrine</v>
      </c>
      <c r="N157" s="3" t="str">
        <f>VLOOKUP(F157,'ESO zones'!$A$5:$D$10003,4,FALSE)</f>
        <v>Reaper's March</v>
      </c>
    </row>
    <row r="158" spans="1:14" x14ac:dyDescent="0.25">
      <c r="A158" s="58">
        <v>158</v>
      </c>
      <c r="B158">
        <v>17</v>
      </c>
      <c r="C158">
        <v>256</v>
      </c>
      <c r="D158" t="s">
        <v>3260</v>
      </c>
      <c r="E158">
        <v>180</v>
      </c>
      <c r="F158">
        <v>382</v>
      </c>
      <c r="G158" t="s">
        <v>3260</v>
      </c>
      <c r="H158">
        <v>1</v>
      </c>
      <c r="I158" t="s">
        <v>3275</v>
      </c>
      <c r="J158" s="2" t="str">
        <f t="shared" si="6"/>
        <v>[158]=382,</v>
      </c>
      <c r="K158" s="3">
        <f t="shared" si="7"/>
        <v>158</v>
      </c>
      <c r="L158" s="3">
        <f t="shared" si="8"/>
        <v>382</v>
      </c>
      <c r="M158" s="9" t="str">
        <f>VLOOKUP(A158,WayshrineNames!$A$3:$B$967,2,)</f>
        <v>Arenthia Wayshrine</v>
      </c>
      <c r="N158" s="3" t="str">
        <f>VLOOKUP(F158,'ESO zones'!$A$5:$D$10003,4,FALSE)</f>
        <v>Reaper's March</v>
      </c>
    </row>
    <row r="159" spans="1:14" x14ac:dyDescent="0.25">
      <c r="A159" s="58">
        <v>159</v>
      </c>
      <c r="B159">
        <v>17</v>
      </c>
      <c r="C159">
        <v>256</v>
      </c>
      <c r="D159" t="s">
        <v>3260</v>
      </c>
      <c r="E159">
        <v>180</v>
      </c>
      <c r="F159">
        <v>382</v>
      </c>
      <c r="G159" t="s">
        <v>3260</v>
      </c>
      <c r="H159">
        <v>1</v>
      </c>
      <c r="I159" t="s">
        <v>3276</v>
      </c>
      <c r="J159" s="2" t="str">
        <f t="shared" si="6"/>
        <v>[159]=382,</v>
      </c>
      <c r="K159" s="3">
        <f t="shared" si="7"/>
        <v>159</v>
      </c>
      <c r="L159" s="3">
        <f t="shared" si="8"/>
        <v>382</v>
      </c>
      <c r="M159" s="9" t="str">
        <f>VLOOKUP(A159,WayshrineNames!$A$3:$B$967,2,)</f>
        <v>Dune Wayshrine</v>
      </c>
      <c r="N159" s="3" t="str">
        <f>VLOOKUP(F159,'ESO zones'!$A$5:$D$10003,4,FALSE)</f>
        <v>Reaper's March</v>
      </c>
    </row>
    <row r="160" spans="1:14" x14ac:dyDescent="0.25">
      <c r="A160" s="58">
        <v>160</v>
      </c>
      <c r="B160">
        <v>17</v>
      </c>
      <c r="C160">
        <v>256</v>
      </c>
      <c r="D160" t="s">
        <v>3260</v>
      </c>
      <c r="E160">
        <v>180</v>
      </c>
      <c r="F160">
        <v>382</v>
      </c>
      <c r="G160" t="s">
        <v>3260</v>
      </c>
      <c r="H160">
        <v>1</v>
      </c>
      <c r="I160" t="s">
        <v>3277</v>
      </c>
      <c r="J160" s="2" t="str">
        <f t="shared" si="6"/>
        <v>[160]=382,</v>
      </c>
      <c r="K160" s="3">
        <f t="shared" si="7"/>
        <v>160</v>
      </c>
      <c r="L160" s="3">
        <f t="shared" si="8"/>
        <v>382</v>
      </c>
      <c r="M160" s="9" t="str">
        <f>VLOOKUP(A160,WayshrineNames!$A$3:$B$967,2,)</f>
        <v>Willowgrove Wayshrine</v>
      </c>
      <c r="N160" s="3" t="str">
        <f>VLOOKUP(F160,'ESO zones'!$A$5:$D$10003,4,FALSE)</f>
        <v>Reaper's March</v>
      </c>
    </row>
    <row r="161" spans="1:14" x14ac:dyDescent="0.25">
      <c r="A161" s="58">
        <v>161</v>
      </c>
      <c r="B161">
        <v>17</v>
      </c>
      <c r="C161">
        <v>256</v>
      </c>
      <c r="D161" t="s">
        <v>3260</v>
      </c>
      <c r="E161">
        <v>180</v>
      </c>
      <c r="F161">
        <v>382</v>
      </c>
      <c r="G161" t="s">
        <v>3260</v>
      </c>
      <c r="H161">
        <v>1</v>
      </c>
      <c r="I161" t="s">
        <v>3278</v>
      </c>
      <c r="J161" s="2" t="str">
        <f t="shared" si="6"/>
        <v>[161]=382,</v>
      </c>
      <c r="K161" s="3">
        <f t="shared" si="7"/>
        <v>161</v>
      </c>
      <c r="L161" s="3">
        <f t="shared" si="8"/>
        <v>382</v>
      </c>
      <c r="M161" s="9" t="str">
        <f>VLOOKUP(A161,WayshrineNames!$A$3:$B$967,2,)</f>
        <v>Moonmont Wayshrine</v>
      </c>
      <c r="N161" s="3" t="str">
        <f>VLOOKUP(F161,'ESO zones'!$A$5:$D$10003,4,FALSE)</f>
        <v>Reaper's March</v>
      </c>
    </row>
    <row r="162" spans="1:14" x14ac:dyDescent="0.25">
      <c r="A162" s="58">
        <v>162</v>
      </c>
      <c r="B162">
        <v>17</v>
      </c>
      <c r="C162">
        <v>256</v>
      </c>
      <c r="D162" t="s">
        <v>3260</v>
      </c>
      <c r="E162">
        <v>180</v>
      </c>
      <c r="F162">
        <v>382</v>
      </c>
      <c r="G162" t="s">
        <v>3260</v>
      </c>
      <c r="H162">
        <v>1</v>
      </c>
      <c r="I162" t="s">
        <v>3279</v>
      </c>
      <c r="J162" s="2" t="str">
        <f t="shared" si="6"/>
        <v>[162]=382,</v>
      </c>
      <c r="K162" s="3">
        <f t="shared" si="7"/>
        <v>162</v>
      </c>
      <c r="L162" s="3">
        <f t="shared" si="8"/>
        <v>382</v>
      </c>
      <c r="M162" s="9" t="str">
        <f>VLOOKUP(A162,WayshrineNames!$A$3:$B$967,2,)</f>
        <v>Rawl'kha Wayshrine</v>
      </c>
      <c r="N162" s="3" t="str">
        <f>VLOOKUP(F162,'ESO zones'!$A$5:$D$10003,4,FALSE)</f>
        <v>Reaper's March</v>
      </c>
    </row>
    <row r="163" spans="1:14" x14ac:dyDescent="0.25">
      <c r="A163" s="58">
        <v>163</v>
      </c>
      <c r="B163">
        <v>17</v>
      </c>
      <c r="C163">
        <v>256</v>
      </c>
      <c r="D163" t="s">
        <v>3260</v>
      </c>
      <c r="E163">
        <v>180</v>
      </c>
      <c r="F163">
        <v>382</v>
      </c>
      <c r="G163" t="s">
        <v>3260</v>
      </c>
      <c r="H163">
        <v>1</v>
      </c>
      <c r="I163" t="s">
        <v>3280</v>
      </c>
      <c r="J163" s="2" t="str">
        <f t="shared" si="6"/>
        <v>[163]=382,</v>
      </c>
      <c r="K163" s="3">
        <f t="shared" si="7"/>
        <v>163</v>
      </c>
      <c r="L163" s="3">
        <f t="shared" si="8"/>
        <v>382</v>
      </c>
      <c r="M163" s="9" t="str">
        <f>VLOOKUP(A163,WayshrineNames!$A$3:$B$967,2,)</f>
        <v>S'ren-ja Wayshrine</v>
      </c>
      <c r="N163" s="3" t="str">
        <f>VLOOKUP(F163,'ESO zones'!$A$5:$D$10003,4,FALSE)</f>
        <v>Reaper's March</v>
      </c>
    </row>
    <row r="164" spans="1:14" x14ac:dyDescent="0.25">
      <c r="A164" s="58">
        <v>164</v>
      </c>
      <c r="B164">
        <v>7</v>
      </c>
      <c r="C164">
        <v>9</v>
      </c>
      <c r="D164" t="s">
        <v>3129</v>
      </c>
      <c r="E164">
        <v>181</v>
      </c>
      <c r="F164">
        <v>383</v>
      </c>
      <c r="G164" t="s">
        <v>3129</v>
      </c>
      <c r="H164">
        <v>1</v>
      </c>
      <c r="I164" t="s">
        <v>3281</v>
      </c>
      <c r="J164" s="2" t="str">
        <f t="shared" si="6"/>
        <v>[164]=383,</v>
      </c>
      <c r="K164" s="3">
        <f t="shared" si="7"/>
        <v>164</v>
      </c>
      <c r="L164" s="3">
        <f t="shared" si="8"/>
        <v>383</v>
      </c>
      <c r="M164" s="9" t="str">
        <f>VLOOKUP(A164,WayshrineNames!$A$3:$B$967,2,)</f>
        <v>Gil-Var-Delle Wayshrine</v>
      </c>
      <c r="N164" s="3" t="str">
        <f>VLOOKUP(F164,'ESO zones'!$A$5:$D$10003,4,FALSE)</f>
        <v>Grahtwood</v>
      </c>
    </row>
    <row r="165" spans="1:14" x14ac:dyDescent="0.25">
      <c r="A165" s="58">
        <v>165</v>
      </c>
      <c r="B165">
        <v>7</v>
      </c>
      <c r="C165">
        <v>9</v>
      </c>
      <c r="D165" t="s">
        <v>3129</v>
      </c>
      <c r="E165">
        <v>181</v>
      </c>
      <c r="F165">
        <v>383</v>
      </c>
      <c r="G165" t="s">
        <v>3129</v>
      </c>
      <c r="H165">
        <v>1</v>
      </c>
      <c r="I165" t="s">
        <v>3282</v>
      </c>
      <c r="J165" s="2" t="str">
        <f t="shared" si="6"/>
        <v>[165]=383,</v>
      </c>
      <c r="K165" s="3">
        <f t="shared" si="7"/>
        <v>165</v>
      </c>
      <c r="L165" s="3">
        <f t="shared" si="8"/>
        <v>383</v>
      </c>
      <c r="M165" s="9" t="str">
        <f>VLOOKUP(A165,WayshrineNames!$A$3:$B$967,2,)</f>
        <v>Haven Wayshrine</v>
      </c>
      <c r="N165" s="3" t="str">
        <f>VLOOKUP(F165,'ESO zones'!$A$5:$D$10003,4,FALSE)</f>
        <v>Grahtwood</v>
      </c>
    </row>
    <row r="166" spans="1:14" x14ac:dyDescent="0.25">
      <c r="A166" s="58">
        <v>166</v>
      </c>
      <c r="B166">
        <v>7</v>
      </c>
      <c r="C166">
        <v>9</v>
      </c>
      <c r="D166" t="s">
        <v>3129</v>
      </c>
      <c r="E166">
        <v>181</v>
      </c>
      <c r="F166">
        <v>383</v>
      </c>
      <c r="G166" t="s">
        <v>3129</v>
      </c>
      <c r="H166">
        <v>1</v>
      </c>
      <c r="I166" t="s">
        <v>3283</v>
      </c>
      <c r="J166" s="2" t="str">
        <f t="shared" si="6"/>
        <v>[166]=383,</v>
      </c>
      <c r="K166" s="3">
        <f t="shared" si="7"/>
        <v>166</v>
      </c>
      <c r="L166" s="3">
        <f t="shared" si="8"/>
        <v>383</v>
      </c>
      <c r="M166" s="9" t="str">
        <f>VLOOKUP(A166,WayshrineNames!$A$3:$B$967,2,)</f>
        <v>Redfur Trading Post Wayshrine</v>
      </c>
      <c r="N166" s="3" t="str">
        <f>VLOOKUP(F166,'ESO zones'!$A$5:$D$10003,4,FALSE)</f>
        <v>Grahtwood</v>
      </c>
    </row>
    <row r="167" spans="1:14" x14ac:dyDescent="0.25">
      <c r="A167" s="58">
        <v>167</v>
      </c>
      <c r="B167">
        <v>7</v>
      </c>
      <c r="C167">
        <v>9</v>
      </c>
      <c r="D167" t="s">
        <v>3129</v>
      </c>
      <c r="E167">
        <v>181</v>
      </c>
      <c r="F167">
        <v>383</v>
      </c>
      <c r="G167" t="s">
        <v>3129</v>
      </c>
      <c r="H167">
        <v>1</v>
      </c>
      <c r="I167" t="s">
        <v>3284</v>
      </c>
      <c r="J167" s="2" t="str">
        <f t="shared" si="6"/>
        <v>[167]=383,</v>
      </c>
      <c r="K167" s="3">
        <f t="shared" si="7"/>
        <v>167</v>
      </c>
      <c r="L167" s="3">
        <f t="shared" si="8"/>
        <v>383</v>
      </c>
      <c r="M167" s="9" t="str">
        <f>VLOOKUP(A167,WayshrineNames!$A$3:$B$967,2,)</f>
        <v>Southpoint Wayshrine</v>
      </c>
      <c r="N167" s="3" t="str">
        <f>VLOOKUP(F167,'ESO zones'!$A$5:$D$10003,4,FALSE)</f>
        <v>Grahtwood</v>
      </c>
    </row>
    <row r="168" spans="1:14" x14ac:dyDescent="0.25">
      <c r="A168" s="58">
        <v>168</v>
      </c>
      <c r="B168">
        <v>7</v>
      </c>
      <c r="C168">
        <v>9</v>
      </c>
      <c r="D168" t="s">
        <v>3129</v>
      </c>
      <c r="E168">
        <v>181</v>
      </c>
      <c r="F168">
        <v>383</v>
      </c>
      <c r="G168" t="s">
        <v>3129</v>
      </c>
      <c r="H168">
        <v>1</v>
      </c>
      <c r="I168" t="s">
        <v>3285</v>
      </c>
      <c r="J168" s="2" t="str">
        <f t="shared" si="6"/>
        <v>[168]=383,</v>
      </c>
      <c r="K168" s="3">
        <f t="shared" si="7"/>
        <v>168</v>
      </c>
      <c r="L168" s="3">
        <f t="shared" si="8"/>
        <v>383</v>
      </c>
      <c r="M168" s="9" t="str">
        <f>VLOOKUP(A168,WayshrineNames!$A$3:$B$967,2,)</f>
        <v>Cormount Wayshrine</v>
      </c>
      <c r="N168" s="3" t="str">
        <f>VLOOKUP(F168,'ESO zones'!$A$5:$D$10003,4,FALSE)</f>
        <v>Grahtwood</v>
      </c>
    </row>
    <row r="169" spans="1:14" x14ac:dyDescent="0.25">
      <c r="A169" s="58">
        <v>169</v>
      </c>
      <c r="B169">
        <v>7</v>
      </c>
      <c r="C169">
        <v>9</v>
      </c>
      <c r="D169" t="s">
        <v>3129</v>
      </c>
      <c r="E169">
        <v>181</v>
      </c>
      <c r="F169">
        <v>383</v>
      </c>
      <c r="G169" t="s">
        <v>3129</v>
      </c>
      <c r="H169">
        <v>1</v>
      </c>
      <c r="I169" t="s">
        <v>3286</v>
      </c>
      <c r="J169" s="2" t="str">
        <f t="shared" si="6"/>
        <v>[169]=383,</v>
      </c>
      <c r="K169" s="3">
        <f t="shared" si="7"/>
        <v>169</v>
      </c>
      <c r="L169" s="3">
        <f t="shared" si="8"/>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3287</v>
      </c>
      <c r="J170" s="2" t="str">
        <f t="shared" si="6"/>
        <v>[170]=181,</v>
      </c>
      <c r="K170" s="3">
        <f t="shared" si="7"/>
        <v>170</v>
      </c>
      <c r="L170" s="3">
        <f t="shared" si="8"/>
        <v>181</v>
      </c>
      <c r="M170" s="9" t="str">
        <f>VLOOKUP(A170,WayshrineNames!$A$3:$B$967,2,)</f>
        <v>Northern High Rock Wayshrine</v>
      </c>
      <c r="N170" s="3" t="str">
        <f>VLOOKUP(F170,'ESO zones'!$A$5:$D$10003,4,FALSE)</f>
        <v>Cyrodiil</v>
      </c>
    </row>
    <row r="171" spans="1:14" x14ac:dyDescent="0.25">
      <c r="A171" s="58">
        <v>171</v>
      </c>
      <c r="B171">
        <v>9</v>
      </c>
      <c r="C171">
        <v>26</v>
      </c>
      <c r="D171" t="s">
        <v>3159</v>
      </c>
      <c r="E171">
        <v>19</v>
      </c>
      <c r="F171">
        <v>117</v>
      </c>
      <c r="G171" t="s">
        <v>3159</v>
      </c>
      <c r="H171">
        <v>1</v>
      </c>
      <c r="I171" t="s">
        <v>3288</v>
      </c>
      <c r="J171" s="2" t="str">
        <f t="shared" si="6"/>
        <v>[171]=117,</v>
      </c>
      <c r="K171" s="3">
        <f t="shared" si="7"/>
        <v>171</v>
      </c>
      <c r="L171" s="3">
        <f t="shared" si="8"/>
        <v>117</v>
      </c>
      <c r="M171" s="9" t="str">
        <f>VLOOKUP(A171,WayshrineNames!$A$3:$B$967,2,)</f>
        <v>Bogmother Wayshrine</v>
      </c>
      <c r="N171" s="3" t="str">
        <f>VLOOKUP(F171,'ESO zones'!$A$5:$D$10003,4,FALSE)</f>
        <v>Shadowfen</v>
      </c>
    </row>
    <row r="172" spans="1:14" x14ac:dyDescent="0.25">
      <c r="A172" s="58">
        <v>172</v>
      </c>
      <c r="B172">
        <v>22</v>
      </c>
      <c r="C172">
        <v>74</v>
      </c>
      <c r="D172" t="s">
        <v>3289</v>
      </c>
      <c r="E172">
        <v>110</v>
      </c>
      <c r="F172">
        <v>280</v>
      </c>
      <c r="G172" t="s">
        <v>3289</v>
      </c>
      <c r="H172">
        <v>1</v>
      </c>
      <c r="I172" t="s">
        <v>3290</v>
      </c>
      <c r="J172" s="2" t="str">
        <f t="shared" si="6"/>
        <v>[172]=280,</v>
      </c>
      <c r="K172" s="3">
        <f t="shared" si="7"/>
        <v>172</v>
      </c>
      <c r="L172" s="3">
        <f t="shared" si="8"/>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3291</v>
      </c>
      <c r="J173" s="2" t="str">
        <f t="shared" si="6"/>
        <v>[173]=281,</v>
      </c>
      <c r="K173" s="3">
        <f t="shared" si="7"/>
        <v>173</v>
      </c>
      <c r="L173" s="3">
        <f t="shared" si="8"/>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3292</v>
      </c>
      <c r="J174" s="2" t="str">
        <f t="shared" si="6"/>
        <v>[174]=381,</v>
      </c>
      <c r="K174" s="3">
        <f t="shared" si="7"/>
        <v>174</v>
      </c>
      <c r="L174" s="3">
        <f t="shared" si="8"/>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3293</v>
      </c>
      <c r="J175" s="2" t="str">
        <f t="shared" si="6"/>
        <v>[175]=381,</v>
      </c>
      <c r="K175" s="3">
        <f t="shared" si="7"/>
        <v>175</v>
      </c>
      <c r="L175" s="3">
        <f t="shared" si="8"/>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3294</v>
      </c>
      <c r="J176" s="2" t="str">
        <f t="shared" si="6"/>
        <v>[176]=381,</v>
      </c>
      <c r="K176" s="3">
        <f t="shared" si="7"/>
        <v>176</v>
      </c>
      <c r="L176" s="3">
        <f t="shared" si="8"/>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3295</v>
      </c>
      <c r="J177" s="2" t="str">
        <f t="shared" si="6"/>
        <v>[177]=381,</v>
      </c>
      <c r="K177" s="3">
        <f t="shared" si="7"/>
        <v>177</v>
      </c>
      <c r="L177" s="3">
        <f t="shared" si="8"/>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3296</v>
      </c>
      <c r="J178" s="2" t="str">
        <f t="shared" si="6"/>
        <v>[178]=381,</v>
      </c>
      <c r="K178" s="3">
        <f t="shared" si="7"/>
        <v>178</v>
      </c>
      <c r="L178" s="3">
        <f t="shared" si="8"/>
        <v>381</v>
      </c>
      <c r="M178" s="9" t="str">
        <f>VLOOKUP(A178,WayshrineNames!$A$3:$B$967,2,)</f>
        <v>Phaer Wayshrine</v>
      </c>
      <c r="N178" s="3" t="str">
        <f>VLOOKUP(F178,'ESO zones'!$A$5:$D$10003,4,FALSE)</f>
        <v>Auridon</v>
      </c>
    </row>
    <row r="179" spans="1:14" x14ac:dyDescent="0.25">
      <c r="A179" s="58">
        <v>179</v>
      </c>
      <c r="B179">
        <v>19</v>
      </c>
      <c r="C179">
        <v>201</v>
      </c>
      <c r="D179" t="s">
        <v>2452</v>
      </c>
      <c r="E179">
        <v>305</v>
      </c>
      <c r="F179">
        <v>534</v>
      </c>
      <c r="G179" t="s">
        <v>2452</v>
      </c>
      <c r="H179">
        <v>1</v>
      </c>
      <c r="I179" t="s">
        <v>3297</v>
      </c>
      <c r="J179" s="2" t="str">
        <f t="shared" si="6"/>
        <v>[179]=534,</v>
      </c>
      <c r="K179" s="3">
        <f t="shared" si="7"/>
        <v>179</v>
      </c>
      <c r="L179" s="3">
        <f t="shared" si="8"/>
        <v>534</v>
      </c>
      <c r="M179" s="9" t="str">
        <f>VLOOKUP(A179,WayshrineNames!$A$3:$B$967,2,)</f>
        <v>Sandy Grotto Wayshrine</v>
      </c>
      <c r="N179" s="3" t="str">
        <f>VLOOKUP(F179,'ESO zones'!$A$5:$D$10003,4,FALSE)</f>
        <v>Stros M'Kai</v>
      </c>
    </row>
    <row r="180" spans="1:14" x14ac:dyDescent="0.25">
      <c r="A180" s="58">
        <v>180</v>
      </c>
      <c r="B180">
        <v>19</v>
      </c>
      <c r="C180">
        <v>201</v>
      </c>
      <c r="D180" t="s">
        <v>2452</v>
      </c>
      <c r="E180">
        <v>305</v>
      </c>
      <c r="F180">
        <v>534</v>
      </c>
      <c r="G180" t="s">
        <v>2452</v>
      </c>
      <c r="H180">
        <v>1</v>
      </c>
      <c r="I180" t="s">
        <v>3298</v>
      </c>
      <c r="J180" s="2" t="str">
        <f t="shared" si="6"/>
        <v>[180]=534,</v>
      </c>
      <c r="K180" s="3">
        <f t="shared" si="7"/>
        <v>180</v>
      </c>
      <c r="L180" s="3">
        <f t="shared" si="8"/>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3299</v>
      </c>
      <c r="J181" s="2" t="str">
        <f t="shared" si="6"/>
        <v>[181]=535,</v>
      </c>
      <c r="K181" s="3">
        <f t="shared" si="7"/>
        <v>181</v>
      </c>
      <c r="L181" s="3">
        <f t="shared" si="8"/>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3300</v>
      </c>
      <c r="J182" s="2" t="str">
        <f t="shared" si="6"/>
        <v>[182]=535,</v>
      </c>
      <c r="K182" s="3">
        <f t="shared" si="7"/>
        <v>182</v>
      </c>
      <c r="L182" s="3">
        <f t="shared" si="8"/>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3301</v>
      </c>
      <c r="J183" s="2" t="str">
        <f t="shared" si="6"/>
        <v>[183]=535,</v>
      </c>
      <c r="K183" s="3">
        <f t="shared" si="7"/>
        <v>183</v>
      </c>
      <c r="L183" s="3">
        <f t="shared" si="8"/>
        <v>535</v>
      </c>
      <c r="M183" s="9" t="str">
        <f>VLOOKUP(A183,WayshrineNames!$A$3:$B$967,2,)</f>
        <v>Carved Hills Wayshrine</v>
      </c>
      <c r="N183" s="3" t="str">
        <f>VLOOKUP(F183,'ESO zones'!$A$5:$D$10003,4,FALSE)</f>
        <v>Betnikh</v>
      </c>
    </row>
    <row r="184" spans="1:14" x14ac:dyDescent="0.25">
      <c r="A184" s="58">
        <v>184</v>
      </c>
      <c r="B184">
        <v>23</v>
      </c>
      <c r="C184">
        <v>255</v>
      </c>
      <c r="D184" t="s">
        <v>3241</v>
      </c>
      <c r="E184">
        <v>155</v>
      </c>
      <c r="F184">
        <v>347</v>
      </c>
      <c r="G184" t="s">
        <v>3241</v>
      </c>
      <c r="H184">
        <v>6</v>
      </c>
      <c r="I184" t="s">
        <v>3302</v>
      </c>
      <c r="J184" s="2" t="str">
        <f t="shared" si="6"/>
        <v>[184]=347,</v>
      </c>
      <c r="K184" s="3">
        <f t="shared" si="7"/>
        <v>184</v>
      </c>
      <c r="L184" s="3">
        <f t="shared" si="8"/>
        <v>347</v>
      </c>
      <c r="M184" s="9" t="str">
        <f>VLOOKUP(A184,WayshrineNames!$A$3:$B$967,2,)</f>
        <v>Dungeon: Vaults of Madness</v>
      </c>
      <c r="N184" s="3" t="str">
        <f>VLOOKUP(F184,'ESO zones'!$A$5:$D$10003,4,FALSE)</f>
        <v>Coldharbour</v>
      </c>
    </row>
    <row r="185" spans="1:14" x14ac:dyDescent="0.25">
      <c r="A185" s="58">
        <v>185</v>
      </c>
      <c r="B185">
        <v>17</v>
      </c>
      <c r="C185">
        <v>256</v>
      </c>
      <c r="D185" t="s">
        <v>3260</v>
      </c>
      <c r="E185">
        <v>180</v>
      </c>
      <c r="F185">
        <v>382</v>
      </c>
      <c r="G185" t="s">
        <v>3260</v>
      </c>
      <c r="H185">
        <v>6</v>
      </c>
      <c r="I185" t="s">
        <v>3303</v>
      </c>
      <c r="J185" s="2" t="str">
        <f t="shared" si="6"/>
        <v>[185]=382,</v>
      </c>
      <c r="K185" s="3">
        <f t="shared" si="7"/>
        <v>185</v>
      </c>
      <c r="L185" s="3">
        <f t="shared" si="8"/>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3304</v>
      </c>
      <c r="J186" s="2" t="str">
        <f t="shared" si="6"/>
        <v>[186]=92,</v>
      </c>
      <c r="K186" s="3">
        <f t="shared" si="7"/>
        <v>186</v>
      </c>
      <c r="L186" s="3">
        <f t="shared" si="8"/>
        <v>92</v>
      </c>
      <c r="M186" s="9" t="str">
        <f>VLOOKUP(A186,WayshrineNames!$A$3:$B$967,2,)</f>
        <v>Dungeon: Blackheart Haven</v>
      </c>
      <c r="N186" s="3" t="str">
        <f>VLOOKUP(F186,'ESO zones'!$A$5:$D$10003,4,FALSE)</f>
        <v>Bangkorai</v>
      </c>
    </row>
    <row r="187" spans="1:14" x14ac:dyDescent="0.25">
      <c r="A187" s="58">
        <v>187</v>
      </c>
      <c r="B187">
        <v>12</v>
      </c>
      <c r="C187">
        <v>125</v>
      </c>
      <c r="D187" t="s">
        <v>3221</v>
      </c>
      <c r="E187">
        <v>16</v>
      </c>
      <c r="F187">
        <v>103</v>
      </c>
      <c r="G187" t="s">
        <v>3221</v>
      </c>
      <c r="H187">
        <v>6</v>
      </c>
      <c r="I187" t="s">
        <v>3305</v>
      </c>
      <c r="J187" s="2" t="str">
        <f t="shared" si="6"/>
        <v>[187]=103,</v>
      </c>
      <c r="K187" s="3">
        <f t="shared" si="7"/>
        <v>187</v>
      </c>
      <c r="L187" s="3">
        <f t="shared" si="8"/>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3306</v>
      </c>
      <c r="J188" s="2" t="str">
        <f t="shared" si="6"/>
        <v>[188]=58,</v>
      </c>
      <c r="K188" s="3">
        <f t="shared" si="7"/>
        <v>188</v>
      </c>
      <c r="L188" s="3">
        <f t="shared" si="8"/>
        <v>58</v>
      </c>
      <c r="M188" s="9" t="str">
        <f>VLOOKUP(A188,WayshrineNames!$A$3:$B$967,2,)</f>
        <v>Dungeon: Tempest Island</v>
      </c>
      <c r="N188" s="3" t="str">
        <f>VLOOKUP(F188,'ESO zones'!$A$5:$D$10003,4,FALSE)</f>
        <v>Malabal Tor</v>
      </c>
    </row>
    <row r="189" spans="1:14" x14ac:dyDescent="0.25">
      <c r="A189" s="58">
        <v>189</v>
      </c>
      <c r="B189">
        <v>4</v>
      </c>
      <c r="C189">
        <v>12</v>
      </c>
      <c r="D189" t="s">
        <v>3121</v>
      </c>
      <c r="E189">
        <v>4</v>
      </c>
      <c r="F189">
        <v>19</v>
      </c>
      <c r="G189" t="s">
        <v>3121</v>
      </c>
      <c r="H189">
        <v>6</v>
      </c>
      <c r="I189" t="s">
        <v>3307</v>
      </c>
      <c r="J189" s="2" t="str">
        <f t="shared" si="6"/>
        <v>[189]=19,</v>
      </c>
      <c r="K189" s="3">
        <f t="shared" si="7"/>
        <v>189</v>
      </c>
      <c r="L189" s="3">
        <f t="shared" si="8"/>
        <v>19</v>
      </c>
      <c r="M189" s="9" t="str">
        <f>VLOOKUP(A189,WayshrineNames!$A$3:$B$967,2,)</f>
        <v>Dungeon: Wayrest Sewers I</v>
      </c>
      <c r="N189" s="3" t="str">
        <f>VLOOKUP(F189,'ESO zones'!$A$5:$D$10003,4,FALSE)</f>
        <v>Stormhaven</v>
      </c>
    </row>
    <row r="190" spans="1:14" x14ac:dyDescent="0.25">
      <c r="A190" s="58">
        <v>190</v>
      </c>
      <c r="B190">
        <v>3</v>
      </c>
      <c r="C190">
        <v>10</v>
      </c>
      <c r="D190" t="s">
        <v>3115</v>
      </c>
      <c r="E190">
        <v>5</v>
      </c>
      <c r="F190">
        <v>20</v>
      </c>
      <c r="G190" t="s">
        <v>3115</v>
      </c>
      <c r="H190">
        <v>6</v>
      </c>
      <c r="I190" t="s">
        <v>3308</v>
      </c>
      <c r="J190" s="2" t="str">
        <f t="shared" si="6"/>
        <v>[190]=20,</v>
      </c>
      <c r="K190" s="3">
        <f t="shared" si="7"/>
        <v>190</v>
      </c>
      <c r="L190" s="3">
        <f t="shared" si="8"/>
        <v>20</v>
      </c>
      <c r="M190" s="9" t="str">
        <f>VLOOKUP(A190,WayshrineNames!$A$3:$B$967,2,)</f>
        <v>Dungeon: Crypt of Hearts I</v>
      </c>
      <c r="N190" s="3" t="str">
        <f>VLOOKUP(F190,'ESO zones'!$A$5:$D$10003,4,FALSE)</f>
        <v>Rivenspire</v>
      </c>
    </row>
    <row r="191" spans="1:14" x14ac:dyDescent="0.25">
      <c r="A191" s="58">
        <v>191</v>
      </c>
      <c r="B191">
        <v>7</v>
      </c>
      <c r="C191">
        <v>9</v>
      </c>
      <c r="D191" t="s">
        <v>3129</v>
      </c>
      <c r="E191">
        <v>181</v>
      </c>
      <c r="F191">
        <v>383</v>
      </c>
      <c r="G191" t="s">
        <v>3129</v>
      </c>
      <c r="H191">
        <v>6</v>
      </c>
      <c r="I191" t="s">
        <v>3309</v>
      </c>
      <c r="J191" s="2" t="str">
        <f t="shared" si="6"/>
        <v>[191]=383,</v>
      </c>
      <c r="K191" s="3">
        <f t="shared" si="7"/>
        <v>191</v>
      </c>
      <c r="L191" s="3">
        <f t="shared" si="8"/>
        <v>383</v>
      </c>
      <c r="M191" s="9" t="str">
        <f>VLOOKUP(A191,WayshrineNames!$A$3:$B$967,2,)</f>
        <v>Dungeon: Elden Hollow I</v>
      </c>
      <c r="N191" s="3" t="str">
        <f>VLOOKUP(F191,'ESO zones'!$A$5:$D$10003,4,FALSE)</f>
        <v>Grahtwood</v>
      </c>
    </row>
    <row r="192" spans="1:14" x14ac:dyDescent="0.25">
      <c r="A192" s="58">
        <v>192</v>
      </c>
      <c r="B192">
        <v>9</v>
      </c>
      <c r="C192">
        <v>26</v>
      </c>
      <c r="D192" t="s">
        <v>3159</v>
      </c>
      <c r="E192">
        <v>19</v>
      </c>
      <c r="F192">
        <v>117</v>
      </c>
      <c r="G192" t="s">
        <v>3159</v>
      </c>
      <c r="H192">
        <v>6</v>
      </c>
      <c r="I192" t="s">
        <v>3310</v>
      </c>
      <c r="J192" s="2" t="str">
        <f t="shared" si="6"/>
        <v>[192]=117,</v>
      </c>
      <c r="K192" s="3">
        <f t="shared" si="7"/>
        <v>192</v>
      </c>
      <c r="L192" s="3">
        <f t="shared" si="8"/>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3311</v>
      </c>
      <c r="J193" s="2" t="str">
        <f t="shared" si="6"/>
        <v>[193]=3,</v>
      </c>
      <c r="K193" s="3">
        <f t="shared" si="7"/>
        <v>193</v>
      </c>
      <c r="L193" s="3">
        <f t="shared" si="8"/>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3312</v>
      </c>
      <c r="J194" s="2" t="str">
        <f t="shared" si="6"/>
        <v>[194]=381,</v>
      </c>
      <c r="K194" s="3">
        <f t="shared" si="7"/>
        <v>194</v>
      </c>
      <c r="L194" s="3">
        <f t="shared" si="8"/>
        <v>381</v>
      </c>
      <c r="M194" s="9" t="str">
        <f>VLOOKUP(A194,WayshrineNames!$A$3:$B$967,2,)</f>
        <v>Dungeon: The Banished Cells I</v>
      </c>
      <c r="N194" s="3" t="str">
        <f>VLOOKUP(F194,'ESO zones'!$A$5:$D$10003,4,FALSE)</f>
        <v>Auridon</v>
      </c>
    </row>
    <row r="195" spans="1:14" x14ac:dyDescent="0.25">
      <c r="A195" s="58">
        <v>195</v>
      </c>
      <c r="B195">
        <v>13</v>
      </c>
      <c r="C195">
        <v>61</v>
      </c>
      <c r="D195" t="s">
        <v>3198</v>
      </c>
      <c r="E195">
        <v>15</v>
      </c>
      <c r="F195">
        <v>101</v>
      </c>
      <c r="G195" t="s">
        <v>3198</v>
      </c>
      <c r="H195">
        <v>6</v>
      </c>
      <c r="I195" t="s">
        <v>3313</v>
      </c>
      <c r="J195" s="2" t="str">
        <f t="shared" ref="J195:J258" si="9">IF(A195&lt;&gt;"",IF(F195&lt;&gt;"",IF(OR(ISNA(A195),ISNA(F195)),"","["&amp;A195&amp;"]="&amp;F195&amp;","),""),"")</f>
        <v>[195]=101,</v>
      </c>
      <c r="K195" s="3">
        <f t="shared" ref="K195:K258" si="10">A195</f>
        <v>195</v>
      </c>
      <c r="L195" s="3">
        <f t="shared" ref="L195:L258" si="11">F195</f>
        <v>101</v>
      </c>
      <c r="M195" s="9" t="str">
        <f>VLOOKUP(A195,WayshrineNames!$A$3:$B$967,2,)</f>
        <v>Dungeon: Direfrost Keep</v>
      </c>
      <c r="N195" s="3" t="str">
        <f>VLOOKUP(F195,'ESO zones'!$A$5:$D$10003,4,FALSE)</f>
        <v>Eastmarch</v>
      </c>
    </row>
    <row r="196" spans="1:14" x14ac:dyDescent="0.25">
      <c r="A196" s="58">
        <v>196</v>
      </c>
      <c r="B196">
        <v>5</v>
      </c>
      <c r="C196">
        <v>30</v>
      </c>
      <c r="D196" t="s">
        <v>3152</v>
      </c>
      <c r="E196">
        <v>17</v>
      </c>
      <c r="F196">
        <v>104</v>
      </c>
      <c r="G196" t="s">
        <v>3153</v>
      </c>
      <c r="H196">
        <v>6</v>
      </c>
      <c r="I196" t="s">
        <v>3314</v>
      </c>
      <c r="J196" s="2" t="str">
        <f t="shared" si="9"/>
        <v>[196]=104,</v>
      </c>
      <c r="K196" s="3">
        <f t="shared" si="10"/>
        <v>196</v>
      </c>
      <c r="L196" s="3">
        <f t="shared" si="11"/>
        <v>104</v>
      </c>
      <c r="M196" s="9" t="str">
        <f>VLOOKUP(A196,WayshrineNames!$A$3:$B$967,2,)</f>
        <v>Dungeon: Volenfell</v>
      </c>
      <c r="N196" s="3" t="str">
        <f>VLOOKUP(F196,'ESO zones'!$A$5:$D$10003,4,FALSE)</f>
        <v>Alik'r Desert</v>
      </c>
    </row>
    <row r="197" spans="1:14" x14ac:dyDescent="0.25">
      <c r="A197" s="58">
        <v>197</v>
      </c>
      <c r="B197">
        <v>16</v>
      </c>
      <c r="C197">
        <v>300</v>
      </c>
      <c r="D197" t="s">
        <v>3258</v>
      </c>
      <c r="E197">
        <v>18</v>
      </c>
      <c r="F197">
        <v>108</v>
      </c>
      <c r="G197" t="s">
        <v>3258</v>
      </c>
      <c r="H197">
        <v>6</v>
      </c>
      <c r="I197" t="s">
        <v>3315</v>
      </c>
      <c r="J197" s="2" t="str">
        <f t="shared" si="9"/>
        <v>[197]=108,</v>
      </c>
      <c r="K197" s="3">
        <f t="shared" si="10"/>
        <v>197</v>
      </c>
      <c r="L197" s="3">
        <f t="shared" si="11"/>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3316</v>
      </c>
      <c r="J198" s="2" t="str">
        <f t="shared" si="9"/>
        <v>[198]=57,</v>
      </c>
      <c r="K198" s="3">
        <f t="shared" si="10"/>
        <v>198</v>
      </c>
      <c r="L198" s="3">
        <f t="shared" si="11"/>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3317</v>
      </c>
      <c r="J199" s="2" t="str">
        <f t="shared" si="9"/>
        <v>[199]=181,</v>
      </c>
      <c r="K199" s="3">
        <f t="shared" si="10"/>
        <v>199</v>
      </c>
      <c r="L199" s="3">
        <f t="shared" si="11"/>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3318</v>
      </c>
      <c r="J200" s="2" t="str">
        <f t="shared" si="9"/>
        <v>[200]=181,</v>
      </c>
      <c r="K200" s="3">
        <f t="shared" si="10"/>
        <v>200</v>
      </c>
      <c r="L200" s="3">
        <f t="shared" si="11"/>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3319</v>
      </c>
      <c r="J201" s="2" t="str">
        <f t="shared" si="9"/>
        <v>[201]=181,</v>
      </c>
      <c r="K201" s="3">
        <f t="shared" si="10"/>
        <v>201</v>
      </c>
      <c r="L201" s="3">
        <f t="shared" si="11"/>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3320</v>
      </c>
      <c r="J202" s="2" t="str">
        <f t="shared" si="9"/>
        <v>[202]=181,</v>
      </c>
      <c r="K202" s="3">
        <f t="shared" si="10"/>
        <v>202</v>
      </c>
      <c r="L202" s="3">
        <f t="shared" si="11"/>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3321</v>
      </c>
      <c r="J203" s="2" t="str">
        <f t="shared" si="9"/>
        <v>[203]=181,</v>
      </c>
      <c r="K203" s="3">
        <f t="shared" si="10"/>
        <v>203</v>
      </c>
      <c r="L203" s="3">
        <f t="shared" si="11"/>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3322</v>
      </c>
      <c r="J204" s="2" t="str">
        <f t="shared" si="9"/>
        <v>[204]=92,</v>
      </c>
      <c r="K204" s="3">
        <f t="shared" si="10"/>
        <v>204</v>
      </c>
      <c r="L204" s="3">
        <f t="shared" si="11"/>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3323</v>
      </c>
      <c r="J205" s="2" t="str">
        <f t="shared" si="9"/>
        <v>[205]=57,</v>
      </c>
      <c r="K205" s="3">
        <f t="shared" si="10"/>
        <v>205</v>
      </c>
      <c r="L205" s="3">
        <f t="shared" si="11"/>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3324</v>
      </c>
      <c r="J206" s="2" t="str">
        <f t="shared" si="9"/>
        <v>[206]=92,</v>
      </c>
      <c r="K206" s="3">
        <f t="shared" si="10"/>
        <v>206</v>
      </c>
      <c r="L206" s="3">
        <f t="shared" si="11"/>
        <v>92</v>
      </c>
      <c r="M206" s="9" t="str">
        <f>VLOOKUP(A206,WayshrineNames!$A$3:$B$967,2,)</f>
        <v>Halcyon Lake Wayshrine</v>
      </c>
      <c r="N206" s="3" t="str">
        <f>VLOOKUP(F206,'ESO zones'!$A$5:$D$10003,4,FALSE)</f>
        <v>Bangkorai</v>
      </c>
    </row>
    <row r="207" spans="1:14" x14ac:dyDescent="0.25">
      <c r="A207" s="58">
        <v>207</v>
      </c>
      <c r="B207">
        <v>7</v>
      </c>
      <c r="C207">
        <v>9</v>
      </c>
      <c r="D207" t="s">
        <v>3129</v>
      </c>
      <c r="E207">
        <v>181</v>
      </c>
      <c r="F207">
        <v>383</v>
      </c>
      <c r="G207" t="s">
        <v>3129</v>
      </c>
      <c r="H207">
        <v>1</v>
      </c>
      <c r="I207" t="s">
        <v>3325</v>
      </c>
      <c r="J207" s="2" t="str">
        <f t="shared" si="9"/>
        <v>[207]=383,</v>
      </c>
      <c r="K207" s="3">
        <f t="shared" si="10"/>
        <v>207</v>
      </c>
      <c r="L207" s="3">
        <f t="shared" si="11"/>
        <v>383</v>
      </c>
      <c r="M207" s="9" t="str">
        <f>VLOOKUP(A207,WayshrineNames!$A$3:$B$967,2,)</f>
        <v>Gray Mire Wayshrine</v>
      </c>
      <c r="N207" s="3" t="str">
        <f>VLOOKUP(F207,'ESO zones'!$A$5:$D$10003,4,FALSE)</f>
        <v>Grahtwood</v>
      </c>
    </row>
    <row r="208" spans="1:14" x14ac:dyDescent="0.25">
      <c r="A208" s="58">
        <v>208</v>
      </c>
      <c r="B208">
        <v>3</v>
      </c>
      <c r="C208">
        <v>10</v>
      </c>
      <c r="D208" t="s">
        <v>3115</v>
      </c>
      <c r="E208">
        <v>5</v>
      </c>
      <c r="F208">
        <v>20</v>
      </c>
      <c r="G208" t="s">
        <v>3115</v>
      </c>
      <c r="H208">
        <v>1</v>
      </c>
      <c r="I208" t="s">
        <v>3326</v>
      </c>
      <c r="J208" s="2" t="str">
        <f t="shared" si="9"/>
        <v>[208]=20,</v>
      </c>
      <c r="K208" s="3">
        <f t="shared" si="10"/>
        <v>208</v>
      </c>
      <c r="L208" s="3">
        <f t="shared" si="11"/>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3327</v>
      </c>
      <c r="J209" s="2" t="str">
        <f t="shared" si="9"/>
        <v>[210]=3,</v>
      </c>
      <c r="K209" s="3">
        <f t="shared" si="10"/>
        <v>210</v>
      </c>
      <c r="L209" s="3">
        <f t="shared" si="11"/>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3327</v>
      </c>
      <c r="J210" s="2" t="str">
        <f t="shared" si="9"/>
        <v>[211]=381,</v>
      </c>
      <c r="K210" s="3">
        <f t="shared" si="10"/>
        <v>211</v>
      </c>
      <c r="L210" s="3">
        <f t="shared" si="11"/>
        <v>381</v>
      </c>
      <c r="M210" s="9" t="str">
        <f>VLOOKUP(A210,WayshrineNames!$A$3:$B$967,2,)</f>
        <v>The Harborage</v>
      </c>
      <c r="N210" s="3" t="str">
        <f>VLOOKUP(F210,'ESO zones'!$A$5:$D$10003,4,FALSE)</f>
        <v>Auridon</v>
      </c>
    </row>
    <row r="211" spans="1:14" x14ac:dyDescent="0.25">
      <c r="A211" s="58">
        <v>212</v>
      </c>
      <c r="B211">
        <v>11</v>
      </c>
      <c r="C211">
        <v>7</v>
      </c>
      <c r="D211" t="s">
        <v>3150</v>
      </c>
      <c r="E211">
        <v>9</v>
      </c>
      <c r="F211">
        <v>41</v>
      </c>
      <c r="G211" t="s">
        <v>3150</v>
      </c>
      <c r="H211">
        <v>1</v>
      </c>
      <c r="I211" t="s">
        <v>3327</v>
      </c>
      <c r="J211" s="2" t="str">
        <f t="shared" si="9"/>
        <v>[212]=41,</v>
      </c>
      <c r="K211" s="3">
        <f t="shared" si="10"/>
        <v>212</v>
      </c>
      <c r="L211" s="3">
        <f t="shared" si="11"/>
        <v>41</v>
      </c>
      <c r="M211" s="9" t="str">
        <f>VLOOKUP(A211,WayshrineNames!$A$3:$B$967,2,)</f>
        <v>The Harborage</v>
      </c>
      <c r="N211" s="3" t="str">
        <f>VLOOKUP(F211,'ESO zones'!$A$5:$D$10003,4,FALSE)</f>
        <v>Stonefalls</v>
      </c>
    </row>
    <row r="212" spans="1:14" x14ac:dyDescent="0.25">
      <c r="A212" s="58">
        <v>213</v>
      </c>
      <c r="B212">
        <v>7</v>
      </c>
      <c r="C212">
        <v>9</v>
      </c>
      <c r="D212" t="s">
        <v>3129</v>
      </c>
      <c r="E212">
        <v>181</v>
      </c>
      <c r="F212">
        <v>383</v>
      </c>
      <c r="G212" t="s">
        <v>3129</v>
      </c>
      <c r="H212">
        <v>1</v>
      </c>
      <c r="I212" t="s">
        <v>3328</v>
      </c>
      <c r="J212" s="2" t="str">
        <f t="shared" si="9"/>
        <v>[213]=383,</v>
      </c>
      <c r="K212" s="3">
        <f t="shared" si="10"/>
        <v>213</v>
      </c>
      <c r="L212" s="3">
        <f t="shared" si="11"/>
        <v>383</v>
      </c>
      <c r="M212" s="9" t="str">
        <f>VLOOKUP(A212,WayshrineNames!$A$3:$B$967,2,)</f>
        <v>Falinesti Winter Wayshrine</v>
      </c>
      <c r="N212" s="3" t="str">
        <f>VLOOKUP(F212,'ESO zones'!$A$5:$D$10003,4,FALSE)</f>
        <v>Grahtwood</v>
      </c>
    </row>
    <row r="213" spans="1:14" x14ac:dyDescent="0.25">
      <c r="A213" s="58">
        <v>214</v>
      </c>
      <c r="B213">
        <v>7</v>
      </c>
      <c r="C213">
        <v>9</v>
      </c>
      <c r="D213" t="s">
        <v>3129</v>
      </c>
      <c r="E213">
        <v>181</v>
      </c>
      <c r="F213">
        <v>383</v>
      </c>
      <c r="G213" t="s">
        <v>3129</v>
      </c>
      <c r="H213">
        <v>1</v>
      </c>
      <c r="I213" t="s">
        <v>3329</v>
      </c>
      <c r="J213" s="2" t="str">
        <f t="shared" si="9"/>
        <v>[214]=383,</v>
      </c>
      <c r="K213" s="3">
        <f t="shared" si="10"/>
        <v>214</v>
      </c>
      <c r="L213" s="3">
        <f t="shared" si="11"/>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3330</v>
      </c>
      <c r="J214" s="2" t="str">
        <f t="shared" si="9"/>
        <v>[216]=3,</v>
      </c>
      <c r="K214" s="3">
        <f t="shared" si="10"/>
        <v>216</v>
      </c>
      <c r="L214" s="3">
        <f t="shared" si="11"/>
        <v>3</v>
      </c>
      <c r="M214" s="9" t="str">
        <f>VLOOKUP(A214,WayshrineNames!$A$3:$B$967,2,)</f>
        <v>Hag Fen Wayshrine</v>
      </c>
      <c r="N214" s="3" t="str">
        <f>VLOOKUP(F214,'ESO zones'!$A$5:$D$10003,4,FALSE)</f>
        <v>Glenumbra</v>
      </c>
    </row>
    <row r="215" spans="1:14" x14ac:dyDescent="0.25">
      <c r="A215" s="58">
        <v>217</v>
      </c>
      <c r="B215">
        <v>25</v>
      </c>
      <c r="C215">
        <v>1126</v>
      </c>
      <c r="D215" t="s">
        <v>3331</v>
      </c>
      <c r="E215">
        <v>501</v>
      </c>
      <c r="F215">
        <v>888</v>
      </c>
      <c r="G215" t="s">
        <v>3331</v>
      </c>
      <c r="H215">
        <v>1</v>
      </c>
      <c r="I215" t="s">
        <v>3332</v>
      </c>
      <c r="J215" s="2" t="str">
        <f t="shared" si="9"/>
        <v>[217]=888,</v>
      </c>
      <c r="K215" s="3">
        <f t="shared" si="10"/>
        <v>217</v>
      </c>
      <c r="L215" s="3">
        <f t="shared" si="11"/>
        <v>888</v>
      </c>
      <c r="M215" s="9" t="str">
        <f>VLOOKUP(A215,WayshrineNames!$A$3:$B$967,2,)</f>
        <v>Seeker's Archive Wayshrine</v>
      </c>
      <c r="N215" s="3" t="str">
        <f>VLOOKUP(F215,'ESO zones'!$A$5:$D$10003,4,FALSE)</f>
        <v>Craglorn</v>
      </c>
    </row>
    <row r="216" spans="1:14" x14ac:dyDescent="0.25">
      <c r="A216" s="58">
        <v>218</v>
      </c>
      <c r="B216">
        <v>25</v>
      </c>
      <c r="C216">
        <v>1126</v>
      </c>
      <c r="D216" t="s">
        <v>3331</v>
      </c>
      <c r="E216">
        <v>501</v>
      </c>
      <c r="F216">
        <v>888</v>
      </c>
      <c r="G216" t="s">
        <v>3331</v>
      </c>
      <c r="H216">
        <v>1</v>
      </c>
      <c r="I216" t="s">
        <v>3333</v>
      </c>
      <c r="J216" s="2" t="str">
        <f t="shared" si="9"/>
        <v>[218]=888,</v>
      </c>
      <c r="K216" s="3">
        <f t="shared" si="10"/>
        <v>218</v>
      </c>
      <c r="L216" s="3">
        <f t="shared" si="11"/>
        <v>888</v>
      </c>
      <c r="M216" s="9" t="str">
        <f>VLOOKUP(A216,WayshrineNames!$A$3:$B$967,2,)</f>
        <v>Shada's Tear Wayshrine</v>
      </c>
      <c r="N216" s="3" t="str">
        <f>VLOOKUP(F216,'ESO zones'!$A$5:$D$10003,4,FALSE)</f>
        <v>Craglorn</v>
      </c>
    </row>
    <row r="217" spans="1:14" x14ac:dyDescent="0.25">
      <c r="A217" s="58">
        <v>219</v>
      </c>
      <c r="B217">
        <v>25</v>
      </c>
      <c r="C217">
        <v>1126</v>
      </c>
      <c r="D217" t="s">
        <v>3331</v>
      </c>
      <c r="E217">
        <v>501</v>
      </c>
      <c r="F217">
        <v>888</v>
      </c>
      <c r="G217" t="s">
        <v>3331</v>
      </c>
      <c r="H217">
        <v>1</v>
      </c>
      <c r="I217" t="s">
        <v>3334</v>
      </c>
      <c r="J217" s="2" t="str">
        <f t="shared" si="9"/>
        <v>[219]=888,</v>
      </c>
      <c r="K217" s="3">
        <f t="shared" si="10"/>
        <v>219</v>
      </c>
      <c r="L217" s="3">
        <f t="shared" si="11"/>
        <v>888</v>
      </c>
      <c r="M217" s="9" t="str">
        <f>VLOOKUP(A217,WayshrineNames!$A$3:$B$967,2,)</f>
        <v>Sandy Path Wayshrine</v>
      </c>
      <c r="N217" s="3" t="str">
        <f>VLOOKUP(F217,'ESO zones'!$A$5:$D$10003,4,FALSE)</f>
        <v>Craglorn</v>
      </c>
    </row>
    <row r="218" spans="1:14" x14ac:dyDescent="0.25">
      <c r="A218" s="58">
        <v>220</v>
      </c>
      <c r="B218">
        <v>25</v>
      </c>
      <c r="C218">
        <v>1126</v>
      </c>
      <c r="D218" t="s">
        <v>3331</v>
      </c>
      <c r="E218">
        <v>501</v>
      </c>
      <c r="F218">
        <v>888</v>
      </c>
      <c r="G218" t="s">
        <v>3331</v>
      </c>
      <c r="H218">
        <v>1</v>
      </c>
      <c r="I218" t="s">
        <v>3335</v>
      </c>
      <c r="J218" s="2" t="str">
        <f t="shared" si="9"/>
        <v>[220]=888,</v>
      </c>
      <c r="K218" s="3">
        <f t="shared" si="10"/>
        <v>220</v>
      </c>
      <c r="L218" s="3">
        <f t="shared" si="11"/>
        <v>888</v>
      </c>
      <c r="M218" s="9" t="str">
        <f>VLOOKUP(A218,WayshrineNames!$A$3:$B$967,2,)</f>
        <v>Belkarth Wayshrine</v>
      </c>
      <c r="N218" s="3" t="str">
        <f>VLOOKUP(F218,'ESO zones'!$A$5:$D$10003,4,FALSE)</f>
        <v>Craglorn</v>
      </c>
    </row>
    <row r="219" spans="1:14" x14ac:dyDescent="0.25">
      <c r="A219" s="58">
        <v>225</v>
      </c>
      <c r="B219">
        <v>25</v>
      </c>
      <c r="C219">
        <v>1126</v>
      </c>
      <c r="D219" t="s">
        <v>3331</v>
      </c>
      <c r="E219">
        <v>501</v>
      </c>
      <c r="F219">
        <v>888</v>
      </c>
      <c r="G219" t="s">
        <v>3331</v>
      </c>
      <c r="H219">
        <v>1</v>
      </c>
      <c r="I219" t="s">
        <v>3336</v>
      </c>
      <c r="J219" s="2" t="str">
        <f t="shared" si="9"/>
        <v>[225]=888,</v>
      </c>
      <c r="K219" s="3">
        <f t="shared" si="10"/>
        <v>225</v>
      </c>
      <c r="L219" s="3">
        <f t="shared" si="11"/>
        <v>888</v>
      </c>
      <c r="M219" s="9" t="str">
        <f>VLOOKUP(A219,WayshrineNames!$A$3:$B$967,2,)</f>
        <v>Spellscar Wayshrine</v>
      </c>
      <c r="N219" s="3" t="str">
        <f>VLOOKUP(F219,'ESO zones'!$A$5:$D$10003,4,FALSE)</f>
        <v>Craglorn</v>
      </c>
    </row>
    <row r="220" spans="1:14" x14ac:dyDescent="0.25">
      <c r="A220" s="58">
        <v>226</v>
      </c>
      <c r="B220">
        <v>25</v>
      </c>
      <c r="C220">
        <v>1126</v>
      </c>
      <c r="D220" t="s">
        <v>3331</v>
      </c>
      <c r="E220">
        <v>501</v>
      </c>
      <c r="F220">
        <v>888</v>
      </c>
      <c r="G220" t="s">
        <v>3331</v>
      </c>
      <c r="H220">
        <v>1</v>
      </c>
      <c r="I220" t="s">
        <v>3337</v>
      </c>
      <c r="J220" s="2" t="str">
        <f t="shared" si="9"/>
        <v>[226]=888,</v>
      </c>
      <c r="K220" s="3">
        <f t="shared" si="10"/>
        <v>226</v>
      </c>
      <c r="L220" s="3">
        <f t="shared" si="11"/>
        <v>888</v>
      </c>
      <c r="M220" s="9" t="str">
        <f>VLOOKUP(A220,WayshrineNames!$A$3:$B$967,2,)</f>
        <v>Mountain Overlook Wayshrine</v>
      </c>
      <c r="N220" s="3" t="str">
        <f>VLOOKUP(F220,'ESO zones'!$A$5:$D$10003,4,FALSE)</f>
        <v>Craglorn</v>
      </c>
    </row>
    <row r="221" spans="1:14" x14ac:dyDescent="0.25">
      <c r="A221" s="58">
        <v>227</v>
      </c>
      <c r="B221">
        <v>25</v>
      </c>
      <c r="C221">
        <v>1126</v>
      </c>
      <c r="D221" t="s">
        <v>3331</v>
      </c>
      <c r="E221">
        <v>501</v>
      </c>
      <c r="F221">
        <v>888</v>
      </c>
      <c r="G221" t="s">
        <v>3331</v>
      </c>
      <c r="H221">
        <v>1</v>
      </c>
      <c r="I221" t="s">
        <v>3338</v>
      </c>
      <c r="J221" s="2" t="str">
        <f t="shared" si="9"/>
        <v>[227]=888,</v>
      </c>
      <c r="K221" s="3">
        <f t="shared" si="10"/>
        <v>227</v>
      </c>
      <c r="L221" s="3">
        <f t="shared" si="11"/>
        <v>888</v>
      </c>
      <c r="M221" s="9" t="str">
        <f>VLOOKUP(A221,WayshrineNames!$A$3:$B$967,2,)</f>
        <v>Inazzur's Hold Wayshrine</v>
      </c>
      <c r="N221" s="3" t="str">
        <f>VLOOKUP(F221,'ESO zones'!$A$5:$D$10003,4,FALSE)</f>
        <v>Craglorn</v>
      </c>
    </row>
    <row r="222" spans="1:14" x14ac:dyDescent="0.25">
      <c r="A222" s="58">
        <v>229</v>
      </c>
      <c r="B222">
        <v>25</v>
      </c>
      <c r="C222">
        <v>1126</v>
      </c>
      <c r="D222" t="s">
        <v>3331</v>
      </c>
      <c r="E222">
        <v>501</v>
      </c>
      <c r="F222">
        <v>888</v>
      </c>
      <c r="G222" t="s">
        <v>3331</v>
      </c>
      <c r="H222">
        <v>1</v>
      </c>
      <c r="I222" t="s">
        <v>3339</v>
      </c>
      <c r="J222" s="2" t="str">
        <f t="shared" si="9"/>
        <v>[229]=888,</v>
      </c>
      <c r="K222" s="3">
        <f t="shared" si="10"/>
        <v>229</v>
      </c>
      <c r="L222" s="3">
        <f t="shared" si="11"/>
        <v>888</v>
      </c>
      <c r="M222" s="9" t="str">
        <f>VLOOKUP(A222,WayshrineNames!$A$3:$B$967,2,)</f>
        <v>Elinhir Wayshrine</v>
      </c>
      <c r="N222" s="3" t="str">
        <f>VLOOKUP(F222,'ESO zones'!$A$5:$D$10003,4,FALSE)</f>
        <v>Craglorn</v>
      </c>
    </row>
    <row r="223" spans="1:14" x14ac:dyDescent="0.25">
      <c r="A223" s="58">
        <v>230</v>
      </c>
      <c r="B223">
        <v>25</v>
      </c>
      <c r="C223">
        <v>1126</v>
      </c>
      <c r="D223" t="s">
        <v>3331</v>
      </c>
      <c r="E223">
        <v>501</v>
      </c>
      <c r="F223">
        <v>888</v>
      </c>
      <c r="G223" t="s">
        <v>3331</v>
      </c>
      <c r="H223">
        <v>3</v>
      </c>
      <c r="I223" t="s">
        <v>3340</v>
      </c>
      <c r="J223" s="2" t="str">
        <f t="shared" si="9"/>
        <v>[230]=888,</v>
      </c>
      <c r="K223" s="3">
        <f t="shared" si="10"/>
        <v>230</v>
      </c>
      <c r="L223" s="3">
        <f t="shared" si="11"/>
        <v>888</v>
      </c>
      <c r="M223" s="9" t="str">
        <f>VLOOKUP(A223,WayshrineNames!$A$3:$B$967,2,)</f>
        <v>Trial: Hel Ra Citadel</v>
      </c>
      <c r="N223" s="3" t="str">
        <f>VLOOKUP(F223,'ESO zones'!$A$5:$D$10003,4,FALSE)</f>
        <v>Craglorn</v>
      </c>
    </row>
    <row r="224" spans="1:14" x14ac:dyDescent="0.25">
      <c r="A224" s="58">
        <v>231</v>
      </c>
      <c r="B224">
        <v>25</v>
      </c>
      <c r="C224">
        <v>1126</v>
      </c>
      <c r="D224" t="s">
        <v>3331</v>
      </c>
      <c r="E224">
        <v>501</v>
      </c>
      <c r="F224">
        <v>888</v>
      </c>
      <c r="G224" t="s">
        <v>3331</v>
      </c>
      <c r="H224">
        <v>3</v>
      </c>
      <c r="I224" t="s">
        <v>3341</v>
      </c>
      <c r="J224" s="2" t="str">
        <f t="shared" si="9"/>
        <v>[231]=888,</v>
      </c>
      <c r="K224" s="3">
        <f t="shared" si="10"/>
        <v>231</v>
      </c>
      <c r="L224" s="3">
        <f t="shared" si="11"/>
        <v>888</v>
      </c>
      <c r="M224" s="9" t="str">
        <f>VLOOKUP(A224,WayshrineNames!$A$3:$B$967,2,)</f>
        <v>Trial: Aetherian Archive</v>
      </c>
      <c r="N224" s="3" t="str">
        <f>VLOOKUP(F224,'ESO zones'!$A$5:$D$10003,4,FALSE)</f>
        <v>Craglorn</v>
      </c>
    </row>
    <row r="225" spans="1:14" x14ac:dyDescent="0.25">
      <c r="A225" s="58">
        <v>232</v>
      </c>
      <c r="B225">
        <v>25</v>
      </c>
      <c r="C225">
        <v>1126</v>
      </c>
      <c r="D225" t="s">
        <v>3331</v>
      </c>
      <c r="E225">
        <v>501</v>
      </c>
      <c r="F225">
        <v>888</v>
      </c>
      <c r="G225" t="s">
        <v>3331</v>
      </c>
      <c r="H225">
        <v>3</v>
      </c>
      <c r="I225" t="s">
        <v>3342</v>
      </c>
      <c r="J225" s="2" t="str">
        <f t="shared" si="9"/>
        <v>[232]=888,</v>
      </c>
      <c r="K225" s="3">
        <f t="shared" si="10"/>
        <v>232</v>
      </c>
      <c r="L225" s="3">
        <f t="shared" si="11"/>
        <v>888</v>
      </c>
      <c r="M225" s="9" t="str">
        <f>VLOOKUP(A225,WayshrineNames!$A$3:$B$967,2,)</f>
        <v>Trial: Sanctum Ophidia</v>
      </c>
      <c r="N225" s="3" t="str">
        <f>VLOOKUP(F225,'ESO zones'!$A$5:$D$10003,4,FALSE)</f>
        <v>Craglorn</v>
      </c>
    </row>
    <row r="226" spans="1:14" x14ac:dyDescent="0.25">
      <c r="A226" s="58">
        <v>233</v>
      </c>
      <c r="B226">
        <v>25</v>
      </c>
      <c r="C226">
        <v>1126</v>
      </c>
      <c r="D226" t="s">
        <v>3331</v>
      </c>
      <c r="E226">
        <v>501</v>
      </c>
      <c r="F226">
        <v>888</v>
      </c>
      <c r="G226" t="s">
        <v>3331</v>
      </c>
      <c r="H226">
        <v>1</v>
      </c>
      <c r="I226" t="s">
        <v>3343</v>
      </c>
      <c r="J226" s="2" t="str">
        <f t="shared" si="9"/>
        <v>[233]=888,</v>
      </c>
      <c r="K226" s="3">
        <f t="shared" si="10"/>
        <v>233</v>
      </c>
      <c r="L226" s="3">
        <f t="shared" si="11"/>
        <v>888</v>
      </c>
      <c r="M226" s="9" t="str">
        <f>VLOOKUP(A226,WayshrineNames!$A$3:$B$967,2,)</f>
        <v>Dragonstar Wayshrine</v>
      </c>
      <c r="N226" s="3" t="str">
        <f>VLOOKUP(F226,'ESO zones'!$A$5:$D$10003,4,FALSE)</f>
        <v>Craglorn</v>
      </c>
    </row>
    <row r="227" spans="1:14" x14ac:dyDescent="0.25">
      <c r="A227" s="58">
        <v>234</v>
      </c>
      <c r="B227">
        <v>25</v>
      </c>
      <c r="C227">
        <v>1126</v>
      </c>
      <c r="D227" t="s">
        <v>3331</v>
      </c>
      <c r="E227">
        <v>501</v>
      </c>
      <c r="F227">
        <v>888</v>
      </c>
      <c r="G227" t="s">
        <v>3331</v>
      </c>
      <c r="H227">
        <v>1</v>
      </c>
      <c r="I227" t="s">
        <v>3344</v>
      </c>
      <c r="J227" s="2" t="str">
        <f t="shared" si="9"/>
        <v>[234]=888,</v>
      </c>
      <c r="K227" s="3">
        <f t="shared" si="10"/>
        <v>234</v>
      </c>
      <c r="L227" s="3">
        <f t="shared" si="11"/>
        <v>888</v>
      </c>
      <c r="M227" s="9" t="str">
        <f>VLOOKUP(A227,WayshrineNames!$A$3:$B$967,2,)</f>
        <v>Skyreach Wayshrine</v>
      </c>
      <c r="N227" s="3" t="str">
        <f>VLOOKUP(F227,'ESO zones'!$A$5:$D$10003,4,FALSE)</f>
        <v>Craglorn</v>
      </c>
    </row>
    <row r="228" spans="1:14" x14ac:dyDescent="0.25">
      <c r="A228" s="58">
        <v>235</v>
      </c>
      <c r="B228">
        <v>25</v>
      </c>
      <c r="C228">
        <v>1126</v>
      </c>
      <c r="D228" t="s">
        <v>3331</v>
      </c>
      <c r="E228">
        <v>501</v>
      </c>
      <c r="F228">
        <v>888</v>
      </c>
      <c r="G228" t="s">
        <v>3331</v>
      </c>
      <c r="H228">
        <v>1</v>
      </c>
      <c r="I228" t="s">
        <v>3345</v>
      </c>
      <c r="J228" s="2" t="str">
        <f t="shared" si="9"/>
        <v>[235]=888,</v>
      </c>
      <c r="K228" s="3">
        <f t="shared" si="10"/>
        <v>235</v>
      </c>
      <c r="L228" s="3">
        <f t="shared" si="11"/>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3346</v>
      </c>
      <c r="J229" s="2" t="str">
        <f t="shared" si="9"/>
        <v>[236]=181,</v>
      </c>
      <c r="K229" s="3">
        <f t="shared" si="10"/>
        <v>236</v>
      </c>
      <c r="L229" s="3">
        <f t="shared" si="11"/>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3347</v>
      </c>
      <c r="J230" s="2" t="str">
        <f t="shared" si="9"/>
        <v>[237]=684,</v>
      </c>
      <c r="K230" s="3">
        <f t="shared" si="10"/>
        <v>237</v>
      </c>
      <c r="L230" s="3">
        <f t="shared" si="11"/>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3348</v>
      </c>
      <c r="J231" s="2" t="str">
        <f t="shared" si="9"/>
        <v>[238]=684,</v>
      </c>
      <c r="K231" s="3">
        <f t="shared" si="10"/>
        <v>238</v>
      </c>
      <c r="L231" s="3">
        <f t="shared" si="11"/>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3349</v>
      </c>
      <c r="J232" s="2" t="str">
        <f t="shared" si="9"/>
        <v>[239]=684,</v>
      </c>
      <c r="K232" s="3">
        <f t="shared" si="10"/>
        <v>239</v>
      </c>
      <c r="L232" s="3">
        <f t="shared" si="11"/>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3350</v>
      </c>
      <c r="J233" s="2" t="str">
        <f t="shared" si="9"/>
        <v>[240]=684,</v>
      </c>
      <c r="K233" s="3">
        <f t="shared" si="10"/>
        <v>240</v>
      </c>
      <c r="L233" s="3">
        <f t="shared" si="11"/>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3351</v>
      </c>
      <c r="J234" s="2" t="str">
        <f t="shared" si="9"/>
        <v>[241]=684,</v>
      </c>
      <c r="K234" s="3">
        <f t="shared" si="10"/>
        <v>241</v>
      </c>
      <c r="L234" s="3">
        <f t="shared" si="11"/>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3352</v>
      </c>
      <c r="J235" s="2" t="str">
        <f t="shared" si="9"/>
        <v>[242]=684,</v>
      </c>
      <c r="K235" s="3">
        <f t="shared" si="10"/>
        <v>242</v>
      </c>
      <c r="L235" s="3">
        <f t="shared" si="11"/>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3353</v>
      </c>
      <c r="J236" s="2" t="str">
        <f t="shared" si="9"/>
        <v>[243]=684,</v>
      </c>
      <c r="K236" s="3">
        <f t="shared" si="10"/>
        <v>243</v>
      </c>
      <c r="L236" s="3">
        <f t="shared" si="11"/>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3354</v>
      </c>
      <c r="J237" s="2" t="str">
        <f t="shared" si="9"/>
        <v>[244]=684,</v>
      </c>
      <c r="K237" s="3">
        <f t="shared" si="10"/>
        <v>244</v>
      </c>
      <c r="L237" s="3">
        <f t="shared" si="11"/>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3355</v>
      </c>
      <c r="J238" s="2" t="str">
        <f t="shared" si="9"/>
        <v>[245]=684,</v>
      </c>
      <c r="K238" s="3">
        <f t="shared" si="10"/>
        <v>245</v>
      </c>
      <c r="L238" s="3">
        <f t="shared" si="11"/>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3356</v>
      </c>
      <c r="J239" s="2" t="str">
        <f t="shared" si="9"/>
        <v>[246]=684,</v>
      </c>
      <c r="K239" s="3">
        <f t="shared" si="10"/>
        <v>246</v>
      </c>
      <c r="L239" s="3">
        <f t="shared" si="11"/>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3357</v>
      </c>
      <c r="J240" s="2" t="str">
        <f t="shared" si="9"/>
        <v>[247]=181,</v>
      </c>
      <c r="K240" s="3">
        <f t="shared" si="10"/>
        <v>247</v>
      </c>
      <c r="L240" s="3">
        <f t="shared" si="11"/>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 t="shared" si="9"/>
        <v>[249]=684,</v>
      </c>
      <c r="K241" s="3">
        <f t="shared" si="10"/>
        <v>249</v>
      </c>
      <c r="L241" s="3">
        <f t="shared" si="11"/>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 t="shared" si="9"/>
        <v>[250]=684,</v>
      </c>
      <c r="K242" s="3">
        <f t="shared" si="10"/>
        <v>250</v>
      </c>
      <c r="L242" s="3">
        <f t="shared" si="11"/>
        <v>684</v>
      </c>
      <c r="M242" s="9" t="str">
        <f>VLOOKUP(A242,WayshrineNames!$A$3:$B$967,2,)</f>
        <v>Maelstrom Arena</v>
      </c>
      <c r="N242" s="3" t="str">
        <f>VLOOKUP(F242,'ESO zones'!$A$5:$D$10003,4,FALSE)</f>
        <v>Wrothgar</v>
      </c>
    </row>
    <row r="243" spans="1:14" x14ac:dyDescent="0.25">
      <c r="A243" s="58">
        <v>251</v>
      </c>
      <c r="B243">
        <v>29</v>
      </c>
      <c r="C243">
        <v>1006</v>
      </c>
      <c r="D243" t="s">
        <v>3358</v>
      </c>
      <c r="E243">
        <v>449</v>
      </c>
      <c r="F243">
        <v>823</v>
      </c>
      <c r="G243" t="s">
        <v>3359</v>
      </c>
      <c r="H243">
        <v>1</v>
      </c>
      <c r="I243" t="s">
        <v>3360</v>
      </c>
      <c r="J243" s="2" t="str">
        <f t="shared" si="9"/>
        <v>[251]=823,</v>
      </c>
      <c r="K243" s="3">
        <f t="shared" si="10"/>
        <v>251</v>
      </c>
      <c r="L243" s="3">
        <f t="shared" si="11"/>
        <v>823</v>
      </c>
      <c r="M243" s="9" t="str">
        <f>VLOOKUP(A243,WayshrineNames!$A$3:$B$967,2,)</f>
        <v>Anvil Wayshrine</v>
      </c>
      <c r="N243" s="3" t="str">
        <f>VLOOKUP(F243,'ESO zones'!$A$5:$D$10003,4,FALSE)</f>
        <v>Gold Coast</v>
      </c>
    </row>
    <row r="244" spans="1:14" x14ac:dyDescent="0.25">
      <c r="A244" s="58">
        <v>252</v>
      </c>
      <c r="B244">
        <v>29</v>
      </c>
      <c r="C244">
        <v>1006</v>
      </c>
      <c r="D244" t="s">
        <v>3358</v>
      </c>
      <c r="E244">
        <v>449</v>
      </c>
      <c r="F244">
        <v>823</v>
      </c>
      <c r="G244" t="s">
        <v>3359</v>
      </c>
      <c r="H244">
        <v>1</v>
      </c>
      <c r="I244" t="s">
        <v>3361</v>
      </c>
      <c r="J244" s="2" t="str">
        <f t="shared" si="9"/>
        <v>[252]=823,</v>
      </c>
      <c r="K244" s="3">
        <f t="shared" si="10"/>
        <v>252</v>
      </c>
      <c r="L244" s="3">
        <f t="shared" si="11"/>
        <v>823</v>
      </c>
      <c r="M244" s="9" t="str">
        <f>VLOOKUP(A244,WayshrineNames!$A$3:$B$967,2,)</f>
        <v>Kvatch Wayshrine</v>
      </c>
      <c r="N244" s="3" t="str">
        <f>VLOOKUP(F244,'ESO zones'!$A$5:$D$10003,4,FALSE)</f>
        <v>Gold Coast</v>
      </c>
    </row>
    <row r="245" spans="1:14" x14ac:dyDescent="0.25">
      <c r="A245" s="58">
        <v>253</v>
      </c>
      <c r="B245">
        <v>29</v>
      </c>
      <c r="C245">
        <v>1006</v>
      </c>
      <c r="D245" t="s">
        <v>3358</v>
      </c>
      <c r="E245">
        <v>449</v>
      </c>
      <c r="F245">
        <v>823</v>
      </c>
      <c r="G245" t="s">
        <v>3359</v>
      </c>
      <c r="H245">
        <v>1</v>
      </c>
      <c r="I245" t="s">
        <v>3362</v>
      </c>
      <c r="J245" s="2" t="str">
        <f t="shared" si="9"/>
        <v>[253]=823,</v>
      </c>
      <c r="K245" s="3">
        <f t="shared" si="10"/>
        <v>253</v>
      </c>
      <c r="L245" s="3">
        <f t="shared" si="11"/>
        <v>823</v>
      </c>
      <c r="M245" s="9" t="str">
        <f>VLOOKUP(A245,WayshrineNames!$A$3:$B$967,2,)</f>
        <v>Strid River Wayshrine</v>
      </c>
      <c r="N245" s="3" t="str">
        <f>VLOOKUP(F245,'ESO zones'!$A$5:$D$10003,4,FALSE)</f>
        <v>Gold Coast</v>
      </c>
    </row>
    <row r="246" spans="1:14" x14ac:dyDescent="0.25">
      <c r="A246" s="58">
        <v>254</v>
      </c>
      <c r="B246">
        <v>29</v>
      </c>
      <c r="C246">
        <v>1006</v>
      </c>
      <c r="D246" t="s">
        <v>3358</v>
      </c>
      <c r="E246">
        <v>449</v>
      </c>
      <c r="F246">
        <v>823</v>
      </c>
      <c r="G246" t="s">
        <v>3359</v>
      </c>
      <c r="H246">
        <v>1</v>
      </c>
      <c r="I246" t="s">
        <v>3363</v>
      </c>
      <c r="J246" s="2" t="str">
        <f t="shared" si="9"/>
        <v>[254]=823,</v>
      </c>
      <c r="K246" s="3">
        <f t="shared" si="10"/>
        <v>254</v>
      </c>
      <c r="L246" s="3">
        <f t="shared" si="11"/>
        <v>823</v>
      </c>
      <c r="M246" s="9" t="str">
        <f>VLOOKUP(A246,WayshrineNames!$A$3:$B$967,2,)</f>
        <v>Gold Coast Wayshrine</v>
      </c>
      <c r="N246" s="3" t="str">
        <f>VLOOKUP(F246,'ESO zones'!$A$5:$D$10003,4,FALSE)</f>
        <v>Gold Coast</v>
      </c>
    </row>
    <row r="247" spans="1:14" x14ac:dyDescent="0.25">
      <c r="A247" s="58">
        <v>255</v>
      </c>
      <c r="B247">
        <v>28</v>
      </c>
      <c r="C247">
        <v>994</v>
      </c>
      <c r="D247" t="s">
        <v>3364</v>
      </c>
      <c r="E247">
        <v>443</v>
      </c>
      <c r="F247">
        <v>816</v>
      </c>
      <c r="G247" t="s">
        <v>3364</v>
      </c>
      <c r="H247">
        <v>1</v>
      </c>
      <c r="I247" t="s">
        <v>3365</v>
      </c>
      <c r="J247" s="2" t="str">
        <f t="shared" si="9"/>
        <v>[255]=816,</v>
      </c>
      <c r="K247" s="3">
        <f t="shared" si="10"/>
        <v>255</v>
      </c>
      <c r="L247" s="3">
        <f t="shared" si="11"/>
        <v>816</v>
      </c>
      <c r="M247" s="9" t="str">
        <f>VLOOKUP(A247,WayshrineNames!$A$3:$B$967,2,)</f>
        <v>Abah's Landing Wayshrine</v>
      </c>
      <c r="N247" s="3" t="str">
        <f>VLOOKUP(F247,'ESO zones'!$A$5:$D$10003,4,FALSE)</f>
        <v>Hew's Bane</v>
      </c>
    </row>
    <row r="248" spans="1:14" x14ac:dyDescent="0.25">
      <c r="A248" s="58">
        <v>256</v>
      </c>
      <c r="B248">
        <v>28</v>
      </c>
      <c r="C248">
        <v>994</v>
      </c>
      <c r="D248" t="s">
        <v>3364</v>
      </c>
      <c r="E248">
        <v>443</v>
      </c>
      <c r="F248">
        <v>816</v>
      </c>
      <c r="G248" t="s">
        <v>3364</v>
      </c>
      <c r="H248">
        <v>1</v>
      </c>
      <c r="I248" t="s">
        <v>3366</v>
      </c>
      <c r="J248" s="2" t="str">
        <f t="shared" si="9"/>
        <v>[256]=816,</v>
      </c>
      <c r="K248" s="3">
        <f t="shared" si="10"/>
        <v>256</v>
      </c>
      <c r="L248" s="3">
        <f t="shared" si="11"/>
        <v>816</v>
      </c>
      <c r="M248" s="9" t="str">
        <f>VLOOKUP(A248,WayshrineNames!$A$3:$B$967,2,)</f>
        <v>Zeht's Displeasure Wayshrine</v>
      </c>
      <c r="N248" s="3" t="str">
        <f>VLOOKUP(F248,'ESO zones'!$A$5:$D$10003,4,FALSE)</f>
        <v>Hew's Bane</v>
      </c>
    </row>
    <row r="249" spans="1:14" x14ac:dyDescent="0.25">
      <c r="A249" s="58">
        <v>257</v>
      </c>
      <c r="B249">
        <v>28</v>
      </c>
      <c r="C249">
        <v>994</v>
      </c>
      <c r="D249" t="s">
        <v>3364</v>
      </c>
      <c r="E249">
        <v>443</v>
      </c>
      <c r="F249">
        <v>816</v>
      </c>
      <c r="G249" t="s">
        <v>3364</v>
      </c>
      <c r="H249">
        <v>1</v>
      </c>
      <c r="I249" t="s">
        <v>3367</v>
      </c>
      <c r="J249" s="2" t="str">
        <f t="shared" si="9"/>
        <v>[257]=816,</v>
      </c>
      <c r="K249" s="3">
        <f t="shared" si="10"/>
        <v>257</v>
      </c>
      <c r="L249" s="3">
        <f t="shared" si="11"/>
        <v>816</v>
      </c>
      <c r="M249" s="9" t="str">
        <f>VLOOKUP(A249,WayshrineNames!$A$3:$B$967,2,)</f>
        <v>No Shira Citadel Wayshrine</v>
      </c>
      <c r="N249" s="3" t="str">
        <f>VLOOKUP(F249,'ESO zones'!$A$5:$D$10003,4,FALSE)</f>
        <v>Hew's Bane</v>
      </c>
    </row>
    <row r="250" spans="1:14" x14ac:dyDescent="0.25">
      <c r="A250" s="58">
        <v>258</v>
      </c>
      <c r="B250">
        <v>17</v>
      </c>
      <c r="C250">
        <v>256</v>
      </c>
      <c r="D250" t="s">
        <v>3260</v>
      </c>
      <c r="E250">
        <v>180</v>
      </c>
      <c r="F250">
        <v>382</v>
      </c>
      <c r="G250" t="s">
        <v>3260</v>
      </c>
      <c r="H250">
        <v>3</v>
      </c>
      <c r="I250" t="s">
        <v>3368</v>
      </c>
      <c r="J250" s="2" t="str">
        <f t="shared" si="9"/>
        <v>[258]=382,</v>
      </c>
      <c r="K250" s="3">
        <f t="shared" si="10"/>
        <v>258</v>
      </c>
      <c r="L250" s="3">
        <f t="shared" si="11"/>
        <v>382</v>
      </c>
      <c r="M250" s="9" t="str">
        <f>VLOOKUP(A250,WayshrineNames!$A$3:$B$967,2,)</f>
        <v>Trial: Maw of Lorkhaj</v>
      </c>
      <c r="N250" s="3" t="str">
        <f>VLOOKUP(F250,'ESO zones'!$A$5:$D$10003,4,FALSE)</f>
        <v>Reaper's March</v>
      </c>
    </row>
    <row r="251" spans="1:14" x14ac:dyDescent="0.25">
      <c r="A251" s="58">
        <v>260</v>
      </c>
      <c r="B251">
        <v>9</v>
      </c>
      <c r="C251">
        <v>26</v>
      </c>
      <c r="D251" t="s">
        <v>3159</v>
      </c>
      <c r="E251">
        <v>19</v>
      </c>
      <c r="F251">
        <v>117</v>
      </c>
      <c r="G251" t="s">
        <v>3159</v>
      </c>
      <c r="H251">
        <v>6</v>
      </c>
      <c r="I251" t="s">
        <v>3369</v>
      </c>
      <c r="J251" s="2" t="str">
        <f t="shared" si="9"/>
        <v>[260]=117,</v>
      </c>
      <c r="K251" s="3">
        <f t="shared" si="10"/>
        <v>260</v>
      </c>
      <c r="L251" s="3">
        <f t="shared" si="11"/>
        <v>117</v>
      </c>
      <c r="M251" s="9" t="str">
        <f>VLOOKUP(A251,WayshrineNames!$A$3:$B$967,2,)</f>
        <v>Dungeon: Ruins of Mazzatun</v>
      </c>
      <c r="N251" s="3" t="str">
        <f>VLOOKUP(F251,'ESO zones'!$A$5:$D$10003,4,FALSE)</f>
        <v>Shadowfen</v>
      </c>
    </row>
    <row r="252" spans="1:14" x14ac:dyDescent="0.25">
      <c r="A252" s="58">
        <v>261</v>
      </c>
      <c r="B252">
        <v>9</v>
      </c>
      <c r="C252">
        <v>26</v>
      </c>
      <c r="D252" t="s">
        <v>3159</v>
      </c>
      <c r="E252">
        <v>19</v>
      </c>
      <c r="F252">
        <v>117</v>
      </c>
      <c r="G252" t="s">
        <v>3159</v>
      </c>
      <c r="H252">
        <v>6</v>
      </c>
      <c r="I252" t="s">
        <v>3370</v>
      </c>
      <c r="J252" s="2" t="str">
        <f t="shared" si="9"/>
        <v>[261]=117,</v>
      </c>
      <c r="K252" s="3">
        <f t="shared" si="10"/>
        <v>261</v>
      </c>
      <c r="L252" s="3">
        <f t="shared" si="11"/>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3371</v>
      </c>
      <c r="J253" s="2" t="str">
        <f t="shared" si="9"/>
        <v>[262]=381,</v>
      </c>
      <c r="K253" s="3">
        <f t="shared" si="10"/>
        <v>262</v>
      </c>
      <c r="L253" s="3">
        <f t="shared" si="11"/>
        <v>381</v>
      </c>
      <c r="M253" s="9" t="str">
        <f>VLOOKUP(A253,WayshrineNames!$A$3:$B$967,2,)</f>
        <v>Dungeon: The Banished Cells II</v>
      </c>
      <c r="N253" s="3" t="str">
        <f>VLOOKUP(F253,'ESO zones'!$A$5:$D$10003,4,FALSE)</f>
        <v>Auridon</v>
      </c>
    </row>
    <row r="254" spans="1:14" x14ac:dyDescent="0.25">
      <c r="A254" s="58">
        <v>263</v>
      </c>
      <c r="B254">
        <v>4</v>
      </c>
      <c r="C254">
        <v>12</v>
      </c>
      <c r="D254" t="s">
        <v>3121</v>
      </c>
      <c r="E254">
        <v>4</v>
      </c>
      <c r="F254">
        <v>19</v>
      </c>
      <c r="G254" t="s">
        <v>3121</v>
      </c>
      <c r="H254">
        <v>6</v>
      </c>
      <c r="I254" t="s">
        <v>3372</v>
      </c>
      <c r="J254" s="2" t="str">
        <f t="shared" si="9"/>
        <v>[263]=19,</v>
      </c>
      <c r="K254" s="3">
        <f t="shared" si="10"/>
        <v>263</v>
      </c>
      <c r="L254" s="3">
        <f t="shared" si="11"/>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3373</v>
      </c>
      <c r="J255" s="2" t="str">
        <f t="shared" si="9"/>
        <v>[264]=57,</v>
      </c>
      <c r="K255" s="3">
        <f t="shared" si="10"/>
        <v>264</v>
      </c>
      <c r="L255" s="3">
        <f t="shared" si="11"/>
        <v>57</v>
      </c>
      <c r="M255" s="9" t="str">
        <f>VLOOKUP(A255,WayshrineNames!$A$3:$B$967,2,)</f>
        <v>Dungeon: Darkshade Caverns II</v>
      </c>
      <c r="N255" s="3" t="str">
        <f>VLOOKUP(F255,'ESO zones'!$A$5:$D$10003,4,FALSE)</f>
        <v>Deshaan</v>
      </c>
    </row>
    <row r="256" spans="1:14" x14ac:dyDescent="0.25">
      <c r="A256" s="58">
        <v>265</v>
      </c>
      <c r="B256">
        <v>7</v>
      </c>
      <c r="C256">
        <v>9</v>
      </c>
      <c r="D256" t="s">
        <v>3129</v>
      </c>
      <c r="E256">
        <v>181</v>
      </c>
      <c r="F256">
        <v>383</v>
      </c>
      <c r="G256" t="s">
        <v>3129</v>
      </c>
      <c r="H256">
        <v>6</v>
      </c>
      <c r="I256" t="s">
        <v>3374</v>
      </c>
      <c r="J256" s="2" t="str">
        <f t="shared" si="9"/>
        <v>[265]=383,</v>
      </c>
      <c r="K256" s="3">
        <f t="shared" si="10"/>
        <v>265</v>
      </c>
      <c r="L256" s="3">
        <f t="shared" si="11"/>
        <v>383</v>
      </c>
      <c r="M256" s="9" t="str">
        <f>VLOOKUP(A256,WayshrineNames!$A$3:$B$967,2,)</f>
        <v>Dungeon: Elden Hollow II</v>
      </c>
      <c r="N256" s="3" t="str">
        <f>VLOOKUP(F256,'ESO zones'!$A$5:$D$10003,4,FALSE)</f>
        <v>Grahtwood</v>
      </c>
    </row>
    <row r="257" spans="1:14" x14ac:dyDescent="0.25">
      <c r="A257" s="58">
        <v>266</v>
      </c>
      <c r="B257">
        <v>11</v>
      </c>
      <c r="C257">
        <v>7</v>
      </c>
      <c r="D257" t="s">
        <v>3150</v>
      </c>
      <c r="E257">
        <v>9</v>
      </c>
      <c r="F257">
        <v>41</v>
      </c>
      <c r="G257" t="s">
        <v>3150</v>
      </c>
      <c r="H257">
        <v>6</v>
      </c>
      <c r="I257" t="s">
        <v>3375</v>
      </c>
      <c r="J257" s="2" t="str">
        <f t="shared" si="9"/>
        <v>[266]=41,</v>
      </c>
      <c r="K257" s="3">
        <f t="shared" si="10"/>
        <v>266</v>
      </c>
      <c r="L257" s="3">
        <f t="shared" si="11"/>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3376</v>
      </c>
      <c r="J258" s="2" t="str">
        <f t="shared" si="9"/>
        <v>[267]=3,</v>
      </c>
      <c r="K258" s="3">
        <f t="shared" si="10"/>
        <v>267</v>
      </c>
      <c r="L258" s="3">
        <f t="shared" si="11"/>
        <v>3</v>
      </c>
      <c r="M258" s="9" t="str">
        <f>VLOOKUP(A258,WayshrineNames!$A$3:$B$967,2,)</f>
        <v>Dungeon: Spindleclutch II</v>
      </c>
      <c r="N258" s="3" t="str">
        <f>VLOOKUP(F258,'ESO zones'!$A$5:$D$10003,4,FALSE)</f>
        <v>Glenumbra</v>
      </c>
    </row>
    <row r="259" spans="1:14" x14ac:dyDescent="0.25">
      <c r="A259" s="58">
        <v>268</v>
      </c>
      <c r="B259">
        <v>16</v>
      </c>
      <c r="C259">
        <v>300</v>
      </c>
      <c r="D259" t="s">
        <v>3258</v>
      </c>
      <c r="E259">
        <v>18</v>
      </c>
      <c r="F259">
        <v>108</v>
      </c>
      <c r="G259" t="s">
        <v>3258</v>
      </c>
      <c r="H259">
        <v>6</v>
      </c>
      <c r="I259" t="s">
        <v>3377</v>
      </c>
      <c r="J259" s="2" t="str">
        <f t="shared" ref="J259:J322" si="12">IF(A259&lt;&gt;"",IF(F259&lt;&gt;"",IF(OR(ISNA(A259),ISNA(F259)),"","["&amp;A259&amp;"]="&amp;F259&amp;","),""),"")</f>
        <v>[268]=108,</v>
      </c>
      <c r="K259" s="3">
        <f t="shared" ref="K259:K322" si="13">A259</f>
        <v>268</v>
      </c>
      <c r="L259" s="3">
        <f t="shared" ref="L259:L322" si="14">F259</f>
        <v>108</v>
      </c>
      <c r="M259" s="9" t="str">
        <f>VLOOKUP(A259,WayshrineNames!$A$3:$B$967,2,)</f>
        <v>Dungeon: City of Ash II</v>
      </c>
      <c r="N259" s="3" t="str">
        <f>VLOOKUP(F259,'ESO zones'!$A$5:$D$10003,4,FALSE)</f>
        <v>Greenshade</v>
      </c>
    </row>
    <row r="260" spans="1:14" x14ac:dyDescent="0.25">
      <c r="A260" s="58">
        <v>269</v>
      </c>
      <c r="B260">
        <v>3</v>
      </c>
      <c r="C260">
        <v>10</v>
      </c>
      <c r="D260" t="s">
        <v>3115</v>
      </c>
      <c r="E260">
        <v>5</v>
      </c>
      <c r="F260">
        <v>20</v>
      </c>
      <c r="G260" t="s">
        <v>3115</v>
      </c>
      <c r="H260">
        <v>6</v>
      </c>
      <c r="I260" t="s">
        <v>3378</v>
      </c>
      <c r="J260" s="2" t="str">
        <f t="shared" si="12"/>
        <v>[269]=20,</v>
      </c>
      <c r="K260" s="3">
        <f t="shared" si="13"/>
        <v>269</v>
      </c>
      <c r="L260" s="3">
        <f t="shared" si="14"/>
        <v>20</v>
      </c>
      <c r="M260" s="9" t="str">
        <f>VLOOKUP(A260,WayshrineNames!$A$3:$B$967,2,)</f>
        <v>Dungeon: Crypt of Hearts II</v>
      </c>
      <c r="N260" s="3" t="str">
        <f>VLOOKUP(F260,'ESO zones'!$A$5:$D$10003,4,FALSE)</f>
        <v>Rivenspire</v>
      </c>
    </row>
    <row r="261" spans="1:14" x14ac:dyDescent="0.25">
      <c r="A261" s="58">
        <v>270</v>
      </c>
      <c r="B261">
        <v>25</v>
      </c>
      <c r="C261">
        <v>1126</v>
      </c>
      <c r="D261" t="s">
        <v>3331</v>
      </c>
      <c r="E261">
        <v>501</v>
      </c>
      <c r="F261">
        <v>888</v>
      </c>
      <c r="G261" t="s">
        <v>3331</v>
      </c>
      <c r="H261">
        <v>2</v>
      </c>
      <c r="I261" t="s">
        <v>3379</v>
      </c>
      <c r="J261" s="2" t="str">
        <f t="shared" si="12"/>
        <v>[270]=888,</v>
      </c>
      <c r="K261" s="3">
        <f t="shared" si="13"/>
        <v>270</v>
      </c>
      <c r="L261" s="3">
        <f t="shared" si="14"/>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3380</v>
      </c>
      <c r="J262" s="2" t="str">
        <f t="shared" si="12"/>
        <v>[272]=849,</v>
      </c>
      <c r="K262" s="3">
        <f t="shared" si="13"/>
        <v>272</v>
      </c>
      <c r="L262" s="3">
        <f t="shared" si="14"/>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3381</v>
      </c>
      <c r="J263" s="2" t="str">
        <f t="shared" si="12"/>
        <v>[273]=849,</v>
      </c>
      <c r="K263" s="3">
        <f t="shared" si="13"/>
        <v>273</v>
      </c>
      <c r="L263" s="3">
        <f t="shared" si="14"/>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3382</v>
      </c>
      <c r="J264" s="2" t="str">
        <f t="shared" si="12"/>
        <v>[274]=849,</v>
      </c>
      <c r="K264" s="3">
        <f t="shared" si="13"/>
        <v>274</v>
      </c>
      <c r="L264" s="3">
        <f t="shared" si="14"/>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3383</v>
      </c>
      <c r="J265" s="2" t="str">
        <f t="shared" si="12"/>
        <v>[275]=849,</v>
      </c>
      <c r="K265" s="3">
        <f t="shared" si="13"/>
        <v>275</v>
      </c>
      <c r="L265" s="3">
        <f t="shared" si="14"/>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3384</v>
      </c>
      <c r="J266" s="2" t="str">
        <f t="shared" si="12"/>
        <v>[276]=849,</v>
      </c>
      <c r="K266" s="3">
        <f t="shared" si="13"/>
        <v>276</v>
      </c>
      <c r="L266" s="3">
        <f t="shared" si="14"/>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3385</v>
      </c>
      <c r="J267" s="2" t="str">
        <f t="shared" si="12"/>
        <v>[277]=849,</v>
      </c>
      <c r="K267" s="3">
        <f t="shared" si="13"/>
        <v>277</v>
      </c>
      <c r="L267" s="3">
        <f t="shared" si="14"/>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3386</v>
      </c>
      <c r="J268" s="2" t="str">
        <f t="shared" si="12"/>
        <v>[278]=849,</v>
      </c>
      <c r="K268" s="3">
        <f t="shared" si="13"/>
        <v>278</v>
      </c>
      <c r="L268" s="3">
        <f t="shared" si="14"/>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3387</v>
      </c>
      <c r="J269" s="2" t="str">
        <f t="shared" si="12"/>
        <v>[279]=849,</v>
      </c>
      <c r="K269" s="3">
        <f t="shared" si="13"/>
        <v>279</v>
      </c>
      <c r="L269" s="3">
        <f t="shared" si="14"/>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3388</v>
      </c>
      <c r="J270" s="2" t="str">
        <f t="shared" si="12"/>
        <v>[280]=849,</v>
      </c>
      <c r="K270" s="3">
        <f t="shared" si="13"/>
        <v>280</v>
      </c>
      <c r="L270" s="3">
        <f t="shared" si="14"/>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3389</v>
      </c>
      <c r="J271" s="2" t="str">
        <f t="shared" si="12"/>
        <v>[281]=849,</v>
      </c>
      <c r="K271" s="3">
        <f t="shared" si="13"/>
        <v>281</v>
      </c>
      <c r="L271" s="3">
        <f t="shared" si="14"/>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3390</v>
      </c>
      <c r="J272" s="2" t="str">
        <f t="shared" si="12"/>
        <v>[282]=849,</v>
      </c>
      <c r="K272" s="3">
        <f t="shared" si="13"/>
        <v>282</v>
      </c>
      <c r="L272" s="3">
        <f t="shared" si="14"/>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3391</v>
      </c>
      <c r="J273" s="2" t="str">
        <f t="shared" si="12"/>
        <v>[284]=849,</v>
      </c>
      <c r="K273" s="3">
        <f t="shared" si="13"/>
        <v>284</v>
      </c>
      <c r="L273" s="3">
        <f t="shared" si="14"/>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3392</v>
      </c>
      <c r="J274" s="2" t="str">
        <f t="shared" si="12"/>
        <v>[285]=381,</v>
      </c>
      <c r="K274" s="3">
        <f t="shared" si="13"/>
        <v>285</v>
      </c>
      <c r="L274" s="3">
        <f t="shared" si="14"/>
        <v>381</v>
      </c>
      <c r="M274" s="9" t="str">
        <f>VLOOKUP(A274,WayshrineNames!$A$3:$B$967,2,)</f>
        <v>Barbed Hook Private Room</v>
      </c>
      <c r="N274" s="3" t="str">
        <f>VLOOKUP(F274,'ESO zones'!$A$5:$D$10003,4,FALSE)</f>
        <v>Auridon</v>
      </c>
    </row>
    <row r="275" spans="1:14" x14ac:dyDescent="0.25">
      <c r="A275" s="58">
        <v>286</v>
      </c>
      <c r="B275">
        <v>5</v>
      </c>
      <c r="C275">
        <v>30</v>
      </c>
      <c r="D275" t="s">
        <v>3152</v>
      </c>
      <c r="E275">
        <v>17</v>
      </c>
      <c r="F275">
        <v>104</v>
      </c>
      <c r="G275" t="s">
        <v>3153</v>
      </c>
      <c r="H275">
        <v>7</v>
      </c>
      <c r="I275" t="s">
        <v>3393</v>
      </c>
      <c r="J275" s="2" t="str">
        <f t="shared" si="12"/>
        <v>[286]=104,</v>
      </c>
      <c r="K275" s="3">
        <f t="shared" si="13"/>
        <v>286</v>
      </c>
      <c r="L275" s="3">
        <f t="shared" si="14"/>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3394</v>
      </c>
      <c r="J276" s="2" t="str">
        <f t="shared" si="12"/>
        <v>[287]=57,</v>
      </c>
      <c r="K276" s="3">
        <f t="shared" si="13"/>
        <v>287</v>
      </c>
      <c r="L276" s="3">
        <f t="shared" si="14"/>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3395</v>
      </c>
      <c r="J277" s="2" t="str">
        <f t="shared" si="12"/>
        <v>[288]=381,</v>
      </c>
      <c r="K277" s="3">
        <f t="shared" si="13"/>
        <v>288</v>
      </c>
      <c r="L277" s="3">
        <f t="shared" si="14"/>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3396</v>
      </c>
      <c r="J278" s="2" t="str">
        <f t="shared" si="12"/>
        <v>[289]=3,</v>
      </c>
      <c r="K278" s="3">
        <f t="shared" si="13"/>
        <v>289</v>
      </c>
      <c r="L278" s="3">
        <f t="shared" si="14"/>
        <v>3</v>
      </c>
      <c r="M278" s="9" t="str">
        <f>VLOOKUP(A278,WayshrineNames!$A$3:$B$967,2,)</f>
        <v>The Rosy Lion</v>
      </c>
      <c r="N278" s="3" t="str">
        <f>VLOOKUP(F278,'ESO zones'!$A$5:$D$10003,4,FALSE)</f>
        <v>Glenumbra</v>
      </c>
    </row>
    <row r="279" spans="1:14" x14ac:dyDescent="0.25">
      <c r="A279" s="58">
        <v>290</v>
      </c>
      <c r="B279">
        <v>11</v>
      </c>
      <c r="C279">
        <v>7</v>
      </c>
      <c r="D279" t="s">
        <v>3150</v>
      </c>
      <c r="E279">
        <v>9</v>
      </c>
      <c r="F279">
        <v>41</v>
      </c>
      <c r="G279" t="s">
        <v>3150</v>
      </c>
      <c r="H279">
        <v>7</v>
      </c>
      <c r="I279" t="s">
        <v>3397</v>
      </c>
      <c r="J279" s="2" t="str">
        <f t="shared" si="12"/>
        <v>[290]=41,</v>
      </c>
      <c r="K279" s="3">
        <f t="shared" si="13"/>
        <v>290</v>
      </c>
      <c r="L279" s="3">
        <f t="shared" si="14"/>
        <v>41</v>
      </c>
      <c r="M279" s="9" t="str">
        <f>VLOOKUP(A279,WayshrineNames!$A$3:$B$967,2,)</f>
        <v>The Ebony Flask Inn Room</v>
      </c>
      <c r="N279" s="3" t="str">
        <f>VLOOKUP(F279,'ESO zones'!$A$5:$D$10003,4,FALSE)</f>
        <v>Stonefalls</v>
      </c>
    </row>
    <row r="280" spans="1:14" x14ac:dyDescent="0.25">
      <c r="A280" s="58">
        <v>291</v>
      </c>
      <c r="B280">
        <v>17</v>
      </c>
      <c r="C280">
        <v>256</v>
      </c>
      <c r="D280" t="s">
        <v>3260</v>
      </c>
      <c r="E280">
        <v>180</v>
      </c>
      <c r="F280">
        <v>382</v>
      </c>
      <c r="G280" t="s">
        <v>3260</v>
      </c>
      <c r="H280">
        <v>7</v>
      </c>
      <c r="I280" t="s">
        <v>3398</v>
      </c>
      <c r="J280" s="2" t="str">
        <f t="shared" si="12"/>
        <v>[291]=382,</v>
      </c>
      <c r="K280" s="3">
        <f t="shared" si="13"/>
        <v>291</v>
      </c>
      <c r="L280" s="3">
        <f t="shared" si="14"/>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3399</v>
      </c>
      <c r="J281" s="2" t="str">
        <f t="shared" si="12"/>
        <v>[292]=3,</v>
      </c>
      <c r="K281" s="3">
        <f t="shared" si="13"/>
        <v>292</v>
      </c>
      <c r="L281" s="3">
        <f t="shared" si="14"/>
        <v>3</v>
      </c>
      <c r="M281" s="9" t="str">
        <f>VLOOKUP(A281,WayshrineNames!$A$3:$B$967,2,)</f>
        <v>Daggerfall Overlook</v>
      </c>
      <c r="N281" s="3" t="str">
        <f>VLOOKUP(F281,'ESO zones'!$A$5:$D$10003,4,FALSE)</f>
        <v>Glenumbra</v>
      </c>
    </row>
    <row r="282" spans="1:14" x14ac:dyDescent="0.25">
      <c r="A282" s="58">
        <v>293</v>
      </c>
      <c r="B282">
        <v>11</v>
      </c>
      <c r="C282">
        <v>7</v>
      </c>
      <c r="D282" t="s">
        <v>3150</v>
      </c>
      <c r="E282">
        <v>9</v>
      </c>
      <c r="F282">
        <v>41</v>
      </c>
      <c r="G282" t="s">
        <v>3150</v>
      </c>
      <c r="H282">
        <v>7</v>
      </c>
      <c r="I282" t="s">
        <v>3400</v>
      </c>
      <c r="J282" s="2" t="str">
        <f t="shared" si="12"/>
        <v>[293]=41,</v>
      </c>
      <c r="K282" s="3">
        <f t="shared" si="13"/>
        <v>293</v>
      </c>
      <c r="L282" s="3">
        <f t="shared" si="14"/>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3401</v>
      </c>
      <c r="J283" s="2" t="str">
        <f t="shared" si="12"/>
        <v>[294]=58,</v>
      </c>
      <c r="K283" s="3">
        <f t="shared" si="13"/>
        <v>294</v>
      </c>
      <c r="L283" s="3">
        <f t="shared" si="14"/>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3402</v>
      </c>
      <c r="J284" s="2" t="str">
        <f t="shared" si="12"/>
        <v>[295]=281,</v>
      </c>
      <c r="K284" s="3">
        <f t="shared" si="13"/>
        <v>295</v>
      </c>
      <c r="L284" s="3">
        <f t="shared" si="14"/>
        <v>281</v>
      </c>
      <c r="M284" s="9" t="str">
        <f>VLOOKUP(A284,WayshrineNames!$A$3:$B$967,2,)</f>
        <v>Humblemud</v>
      </c>
      <c r="N284" s="3" t="str">
        <f>VLOOKUP(F284,'ESO zones'!$A$5:$D$10003,4,FALSE)</f>
        <v>Bal Foyen</v>
      </c>
    </row>
    <row r="285" spans="1:14" x14ac:dyDescent="0.25">
      <c r="A285" s="58">
        <v>296</v>
      </c>
      <c r="B285">
        <v>7</v>
      </c>
      <c r="C285">
        <v>9</v>
      </c>
      <c r="D285" t="s">
        <v>3129</v>
      </c>
      <c r="E285">
        <v>181</v>
      </c>
      <c r="F285">
        <v>383</v>
      </c>
      <c r="G285" t="s">
        <v>3129</v>
      </c>
      <c r="H285">
        <v>7</v>
      </c>
      <c r="I285" t="s">
        <v>3403</v>
      </c>
      <c r="J285" s="2" t="str">
        <f t="shared" si="12"/>
        <v>[296]=383,</v>
      </c>
      <c r="K285" s="3">
        <f t="shared" si="13"/>
        <v>296</v>
      </c>
      <c r="L285" s="3">
        <f t="shared" si="14"/>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3404</v>
      </c>
      <c r="J286" s="2" t="str">
        <f t="shared" si="12"/>
        <v>[297]=3,</v>
      </c>
      <c r="K286" s="3">
        <f t="shared" si="13"/>
        <v>297</v>
      </c>
      <c r="L286" s="3">
        <f t="shared" si="14"/>
        <v>3</v>
      </c>
      <c r="M286" s="9" t="str">
        <f>VLOOKUP(A286,WayshrineNames!$A$3:$B$967,2,)</f>
        <v>Captain Margaux's Place</v>
      </c>
      <c r="N286" s="3" t="str">
        <f>VLOOKUP(F286,'ESO zones'!$A$5:$D$10003,4,FALSE)</f>
        <v>Glenumbra</v>
      </c>
    </row>
    <row r="287" spans="1:14" x14ac:dyDescent="0.25">
      <c r="A287" s="58">
        <v>298</v>
      </c>
      <c r="B287">
        <v>11</v>
      </c>
      <c r="C287">
        <v>7</v>
      </c>
      <c r="D287" t="s">
        <v>3150</v>
      </c>
      <c r="E287">
        <v>9</v>
      </c>
      <c r="F287">
        <v>41</v>
      </c>
      <c r="G287" t="s">
        <v>3150</v>
      </c>
      <c r="H287">
        <v>7</v>
      </c>
      <c r="I287" t="s">
        <v>3405</v>
      </c>
      <c r="J287" s="2" t="str">
        <f t="shared" si="12"/>
        <v>[298]=41,</v>
      </c>
      <c r="K287" s="3">
        <f t="shared" si="13"/>
        <v>298</v>
      </c>
      <c r="L287" s="3">
        <f t="shared" si="14"/>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3406</v>
      </c>
      <c r="J288" s="2" t="str">
        <f t="shared" si="12"/>
        <v>[299]=58,</v>
      </c>
      <c r="K288" s="3">
        <f t="shared" si="13"/>
        <v>299</v>
      </c>
      <c r="L288" s="3">
        <f t="shared" si="14"/>
        <v>58</v>
      </c>
      <c r="M288" s="9" t="str">
        <f>VLOOKUP(A288,WayshrineNames!$A$3:$B$967,2,)</f>
        <v>Cyrodilic Jungle House</v>
      </c>
      <c r="N288" s="3" t="str">
        <f>VLOOKUP(F288,'ESO zones'!$A$5:$D$10003,4,FALSE)</f>
        <v>Malabal Tor</v>
      </c>
    </row>
    <row r="289" spans="1:14" x14ac:dyDescent="0.25">
      <c r="A289" s="58">
        <v>300</v>
      </c>
      <c r="B289">
        <v>21</v>
      </c>
      <c r="C289">
        <v>258</v>
      </c>
      <c r="D289" t="s">
        <v>3255</v>
      </c>
      <c r="E289">
        <v>307</v>
      </c>
      <c r="F289">
        <v>537</v>
      </c>
      <c r="G289" t="s">
        <v>3255</v>
      </c>
      <c r="H289">
        <v>7</v>
      </c>
      <c r="I289" t="s">
        <v>3407</v>
      </c>
      <c r="J289" s="2" t="str">
        <f t="shared" si="12"/>
        <v>[300]=537,</v>
      </c>
      <c r="K289" s="3">
        <f t="shared" si="13"/>
        <v>300</v>
      </c>
      <c r="L289" s="3">
        <f t="shared" si="14"/>
        <v>537</v>
      </c>
      <c r="M289" s="9" t="str">
        <f>VLOOKUP(A289,WayshrineNames!$A$3:$B$967,2,)</f>
        <v>Moonmirth House</v>
      </c>
      <c r="N289" s="3" t="str">
        <f>VLOOKUP(F289,'ESO zones'!$A$5:$D$10003,4,FALSE)</f>
        <v>Khenarthi's Roost</v>
      </c>
    </row>
    <row r="290" spans="1:14" x14ac:dyDescent="0.25">
      <c r="A290" s="58">
        <v>301</v>
      </c>
      <c r="B290">
        <v>12</v>
      </c>
      <c r="C290">
        <v>125</v>
      </c>
      <c r="D290" t="s">
        <v>3221</v>
      </c>
      <c r="E290">
        <v>16</v>
      </c>
      <c r="F290">
        <v>103</v>
      </c>
      <c r="G290" t="s">
        <v>3221</v>
      </c>
      <c r="H290">
        <v>7</v>
      </c>
      <c r="I290" t="s">
        <v>3408</v>
      </c>
      <c r="J290" s="2" t="str">
        <f t="shared" si="12"/>
        <v>[301]=103,</v>
      </c>
      <c r="K290" s="3">
        <f t="shared" si="13"/>
        <v>301</v>
      </c>
      <c r="L290" s="3">
        <f t="shared" si="14"/>
        <v>103</v>
      </c>
      <c r="M290" s="9" t="str">
        <f>VLOOKUP(A290,WayshrineNames!$A$3:$B$967,2,)</f>
        <v>Autumn's-Gate</v>
      </c>
      <c r="N290" s="3" t="str">
        <f>VLOOKUP(F290,'ESO zones'!$A$5:$D$10003,4,FALSE)</f>
        <v>The Rift</v>
      </c>
    </row>
    <row r="291" spans="1:14" x14ac:dyDescent="0.25">
      <c r="A291" s="58">
        <v>302</v>
      </c>
      <c r="B291">
        <v>4</v>
      </c>
      <c r="C291">
        <v>12</v>
      </c>
      <c r="D291" t="s">
        <v>3121</v>
      </c>
      <c r="E291">
        <v>4</v>
      </c>
      <c r="F291">
        <v>19</v>
      </c>
      <c r="G291" t="s">
        <v>3121</v>
      </c>
      <c r="H291">
        <v>7</v>
      </c>
      <c r="I291" t="s">
        <v>3409</v>
      </c>
      <c r="J291" s="2" t="str">
        <f t="shared" si="12"/>
        <v>[302]=19,</v>
      </c>
      <c r="K291" s="3">
        <f t="shared" si="13"/>
        <v>302</v>
      </c>
      <c r="L291" s="3">
        <f t="shared" si="14"/>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3410</v>
      </c>
      <c r="J292" s="2" t="str">
        <f t="shared" si="12"/>
        <v>[303]=92,</v>
      </c>
      <c r="K292" s="3">
        <f t="shared" si="13"/>
        <v>303</v>
      </c>
      <c r="L292" s="3">
        <f t="shared" si="14"/>
        <v>92</v>
      </c>
      <c r="M292" s="9" t="str">
        <f>VLOOKUP(A292,WayshrineNames!$A$3:$B$967,2,)</f>
        <v>Twin Arches</v>
      </c>
      <c r="N292" s="3" t="str">
        <f>VLOOKUP(F292,'ESO zones'!$A$5:$D$10003,4,FALSE)</f>
        <v>Bangkorai</v>
      </c>
    </row>
    <row r="293" spans="1:14" x14ac:dyDescent="0.25">
      <c r="A293" s="58">
        <v>304</v>
      </c>
      <c r="B293">
        <v>16</v>
      </c>
      <c r="C293">
        <v>300</v>
      </c>
      <c r="D293" t="s">
        <v>3258</v>
      </c>
      <c r="E293">
        <v>18</v>
      </c>
      <c r="F293">
        <v>108</v>
      </c>
      <c r="G293" t="s">
        <v>3258</v>
      </c>
      <c r="H293">
        <v>7</v>
      </c>
      <c r="I293" t="s">
        <v>3411</v>
      </c>
      <c r="J293" s="2" t="str">
        <f t="shared" si="12"/>
        <v>[304]=108,</v>
      </c>
      <c r="K293" s="3">
        <f t="shared" si="13"/>
        <v>304</v>
      </c>
      <c r="L293" s="3">
        <f t="shared" si="14"/>
        <v>108</v>
      </c>
      <c r="M293" s="9" t="str">
        <f>VLOOKUP(A293,WayshrineNames!$A$3:$B$967,2,)</f>
        <v>Cliffshade</v>
      </c>
      <c r="N293" s="3" t="str">
        <f>VLOOKUP(F293,'ESO zones'!$A$5:$D$10003,4,FALSE)</f>
        <v>Greenshade</v>
      </c>
    </row>
    <row r="294" spans="1:14" x14ac:dyDescent="0.25">
      <c r="A294" s="58">
        <v>305</v>
      </c>
      <c r="B294">
        <v>9</v>
      </c>
      <c r="C294">
        <v>26</v>
      </c>
      <c r="D294" t="s">
        <v>3159</v>
      </c>
      <c r="E294">
        <v>19</v>
      </c>
      <c r="F294">
        <v>117</v>
      </c>
      <c r="G294" t="s">
        <v>3159</v>
      </c>
      <c r="H294">
        <v>7</v>
      </c>
      <c r="I294" t="s">
        <v>3412</v>
      </c>
      <c r="J294" s="2" t="str">
        <f t="shared" si="12"/>
        <v>[305]=117,</v>
      </c>
      <c r="K294" s="3">
        <f t="shared" si="13"/>
        <v>305</v>
      </c>
      <c r="L294" s="3">
        <f t="shared" si="14"/>
        <v>117</v>
      </c>
      <c r="M294" s="9" t="str">
        <f>VLOOKUP(A294,WayshrineNames!$A$3:$B$967,2,)</f>
        <v>The Ample Domicile</v>
      </c>
      <c r="N294" s="3" t="str">
        <f>VLOOKUP(F294,'ESO zones'!$A$5:$D$10003,4,FALSE)</f>
        <v>Shadowfen</v>
      </c>
    </row>
    <row r="295" spans="1:14" x14ac:dyDescent="0.25">
      <c r="A295" s="58">
        <v>306</v>
      </c>
      <c r="B295">
        <v>16</v>
      </c>
      <c r="C295">
        <v>300</v>
      </c>
      <c r="D295" t="s">
        <v>3258</v>
      </c>
      <c r="E295">
        <v>18</v>
      </c>
      <c r="F295">
        <v>108</v>
      </c>
      <c r="G295" t="s">
        <v>3258</v>
      </c>
      <c r="H295">
        <v>7</v>
      </c>
      <c r="I295" t="s">
        <v>3413</v>
      </c>
      <c r="J295" s="2" t="str">
        <f t="shared" si="12"/>
        <v>[306]=108,</v>
      </c>
      <c r="K295" s="3">
        <f t="shared" si="13"/>
        <v>306</v>
      </c>
      <c r="L295" s="3">
        <f t="shared" si="14"/>
        <v>108</v>
      </c>
      <c r="M295" s="9" t="str">
        <f>VLOOKUP(A295,WayshrineNames!$A$3:$B$967,2,)</f>
        <v>Bouldertree Refuge</v>
      </c>
      <c r="N295" s="3" t="str">
        <f>VLOOKUP(F295,'ESO zones'!$A$5:$D$10003,4,FALSE)</f>
        <v>Greenshade</v>
      </c>
    </row>
    <row r="296" spans="1:14" x14ac:dyDescent="0.25">
      <c r="A296" s="58">
        <v>307</v>
      </c>
      <c r="B296">
        <v>3</v>
      </c>
      <c r="C296">
        <v>10</v>
      </c>
      <c r="D296" t="s">
        <v>3115</v>
      </c>
      <c r="E296">
        <v>5</v>
      </c>
      <c r="F296">
        <v>20</v>
      </c>
      <c r="G296" t="s">
        <v>3115</v>
      </c>
      <c r="H296">
        <v>7</v>
      </c>
      <c r="I296" t="s">
        <v>3414</v>
      </c>
      <c r="J296" s="2" t="str">
        <f t="shared" si="12"/>
        <v>[307]=20,</v>
      </c>
      <c r="K296" s="3">
        <f t="shared" si="13"/>
        <v>307</v>
      </c>
      <c r="L296" s="3">
        <f t="shared" si="14"/>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3415</v>
      </c>
      <c r="J297" s="2" t="str">
        <f t="shared" si="12"/>
        <v>[309]=57,</v>
      </c>
      <c r="K297" s="3">
        <f t="shared" si="13"/>
        <v>309</v>
      </c>
      <c r="L297" s="3">
        <f t="shared" si="14"/>
        <v>57</v>
      </c>
      <c r="M297" s="9" t="str">
        <f>VLOOKUP(A297,WayshrineNames!$A$3:$B$967,2,)</f>
        <v>Velothi Reverie</v>
      </c>
      <c r="N297" s="3" t="str">
        <f>VLOOKUP(F297,'ESO zones'!$A$5:$D$10003,4,FALSE)</f>
        <v>Deshaan</v>
      </c>
    </row>
    <row r="298" spans="1:14" x14ac:dyDescent="0.25">
      <c r="A298" s="58">
        <v>310</v>
      </c>
      <c r="B298">
        <v>25</v>
      </c>
      <c r="C298">
        <v>1126</v>
      </c>
      <c r="D298" t="s">
        <v>3331</v>
      </c>
      <c r="E298">
        <v>501</v>
      </c>
      <c r="F298">
        <v>888</v>
      </c>
      <c r="G298" t="s">
        <v>3331</v>
      </c>
      <c r="H298">
        <v>7</v>
      </c>
      <c r="I298" t="s">
        <v>2604</v>
      </c>
      <c r="J298" s="2" t="str">
        <f t="shared" si="12"/>
        <v>[310]=888,</v>
      </c>
      <c r="K298" s="3">
        <f t="shared" si="13"/>
        <v>310</v>
      </c>
      <c r="L298" s="3">
        <f t="shared" si="14"/>
        <v>888</v>
      </c>
      <c r="M298" s="9" t="str">
        <f>VLOOKUP(A298,WayshrineNames!$A$3:$B$967,2,)</f>
        <v>Domus Phrasticus</v>
      </c>
      <c r="N298" s="3" t="str">
        <f>VLOOKUP(F298,'ESO zones'!$A$5:$D$10003,4,FALSE)</f>
        <v>Craglorn</v>
      </c>
    </row>
    <row r="299" spans="1:14" x14ac:dyDescent="0.25">
      <c r="A299" s="58">
        <v>311</v>
      </c>
      <c r="B299">
        <v>17</v>
      </c>
      <c r="C299">
        <v>256</v>
      </c>
      <c r="D299" t="s">
        <v>3260</v>
      </c>
      <c r="E299">
        <v>180</v>
      </c>
      <c r="F299">
        <v>382</v>
      </c>
      <c r="G299" t="s">
        <v>3260</v>
      </c>
      <c r="H299">
        <v>7</v>
      </c>
      <c r="I299" t="s">
        <v>3416</v>
      </c>
      <c r="J299" s="2" t="str">
        <f t="shared" si="12"/>
        <v>[311]=382,</v>
      </c>
      <c r="K299" s="3">
        <f t="shared" si="13"/>
        <v>311</v>
      </c>
      <c r="L299" s="3">
        <f t="shared" si="14"/>
        <v>382</v>
      </c>
      <c r="M299" s="9" t="str">
        <f>VLOOKUP(A299,WayshrineNames!$A$3:$B$967,2,)</f>
        <v>Sleek Creek House</v>
      </c>
      <c r="N299" s="3" t="str">
        <f>VLOOKUP(F299,'ESO zones'!$A$5:$D$10003,4,FALSE)</f>
        <v>Reaper's March</v>
      </c>
    </row>
    <row r="300" spans="1:14" x14ac:dyDescent="0.25">
      <c r="A300" s="58">
        <v>312</v>
      </c>
      <c r="B300">
        <v>13</v>
      </c>
      <c r="C300">
        <v>61</v>
      </c>
      <c r="D300" t="s">
        <v>3198</v>
      </c>
      <c r="E300">
        <v>15</v>
      </c>
      <c r="F300">
        <v>101</v>
      </c>
      <c r="G300" t="s">
        <v>3198</v>
      </c>
      <c r="H300">
        <v>7</v>
      </c>
      <c r="I300" t="s">
        <v>3417</v>
      </c>
      <c r="J300" s="2" t="str">
        <f t="shared" si="12"/>
        <v>[312]=101,</v>
      </c>
      <c r="K300" s="3">
        <f t="shared" si="13"/>
        <v>312</v>
      </c>
      <c r="L300" s="3">
        <f t="shared" si="14"/>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3418</v>
      </c>
      <c r="J301" s="2" t="str">
        <f t="shared" si="12"/>
        <v>[313]=92,</v>
      </c>
      <c r="K301" s="3">
        <f t="shared" si="13"/>
        <v>313</v>
      </c>
      <c r="L301" s="3">
        <f t="shared" si="14"/>
        <v>92</v>
      </c>
      <c r="M301" s="9" t="str">
        <f>VLOOKUP(A301,WayshrineNames!$A$3:$B$967,2,)</f>
        <v>Mournoth Keep</v>
      </c>
      <c r="N301" s="3" t="str">
        <f>VLOOKUP(F301,'ESO zones'!$A$5:$D$10003,4,FALSE)</f>
        <v>Bangkorai</v>
      </c>
    </row>
    <row r="302" spans="1:14" x14ac:dyDescent="0.25">
      <c r="A302" s="58">
        <v>314</v>
      </c>
      <c r="B302">
        <v>5</v>
      </c>
      <c r="C302">
        <v>30</v>
      </c>
      <c r="D302" t="s">
        <v>3152</v>
      </c>
      <c r="E302">
        <v>17</v>
      </c>
      <c r="F302">
        <v>104</v>
      </c>
      <c r="G302" t="s">
        <v>3153</v>
      </c>
      <c r="H302">
        <v>7</v>
      </c>
      <c r="I302" t="s">
        <v>3419</v>
      </c>
      <c r="J302" s="2" t="str">
        <f t="shared" si="12"/>
        <v>[314]=104,</v>
      </c>
      <c r="K302" s="3">
        <f t="shared" si="13"/>
        <v>314</v>
      </c>
      <c r="L302" s="3">
        <f t="shared" si="14"/>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3420</v>
      </c>
      <c r="J303" s="2" t="str">
        <f t="shared" si="12"/>
        <v>[315]=381,</v>
      </c>
      <c r="K303" s="3">
        <f t="shared" si="13"/>
        <v>315</v>
      </c>
      <c r="L303" s="3">
        <f t="shared" si="14"/>
        <v>381</v>
      </c>
      <c r="M303" s="9" t="str">
        <f>VLOOKUP(A303,WayshrineNames!$A$3:$B$967,2,)</f>
        <v>Mathiisen Manor</v>
      </c>
      <c r="N303" s="3" t="str">
        <f>VLOOKUP(F303,'ESO zones'!$A$5:$D$10003,4,FALSE)</f>
        <v>Auridon</v>
      </c>
    </row>
    <row r="304" spans="1:14" x14ac:dyDescent="0.25">
      <c r="A304" s="58">
        <v>316</v>
      </c>
      <c r="B304">
        <v>9</v>
      </c>
      <c r="C304">
        <v>26</v>
      </c>
      <c r="D304" t="s">
        <v>3159</v>
      </c>
      <c r="E304">
        <v>19</v>
      </c>
      <c r="F304">
        <v>117</v>
      </c>
      <c r="G304" t="s">
        <v>3159</v>
      </c>
      <c r="H304">
        <v>7</v>
      </c>
      <c r="I304" t="s">
        <v>3421</v>
      </c>
      <c r="J304" s="2" t="str">
        <f t="shared" si="12"/>
        <v>[316]=117,</v>
      </c>
      <c r="K304" s="3">
        <f t="shared" si="13"/>
        <v>316</v>
      </c>
      <c r="L304" s="3">
        <f t="shared" si="14"/>
        <v>117</v>
      </c>
      <c r="M304" s="9" t="str">
        <f>VLOOKUP(A304,WayshrineNames!$A$3:$B$967,2,)</f>
        <v>Stay-Moist Mansion</v>
      </c>
      <c r="N304" s="3" t="str">
        <f>VLOOKUP(F304,'ESO zones'!$A$5:$D$10003,4,FALSE)</f>
        <v>Shadowfen</v>
      </c>
    </row>
    <row r="305" spans="1:14" x14ac:dyDescent="0.25">
      <c r="A305" s="58">
        <v>317</v>
      </c>
      <c r="B305">
        <v>7</v>
      </c>
      <c r="C305">
        <v>9</v>
      </c>
      <c r="D305" t="s">
        <v>3129</v>
      </c>
      <c r="E305">
        <v>181</v>
      </c>
      <c r="F305">
        <v>383</v>
      </c>
      <c r="G305" t="s">
        <v>3129</v>
      </c>
      <c r="H305">
        <v>7</v>
      </c>
      <c r="I305" t="s">
        <v>3422</v>
      </c>
      <c r="J305" s="2" t="str">
        <f t="shared" si="12"/>
        <v>[317]=383,</v>
      </c>
      <c r="K305" s="3">
        <f t="shared" si="13"/>
        <v>317</v>
      </c>
      <c r="L305" s="3">
        <f t="shared" si="14"/>
        <v>383</v>
      </c>
      <c r="M305" s="9" t="str">
        <f>VLOOKUP(A305,WayshrineNames!$A$3:$B$967,2,)</f>
        <v>The Gorinir Estate</v>
      </c>
      <c r="N305" s="3" t="str">
        <f>VLOOKUP(F305,'ESO zones'!$A$5:$D$10003,4,FALSE)</f>
        <v>Grahtwood</v>
      </c>
    </row>
    <row r="306" spans="1:14" x14ac:dyDescent="0.25">
      <c r="A306" s="58">
        <v>318</v>
      </c>
      <c r="B306">
        <v>4</v>
      </c>
      <c r="C306">
        <v>12</v>
      </c>
      <c r="D306" t="s">
        <v>3121</v>
      </c>
      <c r="E306">
        <v>4</v>
      </c>
      <c r="F306">
        <v>19</v>
      </c>
      <c r="G306" t="s">
        <v>3121</v>
      </c>
      <c r="H306">
        <v>7</v>
      </c>
      <c r="I306" t="s">
        <v>3423</v>
      </c>
      <c r="J306" s="2" t="str">
        <f t="shared" si="12"/>
        <v>[318]=19,</v>
      </c>
      <c r="K306" s="3">
        <f t="shared" si="13"/>
        <v>318</v>
      </c>
      <c r="L306" s="3">
        <f t="shared" si="14"/>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2608</v>
      </c>
      <c r="J307" s="2" t="str">
        <f t="shared" si="12"/>
        <v>[319]=57,</v>
      </c>
      <c r="K307" s="3">
        <f t="shared" si="13"/>
        <v>319</v>
      </c>
      <c r="L307" s="3">
        <f t="shared" si="14"/>
        <v>57</v>
      </c>
      <c r="M307" s="9" t="str">
        <f>VLOOKUP(A307,WayshrineNames!$A$3:$B$967,2,)</f>
        <v>Quondam Indorilia</v>
      </c>
      <c r="N307" s="3" t="str">
        <f>VLOOKUP(F307,'ESO zones'!$A$5:$D$10003,4,FALSE)</f>
        <v>Deshaan</v>
      </c>
    </row>
    <row r="308" spans="1:14" x14ac:dyDescent="0.25">
      <c r="A308" s="58">
        <v>320</v>
      </c>
      <c r="B308">
        <v>17</v>
      </c>
      <c r="C308">
        <v>256</v>
      </c>
      <c r="D308" t="s">
        <v>3260</v>
      </c>
      <c r="E308">
        <v>180</v>
      </c>
      <c r="F308">
        <v>382</v>
      </c>
      <c r="G308" t="s">
        <v>3260</v>
      </c>
      <c r="H308">
        <v>7</v>
      </c>
      <c r="I308" t="s">
        <v>3424</v>
      </c>
      <c r="J308" s="2" t="str">
        <f t="shared" si="12"/>
        <v>[320]=382,</v>
      </c>
      <c r="K308" s="3">
        <f t="shared" si="13"/>
        <v>320</v>
      </c>
      <c r="L308" s="3">
        <f t="shared" si="14"/>
        <v>382</v>
      </c>
      <c r="M308" s="9" t="str">
        <f>VLOOKUP(A308,WayshrineNames!$A$3:$B$967,2,)</f>
        <v>Strident Springs Demesne</v>
      </c>
      <c r="N308" s="3" t="str">
        <f>VLOOKUP(F308,'ESO zones'!$A$5:$D$10003,4,FALSE)</f>
        <v>Reaper's March</v>
      </c>
    </row>
    <row r="309" spans="1:14" x14ac:dyDescent="0.25">
      <c r="A309" s="58">
        <v>321</v>
      </c>
      <c r="B309">
        <v>17</v>
      </c>
      <c r="C309">
        <v>256</v>
      </c>
      <c r="D309" t="s">
        <v>3260</v>
      </c>
      <c r="E309">
        <v>180</v>
      </c>
      <c r="F309">
        <v>382</v>
      </c>
      <c r="G309" t="s">
        <v>3260</v>
      </c>
      <c r="H309">
        <v>7</v>
      </c>
      <c r="I309" t="s">
        <v>3425</v>
      </c>
      <c r="J309" s="2" t="str">
        <f t="shared" si="12"/>
        <v>[321]=382,</v>
      </c>
      <c r="K309" s="3">
        <f t="shared" si="13"/>
        <v>321</v>
      </c>
      <c r="L309" s="3">
        <f t="shared" si="14"/>
        <v>382</v>
      </c>
      <c r="M309" s="9" t="str">
        <f>VLOOKUP(A309,WayshrineNames!$A$3:$B$967,2,)</f>
        <v>Dawnshadow</v>
      </c>
      <c r="N309" s="3" t="str">
        <f>VLOOKUP(F309,'ESO zones'!$A$5:$D$10003,4,FALSE)</f>
        <v>Reaper's March</v>
      </c>
    </row>
    <row r="310" spans="1:14" x14ac:dyDescent="0.25">
      <c r="A310" s="58">
        <v>322</v>
      </c>
      <c r="B310">
        <v>12</v>
      </c>
      <c r="C310">
        <v>125</v>
      </c>
      <c r="D310" t="s">
        <v>3221</v>
      </c>
      <c r="E310">
        <v>16</v>
      </c>
      <c r="F310">
        <v>103</v>
      </c>
      <c r="G310" t="s">
        <v>3221</v>
      </c>
      <c r="H310">
        <v>7</v>
      </c>
      <c r="I310" t="s">
        <v>3426</v>
      </c>
      <c r="J310" s="2" t="str">
        <f t="shared" si="12"/>
        <v>[322]=103,</v>
      </c>
      <c r="K310" s="3">
        <f t="shared" si="13"/>
        <v>322</v>
      </c>
      <c r="L310" s="3">
        <f t="shared" si="14"/>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3427</v>
      </c>
      <c r="J311" s="2" t="str">
        <f t="shared" si="12"/>
        <v>[323]=92,</v>
      </c>
      <c r="K311" s="3">
        <f t="shared" si="13"/>
        <v>323</v>
      </c>
      <c r="L311" s="3">
        <f t="shared" si="14"/>
        <v>92</v>
      </c>
      <c r="M311" s="9" t="str">
        <f>VLOOKUP(A311,WayshrineNames!$A$3:$B$967,2,)</f>
        <v>Forsaken Stronghold</v>
      </c>
      <c r="N311" s="3" t="str">
        <f>VLOOKUP(F311,'ESO zones'!$A$5:$D$10003,4,FALSE)</f>
        <v>Bangkorai</v>
      </c>
    </row>
    <row r="312" spans="1:14" x14ac:dyDescent="0.25">
      <c r="A312" s="58">
        <v>324</v>
      </c>
      <c r="B312">
        <v>19</v>
      </c>
      <c r="C312">
        <v>201</v>
      </c>
      <c r="D312" t="s">
        <v>2452</v>
      </c>
      <c r="E312">
        <v>305</v>
      </c>
      <c r="F312">
        <v>534</v>
      </c>
      <c r="G312" t="s">
        <v>2452</v>
      </c>
      <c r="H312">
        <v>7</v>
      </c>
      <c r="I312" t="s">
        <v>3428</v>
      </c>
      <c r="J312" s="2" t="str">
        <f t="shared" si="12"/>
        <v>[324]=534,</v>
      </c>
      <c r="K312" s="3">
        <f t="shared" si="13"/>
        <v>324</v>
      </c>
      <c r="L312" s="3">
        <f t="shared" si="14"/>
        <v>534</v>
      </c>
      <c r="M312" s="9" t="str">
        <f>VLOOKUP(A312,WayshrineNames!$A$3:$B$967,2,)</f>
        <v>Hunding's Palatial Hall</v>
      </c>
      <c r="N312" s="3" t="str">
        <f>VLOOKUP(F312,'ESO zones'!$A$5:$D$10003,4,FALSE)</f>
        <v>Stros M'Kai</v>
      </c>
    </row>
    <row r="313" spans="1:14" x14ac:dyDescent="0.25">
      <c r="A313" s="58">
        <v>325</v>
      </c>
      <c r="B313">
        <v>7</v>
      </c>
      <c r="C313">
        <v>9</v>
      </c>
      <c r="D313" t="s">
        <v>3129</v>
      </c>
      <c r="E313">
        <v>181</v>
      </c>
      <c r="F313">
        <v>383</v>
      </c>
      <c r="G313" t="s">
        <v>3129</v>
      </c>
      <c r="H313">
        <v>7</v>
      </c>
      <c r="I313" t="s">
        <v>3429</v>
      </c>
      <c r="J313" s="2" t="str">
        <f t="shared" si="12"/>
        <v>[325]=383,</v>
      </c>
      <c r="K313" s="3">
        <f t="shared" si="13"/>
        <v>325</v>
      </c>
      <c r="L313" s="3">
        <f t="shared" si="14"/>
        <v>383</v>
      </c>
      <c r="M313" s="9" t="str">
        <f>VLOOKUP(A313,WayshrineNames!$A$3:$B$967,2,)</f>
        <v>Grand Topal Hideaway</v>
      </c>
      <c r="N313" s="3" t="str">
        <f>VLOOKUP(F313,'ESO zones'!$A$5:$D$10003,4,FALSE)</f>
        <v>Grahtwood</v>
      </c>
    </row>
    <row r="314" spans="1:14" x14ac:dyDescent="0.25">
      <c r="A314" s="58">
        <v>326</v>
      </c>
      <c r="B314">
        <v>25</v>
      </c>
      <c r="C314">
        <v>1126</v>
      </c>
      <c r="D314" t="s">
        <v>3331</v>
      </c>
      <c r="E314">
        <v>501</v>
      </c>
      <c r="F314">
        <v>888</v>
      </c>
      <c r="G314" t="s">
        <v>3331</v>
      </c>
      <c r="H314">
        <v>6</v>
      </c>
      <c r="I314" t="s">
        <v>3430</v>
      </c>
      <c r="J314" s="2" t="str">
        <f t="shared" si="12"/>
        <v>[326]=888,</v>
      </c>
      <c r="K314" s="3">
        <f t="shared" si="13"/>
        <v>326</v>
      </c>
      <c r="L314" s="3">
        <f t="shared" si="14"/>
        <v>888</v>
      </c>
      <c r="M314" s="9" t="str">
        <f>VLOOKUP(A314,WayshrineNames!$A$3:$B$967,2,)</f>
        <v>Dungeon: Bloodroot Forge</v>
      </c>
      <c r="N314" s="3" t="str">
        <f>VLOOKUP(F314,'ESO zones'!$A$5:$D$10003,4,FALSE)</f>
        <v>Craglorn</v>
      </c>
    </row>
    <row r="315" spans="1:14" x14ac:dyDescent="0.25">
      <c r="A315" s="58">
        <v>327</v>
      </c>
      <c r="B315">
        <v>25</v>
      </c>
      <c r="C315">
        <v>1126</v>
      </c>
      <c r="D315" t="s">
        <v>3331</v>
      </c>
      <c r="E315">
        <v>501</v>
      </c>
      <c r="F315">
        <v>888</v>
      </c>
      <c r="G315" t="s">
        <v>3331</v>
      </c>
      <c r="H315">
        <v>7</v>
      </c>
      <c r="I315" t="s">
        <v>3431</v>
      </c>
      <c r="J315" s="2" t="str">
        <f t="shared" si="12"/>
        <v>[327]=888,</v>
      </c>
      <c r="K315" s="3">
        <f t="shared" si="13"/>
        <v>327</v>
      </c>
      <c r="L315" s="3">
        <f t="shared" si="14"/>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3432</v>
      </c>
      <c r="J316" s="2" t="str">
        <f t="shared" si="12"/>
        <v>[328]=849,</v>
      </c>
      <c r="K316" s="3">
        <f t="shared" si="13"/>
        <v>328</v>
      </c>
      <c r="L316" s="3">
        <f t="shared" si="14"/>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3433</v>
      </c>
      <c r="J317" s="2" t="str">
        <f t="shared" si="12"/>
        <v>[329]=849,</v>
      </c>
      <c r="K317" s="3">
        <f t="shared" si="13"/>
        <v>329</v>
      </c>
      <c r="L317" s="3">
        <f t="shared" si="14"/>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3434</v>
      </c>
      <c r="J318" s="2" t="str">
        <f t="shared" si="12"/>
        <v>[330]=849,</v>
      </c>
      <c r="K318" s="3">
        <f t="shared" si="13"/>
        <v>330</v>
      </c>
      <c r="L318" s="3">
        <f t="shared" si="14"/>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3435</v>
      </c>
      <c r="J319" s="2" t="str">
        <f t="shared" si="12"/>
        <v>[331]=849,</v>
      </c>
      <c r="K319" s="3">
        <f t="shared" si="13"/>
        <v>331</v>
      </c>
      <c r="L319" s="3">
        <f t="shared" si="14"/>
        <v>849</v>
      </c>
      <c r="M319" s="9" t="str">
        <f>VLOOKUP(A319,WayshrineNames!$A$3:$B$967,2,)</f>
        <v>Trial: Halls of Fabrication</v>
      </c>
      <c r="N319" s="3" t="str">
        <f>VLOOKUP(F319,'ESO zones'!$A$5:$D$10003,4,FALSE)</f>
        <v>Vvardenfell</v>
      </c>
    </row>
    <row r="320" spans="1:14" x14ac:dyDescent="0.25">
      <c r="A320" s="58">
        <v>332</v>
      </c>
      <c r="B320">
        <v>25</v>
      </c>
      <c r="C320">
        <v>1126</v>
      </c>
      <c r="D320" t="s">
        <v>3331</v>
      </c>
      <c r="E320">
        <v>501</v>
      </c>
      <c r="F320">
        <v>888</v>
      </c>
      <c r="G320" t="s">
        <v>3331</v>
      </c>
      <c r="H320">
        <v>6</v>
      </c>
      <c r="I320" t="s">
        <v>3436</v>
      </c>
      <c r="J320" s="2" t="str">
        <f t="shared" si="12"/>
        <v>[332]=888,</v>
      </c>
      <c r="K320" s="3">
        <f t="shared" si="13"/>
        <v>332</v>
      </c>
      <c r="L320" s="3">
        <f t="shared" si="14"/>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3437</v>
      </c>
      <c r="J321" s="2" t="str">
        <f t="shared" si="12"/>
        <v>[333]=849,</v>
      </c>
      <c r="K321" s="3">
        <f t="shared" si="13"/>
        <v>333</v>
      </c>
      <c r="L321" s="3">
        <f t="shared" si="14"/>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3438</v>
      </c>
      <c r="J322" s="2" t="str">
        <f t="shared" si="12"/>
        <v>[334]=849,</v>
      </c>
      <c r="K322" s="3">
        <f t="shared" si="13"/>
        <v>334</v>
      </c>
      <c r="L322" s="3">
        <f t="shared" si="14"/>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3439</v>
      </c>
      <c r="J323" s="2" t="str">
        <f t="shared" ref="J323:J386" si="15">IF(A323&lt;&gt;"",IF(F323&lt;&gt;"",IF(OR(ISNA(A323),ISNA(F323)),"","["&amp;A323&amp;"]="&amp;F323&amp;","),""),"")</f>
        <v>[335]=849,</v>
      </c>
      <c r="K323" s="3">
        <f t="shared" ref="K323:K386" si="16">A323</f>
        <v>335</v>
      </c>
      <c r="L323" s="3">
        <f t="shared" ref="L323:L386" si="17">F323</f>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2707</v>
      </c>
      <c r="J324" s="2" t="str">
        <f t="shared" si="15"/>
        <v>[336]=849,</v>
      </c>
      <c r="K324" s="3">
        <f t="shared" si="16"/>
        <v>336</v>
      </c>
      <c r="L324" s="3">
        <f t="shared" si="17"/>
        <v>849</v>
      </c>
      <c r="M324" s="9" t="str">
        <f>VLOOKUP(A324,WayshrineNames!$A$3:$B$967,2,)</f>
        <v>Tel Galen</v>
      </c>
      <c r="N324" s="3" t="str">
        <f>VLOOKUP(F324,'ESO zones'!$A$5:$D$10003,4,FALSE)</f>
        <v>Vvardenfell</v>
      </c>
    </row>
    <row r="325" spans="1:14" x14ac:dyDescent="0.25">
      <c r="A325" s="58">
        <v>337</v>
      </c>
      <c r="B325">
        <v>31</v>
      </c>
      <c r="C325">
        <v>1313</v>
      </c>
      <c r="D325" t="s">
        <v>3440</v>
      </c>
      <c r="E325">
        <v>590</v>
      </c>
      <c r="F325">
        <v>980</v>
      </c>
      <c r="G325" t="s">
        <v>3441</v>
      </c>
      <c r="H325">
        <v>1</v>
      </c>
      <c r="I325" t="s">
        <v>3442</v>
      </c>
      <c r="J325" s="2" t="str">
        <f t="shared" si="15"/>
        <v>[337]=980,</v>
      </c>
      <c r="K325" s="3">
        <f t="shared" si="16"/>
        <v>337</v>
      </c>
      <c r="L325" s="3">
        <f t="shared" si="17"/>
        <v>980</v>
      </c>
      <c r="M325" s="9" t="str">
        <f>VLOOKUP(A325,WayshrineNames!$A$3:$B$967,2,)</f>
        <v>Brass Fortress Wayshrine</v>
      </c>
      <c r="N325" s="3" t="str">
        <f>VLOOKUP(F325,'ESO zones'!$A$5:$D$10003,4,FALSE)</f>
        <v>Clockwork City</v>
      </c>
    </row>
    <row r="326" spans="1:14" x14ac:dyDescent="0.25">
      <c r="A326" s="58">
        <v>338</v>
      </c>
      <c r="B326">
        <v>31</v>
      </c>
      <c r="C326">
        <v>1313</v>
      </c>
      <c r="D326" t="s">
        <v>3440</v>
      </c>
      <c r="E326">
        <v>590</v>
      </c>
      <c r="F326">
        <v>980</v>
      </c>
      <c r="G326" t="s">
        <v>3441</v>
      </c>
      <c r="H326">
        <v>1</v>
      </c>
      <c r="I326" t="s">
        <v>3443</v>
      </c>
      <c r="J326" s="2" t="str">
        <f t="shared" si="15"/>
        <v>[338]=980,</v>
      </c>
      <c r="K326" s="3">
        <f t="shared" si="16"/>
        <v>338</v>
      </c>
      <c r="L326" s="3">
        <f t="shared" si="17"/>
        <v>980</v>
      </c>
      <c r="M326" s="9" t="str">
        <f>VLOOKUP(A326,WayshrineNames!$A$3:$B$967,2,)</f>
        <v>Clockwork Crossroads Wayshrine</v>
      </c>
      <c r="N326" s="3" t="str">
        <f>VLOOKUP(F326,'ESO zones'!$A$5:$D$10003,4,FALSE)</f>
        <v>Clockwork City</v>
      </c>
    </row>
    <row r="327" spans="1:14" x14ac:dyDescent="0.25">
      <c r="A327" s="58">
        <v>339</v>
      </c>
      <c r="B327">
        <v>31</v>
      </c>
      <c r="C327">
        <v>1313</v>
      </c>
      <c r="D327" t="s">
        <v>3440</v>
      </c>
      <c r="E327">
        <v>590</v>
      </c>
      <c r="F327">
        <v>980</v>
      </c>
      <c r="G327" t="s">
        <v>3441</v>
      </c>
      <c r="H327">
        <v>1</v>
      </c>
      <c r="I327" t="s">
        <v>3444</v>
      </c>
      <c r="J327" s="2" t="str">
        <f t="shared" si="15"/>
        <v>[339]=980,</v>
      </c>
      <c r="K327" s="3">
        <f t="shared" si="16"/>
        <v>339</v>
      </c>
      <c r="L327" s="3">
        <f t="shared" si="17"/>
        <v>980</v>
      </c>
      <c r="M327" s="9" t="str">
        <f>VLOOKUP(A327,WayshrineNames!$A$3:$B$967,2,)</f>
        <v>Mire Mechanica Wayshrine</v>
      </c>
      <c r="N327" s="3" t="str">
        <f>VLOOKUP(F327,'ESO zones'!$A$5:$D$10003,4,FALSE)</f>
        <v>Clockwork City</v>
      </c>
    </row>
    <row r="328" spans="1:14" x14ac:dyDescent="0.25">
      <c r="A328" s="58">
        <v>340</v>
      </c>
      <c r="B328">
        <v>31</v>
      </c>
      <c r="C328">
        <v>1313</v>
      </c>
      <c r="D328" t="s">
        <v>3440</v>
      </c>
      <c r="E328">
        <v>590</v>
      </c>
      <c r="F328">
        <v>980</v>
      </c>
      <c r="G328" t="s">
        <v>3441</v>
      </c>
      <c r="H328">
        <v>1</v>
      </c>
      <c r="I328" t="s">
        <v>3445</v>
      </c>
      <c r="J328" s="2" t="str">
        <f t="shared" si="15"/>
        <v>[340]=980,</v>
      </c>
      <c r="K328" s="3">
        <f t="shared" si="16"/>
        <v>340</v>
      </c>
      <c r="L328" s="3">
        <f t="shared" si="17"/>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3446</v>
      </c>
      <c r="J329" s="2" t="str">
        <f t="shared" si="15"/>
        <v>[341]=92,</v>
      </c>
      <c r="K329" s="3">
        <f t="shared" si="16"/>
        <v>341</v>
      </c>
      <c r="L329" s="3">
        <f t="shared" si="17"/>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3447</v>
      </c>
      <c r="J330" s="2" t="str">
        <f t="shared" si="15"/>
        <v>[342]=3,</v>
      </c>
      <c r="K330" s="3">
        <f t="shared" si="16"/>
        <v>342</v>
      </c>
      <c r="L330" s="3">
        <f t="shared" si="17"/>
        <v>3</v>
      </c>
      <c r="M330" s="9" t="str">
        <f>VLOOKUP(A330,WayshrineNames!$A$3:$B$967,2,)</f>
        <v>Exorcised Coven Cottage</v>
      </c>
      <c r="N330" s="3" t="str">
        <f>VLOOKUP(F330,'ESO zones'!$A$5:$D$10003,4,FALSE)</f>
        <v>Glenumbra</v>
      </c>
    </row>
    <row r="331" spans="1:14" x14ac:dyDescent="0.25">
      <c r="A331" s="58">
        <v>343</v>
      </c>
      <c r="B331">
        <v>29</v>
      </c>
      <c r="C331">
        <v>1006</v>
      </c>
      <c r="D331" t="s">
        <v>3358</v>
      </c>
      <c r="E331">
        <v>449</v>
      </c>
      <c r="F331">
        <v>823</v>
      </c>
      <c r="G331" t="s">
        <v>3359</v>
      </c>
      <c r="H331">
        <v>7</v>
      </c>
      <c r="I331" t="s">
        <v>3448</v>
      </c>
      <c r="J331" s="2" t="str">
        <f t="shared" si="15"/>
        <v>[343]=823,</v>
      </c>
      <c r="K331" s="3">
        <f t="shared" si="16"/>
        <v>343</v>
      </c>
      <c r="L331" s="3">
        <f t="shared" si="17"/>
        <v>823</v>
      </c>
      <c r="M331" s="9" t="str">
        <f>VLOOKUP(A331,WayshrineNames!$A$3:$B$967,2,)</f>
        <v>Linchal Grand Manor</v>
      </c>
      <c r="N331" s="3" t="str">
        <f>VLOOKUP(F331,'ESO zones'!$A$5:$D$10003,4,FALSE)</f>
        <v>Gold Coast</v>
      </c>
    </row>
    <row r="332" spans="1:14" x14ac:dyDescent="0.25">
      <c r="A332" s="58">
        <v>344</v>
      </c>
      <c r="B332">
        <v>23</v>
      </c>
      <c r="C332">
        <v>255</v>
      </c>
      <c r="D332" t="s">
        <v>3241</v>
      </c>
      <c r="E332">
        <v>155</v>
      </c>
      <c r="F332">
        <v>347</v>
      </c>
      <c r="G332" t="s">
        <v>3241</v>
      </c>
      <c r="H332">
        <v>7</v>
      </c>
      <c r="I332" t="s">
        <v>3449</v>
      </c>
      <c r="J332" s="2" t="str">
        <f t="shared" si="15"/>
        <v>[344]=347,</v>
      </c>
      <c r="K332" s="3">
        <f t="shared" si="16"/>
        <v>344</v>
      </c>
      <c r="L332" s="3">
        <f t="shared" si="17"/>
        <v>347</v>
      </c>
      <c r="M332" s="9" t="str">
        <f>VLOOKUP(A332,WayshrineNames!$A$3:$B$967,2,)</f>
        <v>Coldharbour Surreal Estate</v>
      </c>
      <c r="N332" s="3" t="str">
        <f>VLOOKUP(F332,'ESO zones'!$A$5:$D$10003,4,FALSE)</f>
        <v>Coldharbour</v>
      </c>
    </row>
    <row r="333" spans="1:14" x14ac:dyDescent="0.25">
      <c r="A333" s="58">
        <v>345</v>
      </c>
      <c r="B333">
        <v>25</v>
      </c>
      <c r="C333">
        <v>1126</v>
      </c>
      <c r="D333" t="s">
        <v>3331</v>
      </c>
      <c r="E333">
        <v>501</v>
      </c>
      <c r="F333">
        <v>888</v>
      </c>
      <c r="G333" t="s">
        <v>3331</v>
      </c>
      <c r="H333">
        <v>7</v>
      </c>
      <c r="I333" t="s">
        <v>3450</v>
      </c>
      <c r="J333" s="2" t="str">
        <f t="shared" si="15"/>
        <v>[345]=888,</v>
      </c>
      <c r="K333" s="3">
        <f t="shared" si="16"/>
        <v>345</v>
      </c>
      <c r="L333" s="3">
        <f t="shared" si="17"/>
        <v>888</v>
      </c>
      <c r="M333" s="9" t="str">
        <f>VLOOKUP(A333,WayshrineNames!$A$3:$B$967,2,)</f>
        <v>Hakkvild's High Hall</v>
      </c>
      <c r="N333" s="3" t="str">
        <f>VLOOKUP(F333,'ESO zones'!$A$5:$D$10003,4,FALSE)</f>
        <v>Craglorn</v>
      </c>
    </row>
    <row r="334" spans="1:14" x14ac:dyDescent="0.25">
      <c r="A334" s="58">
        <v>346</v>
      </c>
      <c r="B334">
        <v>31</v>
      </c>
      <c r="C334">
        <v>1313</v>
      </c>
      <c r="D334" t="s">
        <v>3440</v>
      </c>
      <c r="E334">
        <v>590</v>
      </c>
      <c r="F334">
        <v>980</v>
      </c>
      <c r="G334" t="s">
        <v>3441</v>
      </c>
      <c r="H334">
        <v>3</v>
      </c>
      <c r="I334" t="s">
        <v>3451</v>
      </c>
      <c r="J334" s="2" t="str">
        <f t="shared" si="15"/>
        <v>[346]=980,</v>
      </c>
      <c r="K334" s="3">
        <f t="shared" si="16"/>
        <v>346</v>
      </c>
      <c r="L334" s="3">
        <f t="shared" si="17"/>
        <v>980</v>
      </c>
      <c r="M334" s="9" t="str">
        <f>VLOOKUP(A334,WayshrineNames!$A$3:$B$967,2,)</f>
        <v>Trial: Asylum Sanctorium</v>
      </c>
      <c r="N334" s="3" t="str">
        <f>VLOOKUP(F334,'ESO zones'!$A$5:$D$10003,4,FALSE)</f>
        <v>Clockwork City</v>
      </c>
    </row>
    <row r="335" spans="1:14" x14ac:dyDescent="0.25">
      <c r="A335" s="58">
        <v>347</v>
      </c>
      <c r="B335">
        <v>31</v>
      </c>
      <c r="C335">
        <v>1313</v>
      </c>
      <c r="D335" t="s">
        <v>3440</v>
      </c>
      <c r="E335">
        <v>590</v>
      </c>
      <c r="F335">
        <v>980</v>
      </c>
      <c r="G335" t="s">
        <v>3441</v>
      </c>
      <c r="H335">
        <v>7</v>
      </c>
      <c r="I335" t="s">
        <v>3452</v>
      </c>
      <c r="J335" s="2" t="str">
        <f t="shared" si="15"/>
        <v>[347]=980,</v>
      </c>
      <c r="K335" s="3">
        <f t="shared" si="16"/>
        <v>347</v>
      </c>
      <c r="L335" s="3">
        <f t="shared" si="17"/>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2740</v>
      </c>
      <c r="J336" s="2" t="str">
        <f t="shared" si="15"/>
        <v>[348]=684,</v>
      </c>
      <c r="K336" s="3">
        <f t="shared" si="16"/>
        <v>348</v>
      </c>
      <c r="L336" s="3">
        <f t="shared" si="17"/>
        <v>684</v>
      </c>
      <c r="M336" s="9" t="str">
        <f>VLOOKUP(A336,WayshrineNames!$A$3:$B$967,2,)</f>
        <v>Pariah's Pinnacle</v>
      </c>
      <c r="N336" s="3" t="str">
        <f>VLOOKUP(F336,'ESO zones'!$A$5:$D$10003,4,FALSE)</f>
        <v>Wrothgar</v>
      </c>
    </row>
    <row r="337" spans="1:14" x14ac:dyDescent="0.25">
      <c r="A337" s="58">
        <v>349</v>
      </c>
      <c r="B337">
        <v>32</v>
      </c>
      <c r="C337">
        <v>1349</v>
      </c>
      <c r="D337" t="s">
        <v>3453</v>
      </c>
      <c r="E337">
        <v>617</v>
      </c>
      <c r="F337">
        <v>1011</v>
      </c>
      <c r="G337" t="s">
        <v>3453</v>
      </c>
      <c r="H337">
        <v>1</v>
      </c>
      <c r="I337" t="s">
        <v>3454</v>
      </c>
      <c r="J337" s="2" t="str">
        <f t="shared" si="15"/>
        <v>[349]=1011,</v>
      </c>
      <c r="K337" s="3">
        <f t="shared" si="16"/>
        <v>349</v>
      </c>
      <c r="L337" s="3">
        <f t="shared" si="17"/>
        <v>1011</v>
      </c>
      <c r="M337" s="9" t="str">
        <f>VLOOKUP(A337,WayshrineNames!$A$3:$B$967,2,)</f>
        <v>King's Haven Pass Wayshrine</v>
      </c>
      <c r="N337" s="3" t="str">
        <f>VLOOKUP(F337,'ESO zones'!$A$5:$D$10003,4,FALSE)</f>
        <v>Summerset</v>
      </c>
    </row>
    <row r="338" spans="1:14" x14ac:dyDescent="0.25">
      <c r="A338" s="58">
        <v>350</v>
      </c>
      <c r="B338">
        <v>32</v>
      </c>
      <c r="C338">
        <v>1349</v>
      </c>
      <c r="D338" t="s">
        <v>3453</v>
      </c>
      <c r="E338">
        <v>617</v>
      </c>
      <c r="F338">
        <v>1011</v>
      </c>
      <c r="G338" t="s">
        <v>3453</v>
      </c>
      <c r="H338">
        <v>1</v>
      </c>
      <c r="I338" t="s">
        <v>3455</v>
      </c>
      <c r="J338" s="2" t="str">
        <f t="shared" si="15"/>
        <v>[350]=1011,</v>
      </c>
      <c r="K338" s="3">
        <f t="shared" si="16"/>
        <v>350</v>
      </c>
      <c r="L338" s="3">
        <f t="shared" si="17"/>
        <v>1011</v>
      </c>
      <c r="M338" s="9" t="str">
        <f>VLOOKUP(A338,WayshrineNames!$A$3:$B$967,2,)</f>
        <v>Shimmerene Wayshrine</v>
      </c>
      <c r="N338" s="3" t="str">
        <f>VLOOKUP(F338,'ESO zones'!$A$5:$D$10003,4,FALSE)</f>
        <v>Summerset</v>
      </c>
    </row>
    <row r="339" spans="1:14" x14ac:dyDescent="0.25">
      <c r="A339" s="58">
        <v>351</v>
      </c>
      <c r="B339">
        <v>32</v>
      </c>
      <c r="C339">
        <v>1349</v>
      </c>
      <c r="D339" t="s">
        <v>3453</v>
      </c>
      <c r="E339">
        <v>617</v>
      </c>
      <c r="F339">
        <v>1011</v>
      </c>
      <c r="G339" t="s">
        <v>3453</v>
      </c>
      <c r="H339">
        <v>1</v>
      </c>
      <c r="I339" t="s">
        <v>3456</v>
      </c>
      <c r="J339" s="2" t="str">
        <f t="shared" si="15"/>
        <v>[351]=1011,</v>
      </c>
      <c r="K339" s="3">
        <f t="shared" si="16"/>
        <v>351</v>
      </c>
      <c r="L339" s="3">
        <f t="shared" si="17"/>
        <v>1011</v>
      </c>
      <c r="M339" s="9" t="str">
        <f>VLOOKUP(A339,WayshrineNames!$A$3:$B$967,2,)</f>
        <v>Sil-Var-Woad Wayshrine</v>
      </c>
      <c r="N339" s="3" t="str">
        <f>VLOOKUP(F339,'ESO zones'!$A$5:$D$10003,4,FALSE)</f>
        <v>Summerset</v>
      </c>
    </row>
    <row r="340" spans="1:14" x14ac:dyDescent="0.25">
      <c r="A340" s="58">
        <v>352</v>
      </c>
      <c r="B340">
        <v>32</v>
      </c>
      <c r="C340">
        <v>1349</v>
      </c>
      <c r="D340" t="s">
        <v>3453</v>
      </c>
      <c r="E340">
        <v>617</v>
      </c>
      <c r="F340">
        <v>1011</v>
      </c>
      <c r="G340" t="s">
        <v>3453</v>
      </c>
      <c r="H340">
        <v>1</v>
      </c>
      <c r="I340" t="s">
        <v>3457</v>
      </c>
      <c r="J340" s="2" t="str">
        <f t="shared" si="15"/>
        <v>[352]=1011,</v>
      </c>
      <c r="K340" s="3">
        <f t="shared" si="16"/>
        <v>352</v>
      </c>
      <c r="L340" s="3">
        <f t="shared" si="17"/>
        <v>1011</v>
      </c>
      <c r="M340" s="9" t="str">
        <f>VLOOKUP(A340,WayshrineNames!$A$3:$B$967,2,)</f>
        <v>Russafeld Heights Wayshrine</v>
      </c>
      <c r="N340" s="3" t="str">
        <f>VLOOKUP(F340,'ESO zones'!$A$5:$D$10003,4,FALSE)</f>
        <v>Summerset</v>
      </c>
    </row>
    <row r="341" spans="1:14" x14ac:dyDescent="0.25">
      <c r="A341" s="58">
        <v>353</v>
      </c>
      <c r="B341">
        <v>32</v>
      </c>
      <c r="C341">
        <v>1349</v>
      </c>
      <c r="D341" t="s">
        <v>3453</v>
      </c>
      <c r="E341">
        <v>617</v>
      </c>
      <c r="F341">
        <v>1011</v>
      </c>
      <c r="G341" t="s">
        <v>3453</v>
      </c>
      <c r="H341">
        <v>1</v>
      </c>
      <c r="I341" t="s">
        <v>3458</v>
      </c>
      <c r="J341" s="2" t="str">
        <f t="shared" si="15"/>
        <v>[353]=1011,</v>
      </c>
      <c r="K341" s="3">
        <f t="shared" si="16"/>
        <v>353</v>
      </c>
      <c r="L341" s="3">
        <f t="shared" si="17"/>
        <v>1011</v>
      </c>
      <c r="M341" s="9" t="str">
        <f>VLOOKUP(A341,WayshrineNames!$A$3:$B$967,2,)</f>
        <v>Cey-Tarn Keep Wayshrine</v>
      </c>
      <c r="N341" s="3" t="str">
        <f>VLOOKUP(F341,'ESO zones'!$A$5:$D$10003,4,FALSE)</f>
        <v>Summerset</v>
      </c>
    </row>
    <row r="342" spans="1:14" x14ac:dyDescent="0.25">
      <c r="A342" s="58">
        <v>354</v>
      </c>
      <c r="B342">
        <v>32</v>
      </c>
      <c r="C342">
        <v>1349</v>
      </c>
      <c r="D342" t="s">
        <v>3453</v>
      </c>
      <c r="E342">
        <v>617</v>
      </c>
      <c r="F342">
        <v>1011</v>
      </c>
      <c r="G342" t="s">
        <v>3453</v>
      </c>
      <c r="H342">
        <v>1</v>
      </c>
      <c r="I342" t="s">
        <v>3459</v>
      </c>
      <c r="J342" s="2" t="str">
        <f t="shared" si="15"/>
        <v>[354]=1011,</v>
      </c>
      <c r="K342" s="3">
        <f t="shared" si="16"/>
        <v>354</v>
      </c>
      <c r="L342" s="3">
        <f t="shared" si="17"/>
        <v>1011</v>
      </c>
      <c r="M342" s="9" t="str">
        <f>VLOOKUP(A342,WayshrineNames!$A$3:$B$967,2,)</f>
        <v>Ebon Stadmont Wayshrine</v>
      </c>
      <c r="N342" s="3" t="str">
        <f>VLOOKUP(F342,'ESO zones'!$A$5:$D$10003,4,FALSE)</f>
        <v>Summerset</v>
      </c>
    </row>
    <row r="343" spans="1:14" x14ac:dyDescent="0.25">
      <c r="A343" s="58">
        <v>355</v>
      </c>
      <c r="B343">
        <v>32</v>
      </c>
      <c r="C343">
        <v>1349</v>
      </c>
      <c r="D343" t="s">
        <v>3453</v>
      </c>
      <c r="E343">
        <v>617</v>
      </c>
      <c r="F343">
        <v>1011</v>
      </c>
      <c r="G343" t="s">
        <v>3453</v>
      </c>
      <c r="H343">
        <v>1</v>
      </c>
      <c r="I343" t="s">
        <v>3460</v>
      </c>
      <c r="J343" s="2" t="str">
        <f t="shared" si="15"/>
        <v>[355]=1011,</v>
      </c>
      <c r="K343" s="3">
        <f t="shared" si="16"/>
        <v>355</v>
      </c>
      <c r="L343" s="3">
        <f t="shared" si="17"/>
        <v>1011</v>
      </c>
      <c r="M343" s="9" t="str">
        <f>VLOOKUP(A343,WayshrineNames!$A$3:$B$967,2,)</f>
        <v>Alinor Wayshrine</v>
      </c>
      <c r="N343" s="3" t="str">
        <f>VLOOKUP(F343,'ESO zones'!$A$5:$D$10003,4,FALSE)</f>
        <v>Summerset</v>
      </c>
    </row>
    <row r="344" spans="1:14" x14ac:dyDescent="0.25">
      <c r="A344" s="58">
        <v>356</v>
      </c>
      <c r="B344">
        <v>32</v>
      </c>
      <c r="C344">
        <v>1349</v>
      </c>
      <c r="D344" t="s">
        <v>3453</v>
      </c>
      <c r="E344">
        <v>617</v>
      </c>
      <c r="F344">
        <v>1011</v>
      </c>
      <c r="G344" t="s">
        <v>3453</v>
      </c>
      <c r="H344">
        <v>1</v>
      </c>
      <c r="I344" t="s">
        <v>3461</v>
      </c>
      <c r="J344" s="2" t="str">
        <f t="shared" si="15"/>
        <v>[356]=1011,</v>
      </c>
      <c r="K344" s="3">
        <f t="shared" si="16"/>
        <v>356</v>
      </c>
      <c r="L344" s="3">
        <f t="shared" si="17"/>
        <v>1011</v>
      </c>
      <c r="M344" s="9" t="str">
        <f>VLOOKUP(A344,WayshrineNames!$A$3:$B$967,2,)</f>
        <v>Lillandril Wayshrine</v>
      </c>
      <c r="N344" s="3" t="str">
        <f>VLOOKUP(F344,'ESO zones'!$A$5:$D$10003,4,FALSE)</f>
        <v>Summerset</v>
      </c>
    </row>
    <row r="345" spans="1:14" x14ac:dyDescent="0.25">
      <c r="A345" s="58">
        <v>357</v>
      </c>
      <c r="B345">
        <v>32</v>
      </c>
      <c r="C345">
        <v>1349</v>
      </c>
      <c r="D345" t="s">
        <v>3453</v>
      </c>
      <c r="E345">
        <v>617</v>
      </c>
      <c r="F345">
        <v>1011</v>
      </c>
      <c r="G345" t="s">
        <v>3453</v>
      </c>
      <c r="H345">
        <v>1</v>
      </c>
      <c r="I345" t="s">
        <v>3462</v>
      </c>
      <c r="J345" s="2" t="str">
        <f t="shared" si="15"/>
        <v>[357]=1011,</v>
      </c>
      <c r="K345" s="3">
        <f t="shared" si="16"/>
        <v>357</v>
      </c>
      <c r="L345" s="3">
        <f t="shared" si="17"/>
        <v>1011</v>
      </c>
      <c r="M345" s="9" t="str">
        <f>VLOOKUP(A345,WayshrineNames!$A$3:$B$967,2,)</f>
        <v>Eastern Pass Wayshrine</v>
      </c>
      <c r="N345" s="3" t="str">
        <f>VLOOKUP(F345,'ESO zones'!$A$5:$D$10003,4,FALSE)</f>
        <v>Summerset</v>
      </c>
    </row>
    <row r="346" spans="1:14" x14ac:dyDescent="0.25">
      <c r="A346" s="58">
        <v>358</v>
      </c>
      <c r="B346">
        <v>32</v>
      </c>
      <c r="C346">
        <v>1349</v>
      </c>
      <c r="D346" t="s">
        <v>3453</v>
      </c>
      <c r="E346">
        <v>617</v>
      </c>
      <c r="F346">
        <v>1011</v>
      </c>
      <c r="G346" t="s">
        <v>3453</v>
      </c>
      <c r="H346">
        <v>1</v>
      </c>
      <c r="I346" t="s">
        <v>3463</v>
      </c>
      <c r="J346" s="2" t="str">
        <f t="shared" si="15"/>
        <v>[358]=1011,</v>
      </c>
      <c r="K346" s="3">
        <f t="shared" si="16"/>
        <v>358</v>
      </c>
      <c r="L346" s="3">
        <f t="shared" si="17"/>
        <v>1011</v>
      </c>
      <c r="M346" s="9" t="str">
        <f>VLOOKUP(A346,WayshrineNames!$A$3:$B$967,2,)</f>
        <v>The Crystal Tower Wayshrine</v>
      </c>
      <c r="N346" s="3" t="str">
        <f>VLOOKUP(F346,'ESO zones'!$A$5:$D$10003,4,FALSE)</f>
        <v>Summerset</v>
      </c>
    </row>
    <row r="347" spans="1:14" x14ac:dyDescent="0.25">
      <c r="A347" s="58">
        <v>359</v>
      </c>
      <c r="B347">
        <v>32</v>
      </c>
      <c r="C347">
        <v>1349</v>
      </c>
      <c r="D347" t="s">
        <v>3453</v>
      </c>
      <c r="E347">
        <v>617</v>
      </c>
      <c r="F347">
        <v>1011</v>
      </c>
      <c r="G347" t="s">
        <v>3453</v>
      </c>
      <c r="H347">
        <v>1</v>
      </c>
      <c r="I347" t="s">
        <v>3464</v>
      </c>
      <c r="J347" s="2" t="str">
        <f t="shared" si="15"/>
        <v>[359]=1011,</v>
      </c>
      <c r="K347" s="3">
        <f t="shared" si="16"/>
        <v>359</v>
      </c>
      <c r="L347" s="3">
        <f t="shared" si="17"/>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3465</v>
      </c>
      <c r="J348" s="2" t="str">
        <f t="shared" si="15"/>
        <v>[360]=1027,</v>
      </c>
      <c r="K348" s="3">
        <f t="shared" si="16"/>
        <v>360</v>
      </c>
      <c r="L348" s="3">
        <f t="shared" si="17"/>
        <v>1027</v>
      </c>
      <c r="M348" s="9" t="str">
        <f>VLOOKUP(A348,WayshrineNames!$A$3:$B$967,2,)</f>
        <v>Artaeum Wayshrine</v>
      </c>
      <c r="N348" s="3" t="str">
        <f>VLOOKUP(F348,'ESO zones'!$A$5:$D$10003,4,FALSE)</f>
        <v>Artaeum</v>
      </c>
    </row>
    <row r="349" spans="1:14" x14ac:dyDescent="0.25">
      <c r="A349" s="58">
        <v>361</v>
      </c>
      <c r="B349">
        <v>28</v>
      </c>
      <c r="C349">
        <v>994</v>
      </c>
      <c r="D349" t="s">
        <v>3364</v>
      </c>
      <c r="E349">
        <v>443</v>
      </c>
      <c r="F349">
        <v>816</v>
      </c>
      <c r="G349" t="s">
        <v>3364</v>
      </c>
      <c r="H349">
        <v>7</v>
      </c>
      <c r="I349" t="s">
        <v>3466</v>
      </c>
      <c r="J349" s="2" t="str">
        <f t="shared" si="15"/>
        <v>[361]=816,</v>
      </c>
      <c r="K349" s="3">
        <f t="shared" si="16"/>
        <v>361</v>
      </c>
      <c r="L349" s="3">
        <f t="shared" si="17"/>
        <v>816</v>
      </c>
      <c r="M349" s="9" t="str">
        <f>VLOOKUP(A349,WayshrineNames!$A$3:$B$967,2,)</f>
        <v>Princely Dawnlight Palace</v>
      </c>
      <c r="N349" s="3" t="str">
        <f>VLOOKUP(F349,'ESO zones'!$A$5:$D$10003,4,FALSE)</f>
        <v>Hew's Bane</v>
      </c>
    </row>
    <row r="350" spans="1:14" x14ac:dyDescent="0.25">
      <c r="A350" s="58">
        <v>362</v>
      </c>
      <c r="B350">
        <v>29</v>
      </c>
      <c r="C350">
        <v>1006</v>
      </c>
      <c r="D350" t="s">
        <v>3358</v>
      </c>
      <c r="E350">
        <v>449</v>
      </c>
      <c r="F350">
        <v>823</v>
      </c>
      <c r="G350" t="s">
        <v>3359</v>
      </c>
      <c r="H350">
        <v>7</v>
      </c>
      <c r="I350" t="s">
        <v>3467</v>
      </c>
      <c r="J350" s="2" t="str">
        <f t="shared" si="15"/>
        <v>[362]=823,</v>
      </c>
      <c r="K350" s="3">
        <f t="shared" si="16"/>
        <v>362</v>
      </c>
      <c r="L350" s="3">
        <f t="shared" si="17"/>
        <v>823</v>
      </c>
      <c r="M350" s="9" t="str">
        <f>VLOOKUP(A350,WayshrineNames!$A$3:$B$967,2,)</f>
        <v>The Erstwhile Sanctuary</v>
      </c>
      <c r="N350" s="3" t="str">
        <f>VLOOKUP(F350,'ESO zones'!$A$5:$D$10003,4,FALSE)</f>
        <v>Gold Coast</v>
      </c>
    </row>
    <row r="351" spans="1:14" x14ac:dyDescent="0.25">
      <c r="A351" s="58">
        <v>363</v>
      </c>
      <c r="B351">
        <v>4</v>
      </c>
      <c r="C351">
        <v>12</v>
      </c>
      <c r="D351" t="s">
        <v>3121</v>
      </c>
      <c r="E351">
        <v>4</v>
      </c>
      <c r="F351">
        <v>19</v>
      </c>
      <c r="G351" t="s">
        <v>3121</v>
      </c>
      <c r="H351">
        <v>6</v>
      </c>
      <c r="I351" t="s">
        <v>3468</v>
      </c>
      <c r="J351" s="2" t="str">
        <f t="shared" si="15"/>
        <v>[363]=19,</v>
      </c>
      <c r="K351" s="3">
        <f t="shared" si="16"/>
        <v>363</v>
      </c>
      <c r="L351" s="3">
        <f t="shared" si="17"/>
        <v>19</v>
      </c>
      <c r="M351" s="9" t="str">
        <f>VLOOKUP(A351,WayshrineNames!$A$3:$B$967,2,)</f>
        <v>Dungeon: Scalecaller Peak</v>
      </c>
      <c r="N351" s="3" t="str">
        <f>VLOOKUP(F351,'ESO zones'!$A$5:$D$10003,4,FALSE)</f>
        <v>Stormhaven</v>
      </c>
    </row>
    <row r="352" spans="1:14" x14ac:dyDescent="0.25">
      <c r="A352" s="58">
        <v>364</v>
      </c>
      <c r="B352">
        <v>32</v>
      </c>
      <c r="C352">
        <v>1349</v>
      </c>
      <c r="D352" t="s">
        <v>3453</v>
      </c>
      <c r="E352">
        <v>617</v>
      </c>
      <c r="F352">
        <v>1011</v>
      </c>
      <c r="G352" t="s">
        <v>3453</v>
      </c>
      <c r="H352">
        <v>3</v>
      </c>
      <c r="I352" t="s">
        <v>3469</v>
      </c>
      <c r="J352" s="2" t="str">
        <f t="shared" si="15"/>
        <v>[364]=1011,</v>
      </c>
      <c r="K352" s="3">
        <f t="shared" si="16"/>
        <v>364</v>
      </c>
      <c r="L352" s="3">
        <f t="shared" si="17"/>
        <v>1011</v>
      </c>
      <c r="M352" s="9" t="str">
        <f>VLOOKUP(A352,WayshrineNames!$A$3:$B$967,2,)</f>
        <v>Trial: Cloudrest</v>
      </c>
      <c r="N352" s="3" t="str">
        <f>VLOOKUP(F352,'ESO zones'!$A$5:$D$10003,4,FALSE)</f>
        <v>Summerset</v>
      </c>
    </row>
    <row r="353" spans="1:14" x14ac:dyDescent="0.25">
      <c r="A353" s="58">
        <v>365</v>
      </c>
      <c r="B353">
        <v>32</v>
      </c>
      <c r="C353">
        <v>1349</v>
      </c>
      <c r="D353" t="s">
        <v>3453</v>
      </c>
      <c r="E353">
        <v>617</v>
      </c>
      <c r="F353">
        <v>1011</v>
      </c>
      <c r="G353" t="s">
        <v>3453</v>
      </c>
      <c r="H353">
        <v>1</v>
      </c>
      <c r="I353" t="s">
        <v>3470</v>
      </c>
      <c r="J353" s="2" t="str">
        <f t="shared" si="15"/>
        <v>[365]=1011,</v>
      </c>
      <c r="K353" s="3">
        <f t="shared" si="16"/>
        <v>365</v>
      </c>
      <c r="L353" s="3">
        <f t="shared" si="17"/>
        <v>1011</v>
      </c>
      <c r="M353" s="9" t="str">
        <f>VLOOKUP(A353,WayshrineNames!$A$3:$B$967,2,)</f>
        <v>Sunhold Wayshrine</v>
      </c>
      <c r="N353" s="3" t="str">
        <f>VLOOKUP(F353,'ESO zones'!$A$5:$D$10003,4,FALSE)</f>
        <v>Summerset</v>
      </c>
    </row>
    <row r="354" spans="1:14" x14ac:dyDescent="0.25">
      <c r="A354" s="58">
        <v>366</v>
      </c>
      <c r="B354">
        <v>32</v>
      </c>
      <c r="C354">
        <v>1349</v>
      </c>
      <c r="D354" t="s">
        <v>3453</v>
      </c>
      <c r="E354">
        <v>617</v>
      </c>
      <c r="F354">
        <v>1011</v>
      </c>
      <c r="G354" t="s">
        <v>3453</v>
      </c>
      <c r="H354">
        <v>7</v>
      </c>
      <c r="I354" t="s">
        <v>3471</v>
      </c>
      <c r="J354" s="2" t="str">
        <f t="shared" si="15"/>
        <v>[366]=1011,</v>
      </c>
      <c r="K354" s="3">
        <f t="shared" si="16"/>
        <v>366</v>
      </c>
      <c r="L354" s="3">
        <f t="shared" si="17"/>
        <v>1011</v>
      </c>
      <c r="M354" s="9" t="str">
        <f>VLOOKUP(A354,WayshrineNames!$A$3:$B$967,2,)</f>
        <v>Golden Gryphon Garret</v>
      </c>
      <c r="N354" s="3" t="str">
        <f>VLOOKUP(F354,'ESO zones'!$A$5:$D$10003,4,FALSE)</f>
        <v>Summerset</v>
      </c>
    </row>
    <row r="355" spans="1:14" x14ac:dyDescent="0.25">
      <c r="A355" s="58">
        <v>367</v>
      </c>
      <c r="B355">
        <v>32</v>
      </c>
      <c r="C355">
        <v>1349</v>
      </c>
      <c r="D355" t="s">
        <v>3453</v>
      </c>
      <c r="E355">
        <v>617</v>
      </c>
      <c r="F355">
        <v>1011</v>
      </c>
      <c r="G355" t="s">
        <v>3453</v>
      </c>
      <c r="H355">
        <v>7</v>
      </c>
      <c r="I355" t="s">
        <v>3472</v>
      </c>
      <c r="J355" s="2" t="str">
        <f t="shared" si="15"/>
        <v>[367]=1011,</v>
      </c>
      <c r="K355" s="3">
        <f t="shared" si="16"/>
        <v>367</v>
      </c>
      <c r="L355" s="3">
        <f t="shared" si="17"/>
        <v>1011</v>
      </c>
      <c r="M355" s="9" t="str">
        <f>VLOOKUP(A355,WayshrineNames!$A$3:$B$967,2,)</f>
        <v>Alinor Crest Townhouse</v>
      </c>
      <c r="N355" s="3" t="str">
        <f>VLOOKUP(F355,'ESO zones'!$A$5:$D$10003,4,FALSE)</f>
        <v>Summerset</v>
      </c>
    </row>
    <row r="356" spans="1:14" x14ac:dyDescent="0.25">
      <c r="A356" s="58">
        <v>368</v>
      </c>
      <c r="B356">
        <v>32</v>
      </c>
      <c r="C356">
        <v>1349</v>
      </c>
      <c r="D356" t="s">
        <v>3453</v>
      </c>
      <c r="E356">
        <v>617</v>
      </c>
      <c r="F356">
        <v>1011</v>
      </c>
      <c r="G356" t="s">
        <v>3453</v>
      </c>
      <c r="H356">
        <v>7</v>
      </c>
      <c r="I356" t="s">
        <v>3473</v>
      </c>
      <c r="J356" s="2" t="str">
        <f t="shared" si="15"/>
        <v>[368]=1011,</v>
      </c>
      <c r="K356" s="3">
        <f t="shared" si="16"/>
        <v>368</v>
      </c>
      <c r="L356" s="3">
        <f t="shared" si="17"/>
        <v>1011</v>
      </c>
      <c r="M356" s="9" t="str">
        <f>VLOOKUP(A356,WayshrineNames!$A$3:$B$967,2,)</f>
        <v>Colossal Aldmeri Grotto</v>
      </c>
      <c r="N356" s="3" t="str">
        <f>VLOOKUP(F356,'ESO zones'!$A$5:$D$10003,4,FALSE)</f>
        <v>Summerset</v>
      </c>
    </row>
    <row r="357" spans="1:14" x14ac:dyDescent="0.25">
      <c r="A357" s="58">
        <v>369</v>
      </c>
      <c r="B357">
        <v>32</v>
      </c>
      <c r="C357">
        <v>1349</v>
      </c>
      <c r="D357" t="s">
        <v>3453</v>
      </c>
      <c r="E357">
        <v>617</v>
      </c>
      <c r="F357">
        <v>1011</v>
      </c>
      <c r="G357" t="s">
        <v>3453</v>
      </c>
      <c r="H357">
        <v>1</v>
      </c>
      <c r="I357" t="s">
        <v>3474</v>
      </c>
      <c r="J357" s="2" t="str">
        <f t="shared" si="15"/>
        <v>[369]=1011,</v>
      </c>
      <c r="K357" s="3">
        <f t="shared" si="16"/>
        <v>369</v>
      </c>
      <c r="L357" s="3">
        <f t="shared" si="17"/>
        <v>1011</v>
      </c>
      <c r="M357" s="9" t="str">
        <f>VLOOKUP(A357,WayshrineNames!$A$3:$B$967,2,)</f>
        <v>Veyond Wyte Wayshrine</v>
      </c>
      <c r="N357" s="3" t="str">
        <f>VLOOKUP(F357,'ESO zones'!$A$5:$D$10003,4,FALSE)</f>
        <v>Summerset</v>
      </c>
    </row>
    <row r="358" spans="1:14" x14ac:dyDescent="0.25">
      <c r="A358" s="58">
        <v>370</v>
      </c>
      <c r="B358">
        <v>16</v>
      </c>
      <c r="C358">
        <v>300</v>
      </c>
      <c r="D358" t="s">
        <v>3258</v>
      </c>
      <c r="E358">
        <v>18</v>
      </c>
      <c r="F358">
        <v>108</v>
      </c>
      <c r="G358" t="s">
        <v>3258</v>
      </c>
      <c r="H358">
        <v>6</v>
      </c>
      <c r="I358" t="s">
        <v>3475</v>
      </c>
      <c r="J358" s="2" t="str">
        <f t="shared" si="15"/>
        <v>[370]=108,</v>
      </c>
      <c r="K358" s="3">
        <f t="shared" si="16"/>
        <v>370</v>
      </c>
      <c r="L358" s="3">
        <f t="shared" si="17"/>
        <v>108</v>
      </c>
      <c r="M358" s="9" t="str">
        <f>VLOOKUP(A358,WayshrineNames!$A$3:$B$967,2,)</f>
        <v>Dungeon: March of Sacrifices</v>
      </c>
      <c r="N358" s="3" t="str">
        <f>VLOOKUP(F358,'ESO zones'!$A$5:$D$10003,4,FALSE)</f>
        <v>Greenshade</v>
      </c>
    </row>
    <row r="359" spans="1:14" x14ac:dyDescent="0.25">
      <c r="A359" s="58">
        <v>371</v>
      </c>
      <c r="B359">
        <v>17</v>
      </c>
      <c r="C359">
        <v>256</v>
      </c>
      <c r="D359" t="s">
        <v>3260</v>
      </c>
      <c r="E359">
        <v>180</v>
      </c>
      <c r="F359">
        <v>382</v>
      </c>
      <c r="G359" t="s">
        <v>3260</v>
      </c>
      <c r="H359">
        <v>6</v>
      </c>
      <c r="I359" t="s">
        <v>3476</v>
      </c>
      <c r="J359" s="2" t="str">
        <f t="shared" si="15"/>
        <v>[371]=382,</v>
      </c>
      <c r="K359" s="3">
        <f t="shared" si="16"/>
        <v>371</v>
      </c>
      <c r="L359" s="3">
        <f t="shared" si="17"/>
        <v>382</v>
      </c>
      <c r="M359" s="9" t="str">
        <f>VLOOKUP(A359,WayshrineNames!$A$3:$B$967,2,)</f>
        <v>Dungeon: Moon Hunter Keep</v>
      </c>
      <c r="N359" s="3" t="str">
        <f>VLOOKUP(F359,'ESO zones'!$A$5:$D$10003,4,FALSE)</f>
        <v>Reaper's March</v>
      </c>
    </row>
    <row r="360" spans="1:14" x14ac:dyDescent="0.25">
      <c r="A360" s="58">
        <v>372</v>
      </c>
      <c r="B360">
        <v>12</v>
      </c>
      <c r="C360">
        <v>125</v>
      </c>
      <c r="D360" t="s">
        <v>3221</v>
      </c>
      <c r="E360">
        <v>16</v>
      </c>
      <c r="F360">
        <v>103</v>
      </c>
      <c r="G360" t="s">
        <v>3221</v>
      </c>
      <c r="H360">
        <v>7</v>
      </c>
      <c r="I360" t="s">
        <v>3477</v>
      </c>
      <c r="J360" s="2" t="str">
        <f t="shared" si="15"/>
        <v>[372]=103,</v>
      </c>
      <c r="K360" s="3">
        <f t="shared" si="16"/>
        <v>372</v>
      </c>
      <c r="L360" s="3">
        <f t="shared" si="17"/>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3478</v>
      </c>
      <c r="J361" s="2" t="str">
        <f t="shared" si="15"/>
        <v>[373]=1027,</v>
      </c>
      <c r="K361" s="3">
        <f t="shared" si="16"/>
        <v>373</v>
      </c>
      <c r="L361" s="3">
        <f t="shared" si="17"/>
        <v>1027</v>
      </c>
      <c r="M361" s="9" t="str">
        <f>VLOOKUP(A361,WayshrineNames!$A$3:$B$967,2,)</f>
        <v>Grand Psijic Villa</v>
      </c>
      <c r="N361" s="3" t="str">
        <f>VLOOKUP(F361,'ESO zones'!$A$5:$D$10003,4,FALSE)</f>
        <v>Artaeum</v>
      </c>
    </row>
    <row r="362" spans="1:14" x14ac:dyDescent="0.25">
      <c r="A362" s="58">
        <v>374</v>
      </c>
      <c r="B362">
        <v>34</v>
      </c>
      <c r="C362">
        <v>1484</v>
      </c>
      <c r="D362" t="s">
        <v>3479</v>
      </c>
      <c r="E362">
        <v>408</v>
      </c>
      <c r="F362">
        <v>726</v>
      </c>
      <c r="G362" t="s">
        <v>3479</v>
      </c>
      <c r="H362">
        <v>1</v>
      </c>
      <c r="I362" t="s">
        <v>3480</v>
      </c>
      <c r="J362" s="2" t="str">
        <f t="shared" si="15"/>
        <v>[374]=726,</v>
      </c>
      <c r="K362" s="3">
        <f t="shared" si="16"/>
        <v>374</v>
      </c>
      <c r="L362" s="3">
        <f t="shared" si="17"/>
        <v>726</v>
      </c>
      <c r="M362" s="9" t="str">
        <f>VLOOKUP(A362,WayshrineNames!$A$3:$B$967,2,)</f>
        <v>Lilmoth Wayshrine</v>
      </c>
      <c r="N362" s="3" t="str">
        <f>VLOOKUP(F362,'ESO zones'!$A$5:$D$10003,4,FALSE)</f>
        <v>Murkmire</v>
      </c>
    </row>
    <row r="363" spans="1:14" x14ac:dyDescent="0.25">
      <c r="A363" s="58">
        <v>375</v>
      </c>
      <c r="B363">
        <v>34</v>
      </c>
      <c r="C363">
        <v>1484</v>
      </c>
      <c r="D363" t="s">
        <v>3479</v>
      </c>
      <c r="E363">
        <v>408</v>
      </c>
      <c r="F363">
        <v>726</v>
      </c>
      <c r="G363" t="s">
        <v>3479</v>
      </c>
      <c r="H363">
        <v>1</v>
      </c>
      <c r="I363" t="s">
        <v>3481</v>
      </c>
      <c r="J363" s="2" t="str">
        <f t="shared" si="15"/>
        <v>[375]=726,</v>
      </c>
      <c r="K363" s="3">
        <f t="shared" si="16"/>
        <v>375</v>
      </c>
      <c r="L363" s="3">
        <f t="shared" si="17"/>
        <v>726</v>
      </c>
      <c r="M363" s="9" t="str">
        <f>VLOOKUP(A363,WayshrineNames!$A$3:$B$967,2,)</f>
        <v>Bright-Throat Wayshrine</v>
      </c>
      <c r="N363" s="3" t="str">
        <f>VLOOKUP(F363,'ESO zones'!$A$5:$D$10003,4,FALSE)</f>
        <v>Murkmire</v>
      </c>
    </row>
    <row r="364" spans="1:14" x14ac:dyDescent="0.25">
      <c r="A364" s="58">
        <v>376</v>
      </c>
      <c r="B364">
        <v>34</v>
      </c>
      <c r="C364">
        <v>1484</v>
      </c>
      <c r="D364" t="s">
        <v>3479</v>
      </c>
      <c r="E364">
        <v>408</v>
      </c>
      <c r="F364">
        <v>726</v>
      </c>
      <c r="G364" t="s">
        <v>3479</v>
      </c>
      <c r="H364">
        <v>1</v>
      </c>
      <c r="I364" t="s">
        <v>3482</v>
      </c>
      <c r="J364" s="2" t="str">
        <f t="shared" si="15"/>
        <v>[376]=726,</v>
      </c>
      <c r="K364" s="3">
        <f t="shared" si="16"/>
        <v>376</v>
      </c>
      <c r="L364" s="3">
        <f t="shared" si="17"/>
        <v>726</v>
      </c>
      <c r="M364" s="9" t="str">
        <f>VLOOKUP(A364,WayshrineNames!$A$3:$B$967,2,)</f>
        <v>Dead-Water Wayshrine</v>
      </c>
      <c r="N364" s="3" t="str">
        <f>VLOOKUP(F364,'ESO zones'!$A$5:$D$10003,4,FALSE)</f>
        <v>Murkmire</v>
      </c>
    </row>
    <row r="365" spans="1:14" x14ac:dyDescent="0.25">
      <c r="A365" s="58">
        <v>377</v>
      </c>
      <c r="B365">
        <v>34</v>
      </c>
      <c r="C365">
        <v>1484</v>
      </c>
      <c r="D365" t="s">
        <v>3479</v>
      </c>
      <c r="E365">
        <v>408</v>
      </c>
      <c r="F365">
        <v>726</v>
      </c>
      <c r="G365" t="s">
        <v>3479</v>
      </c>
      <c r="H365">
        <v>1</v>
      </c>
      <c r="I365" t="s">
        <v>3483</v>
      </c>
      <c r="J365" s="2" t="str">
        <f t="shared" si="15"/>
        <v>[377]=726,</v>
      </c>
      <c r="K365" s="3">
        <f t="shared" si="16"/>
        <v>377</v>
      </c>
      <c r="L365" s="3">
        <f t="shared" si="17"/>
        <v>726</v>
      </c>
      <c r="M365" s="9" t="str">
        <f>VLOOKUP(A365,WayshrineNames!$A$3:$B$967,2,)</f>
        <v>Root-Whisper Wayshrine</v>
      </c>
      <c r="N365" s="3" t="str">
        <f>VLOOKUP(F365,'ESO zones'!$A$5:$D$10003,4,FALSE)</f>
        <v>Murkmire</v>
      </c>
    </row>
    <row r="366" spans="1:14" x14ac:dyDescent="0.25">
      <c r="A366" s="58">
        <v>378</v>
      </c>
      <c r="B366">
        <v>34</v>
      </c>
      <c r="C366">
        <v>1484</v>
      </c>
      <c r="D366" t="s">
        <v>3479</v>
      </c>
      <c r="E366">
        <v>408</v>
      </c>
      <c r="F366">
        <v>726</v>
      </c>
      <c r="G366" t="s">
        <v>3479</v>
      </c>
      <c r="H366">
        <v>6</v>
      </c>
      <c r="I366" t="s">
        <v>3484</v>
      </c>
      <c r="J366" s="2" t="str">
        <f t="shared" si="15"/>
        <v>[378]=726,</v>
      </c>
      <c r="K366" s="3">
        <f t="shared" si="16"/>
        <v>378</v>
      </c>
      <c r="L366" s="3">
        <f t="shared" si="17"/>
        <v>726</v>
      </c>
      <c r="M366" s="9" t="str">
        <f>VLOOKUP(A366,WayshrineNames!$A$3:$B$967,2,)</f>
        <v>Blackrose Prison</v>
      </c>
      <c r="N366" s="3" t="str">
        <f>VLOOKUP(F366,'ESO zones'!$A$5:$D$10003,4,FALSE)</f>
        <v>Murkmire</v>
      </c>
    </row>
    <row r="367" spans="1:14" x14ac:dyDescent="0.25">
      <c r="A367" s="58">
        <v>379</v>
      </c>
      <c r="B367">
        <v>34</v>
      </c>
      <c r="C367">
        <v>1484</v>
      </c>
      <c r="D367" t="s">
        <v>3479</v>
      </c>
      <c r="E367">
        <v>408</v>
      </c>
      <c r="F367">
        <v>726</v>
      </c>
      <c r="G367" t="s">
        <v>3479</v>
      </c>
      <c r="H367">
        <v>1</v>
      </c>
      <c r="I367" t="s">
        <v>3485</v>
      </c>
      <c r="J367" s="2" t="str">
        <f t="shared" si="15"/>
        <v>[379]=726,</v>
      </c>
      <c r="K367" s="3">
        <f t="shared" si="16"/>
        <v>379</v>
      </c>
      <c r="L367" s="3">
        <f t="shared" si="17"/>
        <v>726</v>
      </c>
      <c r="M367" s="9" t="str">
        <f>VLOOKUP(A367,WayshrineNames!$A$3:$B$967,2,)</f>
        <v>Blackrose Prison Wayshrine</v>
      </c>
      <c r="N367" s="3" t="str">
        <f>VLOOKUP(F367,'ESO zones'!$A$5:$D$10003,4,FALSE)</f>
        <v>Murkmire</v>
      </c>
    </row>
    <row r="368" spans="1:14" x14ac:dyDescent="0.25">
      <c r="A368" s="58">
        <v>380</v>
      </c>
      <c r="B368">
        <v>13</v>
      </c>
      <c r="C368">
        <v>61</v>
      </c>
      <c r="D368" t="s">
        <v>3198</v>
      </c>
      <c r="E368">
        <v>15</v>
      </c>
      <c r="F368">
        <v>101</v>
      </c>
      <c r="G368" t="s">
        <v>3198</v>
      </c>
      <c r="H368">
        <v>7</v>
      </c>
      <c r="I368" t="s">
        <v>3486</v>
      </c>
      <c r="J368" s="2" t="str">
        <f t="shared" si="15"/>
        <v>[380]=101,</v>
      </c>
      <c r="K368" s="3">
        <f t="shared" si="16"/>
        <v>380</v>
      </c>
      <c r="L368" s="3">
        <f t="shared" si="17"/>
        <v>101</v>
      </c>
      <c r="M368" s="9" t="str">
        <f>VLOOKUP(A368,WayshrineNames!$A$3:$B$967,2,)</f>
        <v>Enchanted Snow Globe Home</v>
      </c>
      <c r="N368" s="3" t="str">
        <f>VLOOKUP(F368,'ESO zones'!$A$5:$D$10003,4,FALSE)</f>
        <v>Eastmarch</v>
      </c>
    </row>
    <row r="369" spans="1:14" x14ac:dyDescent="0.25">
      <c r="A369" s="58">
        <v>381</v>
      </c>
      <c r="B369">
        <v>36</v>
      </c>
      <c r="C369">
        <v>1555</v>
      </c>
      <c r="D369" t="s">
        <v>3487</v>
      </c>
      <c r="E369">
        <v>682</v>
      </c>
      <c r="F369">
        <v>1086</v>
      </c>
      <c r="G369" t="s">
        <v>3487</v>
      </c>
      <c r="H369">
        <v>1</v>
      </c>
      <c r="I369" t="s">
        <v>3488</v>
      </c>
      <c r="J369" s="2" t="str">
        <f t="shared" si="15"/>
        <v>[381]=1086,</v>
      </c>
      <c r="K369" s="3">
        <f t="shared" si="16"/>
        <v>381</v>
      </c>
      <c r="L369" s="3">
        <f t="shared" si="17"/>
        <v>1086</v>
      </c>
      <c r="M369" s="9" t="str">
        <f>VLOOKUP(A369,WayshrineNames!$A$3:$B$967,2,)</f>
        <v>Riverhold Wayshrine</v>
      </c>
      <c r="N369" s="3" t="str">
        <f>VLOOKUP(F369,'ESO zones'!$A$5:$D$10003,4,FALSE)</f>
        <v>Northern Elsweyr</v>
      </c>
    </row>
    <row r="370" spans="1:14" x14ac:dyDescent="0.25">
      <c r="A370" s="58">
        <v>382</v>
      </c>
      <c r="B370">
        <v>36</v>
      </c>
      <c r="C370">
        <v>1555</v>
      </c>
      <c r="D370" t="s">
        <v>3487</v>
      </c>
      <c r="E370">
        <v>682</v>
      </c>
      <c r="F370">
        <v>1086</v>
      </c>
      <c r="G370" t="s">
        <v>3487</v>
      </c>
      <c r="H370">
        <v>1</v>
      </c>
      <c r="I370" t="s">
        <v>3489</v>
      </c>
      <c r="J370" s="2" t="str">
        <f t="shared" si="15"/>
        <v>[382]=1086,</v>
      </c>
      <c r="K370" s="3">
        <f t="shared" si="16"/>
        <v>382</v>
      </c>
      <c r="L370" s="3">
        <f t="shared" si="17"/>
        <v>1086</v>
      </c>
      <c r="M370" s="9" t="str">
        <f>VLOOKUP(A370,WayshrineNames!$A$3:$B$967,2,)</f>
        <v>Rimmen Wayshrine</v>
      </c>
      <c r="N370" s="3" t="str">
        <f>VLOOKUP(F370,'ESO zones'!$A$5:$D$10003,4,FALSE)</f>
        <v>Northern Elsweyr</v>
      </c>
    </row>
    <row r="371" spans="1:14" x14ac:dyDescent="0.25">
      <c r="A371" s="58">
        <v>383</v>
      </c>
      <c r="B371">
        <v>36</v>
      </c>
      <c r="C371">
        <v>1555</v>
      </c>
      <c r="D371" t="s">
        <v>3487</v>
      </c>
      <c r="E371">
        <v>682</v>
      </c>
      <c r="F371">
        <v>1086</v>
      </c>
      <c r="G371" t="s">
        <v>3487</v>
      </c>
      <c r="H371">
        <v>1</v>
      </c>
      <c r="I371" t="s">
        <v>3490</v>
      </c>
      <c r="J371" s="2" t="str">
        <f t="shared" si="15"/>
        <v>[383]=1086,</v>
      </c>
      <c r="K371" s="3">
        <f t="shared" si="16"/>
        <v>383</v>
      </c>
      <c r="L371" s="3">
        <f t="shared" si="17"/>
        <v>1086</v>
      </c>
      <c r="M371" s="9" t="str">
        <f>VLOOKUP(A371,WayshrineNames!$A$3:$B$967,2,)</f>
        <v>The Stitches Wayshrine</v>
      </c>
      <c r="N371" s="3" t="str">
        <f>VLOOKUP(F371,'ESO zones'!$A$5:$D$10003,4,FALSE)</f>
        <v>Northern Elsweyr</v>
      </c>
    </row>
    <row r="372" spans="1:14" x14ac:dyDescent="0.25">
      <c r="A372" s="58">
        <v>384</v>
      </c>
      <c r="B372">
        <v>36</v>
      </c>
      <c r="C372">
        <v>1555</v>
      </c>
      <c r="D372" t="s">
        <v>3487</v>
      </c>
      <c r="E372">
        <v>682</v>
      </c>
      <c r="F372">
        <v>1086</v>
      </c>
      <c r="G372" t="s">
        <v>3487</v>
      </c>
      <c r="H372">
        <v>1</v>
      </c>
      <c r="I372" t="s">
        <v>3491</v>
      </c>
      <c r="J372" s="2" t="str">
        <f t="shared" si="15"/>
        <v>[384]=1086,</v>
      </c>
      <c r="K372" s="3">
        <f t="shared" si="16"/>
        <v>384</v>
      </c>
      <c r="L372" s="3">
        <f t="shared" si="17"/>
        <v>1086</v>
      </c>
      <c r="M372" s="9" t="str">
        <f>VLOOKUP(A372,WayshrineNames!$A$3:$B$967,2,)</f>
        <v>Tenmar Temple Wayshrine</v>
      </c>
      <c r="N372" s="3" t="str">
        <f>VLOOKUP(F372,'ESO zones'!$A$5:$D$10003,4,FALSE)</f>
        <v>Northern Elsweyr</v>
      </c>
    </row>
    <row r="373" spans="1:14" x14ac:dyDescent="0.25">
      <c r="A373" s="58">
        <v>386</v>
      </c>
      <c r="B373">
        <v>36</v>
      </c>
      <c r="C373">
        <v>1555</v>
      </c>
      <c r="D373" t="s">
        <v>3487</v>
      </c>
      <c r="E373">
        <v>682</v>
      </c>
      <c r="F373">
        <v>1086</v>
      </c>
      <c r="G373" t="s">
        <v>3487</v>
      </c>
      <c r="H373">
        <v>1</v>
      </c>
      <c r="I373" t="s">
        <v>3492</v>
      </c>
      <c r="J373" s="2" t="str">
        <f t="shared" si="15"/>
        <v>[386]=1086,</v>
      </c>
      <c r="K373" s="3">
        <f t="shared" si="16"/>
        <v>386</v>
      </c>
      <c r="L373" s="3">
        <f t="shared" si="17"/>
        <v>1086</v>
      </c>
      <c r="M373" s="9" t="str">
        <f>VLOOKUP(A373,WayshrineNames!$A$3:$B$967,2,)</f>
        <v>Scar's End Wayshrine</v>
      </c>
      <c r="N373" s="3" t="str">
        <f>VLOOKUP(F373,'ESO zones'!$A$5:$D$10003,4,FALSE)</f>
        <v>Northern Elsweyr</v>
      </c>
    </row>
    <row r="374" spans="1:14" x14ac:dyDescent="0.25">
      <c r="A374" s="58">
        <v>387</v>
      </c>
      <c r="B374">
        <v>36</v>
      </c>
      <c r="C374">
        <v>1555</v>
      </c>
      <c r="D374" t="s">
        <v>3487</v>
      </c>
      <c r="E374">
        <v>682</v>
      </c>
      <c r="F374">
        <v>1086</v>
      </c>
      <c r="G374" t="s">
        <v>3487</v>
      </c>
      <c r="H374">
        <v>1</v>
      </c>
      <c r="I374" t="s">
        <v>3493</v>
      </c>
      <c r="J374" s="2" t="str">
        <f t="shared" si="15"/>
        <v>[387]=1086,</v>
      </c>
      <c r="K374" s="3">
        <f t="shared" si="16"/>
        <v>387</v>
      </c>
      <c r="L374" s="3">
        <f t="shared" si="17"/>
        <v>1086</v>
      </c>
      <c r="M374" s="9" t="str">
        <f>VLOOKUP(A374,WayshrineNames!$A$3:$B$967,2,)</f>
        <v>Hakoshae Wayshrine</v>
      </c>
      <c r="N374" s="3" t="str">
        <f>VLOOKUP(F374,'ESO zones'!$A$5:$D$10003,4,FALSE)</f>
        <v>Northern Elsweyr</v>
      </c>
    </row>
    <row r="375" spans="1:14" x14ac:dyDescent="0.25">
      <c r="A375" s="58">
        <v>388</v>
      </c>
      <c r="B375">
        <v>34</v>
      </c>
      <c r="C375">
        <v>1484</v>
      </c>
      <c r="D375" t="s">
        <v>3479</v>
      </c>
      <c r="E375">
        <v>408</v>
      </c>
      <c r="F375">
        <v>726</v>
      </c>
      <c r="G375" t="s">
        <v>3479</v>
      </c>
      <c r="H375">
        <v>7</v>
      </c>
      <c r="I375" t="s">
        <v>3494</v>
      </c>
      <c r="J375" s="2" t="str">
        <f t="shared" si="15"/>
        <v>[388]=726,</v>
      </c>
      <c r="K375" s="3">
        <f t="shared" si="16"/>
        <v>388</v>
      </c>
      <c r="L375" s="3">
        <f t="shared" si="17"/>
        <v>726</v>
      </c>
      <c r="M375" s="9" t="str">
        <f>VLOOKUP(A375,WayshrineNames!$A$3:$B$967,2,)</f>
        <v>Lakemire Xanmeer Manor</v>
      </c>
      <c r="N375" s="3" t="str">
        <f>VLOOKUP(F375,'ESO zones'!$A$5:$D$10003,4,FALSE)</f>
        <v>Murkmire</v>
      </c>
    </row>
    <row r="376" spans="1:14" x14ac:dyDescent="0.25">
      <c r="A376" s="58">
        <v>389</v>
      </c>
      <c r="B376">
        <v>13</v>
      </c>
      <c r="C376">
        <v>61</v>
      </c>
      <c r="D376" t="s">
        <v>3198</v>
      </c>
      <c r="E376">
        <v>15</v>
      </c>
      <c r="F376">
        <v>101</v>
      </c>
      <c r="G376" t="s">
        <v>3198</v>
      </c>
      <c r="H376">
        <v>6</v>
      </c>
      <c r="I376" t="s">
        <v>3495</v>
      </c>
      <c r="J376" s="2" t="str">
        <f t="shared" si="15"/>
        <v>[389]=101,</v>
      </c>
      <c r="K376" s="3">
        <f t="shared" si="16"/>
        <v>389</v>
      </c>
      <c r="L376" s="3">
        <f t="shared" si="17"/>
        <v>101</v>
      </c>
      <c r="M376" s="9" t="str">
        <f>VLOOKUP(A376,WayshrineNames!$A$3:$B$967,2,)</f>
        <v>Dungeon: Frostvault</v>
      </c>
      <c r="N376" s="3" t="str">
        <f>VLOOKUP(F376,'ESO zones'!$A$5:$D$10003,4,FALSE)</f>
        <v>Eastmarch</v>
      </c>
    </row>
    <row r="377" spans="1:14" x14ac:dyDescent="0.25">
      <c r="A377" s="58">
        <v>390</v>
      </c>
      <c r="B377">
        <v>29</v>
      </c>
      <c r="C377">
        <v>1006</v>
      </c>
      <c r="D377" t="s">
        <v>3358</v>
      </c>
      <c r="E377">
        <v>449</v>
      </c>
      <c r="F377">
        <v>823</v>
      </c>
      <c r="G377" t="s">
        <v>3359</v>
      </c>
      <c r="H377">
        <v>6</v>
      </c>
      <c r="I377" t="s">
        <v>3496</v>
      </c>
      <c r="J377" s="2" t="str">
        <f t="shared" si="15"/>
        <v>[390]=823,</v>
      </c>
      <c r="K377" s="3">
        <f t="shared" si="16"/>
        <v>390</v>
      </c>
      <c r="L377" s="3">
        <f t="shared" si="17"/>
        <v>823</v>
      </c>
      <c r="M377" s="9" t="str">
        <f>VLOOKUP(A377,WayshrineNames!$A$3:$B$967,2,)</f>
        <v>Dungeon: Depths of Malatar</v>
      </c>
      <c r="N377" s="3" t="str">
        <f>VLOOKUP(F377,'ESO zones'!$A$5:$D$10003,4,FALSE)</f>
        <v>Gold Coast</v>
      </c>
    </row>
    <row r="378" spans="1:14" x14ac:dyDescent="0.25">
      <c r="A378" s="58">
        <v>391</v>
      </c>
      <c r="B378">
        <v>36</v>
      </c>
      <c r="C378">
        <v>1555</v>
      </c>
      <c r="D378" t="s">
        <v>3487</v>
      </c>
      <c r="E378">
        <v>682</v>
      </c>
      <c r="F378">
        <v>1086</v>
      </c>
      <c r="G378" t="s">
        <v>3487</v>
      </c>
      <c r="H378">
        <v>6</v>
      </c>
      <c r="I378" t="s">
        <v>3497</v>
      </c>
      <c r="J378" s="2" t="str">
        <f t="shared" si="15"/>
        <v>[391]=1086,</v>
      </c>
      <c r="K378" s="3">
        <f t="shared" si="16"/>
        <v>391</v>
      </c>
      <c r="L378" s="3">
        <f t="shared" si="17"/>
        <v>1086</v>
      </c>
      <c r="M378" s="9" t="str">
        <f>VLOOKUP(A378,WayshrineNames!$A$3:$B$967,2,)</f>
        <v>Dungeon: Moongrave Fane</v>
      </c>
      <c r="N378" s="3" t="str">
        <f>VLOOKUP(F378,'ESO zones'!$A$5:$D$10003,4,FALSE)</f>
        <v>Northern Elsweyr</v>
      </c>
    </row>
    <row r="379" spans="1:14" x14ac:dyDescent="0.25">
      <c r="A379" s="58">
        <v>392</v>
      </c>
      <c r="B379">
        <v>13</v>
      </c>
      <c r="C379">
        <v>61</v>
      </c>
      <c r="D379" t="s">
        <v>3198</v>
      </c>
      <c r="E379">
        <v>15</v>
      </c>
      <c r="F379">
        <v>101</v>
      </c>
      <c r="G379" t="s">
        <v>3198</v>
      </c>
      <c r="H379">
        <v>7</v>
      </c>
      <c r="I379" t="s">
        <v>3498</v>
      </c>
      <c r="J379" s="2" t="str">
        <f t="shared" si="15"/>
        <v>[392]=101,</v>
      </c>
      <c r="K379" s="3">
        <f t="shared" si="16"/>
        <v>392</v>
      </c>
      <c r="L379" s="3">
        <f t="shared" si="17"/>
        <v>101</v>
      </c>
      <c r="M379" s="9" t="str">
        <f>VLOOKUP(A379,WayshrineNames!$A$3:$B$967,2,)</f>
        <v>Frostvault Chasm</v>
      </c>
      <c r="N379" s="3" t="str">
        <f>VLOOKUP(F379,'ESO zones'!$A$5:$D$10003,4,FALSE)</f>
        <v>Eastmarch</v>
      </c>
    </row>
    <row r="380" spans="1:14" x14ac:dyDescent="0.25">
      <c r="A380" s="58">
        <v>395</v>
      </c>
      <c r="B380">
        <v>25</v>
      </c>
      <c r="C380">
        <v>1126</v>
      </c>
      <c r="D380" t="s">
        <v>3331</v>
      </c>
      <c r="E380">
        <v>501</v>
      </c>
      <c r="F380">
        <v>888</v>
      </c>
      <c r="G380" t="s">
        <v>3331</v>
      </c>
      <c r="H380">
        <v>7</v>
      </c>
      <c r="I380" t="s">
        <v>3499</v>
      </c>
      <c r="J380" s="2" t="str">
        <f t="shared" si="15"/>
        <v>[395]=888,</v>
      </c>
      <c r="K380" s="3">
        <f t="shared" si="16"/>
        <v>395</v>
      </c>
      <c r="L380" s="3">
        <f t="shared" si="17"/>
        <v>888</v>
      </c>
      <c r="M380" s="9" t="str">
        <f>VLOOKUP(A380,WayshrineNames!$A$3:$B$967,2,)</f>
        <v>Elinhir Private Arena</v>
      </c>
      <c r="N380" s="3" t="str">
        <f>VLOOKUP(F380,'ESO zones'!$A$5:$D$10003,4,FALSE)</f>
        <v>Craglorn</v>
      </c>
    </row>
    <row r="381" spans="1:14" x14ac:dyDescent="0.25">
      <c r="A381" s="58">
        <v>396</v>
      </c>
      <c r="B381">
        <v>36</v>
      </c>
      <c r="C381">
        <v>1555</v>
      </c>
      <c r="D381" t="s">
        <v>3487</v>
      </c>
      <c r="E381">
        <v>682</v>
      </c>
      <c r="F381">
        <v>1086</v>
      </c>
      <c r="G381" t="s">
        <v>3487</v>
      </c>
      <c r="H381">
        <v>7</v>
      </c>
      <c r="I381" t="s">
        <v>3500</v>
      </c>
      <c r="J381" s="2" t="str">
        <f t="shared" si="15"/>
        <v>[396]=1086,</v>
      </c>
      <c r="K381" s="3">
        <f t="shared" si="16"/>
        <v>396</v>
      </c>
      <c r="L381" s="3">
        <f t="shared" si="17"/>
        <v>1086</v>
      </c>
      <c r="M381" s="9" t="str">
        <f>VLOOKUP(A381,WayshrineNames!$A$3:$B$967,2,)</f>
        <v>Sugar Bowl Suite</v>
      </c>
      <c r="N381" s="3" t="str">
        <f>VLOOKUP(F381,'ESO zones'!$A$5:$D$10003,4,FALSE)</f>
        <v>Northern Elsweyr</v>
      </c>
    </row>
    <row r="382" spans="1:14" x14ac:dyDescent="0.25">
      <c r="A382" s="58">
        <v>397</v>
      </c>
      <c r="B382">
        <v>36</v>
      </c>
      <c r="C382">
        <v>1555</v>
      </c>
      <c r="D382" t="s">
        <v>3487</v>
      </c>
      <c r="E382">
        <v>682</v>
      </c>
      <c r="F382">
        <v>1086</v>
      </c>
      <c r="G382" t="s">
        <v>3487</v>
      </c>
      <c r="H382">
        <v>1</v>
      </c>
      <c r="I382" t="s">
        <v>3501</v>
      </c>
      <c r="J382" s="2" t="str">
        <f t="shared" si="15"/>
        <v>[397]=1086,</v>
      </c>
      <c r="K382" s="3">
        <f t="shared" si="16"/>
        <v>397</v>
      </c>
      <c r="L382" s="3">
        <f t="shared" si="17"/>
        <v>1086</v>
      </c>
      <c r="M382" s="9" t="str">
        <f>VLOOKUP(A382,WayshrineNames!$A$3:$B$967,2,)</f>
        <v>Star Haven Wayshrine</v>
      </c>
      <c r="N382" s="3" t="str">
        <f>VLOOKUP(F382,'ESO zones'!$A$5:$D$10003,4,FALSE)</f>
        <v>Northern Elsweyr</v>
      </c>
    </row>
    <row r="383" spans="1:14" x14ac:dyDescent="0.25">
      <c r="A383" s="58">
        <v>398</v>
      </c>
      <c r="B383">
        <v>7</v>
      </c>
      <c r="C383">
        <v>9</v>
      </c>
      <c r="D383" t="s">
        <v>3129</v>
      </c>
      <c r="E383">
        <v>181</v>
      </c>
      <c r="F383">
        <v>383</v>
      </c>
      <c r="G383" t="s">
        <v>3129</v>
      </c>
      <c r="H383">
        <v>6</v>
      </c>
      <c r="I383" t="s">
        <v>3502</v>
      </c>
      <c r="J383" s="2" t="str">
        <f t="shared" si="15"/>
        <v>[398]=383,</v>
      </c>
      <c r="K383" s="3">
        <f t="shared" si="16"/>
        <v>398</v>
      </c>
      <c r="L383" s="3">
        <f t="shared" si="17"/>
        <v>383</v>
      </c>
      <c r="M383" s="9" t="str">
        <f>VLOOKUP(A383,WayshrineNames!$A$3:$B$967,2,)</f>
        <v>Dungeon: Lair of Maarselok</v>
      </c>
      <c r="N383" s="3" t="str">
        <f>VLOOKUP(F383,'ESO zones'!$A$5:$D$10003,4,FALSE)</f>
        <v>Grahtwood</v>
      </c>
    </row>
    <row r="384" spans="1:14" x14ac:dyDescent="0.25">
      <c r="A384" s="58">
        <v>399</v>
      </c>
      <c r="B384">
        <v>36</v>
      </c>
      <c r="C384">
        <v>1555</v>
      </c>
      <c r="D384" t="s">
        <v>3487</v>
      </c>
      <c r="E384">
        <v>682</v>
      </c>
      <c r="F384">
        <v>1086</v>
      </c>
      <c r="G384" t="s">
        <v>3487</v>
      </c>
      <c r="H384">
        <v>3</v>
      </c>
      <c r="I384" t="s">
        <v>3503</v>
      </c>
      <c r="J384" s="2" t="str">
        <f t="shared" si="15"/>
        <v>[399]=1086,</v>
      </c>
      <c r="K384" s="3">
        <f t="shared" si="16"/>
        <v>399</v>
      </c>
      <c r="L384" s="3">
        <f t="shared" si="17"/>
        <v>1086</v>
      </c>
      <c r="M384" s="9" t="str">
        <f>VLOOKUP(A384,WayshrineNames!$A$3:$B$967,2,)</f>
        <v>Trial: Sunspire</v>
      </c>
      <c r="N384" s="3" t="str">
        <f>VLOOKUP(F384,'ESO zones'!$A$5:$D$10003,4,FALSE)</f>
        <v>Northern Elsweyr</v>
      </c>
    </row>
    <row r="385" spans="1:14" x14ac:dyDescent="0.25">
      <c r="A385" s="58">
        <v>400</v>
      </c>
      <c r="B385">
        <v>36</v>
      </c>
      <c r="C385">
        <v>1555</v>
      </c>
      <c r="D385" t="s">
        <v>3487</v>
      </c>
      <c r="E385">
        <v>682</v>
      </c>
      <c r="F385">
        <v>1086</v>
      </c>
      <c r="G385" t="s">
        <v>3487</v>
      </c>
      <c r="H385">
        <v>7</v>
      </c>
      <c r="I385" t="s">
        <v>3504</v>
      </c>
      <c r="J385" s="2" t="str">
        <f t="shared" si="15"/>
        <v>[400]=1086,</v>
      </c>
      <c r="K385" s="3">
        <f t="shared" si="16"/>
        <v>400</v>
      </c>
      <c r="L385" s="3">
        <f t="shared" si="17"/>
        <v>1086</v>
      </c>
      <c r="M385" s="9" t="str">
        <f>VLOOKUP(A385,WayshrineNames!$A$3:$B$967,2,)</f>
        <v>Hall of the Lunar Champion</v>
      </c>
      <c r="N385" s="3" t="str">
        <f>VLOOKUP(F385,'ESO zones'!$A$5:$D$10003,4,FALSE)</f>
        <v>Northern Elsweyr</v>
      </c>
    </row>
    <row r="386" spans="1:14" x14ac:dyDescent="0.25">
      <c r="A386" s="58">
        <v>401</v>
      </c>
      <c r="B386">
        <v>36</v>
      </c>
      <c r="C386">
        <v>1555</v>
      </c>
      <c r="D386" t="s">
        <v>3487</v>
      </c>
      <c r="E386">
        <v>682</v>
      </c>
      <c r="F386">
        <v>1086</v>
      </c>
      <c r="G386" t="s">
        <v>3487</v>
      </c>
      <c r="H386">
        <v>7</v>
      </c>
      <c r="I386" t="s">
        <v>3505</v>
      </c>
      <c r="J386" s="2" t="str">
        <f t="shared" si="15"/>
        <v>[401]=1086,</v>
      </c>
      <c r="K386" s="3">
        <f t="shared" si="16"/>
        <v>401</v>
      </c>
      <c r="L386" s="3">
        <f t="shared" si="17"/>
        <v>1086</v>
      </c>
      <c r="M386" s="9" t="str">
        <f>VLOOKUP(A386,WayshrineNames!$A$3:$B$967,2,)</f>
        <v>Jode's Embrace</v>
      </c>
      <c r="N386" s="3" t="str">
        <f>VLOOKUP(F386,'ESO zones'!$A$5:$D$10003,4,FALSE)</f>
        <v>Northern Elsweyr</v>
      </c>
    </row>
    <row r="387" spans="1:14" x14ac:dyDescent="0.25">
      <c r="A387" s="58">
        <v>402</v>
      </c>
      <c r="B387">
        <v>37</v>
      </c>
      <c r="C387">
        <v>1654</v>
      </c>
      <c r="D387" t="s">
        <v>3506</v>
      </c>
      <c r="E387">
        <v>721</v>
      </c>
      <c r="F387">
        <v>1133</v>
      </c>
      <c r="G387" t="s">
        <v>3506</v>
      </c>
      <c r="H387">
        <v>1</v>
      </c>
      <c r="I387" t="s">
        <v>3507</v>
      </c>
      <c r="J387" s="2" t="str">
        <f t="shared" ref="J387:J450" si="18">IF(A387&lt;&gt;"",IF(F387&lt;&gt;"",IF(OR(ISNA(A387),ISNA(F387)),"","["&amp;A387&amp;"]="&amp;F387&amp;","),""),"")</f>
        <v>[402]=1133,</v>
      </c>
      <c r="K387" s="3">
        <f t="shared" ref="K387:K450" si="19">A387</f>
        <v>402</v>
      </c>
      <c r="L387" s="3">
        <f t="shared" ref="L387:L450" si="20">F387</f>
        <v>1133</v>
      </c>
      <c r="M387" s="9" t="str">
        <f>VLOOKUP(A387,WayshrineNames!$A$3:$B$967,2,)</f>
        <v>Senchal Wayshrine</v>
      </c>
      <c r="N387" s="3" t="str">
        <f>VLOOKUP(F387,'ESO zones'!$A$5:$D$10003,4,FALSE)</f>
        <v>Southern Elsweyr</v>
      </c>
    </row>
    <row r="388" spans="1:14" x14ac:dyDescent="0.25">
      <c r="A388" s="58">
        <v>403</v>
      </c>
      <c r="B388">
        <v>37</v>
      </c>
      <c r="C388">
        <v>1654</v>
      </c>
      <c r="D388" t="s">
        <v>3506</v>
      </c>
      <c r="E388">
        <v>721</v>
      </c>
      <c r="F388">
        <v>1133</v>
      </c>
      <c r="G388" t="s">
        <v>3506</v>
      </c>
      <c r="H388">
        <v>1</v>
      </c>
      <c r="I388" t="s">
        <v>3508</v>
      </c>
      <c r="J388" s="2" t="str">
        <f t="shared" si="18"/>
        <v>[403]=1133,</v>
      </c>
      <c r="K388" s="3">
        <f t="shared" si="19"/>
        <v>403</v>
      </c>
      <c r="L388" s="3">
        <f t="shared" si="20"/>
        <v>1133</v>
      </c>
      <c r="M388" s="9" t="str">
        <f>VLOOKUP(A388,WayshrineNames!$A$3:$B$967,2,)</f>
        <v>South Guard Ruins Wayshrine</v>
      </c>
      <c r="N388" s="3" t="str">
        <f>VLOOKUP(F388,'ESO zones'!$A$5:$D$10003,4,FALSE)</f>
        <v>Southern Elsweyr</v>
      </c>
    </row>
    <row r="389" spans="1:14" x14ac:dyDescent="0.25">
      <c r="A389" s="58">
        <v>404</v>
      </c>
      <c r="B389">
        <v>37</v>
      </c>
      <c r="C389">
        <v>1654</v>
      </c>
      <c r="D389" t="s">
        <v>3506</v>
      </c>
      <c r="E389">
        <v>721</v>
      </c>
      <c r="F389">
        <v>1133</v>
      </c>
      <c r="G389" t="s">
        <v>3506</v>
      </c>
      <c r="H389">
        <v>1</v>
      </c>
      <c r="I389" t="s">
        <v>3509</v>
      </c>
      <c r="J389" s="2" t="str">
        <f t="shared" si="18"/>
        <v>[404]=1133,</v>
      </c>
      <c r="K389" s="3">
        <f t="shared" si="19"/>
        <v>404</v>
      </c>
      <c r="L389" s="3">
        <f t="shared" si="20"/>
        <v>1133</v>
      </c>
      <c r="M389" s="9" t="str">
        <f>VLOOKUP(A389,WayshrineNames!$A$3:$B$967,2,)</f>
        <v>Western Plains Wayshrine</v>
      </c>
      <c r="N389" s="3" t="str">
        <f>VLOOKUP(F389,'ESO zones'!$A$5:$D$10003,4,FALSE)</f>
        <v>Southern Elsweyr</v>
      </c>
    </row>
    <row r="390" spans="1:14" x14ac:dyDescent="0.25">
      <c r="A390" s="58">
        <v>405</v>
      </c>
      <c r="B390">
        <v>37</v>
      </c>
      <c r="C390">
        <v>1654</v>
      </c>
      <c r="D390" t="s">
        <v>3506</v>
      </c>
      <c r="E390">
        <v>721</v>
      </c>
      <c r="F390">
        <v>1133</v>
      </c>
      <c r="G390" t="s">
        <v>3506</v>
      </c>
      <c r="H390">
        <v>1</v>
      </c>
      <c r="I390" t="s">
        <v>3510</v>
      </c>
      <c r="J390" s="2" t="str">
        <f t="shared" si="18"/>
        <v>[405]=1133,</v>
      </c>
      <c r="K390" s="3">
        <f t="shared" si="19"/>
        <v>405</v>
      </c>
      <c r="L390" s="3">
        <f t="shared" si="20"/>
        <v>1133</v>
      </c>
      <c r="M390" s="9" t="str">
        <f>VLOOKUP(A390,WayshrineNames!$A$3:$B$967,2,)</f>
        <v>Black Heights Wayshrine</v>
      </c>
      <c r="N390" s="3" t="str">
        <f>VLOOKUP(F390,'ESO zones'!$A$5:$D$10003,4,FALSE)</f>
        <v>Southern Elsweyr</v>
      </c>
    </row>
    <row r="391" spans="1:14" x14ac:dyDescent="0.25">
      <c r="A391" s="58">
        <v>406</v>
      </c>
      <c r="B391">
        <v>37</v>
      </c>
      <c r="C391">
        <v>1654</v>
      </c>
      <c r="D391" t="s">
        <v>3506</v>
      </c>
      <c r="E391">
        <v>721</v>
      </c>
      <c r="F391">
        <v>1133</v>
      </c>
      <c r="G391" t="s">
        <v>3506</v>
      </c>
      <c r="H391">
        <v>1</v>
      </c>
      <c r="I391" t="s">
        <v>3511</v>
      </c>
      <c r="J391" s="2" t="str">
        <f t="shared" si="18"/>
        <v>[406]=1133,</v>
      </c>
      <c r="K391" s="3">
        <f t="shared" si="19"/>
        <v>406</v>
      </c>
      <c r="L391" s="3">
        <f t="shared" si="20"/>
        <v>1133</v>
      </c>
      <c r="M391" s="9" t="str">
        <f>VLOOKUP(A391,WayshrineNames!$A$3:$B$967,2,)</f>
        <v>Pridehome Wayshrine</v>
      </c>
      <c r="N391" s="3" t="str">
        <f>VLOOKUP(F391,'ESO zones'!$A$5:$D$10003,4,FALSE)</f>
        <v>Southern Elsweyr</v>
      </c>
    </row>
    <row r="392" spans="1:14" x14ac:dyDescent="0.25">
      <c r="A392" s="58">
        <v>407</v>
      </c>
      <c r="B392">
        <v>37</v>
      </c>
      <c r="C392">
        <v>1654</v>
      </c>
      <c r="D392" t="s">
        <v>3506</v>
      </c>
      <c r="E392">
        <v>721</v>
      </c>
      <c r="F392">
        <v>1133</v>
      </c>
      <c r="G392" t="s">
        <v>3506</v>
      </c>
      <c r="H392">
        <v>1</v>
      </c>
      <c r="I392" t="s">
        <v>3512</v>
      </c>
      <c r="J392" s="2" t="str">
        <f t="shared" si="18"/>
        <v>[407]=1133,</v>
      </c>
      <c r="K392" s="3">
        <f t="shared" si="19"/>
        <v>407</v>
      </c>
      <c r="L392" s="3">
        <f t="shared" si="20"/>
        <v>1133</v>
      </c>
      <c r="M392" s="9" t="str">
        <f>VLOOKUP(A392,WayshrineNames!$A$3:$B$967,2,)</f>
        <v>Dragonguard Sanctum Wayshrine</v>
      </c>
      <c r="N392" s="3" t="str">
        <f>VLOOKUP(F392,'ESO zones'!$A$5:$D$10003,4,FALSE)</f>
        <v>Southern Elsweyr</v>
      </c>
    </row>
    <row r="393" spans="1:14" x14ac:dyDescent="0.25">
      <c r="A393" s="58">
        <v>409</v>
      </c>
      <c r="B393">
        <v>3</v>
      </c>
      <c r="C393">
        <v>10</v>
      </c>
      <c r="D393" t="s">
        <v>3115</v>
      </c>
      <c r="E393">
        <v>5</v>
      </c>
      <c r="F393">
        <v>20</v>
      </c>
      <c r="G393" t="s">
        <v>3115</v>
      </c>
      <c r="H393">
        <v>7</v>
      </c>
      <c r="I393" t="s">
        <v>3513</v>
      </c>
      <c r="J393" s="2" t="str">
        <f t="shared" si="18"/>
        <v>[409]=20,</v>
      </c>
      <c r="K393" s="3">
        <f t="shared" si="19"/>
        <v>409</v>
      </c>
      <c r="L393" s="3">
        <f t="shared" si="20"/>
        <v>20</v>
      </c>
      <c r="M393" s="9" t="str">
        <f>VLOOKUP(A393,WayshrineNames!$A$3:$B$967,2,)</f>
        <v>Wraithhome</v>
      </c>
      <c r="N393" s="3" t="str">
        <f>VLOOKUP(F393,'ESO zones'!$A$5:$D$10003,4,FALSE)</f>
        <v>Rivenspire</v>
      </c>
    </row>
    <row r="394" spans="1:14" x14ac:dyDescent="0.25">
      <c r="A394" s="58">
        <v>410</v>
      </c>
      <c r="B394">
        <v>36</v>
      </c>
      <c r="C394">
        <v>1555</v>
      </c>
      <c r="D394" t="s">
        <v>3487</v>
      </c>
      <c r="E394">
        <v>682</v>
      </c>
      <c r="F394">
        <v>1086</v>
      </c>
      <c r="G394" t="s">
        <v>3487</v>
      </c>
      <c r="H394">
        <v>7</v>
      </c>
      <c r="I394" t="s">
        <v>3514</v>
      </c>
      <c r="J394" s="2" t="str">
        <f t="shared" si="18"/>
        <v>[410]=1086,</v>
      </c>
      <c r="K394" s="3">
        <f t="shared" si="19"/>
        <v>410</v>
      </c>
      <c r="L394" s="3">
        <f t="shared" si="20"/>
        <v>1086</v>
      </c>
      <c r="M394" s="9" t="str">
        <f>VLOOKUP(A394,WayshrineNames!$A$3:$B$967,2,)</f>
        <v>Moon-Sugar Meadow</v>
      </c>
      <c r="N394" s="3" t="str">
        <f>VLOOKUP(F394,'ESO zones'!$A$5:$D$10003,4,FALSE)</f>
        <v>Northern Elsweyr</v>
      </c>
    </row>
    <row r="395" spans="1:14" x14ac:dyDescent="0.25">
      <c r="A395" s="58">
        <v>411</v>
      </c>
      <c r="B395">
        <v>40</v>
      </c>
      <c r="C395">
        <v>1782</v>
      </c>
      <c r="D395" t="s">
        <v>3515</v>
      </c>
      <c r="E395">
        <v>4294967296</v>
      </c>
      <c r="F395">
        <v>0</v>
      </c>
      <c r="H395">
        <v>1</v>
      </c>
      <c r="I395" t="s">
        <v>3516</v>
      </c>
      <c r="J395" s="2" t="str">
        <f t="shared" si="18"/>
        <v>[411]=0,</v>
      </c>
      <c r="K395" s="3">
        <f t="shared" si="19"/>
        <v>411</v>
      </c>
      <c r="L395" s="3">
        <f t="shared" si="20"/>
        <v>0</v>
      </c>
      <c r="M395" s="9" t="str">
        <f>VLOOKUP(A395,WayshrineNames!$A$3:$B$967,2,)</f>
        <v>Dusktown Wayshrine</v>
      </c>
      <c r="N395" s="3" t="str">
        <f>VLOOKUP(F395,'ESO zones'!$A$5:$D$10003,4,FALSE)</f>
        <v>Tamriel Map</v>
      </c>
    </row>
    <row r="396" spans="1:14" x14ac:dyDescent="0.25">
      <c r="A396" s="58">
        <v>412</v>
      </c>
      <c r="B396">
        <v>40</v>
      </c>
      <c r="C396">
        <v>1782</v>
      </c>
      <c r="D396" t="s">
        <v>3515</v>
      </c>
      <c r="E396">
        <v>4294967296</v>
      </c>
      <c r="F396">
        <v>0</v>
      </c>
      <c r="H396">
        <v>1</v>
      </c>
      <c r="I396" t="s">
        <v>3517</v>
      </c>
      <c r="J396" s="2" t="str">
        <f t="shared" si="18"/>
        <v>[412]=0,</v>
      </c>
      <c r="K396" s="3">
        <f t="shared" si="19"/>
        <v>412</v>
      </c>
      <c r="L396" s="3">
        <f t="shared" si="20"/>
        <v>0</v>
      </c>
      <c r="M396" s="9" t="str">
        <f>VLOOKUP(A396,WayshrineNames!$A$3:$B$967,2,)</f>
        <v>Greymoor Keep Wayshrine</v>
      </c>
      <c r="N396" s="3" t="str">
        <f>VLOOKUP(F396,'ESO zones'!$A$5:$D$10003,4,FALSE)</f>
        <v>Tamriel Map</v>
      </c>
    </row>
    <row r="397" spans="1:14" x14ac:dyDescent="0.25">
      <c r="A397" s="58">
        <v>413</v>
      </c>
      <c r="B397">
        <v>40</v>
      </c>
      <c r="C397">
        <v>1782</v>
      </c>
      <c r="D397" t="s">
        <v>3515</v>
      </c>
      <c r="E397">
        <v>4294967296</v>
      </c>
      <c r="F397">
        <v>0</v>
      </c>
      <c r="H397">
        <v>1</v>
      </c>
      <c r="I397" t="s">
        <v>3518</v>
      </c>
      <c r="J397" s="2" t="str">
        <f t="shared" si="18"/>
        <v>[413]=0,</v>
      </c>
      <c r="K397" s="3">
        <f t="shared" si="19"/>
        <v>413</v>
      </c>
      <c r="L397" s="3">
        <f t="shared" si="20"/>
        <v>0</v>
      </c>
      <c r="M397" s="9" t="str">
        <f>VLOOKUP(A397,WayshrineNames!$A$3:$B$967,2,)</f>
        <v>Lightless Hollow Wayshrine</v>
      </c>
      <c r="N397" s="3" t="str">
        <f>VLOOKUP(F397,'ESO zones'!$A$5:$D$10003,4,FALSE)</f>
        <v>Tamriel Map</v>
      </c>
    </row>
    <row r="398" spans="1:14" x14ac:dyDescent="0.25">
      <c r="A398" s="58">
        <v>414</v>
      </c>
      <c r="B398">
        <v>40</v>
      </c>
      <c r="C398">
        <v>1782</v>
      </c>
      <c r="D398" t="s">
        <v>3515</v>
      </c>
      <c r="E398">
        <v>4294967296</v>
      </c>
      <c r="F398">
        <v>0</v>
      </c>
      <c r="H398">
        <v>1</v>
      </c>
      <c r="I398" t="s">
        <v>3519</v>
      </c>
      <c r="J398" s="2" t="str">
        <f t="shared" si="18"/>
        <v>[414]=0,</v>
      </c>
      <c r="K398" s="3">
        <f t="shared" si="19"/>
        <v>414</v>
      </c>
      <c r="L398" s="3">
        <f t="shared" si="20"/>
        <v>0</v>
      </c>
      <c r="M398" s="9" t="str">
        <f>VLOOKUP(A398,WayshrineNames!$A$3:$B$967,2,)</f>
        <v>Dark Moon Grotto Wayshrine</v>
      </c>
      <c r="N398" s="3" t="str">
        <f>VLOOKUP(F398,'ESO zones'!$A$5:$D$10003,4,FALSE)</f>
        <v>Tamriel Map</v>
      </c>
    </row>
    <row r="399" spans="1:14" x14ac:dyDescent="0.25">
      <c r="A399" s="58">
        <v>415</v>
      </c>
      <c r="B399">
        <v>38</v>
      </c>
      <c r="C399">
        <v>1719</v>
      </c>
      <c r="D399" t="s">
        <v>3520</v>
      </c>
      <c r="E399">
        <v>744</v>
      </c>
      <c r="F399">
        <v>1160</v>
      </c>
      <c r="G399" t="s">
        <v>3520</v>
      </c>
      <c r="H399">
        <v>1</v>
      </c>
      <c r="I399" t="s">
        <v>3521</v>
      </c>
      <c r="J399" s="2" t="str">
        <f t="shared" si="18"/>
        <v>[415]=1160,</v>
      </c>
      <c r="K399" s="3">
        <f t="shared" si="19"/>
        <v>415</v>
      </c>
      <c r="L399" s="3">
        <f t="shared" si="20"/>
        <v>1160</v>
      </c>
      <c r="M399" s="9" t="str">
        <f>VLOOKUP(A399,WayshrineNames!$A$3:$B$967,2,)</f>
        <v>Kilkreath Temple Wayshrine</v>
      </c>
      <c r="N399" s="3" t="str">
        <f>VLOOKUP(F399,'ESO zones'!$A$5:$D$10003,4,FALSE)</f>
        <v>Western Skyrim</v>
      </c>
    </row>
    <row r="400" spans="1:14" x14ac:dyDescent="0.25">
      <c r="A400" s="58">
        <v>416</v>
      </c>
      <c r="B400">
        <v>38</v>
      </c>
      <c r="C400">
        <v>1719</v>
      </c>
      <c r="D400" t="s">
        <v>3520</v>
      </c>
      <c r="E400">
        <v>744</v>
      </c>
      <c r="F400">
        <v>1160</v>
      </c>
      <c r="G400" t="s">
        <v>3520</v>
      </c>
      <c r="H400">
        <v>1</v>
      </c>
      <c r="I400" t="s">
        <v>3522</v>
      </c>
      <c r="J400" s="2" t="str">
        <f t="shared" si="18"/>
        <v>[416]=1160,</v>
      </c>
      <c r="K400" s="3">
        <f t="shared" si="19"/>
        <v>416</v>
      </c>
      <c r="L400" s="3">
        <f t="shared" si="20"/>
        <v>1160</v>
      </c>
      <c r="M400" s="9" t="str">
        <f>VLOOKUP(A400,WayshrineNames!$A$3:$B$967,2,)</f>
        <v>Morthal Wayshrine</v>
      </c>
      <c r="N400" s="3" t="str">
        <f>VLOOKUP(F400,'ESO zones'!$A$5:$D$10003,4,FALSE)</f>
        <v>Western Skyrim</v>
      </c>
    </row>
    <row r="401" spans="1:14" x14ac:dyDescent="0.25">
      <c r="A401" s="58">
        <v>417</v>
      </c>
      <c r="B401">
        <v>38</v>
      </c>
      <c r="C401">
        <v>1719</v>
      </c>
      <c r="D401" t="s">
        <v>3520</v>
      </c>
      <c r="E401">
        <v>744</v>
      </c>
      <c r="F401">
        <v>1160</v>
      </c>
      <c r="G401" t="s">
        <v>3520</v>
      </c>
      <c r="H401">
        <v>1</v>
      </c>
      <c r="I401" t="s">
        <v>3523</v>
      </c>
      <c r="J401" s="2" t="str">
        <f t="shared" si="18"/>
        <v>[417]=1160,</v>
      </c>
      <c r="K401" s="3">
        <f t="shared" si="19"/>
        <v>417</v>
      </c>
      <c r="L401" s="3">
        <f t="shared" si="20"/>
        <v>1160</v>
      </c>
      <c r="M401" s="9" t="str">
        <f>VLOOKUP(A401,WayshrineNames!$A$3:$B$967,2,)</f>
        <v>Mor Khazgur Wayshrine</v>
      </c>
      <c r="N401" s="3" t="str">
        <f>VLOOKUP(F401,'ESO zones'!$A$5:$D$10003,4,FALSE)</f>
        <v>Western Skyrim</v>
      </c>
    </row>
    <row r="402" spans="1:14" x14ac:dyDescent="0.25">
      <c r="A402" s="58">
        <v>418</v>
      </c>
      <c r="B402">
        <v>38</v>
      </c>
      <c r="C402">
        <v>1719</v>
      </c>
      <c r="D402" t="s">
        <v>3520</v>
      </c>
      <c r="E402">
        <v>744</v>
      </c>
      <c r="F402">
        <v>1160</v>
      </c>
      <c r="G402" t="s">
        <v>3520</v>
      </c>
      <c r="H402">
        <v>1</v>
      </c>
      <c r="I402" t="s">
        <v>3524</v>
      </c>
      <c r="J402" s="2" t="str">
        <f t="shared" si="18"/>
        <v>[418]=1160,</v>
      </c>
      <c r="K402" s="3">
        <f t="shared" si="19"/>
        <v>418</v>
      </c>
      <c r="L402" s="3">
        <f t="shared" si="20"/>
        <v>1160</v>
      </c>
      <c r="M402" s="9" t="str">
        <f>VLOOKUP(A402,WayshrineNames!$A$3:$B$967,2,)</f>
        <v>Dragon Bridge Wayshrine</v>
      </c>
      <c r="N402" s="3" t="str">
        <f>VLOOKUP(F402,'ESO zones'!$A$5:$D$10003,4,FALSE)</f>
        <v>Western Skyrim</v>
      </c>
    </row>
    <row r="403" spans="1:14" x14ac:dyDescent="0.25">
      <c r="A403" s="58">
        <v>419</v>
      </c>
      <c r="B403">
        <v>38</v>
      </c>
      <c r="C403">
        <v>1719</v>
      </c>
      <c r="D403" t="s">
        <v>3520</v>
      </c>
      <c r="E403">
        <v>744</v>
      </c>
      <c r="F403">
        <v>1160</v>
      </c>
      <c r="G403" t="s">
        <v>3520</v>
      </c>
      <c r="H403">
        <v>1</v>
      </c>
      <c r="I403" t="s">
        <v>3525</v>
      </c>
      <c r="J403" s="2" t="str">
        <f t="shared" si="18"/>
        <v>[419]=1160,</v>
      </c>
      <c r="K403" s="3">
        <f t="shared" si="19"/>
        <v>419</v>
      </c>
      <c r="L403" s="3">
        <f t="shared" si="20"/>
        <v>1160</v>
      </c>
      <c r="M403" s="9" t="str">
        <f>VLOOKUP(A403,WayshrineNames!$A$3:$B$967,2,)</f>
        <v>Southern Watch Wayshrine</v>
      </c>
      <c r="N403" s="3" t="str">
        <f>VLOOKUP(F403,'ESO zones'!$A$5:$D$10003,4,FALSE)</f>
        <v>Western Skyrim</v>
      </c>
    </row>
    <row r="404" spans="1:14" x14ac:dyDescent="0.25">
      <c r="A404" s="58">
        <v>420</v>
      </c>
      <c r="B404">
        <v>38</v>
      </c>
      <c r="C404">
        <v>1719</v>
      </c>
      <c r="D404" t="s">
        <v>3520</v>
      </c>
      <c r="E404">
        <v>744</v>
      </c>
      <c r="F404">
        <v>1160</v>
      </c>
      <c r="G404" t="s">
        <v>3520</v>
      </c>
      <c r="H404">
        <v>1</v>
      </c>
      <c r="I404" t="s">
        <v>3526</v>
      </c>
      <c r="J404" s="2" t="str">
        <f t="shared" si="18"/>
        <v>[420]=1160,</v>
      </c>
      <c r="K404" s="3">
        <f t="shared" si="19"/>
        <v>420</v>
      </c>
      <c r="L404" s="3">
        <f t="shared" si="20"/>
        <v>1160</v>
      </c>
      <c r="M404" s="9" t="str">
        <f>VLOOKUP(A404,WayshrineNames!$A$3:$B$967,2,)</f>
        <v>Frozen Coast Wayshrine</v>
      </c>
      <c r="N404" s="3" t="str">
        <f>VLOOKUP(F404,'ESO zones'!$A$5:$D$10003,4,FALSE)</f>
        <v>Western Skyrim</v>
      </c>
    </row>
    <row r="405" spans="1:14" x14ac:dyDescent="0.25">
      <c r="A405" s="58">
        <v>421</v>
      </c>
      <c r="B405">
        <v>38</v>
      </c>
      <c r="C405">
        <v>1719</v>
      </c>
      <c r="D405" t="s">
        <v>3520</v>
      </c>
      <c r="E405">
        <v>744</v>
      </c>
      <c r="F405">
        <v>1160</v>
      </c>
      <c r="G405" t="s">
        <v>3520</v>
      </c>
      <c r="H405">
        <v>1</v>
      </c>
      <c r="I405" t="s">
        <v>3527</v>
      </c>
      <c r="J405" s="2" t="str">
        <f t="shared" si="18"/>
        <v>[421]=1160,</v>
      </c>
      <c r="K405" s="3">
        <f t="shared" si="19"/>
        <v>421</v>
      </c>
      <c r="L405" s="3">
        <f t="shared" si="20"/>
        <v>1160</v>
      </c>
      <c r="M405" s="9" t="str">
        <f>VLOOKUP(A405,WayshrineNames!$A$3:$B$967,2,)</f>
        <v>Solitude Wayshrine</v>
      </c>
      <c r="N405" s="3" t="str">
        <f>VLOOKUP(F405,'ESO zones'!$A$5:$D$10003,4,FALSE)</f>
        <v>Western Skyrim</v>
      </c>
    </row>
    <row r="406" spans="1:14" x14ac:dyDescent="0.25">
      <c r="A406" s="58">
        <v>422</v>
      </c>
      <c r="B406">
        <v>37</v>
      </c>
      <c r="C406">
        <v>1654</v>
      </c>
      <c r="D406" t="s">
        <v>3506</v>
      </c>
      <c r="E406">
        <v>721</v>
      </c>
      <c r="F406">
        <v>1133</v>
      </c>
      <c r="G406" t="s">
        <v>3506</v>
      </c>
      <c r="H406">
        <v>7</v>
      </c>
      <c r="I406" t="s">
        <v>3528</v>
      </c>
      <c r="J406" s="2" t="str">
        <f t="shared" si="18"/>
        <v>[422]=1133,</v>
      </c>
      <c r="K406" s="3">
        <f t="shared" si="19"/>
        <v>422</v>
      </c>
      <c r="L406" s="3">
        <f t="shared" si="20"/>
        <v>1133</v>
      </c>
      <c r="M406" s="9" t="str">
        <f>VLOOKUP(A406,WayshrineNames!$A$3:$B$967,2,)</f>
        <v>Lucky Cat Landing</v>
      </c>
      <c r="N406" s="3" t="str">
        <f>VLOOKUP(F406,'ESO zones'!$A$5:$D$10003,4,FALSE)</f>
        <v>Southern Elsweyr</v>
      </c>
    </row>
    <row r="407" spans="1:14" x14ac:dyDescent="0.25">
      <c r="A407" s="58">
        <v>423</v>
      </c>
      <c r="B407">
        <v>37</v>
      </c>
      <c r="C407">
        <v>1654</v>
      </c>
      <c r="D407" t="s">
        <v>3506</v>
      </c>
      <c r="E407">
        <v>721</v>
      </c>
      <c r="F407">
        <v>1133</v>
      </c>
      <c r="G407" t="s">
        <v>3506</v>
      </c>
      <c r="H407">
        <v>7</v>
      </c>
      <c r="I407" t="s">
        <v>3529</v>
      </c>
      <c r="J407" s="2" t="str">
        <f t="shared" si="18"/>
        <v>[423]=1133,</v>
      </c>
      <c r="K407" s="3">
        <f t="shared" si="19"/>
        <v>423</v>
      </c>
      <c r="L407" s="3">
        <f t="shared" si="20"/>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3530</v>
      </c>
      <c r="J408" s="2" t="str">
        <f t="shared" si="18"/>
        <v>[424]=684,</v>
      </c>
      <c r="K408" s="3">
        <f t="shared" si="19"/>
        <v>424</v>
      </c>
      <c r="L408" s="3">
        <f t="shared" si="20"/>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3531</v>
      </c>
      <c r="J409" s="2" t="str">
        <f t="shared" si="18"/>
        <v>[425]=92,</v>
      </c>
      <c r="K409" s="3">
        <f t="shared" si="19"/>
        <v>425</v>
      </c>
      <c r="L409" s="3">
        <f t="shared" si="20"/>
        <v>92</v>
      </c>
      <c r="M409" s="9" t="str">
        <f>VLOOKUP(A409,WayshrineNames!$A$3:$B$967,2,)</f>
        <v>Dungeon: Unhallowed Grave</v>
      </c>
      <c r="N409" s="3" t="str">
        <f>VLOOKUP(F409,'ESO zones'!$A$5:$D$10003,4,FALSE)</f>
        <v>Bangkorai</v>
      </c>
    </row>
    <row r="410" spans="1:14" x14ac:dyDescent="0.25">
      <c r="A410" s="58">
        <v>426</v>
      </c>
      <c r="B410">
        <v>38</v>
      </c>
      <c r="C410">
        <v>1719</v>
      </c>
      <c r="D410" t="s">
        <v>3520</v>
      </c>
      <c r="E410">
        <v>744</v>
      </c>
      <c r="F410">
        <v>1160</v>
      </c>
      <c r="G410" t="s">
        <v>3520</v>
      </c>
      <c r="H410">
        <v>1</v>
      </c>
      <c r="I410" t="s">
        <v>3532</v>
      </c>
      <c r="J410" s="2" t="str">
        <f t="shared" si="18"/>
        <v>[426]=1160,</v>
      </c>
      <c r="K410" s="3">
        <f t="shared" si="19"/>
        <v>426</v>
      </c>
      <c r="L410" s="3">
        <f t="shared" si="20"/>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3533</v>
      </c>
      <c r="J411" s="2" t="str">
        <f t="shared" si="18"/>
        <v>[427]=92,</v>
      </c>
      <c r="K411" s="3">
        <f t="shared" si="19"/>
        <v>427</v>
      </c>
      <c r="L411" s="3">
        <f t="shared" si="20"/>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2845</v>
      </c>
      <c r="J412" s="2" t="str">
        <f t="shared" si="18"/>
        <v>[428]=684,</v>
      </c>
      <c r="K412" s="3">
        <f t="shared" si="19"/>
        <v>428</v>
      </c>
      <c r="L412" s="3">
        <f t="shared" si="20"/>
        <v>684</v>
      </c>
      <c r="M412" s="9" t="str">
        <f>VLOOKUP(A412,WayshrineNames!$A$3:$B$967,2,)</f>
        <v>Forgemaster Falls</v>
      </c>
      <c r="N412" s="3" t="str">
        <f>VLOOKUP(F412,'ESO zones'!$A$5:$D$10003,4,FALSE)</f>
        <v>Wrothgar</v>
      </c>
    </row>
    <row r="413" spans="1:14" x14ac:dyDescent="0.25">
      <c r="A413" s="58">
        <v>429</v>
      </c>
      <c r="B413">
        <v>38</v>
      </c>
      <c r="C413">
        <v>1719</v>
      </c>
      <c r="D413" t="s">
        <v>3520</v>
      </c>
      <c r="E413">
        <v>744</v>
      </c>
      <c r="F413">
        <v>1160</v>
      </c>
      <c r="G413" t="s">
        <v>3520</v>
      </c>
      <c r="H413">
        <v>1</v>
      </c>
      <c r="I413" t="s">
        <v>3534</v>
      </c>
      <c r="J413" s="2" t="str">
        <f t="shared" si="18"/>
        <v>[429]=1160,</v>
      </c>
      <c r="K413" s="3">
        <f t="shared" si="19"/>
        <v>429</v>
      </c>
      <c r="L413" s="3">
        <f t="shared" si="20"/>
        <v>1160</v>
      </c>
      <c r="M413" s="9" t="str">
        <f>VLOOKUP(A413,WayshrineNames!$A$3:$B$967,2,)</f>
        <v>Deepwood Vale Wayshrine</v>
      </c>
      <c r="N413" s="3" t="str">
        <f>VLOOKUP(F413,'ESO zones'!$A$5:$D$10003,4,FALSE)</f>
        <v>Western Skyrim</v>
      </c>
    </row>
    <row r="414" spans="1:14" x14ac:dyDescent="0.25">
      <c r="A414" s="58">
        <v>430</v>
      </c>
      <c r="B414">
        <v>40</v>
      </c>
      <c r="C414">
        <v>1782</v>
      </c>
      <c r="D414" t="s">
        <v>3515</v>
      </c>
      <c r="E414">
        <v>4294967296</v>
      </c>
      <c r="F414">
        <v>0</v>
      </c>
      <c r="H414">
        <v>1</v>
      </c>
      <c r="I414" t="s">
        <v>3535</v>
      </c>
      <c r="J414" s="2" t="str">
        <f t="shared" si="18"/>
        <v>[430]=0,</v>
      </c>
      <c r="K414" s="3">
        <f t="shared" si="19"/>
        <v>430</v>
      </c>
      <c r="L414" s="3">
        <f t="shared" si="20"/>
        <v>0</v>
      </c>
      <c r="M414" s="9" t="str">
        <f>VLOOKUP(A414,WayshrineNames!$A$3:$B$967,2,)</f>
        <v>Dwarven Run Wayshrine</v>
      </c>
      <c r="N414" s="3" t="str">
        <f>VLOOKUP(F414,'ESO zones'!$A$5:$D$10003,4,FALSE)</f>
        <v>Tamriel Map</v>
      </c>
    </row>
    <row r="415" spans="1:14" x14ac:dyDescent="0.25">
      <c r="A415" s="58">
        <v>431</v>
      </c>
      <c r="B415">
        <v>40</v>
      </c>
      <c r="C415">
        <v>1782</v>
      </c>
      <c r="D415" t="s">
        <v>3515</v>
      </c>
      <c r="E415">
        <v>4294967296</v>
      </c>
      <c r="F415">
        <v>0</v>
      </c>
      <c r="H415">
        <v>1</v>
      </c>
      <c r="I415" t="s">
        <v>3536</v>
      </c>
      <c r="J415" s="2" t="str">
        <f t="shared" si="18"/>
        <v>[431]=0,</v>
      </c>
      <c r="K415" s="3">
        <f t="shared" si="19"/>
        <v>431</v>
      </c>
      <c r="L415" s="3">
        <f t="shared" si="20"/>
        <v>0</v>
      </c>
      <c r="M415" s="9" t="str">
        <f>VLOOKUP(A415,WayshrineNames!$A$3:$B$967,2,)</f>
        <v>Grotto Falls Wayshrine</v>
      </c>
      <c r="N415" s="3" t="str">
        <f>VLOOKUP(F415,'ESO zones'!$A$5:$D$10003,4,FALSE)</f>
        <v>Tamriel Map</v>
      </c>
    </row>
    <row r="416" spans="1:14" x14ac:dyDescent="0.25">
      <c r="A416" s="58">
        <v>432</v>
      </c>
      <c r="B416">
        <v>40</v>
      </c>
      <c r="C416">
        <v>1782</v>
      </c>
      <c r="D416" t="s">
        <v>3515</v>
      </c>
      <c r="E416">
        <v>4294967296</v>
      </c>
      <c r="F416">
        <v>0</v>
      </c>
      <c r="H416">
        <v>1</v>
      </c>
      <c r="I416" t="s">
        <v>3537</v>
      </c>
      <c r="J416" s="2" t="str">
        <f t="shared" si="18"/>
        <v>[432]=0,</v>
      </c>
      <c r="K416" s="3">
        <f t="shared" si="19"/>
        <v>432</v>
      </c>
      <c r="L416" s="3">
        <f t="shared" si="20"/>
        <v>0</v>
      </c>
      <c r="M416" s="9" t="str">
        <f>VLOOKUP(A416,WayshrineNames!$A$3:$B$967,2,)</f>
        <v>Deep Overlook Wayshrine</v>
      </c>
      <c r="N416" s="3" t="str">
        <f>VLOOKUP(F416,'ESO zones'!$A$5:$D$10003,4,FALSE)</f>
        <v>Tamriel Map</v>
      </c>
    </row>
    <row r="417" spans="1:14" x14ac:dyDescent="0.25">
      <c r="A417" s="58">
        <v>433</v>
      </c>
      <c r="B417">
        <v>40</v>
      </c>
      <c r="C417">
        <v>1782</v>
      </c>
      <c r="D417" t="s">
        <v>3515</v>
      </c>
      <c r="E417">
        <v>4294967296</v>
      </c>
      <c r="F417">
        <v>0</v>
      </c>
      <c r="H417">
        <v>1</v>
      </c>
      <c r="I417" t="s">
        <v>3538</v>
      </c>
      <c r="J417" s="2" t="str">
        <f t="shared" si="18"/>
        <v>[433]=0,</v>
      </c>
      <c r="K417" s="3">
        <f t="shared" si="19"/>
        <v>433</v>
      </c>
      <c r="L417" s="3">
        <f t="shared" si="20"/>
        <v>0</v>
      </c>
      <c r="M417" s="9" t="str">
        <f>VLOOKUP(A417,WayshrineNames!$A$3:$B$967,2,)</f>
        <v>Western Greymoor Wayshrine</v>
      </c>
      <c r="N417" s="3" t="str">
        <f>VLOOKUP(F417,'ESO zones'!$A$5:$D$10003,4,FALSE)</f>
        <v>Tamriel Map</v>
      </c>
    </row>
    <row r="418" spans="1:14" x14ac:dyDescent="0.25">
      <c r="A418" s="58">
        <v>434</v>
      </c>
      <c r="B418">
        <v>38</v>
      </c>
      <c r="C418">
        <v>1719</v>
      </c>
      <c r="D418" t="s">
        <v>3520</v>
      </c>
      <c r="E418">
        <v>744</v>
      </c>
      <c r="F418">
        <v>1160</v>
      </c>
      <c r="G418" t="s">
        <v>3520</v>
      </c>
      <c r="H418">
        <v>3</v>
      </c>
      <c r="I418" t="s">
        <v>3539</v>
      </c>
      <c r="J418" s="2" t="str">
        <f t="shared" si="18"/>
        <v>[434]=1160,</v>
      </c>
      <c r="K418" s="3">
        <f t="shared" si="19"/>
        <v>434</v>
      </c>
      <c r="L418" s="3">
        <f t="shared" si="20"/>
        <v>1160</v>
      </c>
      <c r="M418" s="9" t="str">
        <f>VLOOKUP(A418,WayshrineNames!$A$3:$B$967,2,)</f>
        <v>Trial: Kyne's Aegis</v>
      </c>
      <c r="N418" s="3" t="str">
        <f>VLOOKUP(F418,'ESO zones'!$A$5:$D$10003,4,FALSE)</f>
        <v>Western Skyrim</v>
      </c>
    </row>
    <row r="419" spans="1:14" x14ac:dyDescent="0.25">
      <c r="A419" s="58">
        <v>435</v>
      </c>
      <c r="B419">
        <v>40</v>
      </c>
      <c r="C419">
        <v>1782</v>
      </c>
      <c r="D419" t="s">
        <v>3515</v>
      </c>
      <c r="E419">
        <v>4294967296</v>
      </c>
      <c r="F419">
        <v>0</v>
      </c>
      <c r="H419">
        <v>6</v>
      </c>
      <c r="I419" t="s">
        <v>3540</v>
      </c>
      <c r="J419" s="2" t="str">
        <f t="shared" si="18"/>
        <v>[435]=0,</v>
      </c>
      <c r="K419" s="3">
        <f t="shared" si="19"/>
        <v>435</v>
      </c>
      <c r="L419" s="3">
        <f t="shared" si="20"/>
        <v>0</v>
      </c>
      <c r="M419" s="9" t="str">
        <f>VLOOKUP(A419,WayshrineNames!$A$3:$B$967,2,)</f>
        <v>Dungeon: Stone Garden</v>
      </c>
      <c r="N419" s="3" t="str">
        <f>VLOOKUP(F419,'ESO zones'!$A$5:$D$10003,4,FALSE)</f>
        <v>Tamriel Map</v>
      </c>
    </row>
    <row r="420" spans="1:14" x14ac:dyDescent="0.25">
      <c r="A420" s="58">
        <v>436</v>
      </c>
      <c r="B420">
        <v>38</v>
      </c>
      <c r="C420">
        <v>1719</v>
      </c>
      <c r="D420" t="s">
        <v>3520</v>
      </c>
      <c r="E420">
        <v>744</v>
      </c>
      <c r="F420">
        <v>1160</v>
      </c>
      <c r="G420" t="s">
        <v>3520</v>
      </c>
      <c r="H420">
        <v>6</v>
      </c>
      <c r="I420" t="s">
        <v>3541</v>
      </c>
      <c r="J420" s="2" t="str">
        <f t="shared" si="18"/>
        <v>[436]=1160,</v>
      </c>
      <c r="K420" s="3">
        <f t="shared" si="19"/>
        <v>436</v>
      </c>
      <c r="L420" s="3">
        <f t="shared" si="20"/>
        <v>1160</v>
      </c>
      <c r="M420" s="9" t="str">
        <f>VLOOKUP(A420,WayshrineNames!$A$3:$B$967,2,)</f>
        <v>Dungeon: Castle Thorn</v>
      </c>
      <c r="N420" s="3" t="str">
        <f>VLOOKUP(F420,'ESO zones'!$A$5:$D$10003,4,FALSE)</f>
        <v>Western Skyrim</v>
      </c>
    </row>
    <row r="421" spans="1:14" x14ac:dyDescent="0.25">
      <c r="A421" s="58">
        <v>437</v>
      </c>
      <c r="B421">
        <v>29</v>
      </c>
      <c r="C421">
        <v>1006</v>
      </c>
      <c r="D421" t="s">
        <v>3358</v>
      </c>
      <c r="E421">
        <v>449</v>
      </c>
      <c r="F421">
        <v>823</v>
      </c>
      <c r="G421" t="s">
        <v>3359</v>
      </c>
      <c r="H421">
        <v>6</v>
      </c>
      <c r="I421" t="s">
        <v>3542</v>
      </c>
      <c r="J421" s="2" t="str">
        <f t="shared" si="18"/>
        <v>[437]=823,</v>
      </c>
      <c r="K421" s="3">
        <f t="shared" si="19"/>
        <v>437</v>
      </c>
      <c r="L421" s="3">
        <f t="shared" si="20"/>
        <v>823</v>
      </c>
      <c r="M421" s="9" t="str">
        <f>VLOOKUP(A421,WayshrineNames!$A$3:$B$967,2,)</f>
        <v>Dungeon: Black Drake Villa</v>
      </c>
      <c r="N421" s="3" t="str">
        <f>VLOOKUP(F421,'ESO zones'!$A$5:$D$10003,4,FALSE)</f>
        <v>Gold Coast</v>
      </c>
    </row>
    <row r="422" spans="1:14" x14ac:dyDescent="0.25">
      <c r="A422" s="58">
        <v>438</v>
      </c>
      <c r="B422">
        <v>38</v>
      </c>
      <c r="C422">
        <v>1719</v>
      </c>
      <c r="D422" t="s">
        <v>3520</v>
      </c>
      <c r="E422">
        <v>744</v>
      </c>
      <c r="F422">
        <v>1160</v>
      </c>
      <c r="G422" t="s">
        <v>3520</v>
      </c>
      <c r="H422">
        <v>7</v>
      </c>
      <c r="I422" t="s">
        <v>3543</v>
      </c>
      <c r="J422" s="2" t="str">
        <f t="shared" si="18"/>
        <v>[438]=1160,</v>
      </c>
      <c r="K422" s="3">
        <f t="shared" si="19"/>
        <v>438</v>
      </c>
      <c r="L422" s="3">
        <f t="shared" si="20"/>
        <v>1160</v>
      </c>
      <c r="M422" s="9" t="str">
        <f>VLOOKUP(A422,WayshrineNames!$A$3:$B$967,2,)</f>
        <v>Snowmelt Suite</v>
      </c>
      <c r="N422" s="3" t="str">
        <f>VLOOKUP(F422,'ESO zones'!$A$5:$D$10003,4,FALSE)</f>
        <v>Western Skyrim</v>
      </c>
    </row>
    <row r="423" spans="1:14" s="39" customFormat="1" x14ac:dyDescent="0.25">
      <c r="A423" s="58">
        <v>439</v>
      </c>
      <c r="B423">
        <v>38</v>
      </c>
      <c r="C423">
        <v>1719</v>
      </c>
      <c r="D423" t="s">
        <v>3520</v>
      </c>
      <c r="E423">
        <v>744</v>
      </c>
      <c r="F423">
        <v>1160</v>
      </c>
      <c r="G423" t="s">
        <v>3520</v>
      </c>
      <c r="H423">
        <v>7</v>
      </c>
      <c r="I423" t="s">
        <v>3544</v>
      </c>
      <c r="J423" s="2" t="str">
        <f t="shared" si="18"/>
        <v>[439]=1160,</v>
      </c>
      <c r="K423" s="3">
        <f t="shared" si="19"/>
        <v>439</v>
      </c>
      <c r="L423" s="3">
        <f t="shared" si="20"/>
        <v>1160</v>
      </c>
      <c r="M423" s="9" t="str">
        <f>VLOOKUP(A423,WayshrineNames!$A$3:$B$967,2,)</f>
        <v>Proudspire Manor</v>
      </c>
      <c r="N423" s="3" t="str">
        <f>VLOOKUP(F423,'ESO zones'!$A$5:$D$10003,4,FALSE)</f>
        <v>Western Skyrim</v>
      </c>
    </row>
    <row r="424" spans="1:14" s="39" customFormat="1" x14ac:dyDescent="0.25">
      <c r="A424" s="58">
        <v>440</v>
      </c>
      <c r="B424">
        <v>40</v>
      </c>
      <c r="C424">
        <v>1782</v>
      </c>
      <c r="D424" t="s">
        <v>3515</v>
      </c>
      <c r="E424">
        <v>4294967296</v>
      </c>
      <c r="F424">
        <v>0</v>
      </c>
      <c r="G424"/>
      <c r="H424">
        <v>7</v>
      </c>
      <c r="I424" t="s">
        <v>3545</v>
      </c>
      <c r="J424" s="2" t="str">
        <f t="shared" si="18"/>
        <v>[440]=0,</v>
      </c>
      <c r="K424" s="3">
        <f t="shared" si="19"/>
        <v>440</v>
      </c>
      <c r="L424" s="3">
        <f t="shared" si="20"/>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3546</v>
      </c>
      <c r="J425" s="2" t="str">
        <f t="shared" si="18"/>
        <v>[441]=1207,</v>
      </c>
      <c r="K425" s="3">
        <f t="shared" si="19"/>
        <v>441</v>
      </c>
      <c r="L425" s="3">
        <f t="shared" si="20"/>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3547</v>
      </c>
      <c r="J426" s="2" t="str">
        <f t="shared" si="18"/>
        <v>[442]=1207,</v>
      </c>
      <c r="K426" s="3">
        <f t="shared" si="19"/>
        <v>442</v>
      </c>
      <c r="L426" s="3">
        <f t="shared" si="20"/>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3548</v>
      </c>
      <c r="J427" s="2" t="str">
        <f t="shared" si="18"/>
        <v>[443]=1207,</v>
      </c>
      <c r="K427" s="3">
        <f t="shared" si="19"/>
        <v>443</v>
      </c>
      <c r="L427" s="3">
        <f t="shared" si="20"/>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3549</v>
      </c>
      <c r="J428" s="2" t="str">
        <f t="shared" si="18"/>
        <v>[444]=1207,</v>
      </c>
      <c r="K428" s="3">
        <f t="shared" si="19"/>
        <v>444</v>
      </c>
      <c r="L428" s="3">
        <f t="shared" si="20"/>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3550</v>
      </c>
      <c r="J429" s="2" t="str">
        <f t="shared" si="18"/>
        <v>[445]=1207,</v>
      </c>
      <c r="K429" s="3">
        <f t="shared" si="19"/>
        <v>445</v>
      </c>
      <c r="L429" s="3">
        <f t="shared" si="20"/>
        <v>1207</v>
      </c>
      <c r="M429" s="9" t="str">
        <f>VLOOKUP(A429,WayshrineNames!$A$3:$B$967,2,)</f>
        <v>Karthwasten Wayshrine</v>
      </c>
      <c r="N429" s="3" t="str">
        <f>VLOOKUP(F429,'ESO zones'!$A$5:$D$10003,4,FALSE)</f>
        <v>The Reach</v>
      </c>
    </row>
    <row r="430" spans="1:14" x14ac:dyDescent="0.25">
      <c r="A430" s="58">
        <v>446</v>
      </c>
      <c r="B430">
        <v>40</v>
      </c>
      <c r="C430">
        <v>1782</v>
      </c>
      <c r="D430" t="s">
        <v>3515</v>
      </c>
      <c r="E430">
        <v>4294967296</v>
      </c>
      <c r="F430">
        <v>0</v>
      </c>
      <c r="H430">
        <v>1</v>
      </c>
      <c r="I430" t="s">
        <v>3551</v>
      </c>
      <c r="J430" s="2" t="str">
        <f t="shared" si="18"/>
        <v>[446]=0,</v>
      </c>
      <c r="K430" s="3">
        <f t="shared" si="19"/>
        <v>446</v>
      </c>
      <c r="L430" s="3">
        <f t="shared" si="20"/>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3552</v>
      </c>
      <c r="J431" s="2" t="str">
        <f t="shared" si="18"/>
        <v>[447]=1207,</v>
      </c>
      <c r="K431" s="3">
        <f t="shared" si="19"/>
        <v>447</v>
      </c>
      <c r="L431" s="3">
        <f t="shared" si="20"/>
        <v>1207</v>
      </c>
      <c r="M431" s="9" t="str">
        <f>VLOOKUP(A431,WayshrineNames!$A$3:$B$967,2,)</f>
        <v>Rebel's Retreat Wayshrine</v>
      </c>
      <c r="N431" s="3" t="str">
        <f>VLOOKUP(F431,'ESO zones'!$A$5:$D$10003,4,FALSE)</f>
        <v>The Reach</v>
      </c>
    </row>
    <row r="432" spans="1:14" x14ac:dyDescent="0.25">
      <c r="A432" s="58">
        <v>448</v>
      </c>
      <c r="B432">
        <v>40</v>
      </c>
      <c r="C432">
        <v>1782</v>
      </c>
      <c r="D432" t="s">
        <v>3515</v>
      </c>
      <c r="E432">
        <v>4294967296</v>
      </c>
      <c r="F432">
        <v>0</v>
      </c>
      <c r="H432">
        <v>1</v>
      </c>
      <c r="I432" t="s">
        <v>3553</v>
      </c>
      <c r="J432" s="2" t="str">
        <f t="shared" si="18"/>
        <v>[448]=0,</v>
      </c>
      <c r="K432" s="3">
        <f t="shared" si="19"/>
        <v>448</v>
      </c>
      <c r="L432" s="3">
        <f t="shared" si="20"/>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3554</v>
      </c>
      <c r="J433" s="2" t="str">
        <f t="shared" si="18"/>
        <v>[449]=1207,</v>
      </c>
      <c r="K433" s="3">
        <f t="shared" si="19"/>
        <v>449</v>
      </c>
      <c r="L433" s="3">
        <f t="shared" si="20"/>
        <v>1207</v>
      </c>
      <c r="M433" s="9" t="str">
        <f>VLOOKUP(A433,WayshrineNames!$A$3:$B$967,2,)</f>
        <v>Markarth Wayshrine</v>
      </c>
      <c r="N433" s="3" t="str">
        <f>VLOOKUP(F433,'ESO zones'!$A$5:$D$10003,4,FALSE)</f>
        <v>The Reach</v>
      </c>
    </row>
    <row r="434" spans="1:14" x14ac:dyDescent="0.25">
      <c r="A434" s="58">
        <v>450</v>
      </c>
      <c r="B434">
        <v>38</v>
      </c>
      <c r="C434">
        <v>1719</v>
      </c>
      <c r="D434" t="s">
        <v>3520</v>
      </c>
      <c r="E434">
        <v>744</v>
      </c>
      <c r="F434">
        <v>1160</v>
      </c>
      <c r="G434" t="s">
        <v>3520</v>
      </c>
      <c r="H434">
        <v>1</v>
      </c>
      <c r="I434" t="s">
        <v>3555</v>
      </c>
      <c r="J434" s="2" t="str">
        <f t="shared" si="18"/>
        <v>[450]=1160,</v>
      </c>
      <c r="K434" s="3">
        <f t="shared" si="19"/>
        <v>450</v>
      </c>
      <c r="L434" s="3">
        <f t="shared" si="20"/>
        <v>1160</v>
      </c>
      <c r="M434" s="9" t="str">
        <f>VLOOKUP(A434,WayshrineNames!$A$3:$B$967,2,)</f>
        <v>Giant's Coast Wayshrine</v>
      </c>
      <c r="N434" s="3" t="str">
        <f>VLOOKUP(F434,'ESO zones'!$A$5:$D$10003,4,FALSE)</f>
        <v>Western Skyrim</v>
      </c>
    </row>
    <row r="435" spans="1:14" x14ac:dyDescent="0.25">
      <c r="A435" s="58">
        <v>451</v>
      </c>
      <c r="B435">
        <v>38</v>
      </c>
      <c r="C435">
        <v>1719</v>
      </c>
      <c r="D435" t="s">
        <v>3520</v>
      </c>
      <c r="E435">
        <v>744</v>
      </c>
      <c r="F435">
        <v>1160</v>
      </c>
      <c r="G435" t="s">
        <v>3520</v>
      </c>
      <c r="H435">
        <v>1</v>
      </c>
      <c r="I435" t="s">
        <v>3556</v>
      </c>
      <c r="J435" s="2" t="str">
        <f t="shared" si="18"/>
        <v>[451]=1160,</v>
      </c>
      <c r="K435" s="3">
        <f t="shared" si="19"/>
        <v>451</v>
      </c>
      <c r="L435" s="3">
        <f t="shared" si="20"/>
        <v>1160</v>
      </c>
      <c r="M435" s="9" t="str">
        <f>VLOOKUP(A435,WayshrineNames!$A$3:$B$967,2,)</f>
        <v>Northern Watch Wayshrine</v>
      </c>
      <c r="N435" s="3" t="str">
        <f>VLOOKUP(F435,'ESO zones'!$A$5:$D$10003,4,FALSE)</f>
        <v>Western Skyrim</v>
      </c>
    </row>
    <row r="436" spans="1:14" x14ac:dyDescent="0.25">
      <c r="A436" s="58">
        <v>452</v>
      </c>
      <c r="B436">
        <v>38</v>
      </c>
      <c r="C436">
        <v>1719</v>
      </c>
      <c r="D436" t="s">
        <v>3520</v>
      </c>
      <c r="E436">
        <v>744</v>
      </c>
      <c r="F436">
        <v>1160</v>
      </c>
      <c r="G436" t="s">
        <v>3520</v>
      </c>
      <c r="H436">
        <v>7</v>
      </c>
      <c r="I436" t="s">
        <v>3557</v>
      </c>
      <c r="J436" s="2" t="str">
        <f t="shared" si="18"/>
        <v>[452]=1160,</v>
      </c>
      <c r="K436" s="3">
        <f t="shared" si="19"/>
        <v>452</v>
      </c>
      <c r="L436" s="3">
        <f t="shared" si="20"/>
        <v>1160</v>
      </c>
      <c r="M436" s="9" t="str">
        <f>VLOOKUP(A436,WayshrineNames!$A$3:$B$967,2,)</f>
        <v>Antiquarian's Alpine Gallery</v>
      </c>
      <c r="N436" s="3" t="str">
        <f>VLOOKUP(F436,'ESO zones'!$A$5:$D$10003,4,FALSE)</f>
        <v>Western Skyrim</v>
      </c>
    </row>
    <row r="437" spans="1:14" x14ac:dyDescent="0.25">
      <c r="A437" s="58">
        <v>453</v>
      </c>
      <c r="B437">
        <v>38</v>
      </c>
      <c r="C437">
        <v>1719</v>
      </c>
      <c r="D437" t="s">
        <v>3520</v>
      </c>
      <c r="E437">
        <v>744</v>
      </c>
      <c r="F437">
        <v>1160</v>
      </c>
      <c r="G437" t="s">
        <v>3520</v>
      </c>
      <c r="H437">
        <v>7</v>
      </c>
      <c r="I437" t="s">
        <v>3558</v>
      </c>
      <c r="J437" s="2" t="str">
        <f t="shared" si="18"/>
        <v>[453]=1160,</v>
      </c>
      <c r="K437" s="3">
        <f t="shared" si="19"/>
        <v>453</v>
      </c>
      <c r="L437" s="3">
        <f t="shared" si="20"/>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3559</v>
      </c>
      <c r="J438" s="2" t="str">
        <f t="shared" si="18"/>
        <v>[454]=57,</v>
      </c>
      <c r="K438" s="3">
        <f t="shared" si="19"/>
        <v>454</v>
      </c>
      <c r="L438" s="3">
        <f t="shared" si="20"/>
        <v>57</v>
      </c>
      <c r="M438" s="9" t="str">
        <f>VLOOKUP(A438,WayshrineNames!$A$3:$B$967,2,)</f>
        <v>Dungeon: The Cauldron</v>
      </c>
      <c r="N438" s="3" t="str">
        <f>VLOOKUP(F438,'ESO zones'!$A$5:$D$10003,4,FALSE)</f>
        <v>Deshaan</v>
      </c>
    </row>
    <row r="439" spans="1:14" x14ac:dyDescent="0.25">
      <c r="A439" s="58">
        <v>455</v>
      </c>
      <c r="B439">
        <v>38</v>
      </c>
      <c r="C439">
        <v>1719</v>
      </c>
      <c r="D439" t="s">
        <v>3520</v>
      </c>
      <c r="E439">
        <v>744</v>
      </c>
      <c r="F439">
        <v>1160</v>
      </c>
      <c r="G439" t="s">
        <v>3520</v>
      </c>
      <c r="H439">
        <v>7</v>
      </c>
      <c r="I439" t="s">
        <v>3560</v>
      </c>
      <c r="J439" s="2" t="str">
        <f t="shared" si="18"/>
        <v>[455]=1160,</v>
      </c>
      <c r="K439" s="3">
        <f t="shared" si="19"/>
        <v>455</v>
      </c>
      <c r="L439" s="3">
        <f t="shared" si="20"/>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2894</v>
      </c>
      <c r="J440" s="2" t="str">
        <f t="shared" si="18"/>
        <v>[456]=1207,</v>
      </c>
      <c r="K440" s="3">
        <f t="shared" si="19"/>
        <v>456</v>
      </c>
      <c r="L440" s="3">
        <f t="shared" si="20"/>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 t="shared" si="18"/>
        <v>[457]=1207,</v>
      </c>
      <c r="K441" s="3">
        <f t="shared" si="19"/>
        <v>457</v>
      </c>
      <c r="L441" s="3">
        <f t="shared" si="20"/>
        <v>1207</v>
      </c>
      <c r="M441" s="9" t="str">
        <f>VLOOKUP(A441,WayshrineNames!$A$3:$B$967,2,)</f>
        <v>Vateshran Hollows</v>
      </c>
      <c r="N441" s="3" t="str">
        <f>VLOOKUP(F441,'ESO zones'!$A$5:$D$10003,4,FALSE)</f>
        <v>The Reach</v>
      </c>
    </row>
    <row r="442" spans="1:14" x14ac:dyDescent="0.25">
      <c r="A442" s="58">
        <v>458</v>
      </c>
      <c r="B442">
        <v>43</v>
      </c>
      <c r="C442">
        <v>1887</v>
      </c>
      <c r="D442" t="s">
        <v>3561</v>
      </c>
      <c r="E442">
        <v>835</v>
      </c>
      <c r="F442">
        <v>1261</v>
      </c>
      <c r="G442" t="s">
        <v>3561</v>
      </c>
      <c r="H442">
        <v>1</v>
      </c>
      <c r="I442" t="s">
        <v>3562</v>
      </c>
      <c r="J442" s="2" t="str">
        <f t="shared" si="18"/>
        <v>[458]=1261,</v>
      </c>
      <c r="K442" s="3">
        <f t="shared" si="19"/>
        <v>458</v>
      </c>
      <c r="L442" s="3">
        <f t="shared" si="20"/>
        <v>1261</v>
      </c>
      <c r="M442" s="9" t="str">
        <f>VLOOKUP(A442,WayshrineNames!$A$3:$B$967,2,)</f>
        <v>Leyawiin Wayshrine</v>
      </c>
      <c r="N442" s="3" t="str">
        <f>VLOOKUP(F442,'ESO zones'!$A$5:$D$10003,4,FALSE)</f>
        <v>Blackwood</v>
      </c>
    </row>
    <row r="443" spans="1:14" x14ac:dyDescent="0.25">
      <c r="A443" s="58">
        <v>459</v>
      </c>
      <c r="B443">
        <v>43</v>
      </c>
      <c r="C443">
        <v>1887</v>
      </c>
      <c r="D443" t="s">
        <v>3561</v>
      </c>
      <c r="E443">
        <v>835</v>
      </c>
      <c r="F443">
        <v>1261</v>
      </c>
      <c r="G443" t="s">
        <v>3561</v>
      </c>
      <c r="H443">
        <v>1</v>
      </c>
      <c r="I443" t="s">
        <v>3563</v>
      </c>
      <c r="J443" s="2" t="str">
        <f t="shared" si="18"/>
        <v>[459]=1261,</v>
      </c>
      <c r="K443" s="3">
        <f t="shared" si="19"/>
        <v>459</v>
      </c>
      <c r="L443" s="3">
        <f t="shared" si="20"/>
        <v>1261</v>
      </c>
      <c r="M443" s="9" t="str">
        <f>VLOOKUP(A443,WayshrineNames!$A$3:$B$967,2,)</f>
        <v>Gideon Wayshrine</v>
      </c>
      <c r="N443" s="3" t="str">
        <f>VLOOKUP(F443,'ESO zones'!$A$5:$D$10003,4,FALSE)</f>
        <v>Blackwood</v>
      </c>
    </row>
    <row r="444" spans="1:14" x14ac:dyDescent="0.25">
      <c r="A444" s="58">
        <v>460</v>
      </c>
      <c r="B444">
        <v>43</v>
      </c>
      <c r="C444">
        <v>1887</v>
      </c>
      <c r="D444" t="s">
        <v>3561</v>
      </c>
      <c r="E444">
        <v>835</v>
      </c>
      <c r="F444">
        <v>1261</v>
      </c>
      <c r="G444" t="s">
        <v>3561</v>
      </c>
      <c r="H444">
        <v>1</v>
      </c>
      <c r="I444" t="s">
        <v>3564</v>
      </c>
      <c r="J444" s="2" t="str">
        <f t="shared" si="18"/>
        <v>[460]=1261,</v>
      </c>
      <c r="K444" s="3">
        <f t="shared" si="19"/>
        <v>460</v>
      </c>
      <c r="L444" s="3">
        <f t="shared" si="20"/>
        <v>1261</v>
      </c>
      <c r="M444" s="9" t="str">
        <f>VLOOKUP(A444,WayshrineNames!$A$3:$B$967,2,)</f>
        <v>Borderwatch Wayshrine</v>
      </c>
      <c r="N444" s="3" t="str">
        <f>VLOOKUP(F444,'ESO zones'!$A$5:$D$10003,4,FALSE)</f>
        <v>Blackwood</v>
      </c>
    </row>
    <row r="445" spans="1:14" x14ac:dyDescent="0.25">
      <c r="A445" s="58">
        <v>461</v>
      </c>
      <c r="B445">
        <v>43</v>
      </c>
      <c r="C445">
        <v>1887</v>
      </c>
      <c r="D445" t="s">
        <v>3561</v>
      </c>
      <c r="E445">
        <v>835</v>
      </c>
      <c r="F445">
        <v>1261</v>
      </c>
      <c r="G445" t="s">
        <v>3561</v>
      </c>
      <c r="H445">
        <v>1</v>
      </c>
      <c r="I445" t="s">
        <v>3565</v>
      </c>
      <c r="J445" s="2" t="str">
        <f t="shared" si="18"/>
        <v>[461]=1261,</v>
      </c>
      <c r="K445" s="3">
        <f t="shared" si="19"/>
        <v>461</v>
      </c>
      <c r="L445" s="3">
        <f t="shared" si="20"/>
        <v>1261</v>
      </c>
      <c r="M445" s="9" t="str">
        <f>VLOOKUP(A445,WayshrineNames!$A$3:$B$967,2,)</f>
        <v>Fort Redmane Wayshrine</v>
      </c>
      <c r="N445" s="3" t="str">
        <f>VLOOKUP(F445,'ESO zones'!$A$5:$D$10003,4,FALSE)</f>
        <v>Blackwood</v>
      </c>
    </row>
    <row r="446" spans="1:14" x14ac:dyDescent="0.25">
      <c r="A446" s="58">
        <v>462</v>
      </c>
      <c r="B446">
        <v>43</v>
      </c>
      <c r="C446">
        <v>1887</v>
      </c>
      <c r="D446" t="s">
        <v>3561</v>
      </c>
      <c r="E446">
        <v>835</v>
      </c>
      <c r="F446">
        <v>1261</v>
      </c>
      <c r="G446" t="s">
        <v>3561</v>
      </c>
      <c r="H446">
        <v>1</v>
      </c>
      <c r="I446" t="s">
        <v>3566</v>
      </c>
      <c r="J446" s="2" t="str">
        <f t="shared" si="18"/>
        <v>[462]=1261,</v>
      </c>
      <c r="K446" s="3">
        <f t="shared" si="19"/>
        <v>462</v>
      </c>
      <c r="L446" s="3">
        <f t="shared" si="20"/>
        <v>1261</v>
      </c>
      <c r="M446" s="9" t="str">
        <f>VLOOKUP(A446,WayshrineNames!$A$3:$B$967,2,)</f>
        <v>Bloodrun Wayshrine</v>
      </c>
      <c r="N446" s="3" t="str">
        <f>VLOOKUP(F446,'ESO zones'!$A$5:$D$10003,4,FALSE)</f>
        <v>Blackwood</v>
      </c>
    </row>
    <row r="447" spans="1:14" x14ac:dyDescent="0.25">
      <c r="A447" s="58">
        <v>463</v>
      </c>
      <c r="B447">
        <v>43</v>
      </c>
      <c r="C447">
        <v>1887</v>
      </c>
      <c r="D447" t="s">
        <v>3561</v>
      </c>
      <c r="E447">
        <v>835</v>
      </c>
      <c r="F447">
        <v>1261</v>
      </c>
      <c r="G447" t="s">
        <v>3561</v>
      </c>
      <c r="H447">
        <v>1</v>
      </c>
      <c r="I447" t="s">
        <v>3567</v>
      </c>
      <c r="J447" s="2" t="str">
        <f t="shared" si="18"/>
        <v>[463]=1261,</v>
      </c>
      <c r="K447" s="3">
        <f t="shared" si="19"/>
        <v>463</v>
      </c>
      <c r="L447" s="3">
        <f t="shared" si="20"/>
        <v>1261</v>
      </c>
      <c r="M447" s="9" t="str">
        <f>VLOOKUP(A447,WayshrineNames!$A$3:$B$967,2,)</f>
        <v>Blueblood Wayshrine</v>
      </c>
      <c r="N447" s="3" t="str">
        <f>VLOOKUP(F447,'ESO zones'!$A$5:$D$10003,4,FALSE)</f>
        <v>Blackwood</v>
      </c>
    </row>
    <row r="448" spans="1:14" x14ac:dyDescent="0.25">
      <c r="A448" s="58">
        <v>464</v>
      </c>
      <c r="B448">
        <v>43</v>
      </c>
      <c r="C448">
        <v>1887</v>
      </c>
      <c r="D448" t="s">
        <v>3561</v>
      </c>
      <c r="E448">
        <v>835</v>
      </c>
      <c r="F448">
        <v>1261</v>
      </c>
      <c r="G448" t="s">
        <v>3561</v>
      </c>
      <c r="H448">
        <v>1</v>
      </c>
      <c r="I448" t="s">
        <v>3568</v>
      </c>
      <c r="J448" s="2" t="str">
        <f t="shared" si="18"/>
        <v>[464]=1261,</v>
      </c>
      <c r="K448" s="3">
        <f t="shared" si="19"/>
        <v>464</v>
      </c>
      <c r="L448" s="3">
        <f t="shared" si="20"/>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3569</v>
      </c>
      <c r="J449" s="2" t="str">
        <f t="shared" si="18"/>
        <v>[465]=849,</v>
      </c>
      <c r="K449" s="3">
        <f t="shared" si="19"/>
        <v>465</v>
      </c>
      <c r="L449" s="3">
        <f t="shared" si="20"/>
        <v>849</v>
      </c>
      <c r="M449" s="9" t="str">
        <f>VLOOKUP(A449,WayshrineNames!$A$3:$B$967,2,)</f>
        <v>Kushalit Sanctuary</v>
      </c>
      <c r="N449" s="3" t="str">
        <f>VLOOKUP(F449,'ESO zones'!$A$5:$D$10003,4,FALSE)</f>
        <v>Vvardenfell</v>
      </c>
    </row>
    <row r="450" spans="1:14" x14ac:dyDescent="0.25">
      <c r="A450" s="58">
        <v>466</v>
      </c>
      <c r="B450">
        <v>29</v>
      </c>
      <c r="C450">
        <v>1006</v>
      </c>
      <c r="D450" t="s">
        <v>3358</v>
      </c>
      <c r="E450">
        <v>449</v>
      </c>
      <c r="F450">
        <v>823</v>
      </c>
      <c r="G450" t="s">
        <v>3359</v>
      </c>
      <c r="H450">
        <v>7</v>
      </c>
      <c r="I450" t="s">
        <v>3570</v>
      </c>
      <c r="J450" s="2" t="str">
        <f t="shared" si="18"/>
        <v>[466]=823,</v>
      </c>
      <c r="K450" s="3">
        <f t="shared" si="19"/>
        <v>466</v>
      </c>
      <c r="L450" s="3">
        <f t="shared" si="20"/>
        <v>823</v>
      </c>
      <c r="M450" s="9" t="str">
        <f>VLOOKUP(A450,WayshrineNames!$A$3:$B$967,2,)</f>
        <v>Varlaisvea Ayleid Ruins</v>
      </c>
      <c r="N450" s="3" t="str">
        <f>VLOOKUP(F450,'ESO zones'!$A$5:$D$10003,4,FALSE)</f>
        <v>Gold Coast</v>
      </c>
    </row>
    <row r="451" spans="1:14" x14ac:dyDescent="0.25">
      <c r="A451" s="58">
        <v>467</v>
      </c>
      <c r="B451">
        <v>43</v>
      </c>
      <c r="C451">
        <v>1887</v>
      </c>
      <c r="D451" t="s">
        <v>3561</v>
      </c>
      <c r="E451">
        <v>835</v>
      </c>
      <c r="F451">
        <v>1261</v>
      </c>
      <c r="G451" t="s">
        <v>3561</v>
      </c>
      <c r="H451">
        <v>1</v>
      </c>
      <c r="I451" t="s">
        <v>3571</v>
      </c>
      <c r="J451" s="2" t="str">
        <f t="shared" ref="J451:J514" si="21">IF(A451&lt;&gt;"",IF(F451&lt;&gt;"",IF(OR(ISNA(A451),ISNA(F451)),"","["&amp;A451&amp;"]="&amp;F451&amp;","),""),"")</f>
        <v>[467]=1261,</v>
      </c>
      <c r="K451" s="3">
        <f t="shared" ref="K451:K514" si="22">A451</f>
        <v>467</v>
      </c>
      <c r="L451" s="3">
        <f t="shared" ref="L451:L514" si="23">F451</f>
        <v>1261</v>
      </c>
      <c r="M451" s="9" t="str">
        <f>VLOOKUP(A451,WayshrineNames!$A$3:$B$967,2,)</f>
        <v>Leyawiin Outskirts Wayshrine</v>
      </c>
      <c r="N451" s="3" t="str">
        <f>VLOOKUP(F451,'ESO zones'!$A$5:$D$10003,4,FALSE)</f>
        <v>Blackwood</v>
      </c>
    </row>
    <row r="452" spans="1:14" x14ac:dyDescent="0.25">
      <c r="A452" s="58">
        <v>468</v>
      </c>
      <c r="B452">
        <v>43</v>
      </c>
      <c r="C452">
        <v>1887</v>
      </c>
      <c r="D452" t="s">
        <v>3561</v>
      </c>
      <c r="E452">
        <v>835</v>
      </c>
      <c r="F452">
        <v>1261</v>
      </c>
      <c r="G452" t="s">
        <v>3561</v>
      </c>
      <c r="H452">
        <v>3</v>
      </c>
      <c r="I452" t="s">
        <v>3572</v>
      </c>
      <c r="J452" s="2" t="str">
        <f t="shared" si="21"/>
        <v>[468]=1261,</v>
      </c>
      <c r="K452" s="3">
        <f t="shared" si="22"/>
        <v>468</v>
      </c>
      <c r="L452" s="3">
        <f t="shared" si="23"/>
        <v>1261</v>
      </c>
      <c r="M452" s="9" t="str">
        <f>VLOOKUP(A452,WayshrineNames!$A$3:$B$967,2,)</f>
        <v>Trial: Rockgrove</v>
      </c>
      <c r="N452" s="3" t="str">
        <f>VLOOKUP(F452,'ESO zones'!$A$5:$D$10003,4,FALSE)</f>
        <v>Blackwood</v>
      </c>
    </row>
    <row r="453" spans="1:14" x14ac:dyDescent="0.25">
      <c r="A453" s="58">
        <v>469</v>
      </c>
      <c r="B453">
        <v>43</v>
      </c>
      <c r="C453">
        <v>1887</v>
      </c>
      <c r="D453" t="s">
        <v>3561</v>
      </c>
      <c r="E453">
        <v>835</v>
      </c>
      <c r="F453">
        <v>1261</v>
      </c>
      <c r="G453" t="s">
        <v>3561</v>
      </c>
      <c r="H453">
        <v>6</v>
      </c>
      <c r="I453" t="s">
        <v>3573</v>
      </c>
      <c r="J453" s="2" t="str">
        <f t="shared" si="21"/>
        <v>[469]=1261,</v>
      </c>
      <c r="K453" s="3">
        <f t="shared" si="22"/>
        <v>469</v>
      </c>
      <c r="L453" s="3">
        <f t="shared" si="23"/>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3574</v>
      </c>
      <c r="J454" s="2" t="str">
        <f t="shared" si="21"/>
        <v>[470]=3,</v>
      </c>
      <c r="K454" s="3">
        <f t="shared" si="22"/>
        <v>470</v>
      </c>
      <c r="L454" s="3">
        <f t="shared" si="23"/>
        <v>3</v>
      </c>
      <c r="M454" s="9" t="str">
        <f>VLOOKUP(A454,WayshrineNames!$A$3:$B$967,2,)</f>
        <v>Dungeon: Red Petal Bastion</v>
      </c>
      <c r="N454" s="3" t="str">
        <f>VLOOKUP(F454,'ESO zones'!$A$5:$D$10003,4,FALSE)</f>
        <v>Glenumbra</v>
      </c>
    </row>
    <row r="455" spans="1:14" x14ac:dyDescent="0.25">
      <c r="A455" s="58">
        <v>471</v>
      </c>
      <c r="B455">
        <v>43</v>
      </c>
      <c r="C455">
        <v>1887</v>
      </c>
      <c r="D455" t="s">
        <v>3561</v>
      </c>
      <c r="E455">
        <v>835</v>
      </c>
      <c r="F455">
        <v>1261</v>
      </c>
      <c r="G455" t="s">
        <v>3561</v>
      </c>
      <c r="H455">
        <v>7</v>
      </c>
      <c r="I455" t="s">
        <v>3575</v>
      </c>
      <c r="J455" s="2" t="str">
        <f t="shared" si="21"/>
        <v>[471]=1261,</v>
      </c>
      <c r="K455" s="3">
        <f t="shared" si="22"/>
        <v>471</v>
      </c>
      <c r="L455" s="3">
        <f t="shared" si="23"/>
        <v>1261</v>
      </c>
      <c r="M455" s="9" t="str">
        <f>VLOOKUP(A455,WayshrineNames!$A$3:$B$967,2,)</f>
        <v>Pilgrim's Rest</v>
      </c>
      <c r="N455" s="3" t="str">
        <f>VLOOKUP(F455,'ESO zones'!$A$5:$D$10003,4,FALSE)</f>
        <v>Blackwood</v>
      </c>
    </row>
    <row r="456" spans="1:14" x14ac:dyDescent="0.25">
      <c r="A456" s="58">
        <v>472</v>
      </c>
      <c r="B456">
        <v>43</v>
      </c>
      <c r="C456">
        <v>1887</v>
      </c>
      <c r="D456" t="s">
        <v>3561</v>
      </c>
      <c r="E456">
        <v>835</v>
      </c>
      <c r="F456">
        <v>1261</v>
      </c>
      <c r="G456" t="s">
        <v>3561</v>
      </c>
      <c r="H456">
        <v>7</v>
      </c>
      <c r="I456" t="s">
        <v>3576</v>
      </c>
      <c r="J456" s="2" t="str">
        <f t="shared" si="21"/>
        <v>[472]=1261,</v>
      </c>
      <c r="K456" s="3">
        <f t="shared" si="22"/>
        <v>472</v>
      </c>
      <c r="L456" s="3">
        <f t="shared" si="23"/>
        <v>1261</v>
      </c>
      <c r="M456" s="9" t="str">
        <f>VLOOKUP(A456,WayshrineNames!$A$3:$B$967,2,)</f>
        <v>Water's Edge</v>
      </c>
      <c r="N456" s="3" t="str">
        <f>VLOOKUP(F456,'ESO zones'!$A$5:$D$10003,4,FALSE)</f>
        <v>Blackwood</v>
      </c>
    </row>
    <row r="457" spans="1:14" x14ac:dyDescent="0.25">
      <c r="A457" s="58">
        <v>473</v>
      </c>
      <c r="B457">
        <v>43</v>
      </c>
      <c r="C457">
        <v>1887</v>
      </c>
      <c r="D457" t="s">
        <v>3561</v>
      </c>
      <c r="E457">
        <v>835</v>
      </c>
      <c r="F457">
        <v>1261</v>
      </c>
      <c r="G457" t="s">
        <v>3561</v>
      </c>
      <c r="H457">
        <v>7</v>
      </c>
      <c r="I457" t="s">
        <v>3577</v>
      </c>
      <c r="J457" s="2" t="str">
        <f t="shared" si="21"/>
        <v>[473]=1261,</v>
      </c>
      <c r="K457" s="3">
        <f t="shared" si="22"/>
        <v>473</v>
      </c>
      <c r="L457" s="3">
        <f t="shared" si="23"/>
        <v>1261</v>
      </c>
      <c r="M457" s="9" t="str">
        <f>VLOOKUP(A457,WayshrineNames!$A$3:$B$967,2,)</f>
        <v>Pantherfang Chapel</v>
      </c>
      <c r="N457" s="3" t="str">
        <f>VLOOKUP(F457,'ESO zones'!$A$5:$D$10003,4,FALSE)</f>
        <v>Blackwood</v>
      </c>
    </row>
    <row r="458" spans="1:14" x14ac:dyDescent="0.25">
      <c r="A458" s="58">
        <v>476</v>
      </c>
      <c r="B458">
        <v>45</v>
      </c>
      <c r="C458">
        <v>2021</v>
      </c>
      <c r="D458" t="s">
        <v>3578</v>
      </c>
      <c r="E458">
        <v>858</v>
      </c>
      <c r="F458">
        <v>1286</v>
      </c>
      <c r="G458" t="s">
        <v>3578</v>
      </c>
      <c r="H458">
        <v>1</v>
      </c>
      <c r="I458" t="s">
        <v>3579</v>
      </c>
      <c r="J458" s="2" t="str">
        <f t="shared" si="21"/>
        <v>[476]=1286,</v>
      </c>
      <c r="K458" s="3">
        <f t="shared" si="22"/>
        <v>476</v>
      </c>
      <c r="L458" s="3">
        <f t="shared" si="23"/>
        <v>1286</v>
      </c>
      <c r="M458" s="9" t="str">
        <f>VLOOKUP(A458,WayshrineNames!$A$3:$B$967,2,)</f>
        <v>The Blood Pit Wayshrine</v>
      </c>
      <c r="N458" s="3" t="str">
        <f>VLOOKUP(F458,'ESO zones'!$A$5:$D$10003,4,FALSE)</f>
        <v>The Deadlands</v>
      </c>
    </row>
    <row r="459" spans="1:14" x14ac:dyDescent="0.25">
      <c r="A459" s="58">
        <v>477</v>
      </c>
      <c r="B459">
        <v>45</v>
      </c>
      <c r="C459">
        <v>2021</v>
      </c>
      <c r="D459" t="s">
        <v>3578</v>
      </c>
      <c r="E459">
        <v>858</v>
      </c>
      <c r="F459">
        <v>1286</v>
      </c>
      <c r="G459" t="s">
        <v>3578</v>
      </c>
      <c r="H459">
        <v>1</v>
      </c>
      <c r="I459" t="s">
        <v>3580</v>
      </c>
      <c r="J459" s="2" t="str">
        <f t="shared" si="21"/>
        <v>[477]=1286,</v>
      </c>
      <c r="K459" s="3">
        <f t="shared" si="22"/>
        <v>477</v>
      </c>
      <c r="L459" s="3">
        <f t="shared" si="23"/>
        <v>1286</v>
      </c>
      <c r="M459" s="9" t="str">
        <f>VLOOKUP(A459,WayshrineNames!$A$3:$B$967,2,)</f>
        <v>Ardent Hope Wayshrine</v>
      </c>
      <c r="N459" s="3" t="str">
        <f>VLOOKUP(F459,'ESO zones'!$A$5:$D$10003,4,FALSE)</f>
        <v>The Deadlands</v>
      </c>
    </row>
    <row r="460" spans="1:14" x14ac:dyDescent="0.25">
      <c r="A460" s="58">
        <v>478</v>
      </c>
      <c r="B460">
        <v>45</v>
      </c>
      <c r="C460">
        <v>2021</v>
      </c>
      <c r="D460" t="s">
        <v>3578</v>
      </c>
      <c r="E460">
        <v>858</v>
      </c>
      <c r="F460">
        <v>1286</v>
      </c>
      <c r="G460" t="s">
        <v>3578</v>
      </c>
      <c r="H460">
        <v>1</v>
      </c>
      <c r="I460" t="s">
        <v>3581</v>
      </c>
      <c r="J460" s="2" t="str">
        <f t="shared" si="21"/>
        <v>[478]=1286,</v>
      </c>
      <c r="K460" s="3">
        <f t="shared" si="22"/>
        <v>478</v>
      </c>
      <c r="L460" s="3">
        <f t="shared" si="23"/>
        <v>1286</v>
      </c>
      <c r="M460" s="9" t="str">
        <f>VLOOKUP(A460,WayshrineNames!$A$3:$B$967,2,)</f>
        <v>Wretched Spire Wayshrine</v>
      </c>
      <c r="N460" s="3" t="str">
        <f>VLOOKUP(F460,'ESO zones'!$A$5:$D$10003,4,FALSE)</f>
        <v>The Deadlands</v>
      </c>
    </row>
    <row r="461" spans="1:14" x14ac:dyDescent="0.25">
      <c r="A461" s="58">
        <v>479</v>
      </c>
      <c r="B461">
        <v>45</v>
      </c>
      <c r="C461">
        <v>2021</v>
      </c>
      <c r="D461" t="s">
        <v>3578</v>
      </c>
      <c r="E461">
        <v>858</v>
      </c>
      <c r="F461">
        <v>1286</v>
      </c>
      <c r="G461" t="s">
        <v>3578</v>
      </c>
      <c r="H461">
        <v>1</v>
      </c>
      <c r="I461" t="s">
        <v>3582</v>
      </c>
      <c r="J461" s="2" t="str">
        <f t="shared" si="21"/>
        <v>[479]=1286,</v>
      </c>
      <c r="K461" s="3">
        <f t="shared" si="22"/>
        <v>479</v>
      </c>
      <c r="L461" s="3">
        <f t="shared" si="23"/>
        <v>1286</v>
      </c>
      <c r="M461" s="9" t="str">
        <f>VLOOKUP(A461,WayshrineNames!$A$3:$B$967,2,)</f>
        <v>False Martyrs' Folly Wayshrine</v>
      </c>
      <c r="N461" s="3" t="str">
        <f>VLOOKUP(F461,'ESO zones'!$A$5:$D$10003,4,FALSE)</f>
        <v>The Deadlands</v>
      </c>
    </row>
    <row r="462" spans="1:14" x14ac:dyDescent="0.25">
      <c r="A462" s="58">
        <v>480</v>
      </c>
      <c r="B462">
        <v>45</v>
      </c>
      <c r="C462">
        <v>2021</v>
      </c>
      <c r="D462" t="s">
        <v>3578</v>
      </c>
      <c r="E462">
        <v>858</v>
      </c>
      <c r="F462">
        <v>1286</v>
      </c>
      <c r="G462" t="s">
        <v>3578</v>
      </c>
      <c r="H462">
        <v>1</v>
      </c>
      <c r="I462" t="s">
        <v>3583</v>
      </c>
      <c r="J462" s="2" t="str">
        <f t="shared" si="21"/>
        <v>[480]=1286,</v>
      </c>
      <c r="K462" s="3">
        <f t="shared" si="22"/>
        <v>480</v>
      </c>
      <c r="L462" s="3">
        <f t="shared" si="23"/>
        <v>1286</v>
      </c>
      <c r="M462" s="9" t="str">
        <f>VLOOKUP(A462,WayshrineNames!$A$3:$B$967,2,)</f>
        <v>Annihilarch's Summit Wayshrine</v>
      </c>
      <c r="N462" s="3" t="str">
        <f>VLOOKUP(F462,'ESO zones'!$A$5:$D$10003,4,FALSE)</f>
        <v>The Deadlands</v>
      </c>
    </row>
    <row r="463" spans="1:14" x14ac:dyDescent="0.25">
      <c r="A463" s="58">
        <v>481</v>
      </c>
      <c r="B463">
        <v>43</v>
      </c>
      <c r="C463">
        <v>1887</v>
      </c>
      <c r="D463" t="s">
        <v>3561</v>
      </c>
      <c r="E463">
        <v>835</v>
      </c>
      <c r="F463">
        <v>1261</v>
      </c>
      <c r="G463" t="s">
        <v>3561</v>
      </c>
      <c r="H463">
        <v>1</v>
      </c>
      <c r="I463" t="s">
        <v>3584</v>
      </c>
      <c r="J463" s="2" t="str">
        <f t="shared" si="21"/>
        <v>[481]=1261,</v>
      </c>
      <c r="K463" s="3">
        <f t="shared" si="22"/>
        <v>481</v>
      </c>
      <c r="L463" s="3">
        <f t="shared" si="23"/>
        <v>1261</v>
      </c>
      <c r="M463" s="9" t="str">
        <f>VLOOKUP(A463,WayshrineNames!$A$3:$B$967,2,)</f>
        <v>Doomvault Vulpinaz Wayshrine</v>
      </c>
      <c r="N463" s="3" t="str">
        <f>VLOOKUP(F463,'ESO zones'!$A$5:$D$10003,4,FALSE)</f>
        <v>Blackwood</v>
      </c>
    </row>
    <row r="464" spans="1:14" x14ac:dyDescent="0.25">
      <c r="A464" s="58">
        <v>482</v>
      </c>
      <c r="B464">
        <v>43</v>
      </c>
      <c r="C464">
        <v>1887</v>
      </c>
      <c r="D464" t="s">
        <v>3561</v>
      </c>
      <c r="E464">
        <v>835</v>
      </c>
      <c r="F464">
        <v>1261</v>
      </c>
      <c r="G464" t="s">
        <v>3561</v>
      </c>
      <c r="H464">
        <v>1</v>
      </c>
      <c r="I464" t="s">
        <v>3585</v>
      </c>
      <c r="J464" s="2" t="str">
        <f t="shared" si="21"/>
        <v>[482]=1261,</v>
      </c>
      <c r="K464" s="3">
        <f t="shared" si="22"/>
        <v>482</v>
      </c>
      <c r="L464" s="3">
        <f t="shared" si="23"/>
        <v>1261</v>
      </c>
      <c r="M464" s="9" t="str">
        <f>VLOOKUP(A464,WayshrineNames!$A$3:$B$967,2,)</f>
        <v>Blackwood Crossroads Wayshrine</v>
      </c>
      <c r="N464" s="3" t="str">
        <f>VLOOKUP(F464,'ESO zones'!$A$5:$D$10003,4,FALSE)</f>
        <v>Blackwood</v>
      </c>
    </row>
    <row r="465" spans="1:14" x14ac:dyDescent="0.25">
      <c r="A465" s="58">
        <v>483</v>
      </c>
      <c r="B465">
        <v>43</v>
      </c>
      <c r="C465">
        <v>1887</v>
      </c>
      <c r="D465" t="s">
        <v>3561</v>
      </c>
      <c r="E465">
        <v>835</v>
      </c>
      <c r="F465">
        <v>1261</v>
      </c>
      <c r="G465" t="s">
        <v>3561</v>
      </c>
      <c r="H465">
        <v>1</v>
      </c>
      <c r="I465" t="s">
        <v>3586</v>
      </c>
      <c r="J465" s="2" t="str">
        <f t="shared" si="21"/>
        <v>[483]=1261,</v>
      </c>
      <c r="K465" s="3">
        <f t="shared" si="22"/>
        <v>483</v>
      </c>
      <c r="L465" s="3">
        <f t="shared" si="23"/>
        <v>1261</v>
      </c>
      <c r="M465" s="9" t="str">
        <f>VLOOKUP(A465,WayshrineNames!$A$3:$B$967,2,)</f>
        <v>Hutan-Tzel Wayshrine</v>
      </c>
      <c r="N465" s="3" t="str">
        <f>VLOOKUP(F465,'ESO zones'!$A$5:$D$10003,4,FALSE)</f>
        <v>Blackwood</v>
      </c>
    </row>
    <row r="466" spans="1:14" x14ac:dyDescent="0.25">
      <c r="A466" s="58">
        <v>484</v>
      </c>
      <c r="B466">
        <v>43</v>
      </c>
      <c r="C466">
        <v>1887</v>
      </c>
      <c r="D466" t="s">
        <v>3561</v>
      </c>
      <c r="E466">
        <v>835</v>
      </c>
      <c r="F466">
        <v>1261</v>
      </c>
      <c r="G466" t="s">
        <v>3561</v>
      </c>
      <c r="H466">
        <v>1</v>
      </c>
      <c r="I466" t="s">
        <v>3587</v>
      </c>
      <c r="J466" s="2" t="str">
        <f t="shared" si="21"/>
        <v>[484]=1261,</v>
      </c>
      <c r="K466" s="3">
        <f t="shared" si="22"/>
        <v>484</v>
      </c>
      <c r="L466" s="3">
        <f t="shared" si="23"/>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3588</v>
      </c>
      <c r="J467" s="2" t="str">
        <f t="shared" si="21"/>
        <v>[485]=58,</v>
      </c>
      <c r="K467" s="3">
        <f t="shared" si="22"/>
        <v>485</v>
      </c>
      <c r="L467" s="3">
        <f t="shared" si="23"/>
        <v>58</v>
      </c>
      <c r="M467" s="9" t="str">
        <f>VLOOKUP(A467,WayshrineNames!$A$3:$B$967,2,)</f>
        <v>Doomchar Plateau</v>
      </c>
      <c r="N467" s="3" t="str">
        <f>VLOOKUP(F467,'ESO zones'!$A$5:$D$10003,4,FALSE)</f>
        <v>Malabal Tor</v>
      </c>
    </row>
    <row r="468" spans="1:14" x14ac:dyDescent="0.25">
      <c r="A468" s="58">
        <v>486</v>
      </c>
      <c r="B468">
        <v>43</v>
      </c>
      <c r="C468">
        <v>1887</v>
      </c>
      <c r="D468" t="s">
        <v>3561</v>
      </c>
      <c r="E468">
        <v>835</v>
      </c>
      <c r="F468">
        <v>1261</v>
      </c>
      <c r="G468" t="s">
        <v>3561</v>
      </c>
      <c r="H468">
        <v>7</v>
      </c>
      <c r="I468" t="s">
        <v>3589</v>
      </c>
      <c r="J468" s="2" t="str">
        <f t="shared" si="21"/>
        <v>[486]=1261,</v>
      </c>
      <c r="K468" s="3">
        <f t="shared" si="22"/>
        <v>486</v>
      </c>
      <c r="L468" s="3">
        <f t="shared" si="23"/>
        <v>1261</v>
      </c>
      <c r="M468" s="9" t="str">
        <f>VLOOKUP(A468,WayshrineNames!$A$3:$B$967,2,)</f>
        <v>Sweetwater Cascades</v>
      </c>
      <c r="N468" s="3" t="str">
        <f>VLOOKUP(F468,'ESO zones'!$A$5:$D$10003,4,FALSE)</f>
        <v>Blackwood</v>
      </c>
    </row>
    <row r="469" spans="1:14" x14ac:dyDescent="0.25">
      <c r="A469" s="58">
        <v>487</v>
      </c>
      <c r="B469">
        <v>44</v>
      </c>
      <c r="C469">
        <v>2119</v>
      </c>
      <c r="D469" t="s">
        <v>3590</v>
      </c>
      <c r="E469">
        <v>855</v>
      </c>
      <c r="F469">
        <v>1283</v>
      </c>
      <c r="G469" t="s">
        <v>3591</v>
      </c>
      <c r="H469">
        <v>1</v>
      </c>
      <c r="I469" t="s">
        <v>3592</v>
      </c>
      <c r="J469" s="2" t="str">
        <f t="shared" si="21"/>
        <v>[487]=1283,</v>
      </c>
      <c r="K469" s="3">
        <f t="shared" si="22"/>
        <v>487</v>
      </c>
      <c r="L469" s="3">
        <f t="shared" si="23"/>
        <v>1283</v>
      </c>
      <c r="M469" s="9" t="str">
        <f>VLOOKUP(A469,WayshrineNames!$A$3:$B$967,2,)</f>
        <v>Fargrave Outskirts Wayshrine</v>
      </c>
      <c r="N469" s="3" t="str">
        <f>VLOOKUP(F469,'ESO zones'!$A$5:$D$10003,4,FALSE)</f>
        <v>The Shambles</v>
      </c>
    </row>
    <row r="470" spans="1:14" x14ac:dyDescent="0.25">
      <c r="A470" s="58">
        <v>488</v>
      </c>
      <c r="B470">
        <v>46</v>
      </c>
      <c r="C470">
        <v>2114</v>
      </c>
      <c r="D470" t="s">
        <v>3593</v>
      </c>
      <c r="E470">
        <v>884</v>
      </c>
      <c r="F470">
        <v>1318</v>
      </c>
      <c r="G470" t="s">
        <v>3594</v>
      </c>
      <c r="H470">
        <v>3</v>
      </c>
      <c r="I470" t="s">
        <v>3595</v>
      </c>
      <c r="J470" s="2" t="str">
        <f t="shared" si="21"/>
        <v>[488]=1318,</v>
      </c>
      <c r="K470" s="3">
        <f t="shared" si="22"/>
        <v>488</v>
      </c>
      <c r="L470" s="3">
        <f t="shared" si="23"/>
        <v>1318</v>
      </c>
      <c r="M470" s="9" t="str">
        <f>VLOOKUP(A470,WayshrineNames!$A$3:$B$967,2,)</f>
        <v>Trial: Dreadsail Reef</v>
      </c>
      <c r="N470" s="3" t="str">
        <f>VLOOKUP(F470,'ESO zones'!$A$5:$D$10003,4,FALSE)</f>
        <v>High Isle</v>
      </c>
    </row>
    <row r="471" spans="1:14" x14ac:dyDescent="0.25">
      <c r="A471" s="58">
        <v>489</v>
      </c>
      <c r="B471">
        <v>44</v>
      </c>
      <c r="C471">
        <v>2119</v>
      </c>
      <c r="D471" t="s">
        <v>3590</v>
      </c>
      <c r="E471">
        <v>855</v>
      </c>
      <c r="F471">
        <v>1283</v>
      </c>
      <c r="G471" t="s">
        <v>3591</v>
      </c>
      <c r="H471">
        <v>1</v>
      </c>
      <c r="I471" t="s">
        <v>3596</v>
      </c>
      <c r="J471" s="2" t="str">
        <f t="shared" si="21"/>
        <v>[489]=1283,</v>
      </c>
      <c r="K471" s="3">
        <f t="shared" si="22"/>
        <v>489</v>
      </c>
      <c r="L471" s="3">
        <f t="shared" si="23"/>
        <v>1283</v>
      </c>
      <c r="M471" s="9" t="str">
        <f>VLOOKUP(A471,WayshrineNames!$A$3:$B$967,2,)</f>
        <v>The Shambles Wayshrine</v>
      </c>
      <c r="N471" s="3" t="str">
        <f>VLOOKUP(F471,'ESO zones'!$A$5:$D$10003,4,FALSE)</f>
        <v>The Shambles</v>
      </c>
    </row>
    <row r="472" spans="1:14" x14ac:dyDescent="0.25">
      <c r="A472" s="58">
        <v>490</v>
      </c>
      <c r="B472">
        <v>45</v>
      </c>
      <c r="C472">
        <v>2021</v>
      </c>
      <c r="D472" t="s">
        <v>3578</v>
      </c>
      <c r="E472">
        <v>858</v>
      </c>
      <c r="F472">
        <v>1286</v>
      </c>
      <c r="G472" t="s">
        <v>3578</v>
      </c>
      <c r="H472">
        <v>1</v>
      </c>
      <c r="I472" t="s">
        <v>3597</v>
      </c>
      <c r="J472" s="2" t="str">
        <f t="shared" si="21"/>
        <v>[490]=1286,</v>
      </c>
      <c r="K472" s="3">
        <f t="shared" si="22"/>
        <v>490</v>
      </c>
      <c r="L472" s="3">
        <f t="shared" si="23"/>
        <v>1286</v>
      </c>
      <c r="M472" s="9" t="str">
        <f>VLOOKUP(A472,WayshrineNames!$A$3:$B$967,2,)</f>
        <v>Wounded Crossing Wayshrine</v>
      </c>
      <c r="N472" s="3" t="str">
        <f>VLOOKUP(F472,'ESO zones'!$A$5:$D$10003,4,FALSE)</f>
        <v>The Deadlands</v>
      </c>
    </row>
    <row r="473" spans="1:14" x14ac:dyDescent="0.25">
      <c r="A473" s="58">
        <v>491</v>
      </c>
      <c r="B473">
        <v>45</v>
      </c>
      <c r="C473">
        <v>2021</v>
      </c>
      <c r="D473" t="s">
        <v>3578</v>
      </c>
      <c r="E473">
        <v>858</v>
      </c>
      <c r="F473">
        <v>1286</v>
      </c>
      <c r="G473" t="s">
        <v>3578</v>
      </c>
      <c r="H473">
        <v>1</v>
      </c>
      <c r="I473" t="s">
        <v>3598</v>
      </c>
      <c r="J473" s="2" t="str">
        <f t="shared" si="21"/>
        <v>[491]=1286,</v>
      </c>
      <c r="K473" s="3">
        <f t="shared" si="22"/>
        <v>491</v>
      </c>
      <c r="L473" s="3">
        <f t="shared" si="23"/>
        <v>1286</v>
      </c>
      <c r="M473" s="9" t="str">
        <f>VLOOKUP(A473,WayshrineNames!$A$3:$B$967,2,)</f>
        <v>The Scourshales Wayshrine</v>
      </c>
      <c r="N473" s="3" t="str">
        <f>VLOOKUP(F473,'ESO zones'!$A$5:$D$10003,4,FALSE)</f>
        <v>The Deadlands</v>
      </c>
    </row>
    <row r="474" spans="1:14" x14ac:dyDescent="0.25">
      <c r="A474" s="58">
        <v>493</v>
      </c>
      <c r="B474">
        <v>44</v>
      </c>
      <c r="C474">
        <v>2119</v>
      </c>
      <c r="D474" t="s">
        <v>3590</v>
      </c>
      <c r="E474">
        <v>855</v>
      </c>
      <c r="F474">
        <v>1283</v>
      </c>
      <c r="G474" t="s">
        <v>3591</v>
      </c>
      <c r="H474">
        <v>1</v>
      </c>
      <c r="I474" t="s">
        <v>3599</v>
      </c>
      <c r="J474" s="2" t="str">
        <f t="shared" si="21"/>
        <v>[493]=1283,</v>
      </c>
      <c r="K474" s="3">
        <f t="shared" si="22"/>
        <v>493</v>
      </c>
      <c r="L474" s="3">
        <f t="shared" si="23"/>
        <v>1283</v>
      </c>
      <c r="M474" s="9" t="str">
        <f>VLOOKUP(A474,WayshrineNames!$A$3:$B$967,2,)</f>
        <v>Fargrave Wayshrine</v>
      </c>
      <c r="N474" s="3" t="str">
        <f>VLOOKUP(F474,'ESO zones'!$A$5:$D$10003,4,FALSE)</f>
        <v>The Shambles</v>
      </c>
    </row>
    <row r="475" spans="1:14" x14ac:dyDescent="0.25">
      <c r="A475" s="58">
        <v>494</v>
      </c>
      <c r="B475">
        <v>45</v>
      </c>
      <c r="C475">
        <v>2021</v>
      </c>
      <c r="D475" t="s">
        <v>3578</v>
      </c>
      <c r="E475">
        <v>858</v>
      </c>
      <c r="F475">
        <v>1286</v>
      </c>
      <c r="G475" t="s">
        <v>3578</v>
      </c>
      <c r="H475">
        <v>1</v>
      </c>
      <c r="I475" t="s">
        <v>3600</v>
      </c>
      <c r="J475" s="2" t="str">
        <f t="shared" si="21"/>
        <v>[494]=1286,</v>
      </c>
      <c r="K475" s="3">
        <f t="shared" si="22"/>
        <v>494</v>
      </c>
      <c r="L475" s="3">
        <f t="shared" si="23"/>
        <v>1286</v>
      </c>
      <c r="M475" s="9" t="str">
        <f>VLOOKUP(A475,WayshrineNames!$A$3:$B$967,2,)</f>
        <v>Raging Coast Wayshrine</v>
      </c>
      <c r="N475" s="3" t="str">
        <f>VLOOKUP(F475,'ESO zones'!$A$5:$D$10003,4,FALSE)</f>
        <v>The Deadlands</v>
      </c>
    </row>
    <row r="476" spans="1:14" x14ac:dyDescent="0.25">
      <c r="A476" s="58">
        <v>495</v>
      </c>
      <c r="B476">
        <v>44</v>
      </c>
      <c r="C476">
        <v>2119</v>
      </c>
      <c r="D476" t="s">
        <v>3590</v>
      </c>
      <c r="E476">
        <v>855</v>
      </c>
      <c r="F476">
        <v>1283</v>
      </c>
      <c r="G476" t="s">
        <v>3591</v>
      </c>
      <c r="H476">
        <v>7</v>
      </c>
      <c r="I476" t="s">
        <v>3601</v>
      </c>
      <c r="J476" s="2" t="str">
        <f t="shared" si="21"/>
        <v>[495]=1283,</v>
      </c>
      <c r="K476" s="3">
        <f t="shared" si="22"/>
        <v>495</v>
      </c>
      <c r="L476" s="3">
        <f t="shared" si="23"/>
        <v>1283</v>
      </c>
      <c r="M476" s="9" t="str">
        <f>VLOOKUP(A476,WayshrineNames!$A$3:$B$967,2,)</f>
        <v>Ossa Accentium</v>
      </c>
      <c r="N476" s="3" t="str">
        <f>VLOOKUP(F476,'ESO zones'!$A$5:$D$10003,4,FALSE)</f>
        <v>The Shambles</v>
      </c>
    </row>
    <row r="477" spans="1:14" x14ac:dyDescent="0.25">
      <c r="A477" s="58">
        <v>496</v>
      </c>
      <c r="B477">
        <v>45</v>
      </c>
      <c r="C477">
        <v>2021</v>
      </c>
      <c r="D477" t="s">
        <v>3578</v>
      </c>
      <c r="E477">
        <v>858</v>
      </c>
      <c r="F477">
        <v>1286</v>
      </c>
      <c r="G477" t="s">
        <v>3578</v>
      </c>
      <c r="H477">
        <v>7</v>
      </c>
      <c r="I477" t="s">
        <v>3602</v>
      </c>
      <c r="J477" s="2" t="str">
        <f t="shared" si="21"/>
        <v>[496]=1286,</v>
      </c>
      <c r="K477" s="3">
        <f t="shared" si="22"/>
        <v>496</v>
      </c>
      <c r="L477" s="3">
        <f t="shared" si="23"/>
        <v>1286</v>
      </c>
      <c r="M477" s="9" t="str">
        <f>VLOOKUP(A477,WayshrineNames!$A$3:$B$967,2,)</f>
        <v>Agony's Ascent</v>
      </c>
      <c r="N477" s="3" t="str">
        <f>VLOOKUP(F477,'ESO zones'!$A$5:$D$10003,4,FALSE)</f>
        <v>The Deadlands</v>
      </c>
    </row>
    <row r="478" spans="1:14" x14ac:dyDescent="0.25">
      <c r="A478" s="58">
        <v>497</v>
      </c>
      <c r="B478">
        <v>32</v>
      </c>
      <c r="C478">
        <v>1349</v>
      </c>
      <c r="D478" t="s">
        <v>3453</v>
      </c>
      <c r="E478">
        <v>617</v>
      </c>
      <c r="F478">
        <v>1011</v>
      </c>
      <c r="G478" t="s">
        <v>3453</v>
      </c>
      <c r="H478">
        <v>6</v>
      </c>
      <c r="I478" t="s">
        <v>3603</v>
      </c>
      <c r="J478" s="2" t="str">
        <f t="shared" si="21"/>
        <v>[497]=1011,</v>
      </c>
      <c r="K478" s="3">
        <f t="shared" si="22"/>
        <v>497</v>
      </c>
      <c r="L478" s="3">
        <f t="shared" si="23"/>
        <v>1011</v>
      </c>
      <c r="M478" s="9" t="str">
        <f>VLOOKUP(A478,WayshrineNames!$A$3:$B$967,2,)</f>
        <v>Dungeon: Coral Aerie</v>
      </c>
      <c r="N478" s="3" t="str">
        <f>VLOOKUP(F478,'ESO zones'!$A$5:$D$10003,4,FALSE)</f>
        <v>Summerset</v>
      </c>
    </row>
    <row r="479" spans="1:14" x14ac:dyDescent="0.25">
      <c r="A479" s="58">
        <v>498</v>
      </c>
      <c r="B479">
        <v>3</v>
      </c>
      <c r="C479">
        <v>10</v>
      </c>
      <c r="D479" t="s">
        <v>3115</v>
      </c>
      <c r="E479">
        <v>5</v>
      </c>
      <c r="F479">
        <v>20</v>
      </c>
      <c r="G479" t="s">
        <v>3115</v>
      </c>
      <c r="H479">
        <v>6</v>
      </c>
      <c r="I479" t="s">
        <v>3604</v>
      </c>
      <c r="J479" s="2" t="str">
        <f t="shared" si="21"/>
        <v>[498]=20,</v>
      </c>
      <c r="K479" s="3">
        <f t="shared" si="22"/>
        <v>498</v>
      </c>
      <c r="L479" s="3">
        <f t="shared" si="23"/>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3605</v>
      </c>
      <c r="J480" s="2" t="str">
        <f t="shared" si="21"/>
        <v>[499]=535,</v>
      </c>
      <c r="K480" s="3">
        <f t="shared" si="22"/>
        <v>499</v>
      </c>
      <c r="L480" s="3">
        <f t="shared" si="23"/>
        <v>535</v>
      </c>
      <c r="M480" s="9" t="str">
        <f>VLOOKUP(A480,WayshrineNames!$A$3:$B$967,2,)</f>
        <v>Seaveil Spire</v>
      </c>
      <c r="N480" s="3" t="str">
        <f>VLOOKUP(F480,'ESO zones'!$A$5:$D$10003,4,FALSE)</f>
        <v>Betnikh</v>
      </c>
    </row>
    <row r="481" spans="1:14" x14ac:dyDescent="0.25">
      <c r="A481" s="58">
        <v>501</v>
      </c>
      <c r="B481">
        <v>46</v>
      </c>
      <c r="C481">
        <v>2114</v>
      </c>
      <c r="D481" t="s">
        <v>3593</v>
      </c>
      <c r="E481">
        <v>884</v>
      </c>
      <c r="F481">
        <v>1318</v>
      </c>
      <c r="G481" t="s">
        <v>3594</v>
      </c>
      <c r="H481">
        <v>1</v>
      </c>
      <c r="I481" t="s">
        <v>3606</v>
      </c>
      <c r="J481" s="2" t="str">
        <f t="shared" si="21"/>
        <v>[501]=1318,</v>
      </c>
      <c r="K481" s="3">
        <f t="shared" si="22"/>
        <v>501</v>
      </c>
      <c r="L481" s="3">
        <f t="shared" si="23"/>
        <v>1318</v>
      </c>
      <c r="M481" s="9" t="str">
        <f>VLOOKUP(A481,WayshrineNames!$A$3:$B$967,2,)</f>
        <v>Coral Road Wayshrine</v>
      </c>
      <c r="N481" s="3" t="str">
        <f>VLOOKUP(F481,'ESO zones'!$A$5:$D$10003,4,FALSE)</f>
        <v>High Isle</v>
      </c>
    </row>
    <row r="482" spans="1:14" s="39" customFormat="1" x14ac:dyDescent="0.25">
      <c r="A482" s="58">
        <v>502</v>
      </c>
      <c r="B482">
        <v>46</v>
      </c>
      <c r="C482">
        <v>2114</v>
      </c>
      <c r="D482" t="s">
        <v>3593</v>
      </c>
      <c r="E482">
        <v>884</v>
      </c>
      <c r="F482">
        <v>1318</v>
      </c>
      <c r="G482" t="s">
        <v>3594</v>
      </c>
      <c r="H482">
        <v>1</v>
      </c>
      <c r="I482" t="s">
        <v>3607</v>
      </c>
      <c r="J482" s="2" t="str">
        <f t="shared" si="21"/>
        <v>[502]=1318,</v>
      </c>
      <c r="K482" s="3">
        <f t="shared" si="22"/>
        <v>502</v>
      </c>
      <c r="L482" s="3">
        <f t="shared" si="23"/>
        <v>1318</v>
      </c>
      <c r="M482" s="9" t="str">
        <f>VLOOKUP(A482,WayshrineNames!$A$3:$B$967,2,)</f>
        <v>Tor Draioch Wayshrine</v>
      </c>
      <c r="N482" s="3" t="str">
        <f>VLOOKUP(F482,'ESO zones'!$A$5:$D$10003,4,FALSE)</f>
        <v>High Isle</v>
      </c>
    </row>
    <row r="483" spans="1:14" x14ac:dyDescent="0.25">
      <c r="A483" s="58">
        <v>503</v>
      </c>
      <c r="B483">
        <v>46</v>
      </c>
      <c r="C483">
        <v>2114</v>
      </c>
      <c r="D483" t="s">
        <v>3593</v>
      </c>
      <c r="E483">
        <v>884</v>
      </c>
      <c r="F483">
        <v>1318</v>
      </c>
      <c r="G483" t="s">
        <v>3594</v>
      </c>
      <c r="H483">
        <v>1</v>
      </c>
      <c r="I483" t="s">
        <v>3608</v>
      </c>
      <c r="J483" s="2" t="str">
        <f t="shared" si="21"/>
        <v>[503]=1318,</v>
      </c>
      <c r="K483" s="3">
        <f t="shared" si="22"/>
        <v>503</v>
      </c>
      <c r="L483" s="3">
        <f t="shared" si="23"/>
        <v>1318</v>
      </c>
      <c r="M483" s="9" t="str">
        <f>VLOOKUP(A483,WayshrineNames!$A$3:$B$967,2,)</f>
        <v>Steadfast Manor Wayshrine</v>
      </c>
      <c r="N483" s="3" t="str">
        <f>VLOOKUP(F483,'ESO zones'!$A$5:$D$10003,4,FALSE)</f>
        <v>High Isle</v>
      </c>
    </row>
    <row r="484" spans="1:14" x14ac:dyDescent="0.25">
      <c r="A484" s="58">
        <v>504</v>
      </c>
      <c r="B484">
        <v>46</v>
      </c>
      <c r="C484">
        <v>2114</v>
      </c>
      <c r="D484" t="s">
        <v>3593</v>
      </c>
      <c r="E484">
        <v>884</v>
      </c>
      <c r="F484">
        <v>1318</v>
      </c>
      <c r="G484" t="s">
        <v>3594</v>
      </c>
      <c r="H484">
        <v>1</v>
      </c>
      <c r="I484" t="s">
        <v>3609</v>
      </c>
      <c r="J484" s="2" t="str">
        <f t="shared" si="21"/>
        <v>[504]=1318,</v>
      </c>
      <c r="K484" s="3">
        <f t="shared" si="22"/>
        <v>504</v>
      </c>
      <c r="L484" s="3">
        <f t="shared" si="23"/>
        <v>1318</v>
      </c>
      <c r="M484" s="9" t="str">
        <f>VLOOKUP(A484,WayshrineNames!$A$3:$B$967,2,)</f>
        <v>Castle Navire Wayshrine</v>
      </c>
      <c r="N484" s="3" t="str">
        <f>VLOOKUP(F484,'ESO zones'!$A$5:$D$10003,4,FALSE)</f>
        <v>High Isle</v>
      </c>
    </row>
    <row r="485" spans="1:14" x14ac:dyDescent="0.25">
      <c r="A485" s="58">
        <v>505</v>
      </c>
      <c r="B485">
        <v>46</v>
      </c>
      <c r="C485">
        <v>2114</v>
      </c>
      <c r="D485" t="s">
        <v>3593</v>
      </c>
      <c r="E485">
        <v>884</v>
      </c>
      <c r="F485">
        <v>1318</v>
      </c>
      <c r="G485" t="s">
        <v>3594</v>
      </c>
      <c r="H485">
        <v>1</v>
      </c>
      <c r="I485" t="s">
        <v>3610</v>
      </c>
      <c r="J485" s="2" t="str">
        <f t="shared" si="21"/>
        <v>[505]=1318,</v>
      </c>
      <c r="K485" s="3">
        <f t="shared" si="22"/>
        <v>505</v>
      </c>
      <c r="L485" s="3">
        <f t="shared" si="23"/>
        <v>1318</v>
      </c>
      <c r="M485" s="9" t="str">
        <f>VLOOKUP(A485,WayshrineNames!$A$3:$B$967,2,)</f>
        <v>Garick's Rest Wayshrine</v>
      </c>
      <c r="N485" s="3" t="str">
        <f>VLOOKUP(F485,'ESO zones'!$A$5:$D$10003,4,FALSE)</f>
        <v>High Isle</v>
      </c>
    </row>
    <row r="486" spans="1:14" x14ac:dyDescent="0.25">
      <c r="A486" s="58">
        <v>506</v>
      </c>
      <c r="B486">
        <v>46</v>
      </c>
      <c r="C486">
        <v>2114</v>
      </c>
      <c r="D486" t="s">
        <v>3593</v>
      </c>
      <c r="E486">
        <v>884</v>
      </c>
      <c r="F486">
        <v>1318</v>
      </c>
      <c r="G486" t="s">
        <v>3594</v>
      </c>
      <c r="H486">
        <v>1</v>
      </c>
      <c r="I486" t="s">
        <v>3611</v>
      </c>
      <c r="J486" s="2" t="str">
        <f t="shared" si="21"/>
        <v>[506]=1318,</v>
      </c>
      <c r="K486" s="3">
        <f t="shared" si="22"/>
        <v>506</v>
      </c>
      <c r="L486" s="3">
        <f t="shared" si="23"/>
        <v>1318</v>
      </c>
      <c r="M486" s="9" t="str">
        <f>VLOOKUP(A486,WayshrineNames!$A$3:$B$967,2,)</f>
        <v>Stonelore Grove Wayshrine</v>
      </c>
      <c r="N486" s="3" t="str">
        <f>VLOOKUP(F486,'ESO zones'!$A$5:$D$10003,4,FALSE)</f>
        <v>High Isle</v>
      </c>
    </row>
    <row r="487" spans="1:14" x14ac:dyDescent="0.25">
      <c r="A487" s="58">
        <v>507</v>
      </c>
      <c r="B487">
        <v>46</v>
      </c>
      <c r="C487">
        <v>2114</v>
      </c>
      <c r="D487" t="s">
        <v>3593</v>
      </c>
      <c r="E487">
        <v>884</v>
      </c>
      <c r="F487">
        <v>1318</v>
      </c>
      <c r="G487" t="s">
        <v>3594</v>
      </c>
      <c r="H487">
        <v>1</v>
      </c>
      <c r="I487" t="s">
        <v>3612</v>
      </c>
      <c r="J487" s="2" t="str">
        <f t="shared" si="21"/>
        <v>[507]=1318,</v>
      </c>
      <c r="K487" s="3">
        <f t="shared" si="22"/>
        <v>507</v>
      </c>
      <c r="L487" s="3">
        <f t="shared" si="23"/>
        <v>1318</v>
      </c>
      <c r="M487" s="9" t="str">
        <f>VLOOKUP(A487,WayshrineNames!$A$3:$B$967,2,)</f>
        <v>Dufort Shipyards Wayshrine</v>
      </c>
      <c r="N487" s="3" t="str">
        <f>VLOOKUP(F487,'ESO zones'!$A$5:$D$10003,4,FALSE)</f>
        <v>High Isle</v>
      </c>
    </row>
    <row r="488" spans="1:14" x14ac:dyDescent="0.25">
      <c r="A488" s="58">
        <v>508</v>
      </c>
      <c r="B488">
        <v>46</v>
      </c>
      <c r="C488">
        <v>2114</v>
      </c>
      <c r="D488" t="s">
        <v>3593</v>
      </c>
      <c r="E488">
        <v>884</v>
      </c>
      <c r="F488">
        <v>1318</v>
      </c>
      <c r="G488" t="s">
        <v>3594</v>
      </c>
      <c r="H488">
        <v>1</v>
      </c>
      <c r="I488" t="s">
        <v>3613</v>
      </c>
      <c r="J488" s="2" t="str">
        <f t="shared" si="21"/>
        <v>[508]=1318,</v>
      </c>
      <c r="K488" s="3">
        <f t="shared" si="22"/>
        <v>508</v>
      </c>
      <c r="L488" s="3">
        <f t="shared" si="23"/>
        <v>1318</v>
      </c>
      <c r="M488" s="9" t="str">
        <f>VLOOKUP(A488,WayshrineNames!$A$3:$B$967,2,)</f>
        <v>Amenos Station Wayshrine</v>
      </c>
      <c r="N488" s="3" t="str">
        <f>VLOOKUP(F488,'ESO zones'!$A$5:$D$10003,4,FALSE)</f>
        <v>High Isle</v>
      </c>
    </row>
    <row r="489" spans="1:14" x14ac:dyDescent="0.25">
      <c r="A489" s="58">
        <v>509</v>
      </c>
      <c r="B489">
        <v>46</v>
      </c>
      <c r="C489">
        <v>2114</v>
      </c>
      <c r="D489" t="s">
        <v>3593</v>
      </c>
      <c r="E489">
        <v>884</v>
      </c>
      <c r="F489">
        <v>1318</v>
      </c>
      <c r="G489" t="s">
        <v>3594</v>
      </c>
      <c r="H489">
        <v>1</v>
      </c>
      <c r="I489" t="s">
        <v>3614</v>
      </c>
      <c r="J489" s="2" t="str">
        <f t="shared" si="21"/>
        <v>[509]=1318,</v>
      </c>
      <c r="K489" s="3">
        <f t="shared" si="22"/>
        <v>509</v>
      </c>
      <c r="L489" s="3">
        <f t="shared" si="23"/>
        <v>1318</v>
      </c>
      <c r="M489" s="9" t="str">
        <f>VLOOKUP(A489,WayshrineNames!$A$3:$B$967,2,)</f>
        <v>Brokerock Wayshrine</v>
      </c>
      <c r="N489" s="3" t="str">
        <f>VLOOKUP(F489,'ESO zones'!$A$5:$D$10003,4,FALSE)</f>
        <v>High Isle</v>
      </c>
    </row>
    <row r="490" spans="1:14" x14ac:dyDescent="0.25">
      <c r="A490" s="58">
        <v>510</v>
      </c>
      <c r="B490">
        <v>46</v>
      </c>
      <c r="C490">
        <v>2114</v>
      </c>
      <c r="D490" t="s">
        <v>3593</v>
      </c>
      <c r="E490">
        <v>884</v>
      </c>
      <c r="F490">
        <v>1318</v>
      </c>
      <c r="G490" t="s">
        <v>3594</v>
      </c>
      <c r="H490">
        <v>1</v>
      </c>
      <c r="I490" t="s">
        <v>3615</v>
      </c>
      <c r="J490" s="2" t="str">
        <f t="shared" si="21"/>
        <v>[510]=1318,</v>
      </c>
      <c r="K490" s="3">
        <f t="shared" si="22"/>
        <v>510</v>
      </c>
      <c r="L490" s="3">
        <f t="shared" si="23"/>
        <v>1318</v>
      </c>
      <c r="M490" s="9" t="str">
        <f>VLOOKUP(A490,WayshrineNames!$A$3:$B$967,2,)</f>
        <v>All Flags Wayshrine</v>
      </c>
      <c r="N490" s="3" t="str">
        <f>VLOOKUP(F490,'ESO zones'!$A$5:$D$10003,4,FALSE)</f>
        <v>High Isle</v>
      </c>
    </row>
    <row r="491" spans="1:14" x14ac:dyDescent="0.25">
      <c r="A491" s="58">
        <v>511</v>
      </c>
      <c r="B491">
        <v>46</v>
      </c>
      <c r="C491">
        <v>2114</v>
      </c>
      <c r="D491" t="s">
        <v>3593</v>
      </c>
      <c r="E491">
        <v>884</v>
      </c>
      <c r="F491">
        <v>1318</v>
      </c>
      <c r="G491" t="s">
        <v>3594</v>
      </c>
      <c r="H491">
        <v>1</v>
      </c>
      <c r="I491" t="s">
        <v>3616</v>
      </c>
      <c r="J491" s="2" t="str">
        <f t="shared" si="21"/>
        <v>[511]=1318,</v>
      </c>
      <c r="K491" s="3">
        <f t="shared" si="22"/>
        <v>511</v>
      </c>
      <c r="L491" s="3">
        <f t="shared" si="23"/>
        <v>1318</v>
      </c>
      <c r="M491" s="9" t="str">
        <f>VLOOKUP(A491,WayshrineNames!$A$3:$B$967,2,)</f>
        <v>Trappers Peak Wayshrine</v>
      </c>
      <c r="N491" s="3" t="str">
        <f>VLOOKUP(F491,'ESO zones'!$A$5:$D$10003,4,FALSE)</f>
        <v>High Isle</v>
      </c>
    </row>
    <row r="492" spans="1:14" x14ac:dyDescent="0.25">
      <c r="A492" s="58">
        <v>512</v>
      </c>
      <c r="B492">
        <v>46</v>
      </c>
      <c r="C492">
        <v>2114</v>
      </c>
      <c r="D492" t="s">
        <v>3593</v>
      </c>
      <c r="E492">
        <v>884</v>
      </c>
      <c r="F492">
        <v>1318</v>
      </c>
      <c r="G492" t="s">
        <v>3594</v>
      </c>
      <c r="H492">
        <v>1</v>
      </c>
      <c r="I492" t="s">
        <v>3617</v>
      </c>
      <c r="J492" s="2" t="str">
        <f t="shared" si="21"/>
        <v>[512]=1318,</v>
      </c>
      <c r="K492" s="3">
        <f t="shared" si="22"/>
        <v>512</v>
      </c>
      <c r="L492" s="3">
        <f t="shared" si="23"/>
        <v>1318</v>
      </c>
      <c r="M492" s="9" t="str">
        <f>VLOOKUP(A492,WayshrineNames!$A$3:$B$967,2,)</f>
        <v>Westbay Wayshrine</v>
      </c>
      <c r="N492" s="3" t="str">
        <f>VLOOKUP(F492,'ESO zones'!$A$5:$D$10003,4,FALSE)</f>
        <v>High Isle</v>
      </c>
    </row>
    <row r="493" spans="1:14" x14ac:dyDescent="0.25">
      <c r="A493" s="58">
        <v>513</v>
      </c>
      <c r="B493">
        <v>46</v>
      </c>
      <c r="C493">
        <v>2114</v>
      </c>
      <c r="D493" t="s">
        <v>3593</v>
      </c>
      <c r="E493">
        <v>884</v>
      </c>
      <c r="F493">
        <v>1318</v>
      </c>
      <c r="G493" t="s">
        <v>3594</v>
      </c>
      <c r="H493">
        <v>1</v>
      </c>
      <c r="I493" t="s">
        <v>3618</v>
      </c>
      <c r="J493" s="2" t="str">
        <f t="shared" si="21"/>
        <v>[513]=1318,</v>
      </c>
      <c r="K493" s="3">
        <f t="shared" si="22"/>
        <v>513</v>
      </c>
      <c r="L493" s="3">
        <f t="shared" si="23"/>
        <v>1318</v>
      </c>
      <c r="M493" s="9" t="str">
        <f>VLOOKUP(A493,WayshrineNames!$A$3:$B$967,2,)</f>
        <v>Gonfalon Square Wayshrine</v>
      </c>
      <c r="N493" s="3" t="str">
        <f>VLOOKUP(F493,'ESO zones'!$A$5:$D$10003,4,FALSE)</f>
        <v>High Isle</v>
      </c>
    </row>
    <row r="494" spans="1:14" x14ac:dyDescent="0.25">
      <c r="A494" s="58">
        <v>517</v>
      </c>
      <c r="B494">
        <v>46</v>
      </c>
      <c r="C494">
        <v>2114</v>
      </c>
      <c r="D494" t="s">
        <v>3593</v>
      </c>
      <c r="E494">
        <v>884</v>
      </c>
      <c r="F494">
        <v>1318</v>
      </c>
      <c r="G494" t="s">
        <v>3594</v>
      </c>
      <c r="H494">
        <v>0</v>
      </c>
      <c r="I494" t="s">
        <v>3619</v>
      </c>
      <c r="J494" s="2" t="str">
        <f t="shared" si="21"/>
        <v>[517]=1318,</v>
      </c>
      <c r="K494" s="3">
        <f t="shared" si="22"/>
        <v>517</v>
      </c>
      <c r="L494" s="3">
        <f t="shared" si="23"/>
        <v>1318</v>
      </c>
      <c r="M494" s="9" t="str">
        <f>VLOOKUP(A494,WayshrineNames!$A$3:$B$967,2,)</f>
        <v>All Flags Islet</v>
      </c>
      <c r="N494" s="3" t="str">
        <f>VLOOKUP(F494,'ESO zones'!$A$5:$D$10003,4,FALSE)</f>
        <v>High Isle</v>
      </c>
    </row>
    <row r="495" spans="1:14" x14ac:dyDescent="0.25">
      <c r="A495" s="58">
        <v>518</v>
      </c>
      <c r="B495">
        <v>46</v>
      </c>
      <c r="C495">
        <v>2114</v>
      </c>
      <c r="D495" t="s">
        <v>3593</v>
      </c>
      <c r="E495">
        <v>884</v>
      </c>
      <c r="F495">
        <v>1318</v>
      </c>
      <c r="G495" t="s">
        <v>3594</v>
      </c>
      <c r="H495">
        <v>1</v>
      </c>
      <c r="I495" t="s">
        <v>3620</v>
      </c>
      <c r="J495" s="2" t="str">
        <f t="shared" si="21"/>
        <v>[518]=1318,</v>
      </c>
      <c r="K495" s="3">
        <f t="shared" si="22"/>
        <v>518</v>
      </c>
      <c r="L495" s="3">
        <f t="shared" si="23"/>
        <v>1318</v>
      </c>
      <c r="M495" s="9" t="str">
        <f>VLOOKUP(A495,WayshrineNames!$A$3:$B$967,2,)</f>
        <v>Serpents Hollow Wayshrine</v>
      </c>
      <c r="N495" s="3" t="str">
        <f>VLOOKUP(F495,'ESO zones'!$A$5:$D$10003,4,FALSE)</f>
        <v>High Isle</v>
      </c>
    </row>
    <row r="496" spans="1:14" x14ac:dyDescent="0.25">
      <c r="A496" s="58">
        <v>519</v>
      </c>
      <c r="B496">
        <v>46</v>
      </c>
      <c r="C496">
        <v>2114</v>
      </c>
      <c r="D496" t="s">
        <v>3593</v>
      </c>
      <c r="E496">
        <v>884</v>
      </c>
      <c r="F496">
        <v>1318</v>
      </c>
      <c r="G496" t="s">
        <v>3594</v>
      </c>
      <c r="H496">
        <v>1</v>
      </c>
      <c r="I496" t="s">
        <v>3621</v>
      </c>
      <c r="J496" s="2" t="str">
        <f t="shared" si="21"/>
        <v>[519]=1318,</v>
      </c>
      <c r="K496" s="3">
        <f t="shared" si="22"/>
        <v>519</v>
      </c>
      <c r="L496" s="3">
        <f t="shared" si="23"/>
        <v>1318</v>
      </c>
      <c r="M496" s="9" t="str">
        <f>VLOOKUP(A496,WayshrineNames!$A$3:$B$967,2,)</f>
        <v>Flooded Coast Wayshrine</v>
      </c>
      <c r="N496" s="3" t="str">
        <f>VLOOKUP(F496,'ESO zones'!$A$5:$D$10003,4,FALSE)</f>
        <v>High Isle</v>
      </c>
    </row>
    <row r="497" spans="1:14" x14ac:dyDescent="0.25">
      <c r="A497" s="58">
        <v>520</v>
      </c>
      <c r="B497">
        <v>46</v>
      </c>
      <c r="C497">
        <v>2114</v>
      </c>
      <c r="D497" t="s">
        <v>3593</v>
      </c>
      <c r="E497">
        <v>884</v>
      </c>
      <c r="F497">
        <v>1318</v>
      </c>
      <c r="G497" t="s">
        <v>3594</v>
      </c>
      <c r="H497">
        <v>6</v>
      </c>
      <c r="I497" t="s">
        <v>3622</v>
      </c>
      <c r="J497" s="2" t="str">
        <f t="shared" si="21"/>
        <v>[520]=1318,</v>
      </c>
      <c r="K497" s="3">
        <f t="shared" si="22"/>
        <v>520</v>
      </c>
      <c r="L497" s="3">
        <f t="shared" si="23"/>
        <v>1318</v>
      </c>
      <c r="M497" s="9" t="str">
        <f>VLOOKUP(A497,WayshrineNames!$A$3:$B$967,2,)</f>
        <v>Dungeon: Earthen Root Enclave</v>
      </c>
      <c r="N497" s="3" t="str">
        <f>VLOOKUP(F497,'ESO zones'!$A$5:$D$10003,4,FALSE)</f>
        <v>High Isle</v>
      </c>
    </row>
    <row r="498" spans="1:14" x14ac:dyDescent="0.25">
      <c r="A498" s="58">
        <v>521</v>
      </c>
      <c r="B498">
        <v>46</v>
      </c>
      <c r="C498">
        <v>2114</v>
      </c>
      <c r="D498" t="s">
        <v>3593</v>
      </c>
      <c r="E498">
        <v>884</v>
      </c>
      <c r="F498">
        <v>1318</v>
      </c>
      <c r="G498" t="s">
        <v>3594</v>
      </c>
      <c r="H498">
        <v>6</v>
      </c>
      <c r="I498" t="s">
        <v>3623</v>
      </c>
      <c r="J498" s="2" t="str">
        <f t="shared" si="21"/>
        <v>[521]=1318,</v>
      </c>
      <c r="K498" s="3">
        <f t="shared" si="22"/>
        <v>521</v>
      </c>
      <c r="L498" s="3">
        <f t="shared" si="23"/>
        <v>1318</v>
      </c>
      <c r="M498" s="9" t="str">
        <f>VLOOKUP(A498,WayshrineNames!$A$3:$B$967,2,)</f>
        <v>Dungeon: Graven Deep</v>
      </c>
      <c r="N498" s="3" t="str">
        <f>VLOOKUP(F498,'ESO zones'!$A$5:$D$10003,4,FALSE)</f>
        <v>High Isle</v>
      </c>
    </row>
    <row r="499" spans="1:14" x14ac:dyDescent="0.25">
      <c r="A499" s="58">
        <v>522</v>
      </c>
      <c r="B499">
        <v>46</v>
      </c>
      <c r="C499">
        <v>2114</v>
      </c>
      <c r="D499" t="s">
        <v>3593</v>
      </c>
      <c r="E499">
        <v>884</v>
      </c>
      <c r="F499">
        <v>1318</v>
      </c>
      <c r="G499" t="s">
        <v>3594</v>
      </c>
      <c r="H499">
        <v>7</v>
      </c>
      <c r="I499" t="s">
        <v>3624</v>
      </c>
      <c r="J499" s="2" t="str">
        <f t="shared" si="21"/>
        <v>[522]=1318,</v>
      </c>
      <c r="K499" s="3">
        <f t="shared" si="22"/>
        <v>522</v>
      </c>
      <c r="L499" s="3">
        <f t="shared" si="23"/>
        <v>1318</v>
      </c>
      <c r="M499" s="9" t="str">
        <f>VLOOKUP(A499,WayshrineNames!$A$3:$B$967,2,)</f>
        <v>Ancient Anchor Berth</v>
      </c>
      <c r="N499" s="3" t="str">
        <f>VLOOKUP(F499,'ESO zones'!$A$5:$D$10003,4,FALSE)</f>
        <v>High Isle</v>
      </c>
    </row>
    <row r="500" spans="1:14" x14ac:dyDescent="0.25">
      <c r="A500" s="58">
        <v>523</v>
      </c>
      <c r="B500">
        <v>46</v>
      </c>
      <c r="C500">
        <v>2114</v>
      </c>
      <c r="D500" t="s">
        <v>3593</v>
      </c>
      <c r="E500">
        <v>884</v>
      </c>
      <c r="F500">
        <v>1318</v>
      </c>
      <c r="G500" t="s">
        <v>3594</v>
      </c>
      <c r="H500">
        <v>7</v>
      </c>
      <c r="I500" t="s">
        <v>3625</v>
      </c>
      <c r="J500" s="2" t="str">
        <f t="shared" si="21"/>
        <v>[523]=1318,</v>
      </c>
      <c r="K500" s="3">
        <f t="shared" si="22"/>
        <v>523</v>
      </c>
      <c r="L500" s="3">
        <f t="shared" si="23"/>
        <v>1318</v>
      </c>
      <c r="M500" s="9" t="str">
        <f>VLOOKUP(A500,WayshrineNames!$A$3:$B$967,2,)</f>
        <v>Highhallow Hold</v>
      </c>
      <c r="N500" s="3" t="str">
        <f>VLOOKUP(F500,'ESO zones'!$A$5:$D$10003,4,FALSE)</f>
        <v>High Isle</v>
      </c>
    </row>
    <row r="501" spans="1:14" x14ac:dyDescent="0.25">
      <c r="A501" s="58">
        <v>524</v>
      </c>
      <c r="B501">
        <v>48</v>
      </c>
      <c r="C501">
        <v>2212</v>
      </c>
      <c r="D501" t="s">
        <v>3626</v>
      </c>
      <c r="E501">
        <v>929</v>
      </c>
      <c r="F501">
        <v>1383</v>
      </c>
      <c r="G501" t="s">
        <v>1813</v>
      </c>
      <c r="H501">
        <v>1</v>
      </c>
      <c r="I501" t="s">
        <v>3627</v>
      </c>
      <c r="J501" s="2" t="str">
        <f t="shared" si="21"/>
        <v>[524]=1383,</v>
      </c>
      <c r="K501" s="3">
        <f t="shared" si="22"/>
        <v>524</v>
      </c>
      <c r="L501" s="3">
        <f t="shared" si="23"/>
        <v>1383</v>
      </c>
      <c r="M501" s="9" t="str">
        <f>VLOOKUP(A501,WayshrineNames!$A$3:$B$967,2,)</f>
        <v>Vastyr Outskirts Wayshrine</v>
      </c>
      <c r="N501" s="3" t="str">
        <f>VLOOKUP(F501,'ESO zones'!$A$5:$D$10003,4,FALSE)</f>
        <v>Galen</v>
      </c>
    </row>
    <row r="502" spans="1:14" x14ac:dyDescent="0.25">
      <c r="A502" s="58">
        <v>525</v>
      </c>
      <c r="B502">
        <v>48</v>
      </c>
      <c r="C502">
        <v>2212</v>
      </c>
      <c r="D502" t="s">
        <v>3626</v>
      </c>
      <c r="E502">
        <v>929</v>
      </c>
      <c r="F502">
        <v>1383</v>
      </c>
      <c r="G502" t="s">
        <v>1813</v>
      </c>
      <c r="H502">
        <v>1</v>
      </c>
      <c r="I502" t="s">
        <v>3628</v>
      </c>
      <c r="J502" s="2" t="str">
        <f t="shared" si="21"/>
        <v>[525]=1383,</v>
      </c>
      <c r="K502" s="3">
        <f t="shared" si="22"/>
        <v>525</v>
      </c>
      <c r="L502" s="3">
        <f t="shared" si="23"/>
        <v>1383</v>
      </c>
      <c r="M502" s="9" t="str">
        <f>VLOOKUP(A502,WayshrineNames!$A$3:$B$967,2,)</f>
        <v>Glimmertarn Wayshrine</v>
      </c>
      <c r="N502" s="3" t="str">
        <f>VLOOKUP(F502,'ESO zones'!$A$5:$D$10003,4,FALSE)</f>
        <v>Galen</v>
      </c>
    </row>
    <row r="503" spans="1:14" x14ac:dyDescent="0.25">
      <c r="A503" s="58">
        <v>526</v>
      </c>
      <c r="B503">
        <v>48</v>
      </c>
      <c r="C503">
        <v>2212</v>
      </c>
      <c r="D503" t="s">
        <v>3626</v>
      </c>
      <c r="E503">
        <v>929</v>
      </c>
      <c r="F503">
        <v>1383</v>
      </c>
      <c r="G503" t="s">
        <v>1813</v>
      </c>
      <c r="H503">
        <v>1</v>
      </c>
      <c r="I503" t="s">
        <v>3629</v>
      </c>
      <c r="J503" s="2" t="str">
        <f t="shared" si="21"/>
        <v>[526]=1383,</v>
      </c>
      <c r="K503" s="3">
        <f t="shared" si="22"/>
        <v>526</v>
      </c>
      <c r="L503" s="3">
        <f t="shared" si="23"/>
        <v>1383</v>
      </c>
      <c r="M503" s="9" t="str">
        <f>VLOOKUP(A503,WayshrineNames!$A$3:$B$967,2,)</f>
        <v>Embervine Wayshrine</v>
      </c>
      <c r="N503" s="3" t="str">
        <f>VLOOKUP(F503,'ESO zones'!$A$5:$D$10003,4,FALSE)</f>
        <v>Galen</v>
      </c>
    </row>
    <row r="504" spans="1:14" x14ac:dyDescent="0.25">
      <c r="A504" s="58">
        <v>527</v>
      </c>
      <c r="B504">
        <v>48</v>
      </c>
      <c r="C504">
        <v>2212</v>
      </c>
      <c r="D504" t="s">
        <v>3626</v>
      </c>
      <c r="E504">
        <v>929</v>
      </c>
      <c r="F504">
        <v>1383</v>
      </c>
      <c r="G504" t="s">
        <v>1813</v>
      </c>
      <c r="H504">
        <v>1</v>
      </c>
      <c r="I504" t="s">
        <v>3630</v>
      </c>
      <c r="J504" s="2" t="str">
        <f t="shared" si="21"/>
        <v>[527]=1383,</v>
      </c>
      <c r="K504" s="3">
        <f t="shared" si="22"/>
        <v>527</v>
      </c>
      <c r="L504" s="3">
        <f t="shared" si="23"/>
        <v>1383</v>
      </c>
      <c r="M504" s="9" t="str">
        <f>VLOOKUP(A504,WayshrineNames!$A$3:$B$967,2,)</f>
        <v>Llanshara Wayshrine</v>
      </c>
      <c r="N504" s="3" t="str">
        <f>VLOOKUP(F504,'ESO zones'!$A$5:$D$10003,4,FALSE)</f>
        <v>Galen</v>
      </c>
    </row>
    <row r="505" spans="1:14" x14ac:dyDescent="0.25">
      <c r="A505" s="58">
        <v>528</v>
      </c>
      <c r="B505">
        <v>48</v>
      </c>
      <c r="C505">
        <v>2212</v>
      </c>
      <c r="D505" t="s">
        <v>3626</v>
      </c>
      <c r="E505">
        <v>929</v>
      </c>
      <c r="F505">
        <v>1383</v>
      </c>
      <c r="G505" t="s">
        <v>1813</v>
      </c>
      <c r="H505">
        <v>1</v>
      </c>
      <c r="I505" t="s">
        <v>3631</v>
      </c>
      <c r="J505" s="2" t="str">
        <f t="shared" si="21"/>
        <v>[528]=1383,</v>
      </c>
      <c r="K505" s="3">
        <f t="shared" si="22"/>
        <v>528</v>
      </c>
      <c r="L505" s="3">
        <f t="shared" si="23"/>
        <v>1383</v>
      </c>
      <c r="M505" s="9" t="str">
        <f>VLOOKUP(A505,WayshrineNames!$A$3:$B$967,2,)</f>
        <v>Y'ffre's Path Wayshrine</v>
      </c>
      <c r="N505" s="3" t="str">
        <f>VLOOKUP(F505,'ESO zones'!$A$5:$D$10003,4,FALSE)</f>
        <v>Galen</v>
      </c>
    </row>
    <row r="506" spans="1:14" x14ac:dyDescent="0.25">
      <c r="A506" s="58">
        <v>529</v>
      </c>
      <c r="B506">
        <v>48</v>
      </c>
      <c r="C506">
        <v>2212</v>
      </c>
      <c r="D506" t="s">
        <v>3626</v>
      </c>
      <c r="E506">
        <v>929</v>
      </c>
      <c r="F506">
        <v>1383</v>
      </c>
      <c r="G506" t="s">
        <v>1813</v>
      </c>
      <c r="H506">
        <v>1</v>
      </c>
      <c r="I506" t="s">
        <v>3632</v>
      </c>
      <c r="J506" s="2" t="str">
        <f t="shared" si="21"/>
        <v>[529]=1383,</v>
      </c>
      <c r="K506" s="3">
        <f t="shared" si="22"/>
        <v>529</v>
      </c>
      <c r="L506" s="3">
        <f t="shared" si="23"/>
        <v>1383</v>
      </c>
      <c r="M506" s="9" t="str">
        <f>VLOOKUP(A506,WayshrineNames!$A$3:$B$967,2,)</f>
        <v>Vastyr Wayshrine</v>
      </c>
      <c r="N506" s="3" t="str">
        <f>VLOOKUP(F506,'ESO zones'!$A$5:$D$10003,4,FALSE)</f>
        <v>Galen</v>
      </c>
    </row>
    <row r="507" spans="1:14" x14ac:dyDescent="0.25">
      <c r="A507" s="58">
        <v>530</v>
      </c>
      <c r="B507">
        <v>48</v>
      </c>
      <c r="C507">
        <v>2212</v>
      </c>
      <c r="D507" t="s">
        <v>3626</v>
      </c>
      <c r="E507">
        <v>929</v>
      </c>
      <c r="F507">
        <v>1383</v>
      </c>
      <c r="G507" t="s">
        <v>1813</v>
      </c>
      <c r="H507">
        <v>1</v>
      </c>
      <c r="I507" t="s">
        <v>3633</v>
      </c>
      <c r="J507" s="2" t="str">
        <f t="shared" si="21"/>
        <v>[530]=1383,</v>
      </c>
      <c r="K507" s="3">
        <f t="shared" si="22"/>
        <v>530</v>
      </c>
      <c r="L507" s="3">
        <f t="shared" si="23"/>
        <v>1383</v>
      </c>
      <c r="M507" s="9" t="str">
        <f>VLOOKUP(A507,WayshrineNames!$A$3:$B$967,2,)</f>
        <v>Eastern Shores Wayshrine</v>
      </c>
      <c r="N507" s="3" t="str">
        <f>VLOOKUP(F507,'ESO zones'!$A$5:$D$10003,4,FALSE)</f>
        <v>Galen</v>
      </c>
    </row>
    <row r="508" spans="1:14" x14ac:dyDescent="0.25">
      <c r="A508" s="58">
        <v>531</v>
      </c>
      <c r="B508">
        <v>11</v>
      </c>
      <c r="C508">
        <v>7</v>
      </c>
      <c r="D508" t="s">
        <v>3150</v>
      </c>
      <c r="E508">
        <v>9</v>
      </c>
      <c r="F508">
        <v>41</v>
      </c>
      <c r="G508" t="s">
        <v>3150</v>
      </c>
      <c r="H508">
        <v>6</v>
      </c>
      <c r="I508" t="s">
        <v>3634</v>
      </c>
      <c r="J508" s="2" t="str">
        <f t="shared" si="21"/>
        <v>[531]=41,</v>
      </c>
      <c r="K508" s="3">
        <f t="shared" si="22"/>
        <v>531</v>
      </c>
      <c r="L508" s="3">
        <f t="shared" si="23"/>
        <v>41</v>
      </c>
      <c r="M508" s="9" t="str">
        <f>VLOOKUP(A508,WayshrineNames!$A$3:$B$967,2,)</f>
        <v>Dungeon: Bal Sunnar</v>
      </c>
      <c r="N508" s="3" t="str">
        <f>VLOOKUP(F508,'ESO zones'!$A$5:$D$10003,4,FALSE)</f>
        <v>Stonefalls</v>
      </c>
    </row>
    <row r="509" spans="1:14" x14ac:dyDescent="0.25">
      <c r="A509" s="58">
        <v>532</v>
      </c>
      <c r="B509">
        <v>12</v>
      </c>
      <c r="C509">
        <v>125</v>
      </c>
      <c r="D509" t="s">
        <v>3221</v>
      </c>
      <c r="E509">
        <v>16</v>
      </c>
      <c r="F509">
        <v>103</v>
      </c>
      <c r="G509" t="s">
        <v>3221</v>
      </c>
      <c r="H509">
        <v>6</v>
      </c>
      <c r="I509" t="s">
        <v>3635</v>
      </c>
      <c r="J509" s="2" t="str">
        <f t="shared" si="21"/>
        <v>[532]=103,</v>
      </c>
      <c r="K509" s="3">
        <f t="shared" si="22"/>
        <v>532</v>
      </c>
      <c r="L509" s="3">
        <f t="shared" si="23"/>
        <v>103</v>
      </c>
      <c r="M509" s="9" t="str">
        <f>VLOOKUP(A509,WayshrineNames!$A$3:$B$967,2,)</f>
        <v>Dungeon: Scrivener's Hall</v>
      </c>
      <c r="N509" s="3" t="str">
        <f>VLOOKUP(F509,'ESO zones'!$A$5:$D$10003,4,FALSE)</f>
        <v>The Rift</v>
      </c>
    </row>
    <row r="510" spans="1:14" x14ac:dyDescent="0.25">
      <c r="A510" s="58">
        <v>533</v>
      </c>
      <c r="B510">
        <v>46</v>
      </c>
      <c r="C510">
        <v>2114</v>
      </c>
      <c r="D510" t="s">
        <v>3593</v>
      </c>
      <c r="E510">
        <v>884</v>
      </c>
      <c r="F510">
        <v>1318</v>
      </c>
      <c r="G510" t="s">
        <v>3594</v>
      </c>
      <c r="H510">
        <v>7</v>
      </c>
      <c r="I510" t="s">
        <v>3636</v>
      </c>
      <c r="J510" s="2" t="str">
        <f t="shared" si="21"/>
        <v>[533]=1318,</v>
      </c>
      <c r="K510" s="3">
        <f t="shared" si="22"/>
        <v>533</v>
      </c>
      <c r="L510" s="3">
        <f t="shared" si="23"/>
        <v>1318</v>
      </c>
      <c r="M510" s="9" t="str">
        <f>VLOOKUP(A510,WayshrineNames!$A$3:$B$967,2,)</f>
        <v>Fogbreak Lighthouse</v>
      </c>
      <c r="N510" s="3" t="str">
        <f>VLOOKUP(F510,'ESO zones'!$A$5:$D$10003,4,FALSE)</f>
        <v>High Isle</v>
      </c>
    </row>
    <row r="511" spans="1:14" x14ac:dyDescent="0.25">
      <c r="A511" s="58">
        <v>534</v>
      </c>
      <c r="B511">
        <v>49</v>
      </c>
      <c r="C511">
        <v>2274</v>
      </c>
      <c r="D511" t="s">
        <v>3637</v>
      </c>
      <c r="E511">
        <v>958</v>
      </c>
      <c r="F511">
        <v>1414</v>
      </c>
      <c r="G511" t="s">
        <v>3637</v>
      </c>
      <c r="H511">
        <v>3</v>
      </c>
      <c r="I511" t="s">
        <v>3638</v>
      </c>
      <c r="J511" s="2" t="str">
        <f t="shared" si="21"/>
        <v>[534]=1414,</v>
      </c>
      <c r="K511" s="3">
        <f t="shared" si="22"/>
        <v>534</v>
      </c>
      <c r="L511" s="3">
        <f t="shared" si="23"/>
        <v>1414</v>
      </c>
      <c r="M511" s="9" t="str">
        <f>VLOOKUP(A511,WayshrineNames!$A$3:$B$967,2,)</f>
        <v>Trial: Sanity's Edge</v>
      </c>
      <c r="N511" s="3" t="str">
        <f>VLOOKUP(F511,'ESO zones'!$A$5:$D$10003,4,FALSE)</f>
        <v>Telvanni Peninsula</v>
      </c>
    </row>
    <row r="512" spans="1:14" x14ac:dyDescent="0.25">
      <c r="A512" s="58">
        <v>535</v>
      </c>
      <c r="B512">
        <v>49</v>
      </c>
      <c r="C512">
        <v>2274</v>
      </c>
      <c r="D512" t="s">
        <v>3637</v>
      </c>
      <c r="E512">
        <v>958</v>
      </c>
      <c r="F512">
        <v>1414</v>
      </c>
      <c r="G512" t="s">
        <v>3637</v>
      </c>
      <c r="H512">
        <v>1</v>
      </c>
      <c r="I512" t="s">
        <v>3639</v>
      </c>
      <c r="J512" s="2" t="str">
        <f t="shared" si="21"/>
        <v>[535]=1414,</v>
      </c>
      <c r="K512" s="3">
        <f t="shared" si="22"/>
        <v>535</v>
      </c>
      <c r="L512" s="3">
        <f t="shared" si="23"/>
        <v>1414</v>
      </c>
      <c r="M512" s="9" t="str">
        <f>VLOOKUP(A512,WayshrineNames!$A$3:$B$967,2,)</f>
        <v>Necrom Outskirts Wayshrine</v>
      </c>
      <c r="N512" s="3" t="str">
        <f>VLOOKUP(F512,'ESO zones'!$A$5:$D$10003,4,FALSE)</f>
        <v>Telvanni Peninsula</v>
      </c>
    </row>
    <row r="513" spans="1:14" x14ac:dyDescent="0.25">
      <c r="A513" s="58">
        <v>536</v>
      </c>
      <c r="B513">
        <v>49</v>
      </c>
      <c r="C513">
        <v>2274</v>
      </c>
      <c r="D513" t="s">
        <v>3637</v>
      </c>
      <c r="E513">
        <v>958</v>
      </c>
      <c r="F513">
        <v>1414</v>
      </c>
      <c r="G513" t="s">
        <v>3637</v>
      </c>
      <c r="H513">
        <v>1</v>
      </c>
      <c r="I513" t="s">
        <v>3640</v>
      </c>
      <c r="J513" s="2" t="str">
        <f t="shared" si="21"/>
        <v>[536]=1414,</v>
      </c>
      <c r="K513" s="3">
        <f t="shared" si="22"/>
        <v>536</v>
      </c>
      <c r="L513" s="3">
        <f t="shared" si="23"/>
        <v>1414</v>
      </c>
      <c r="M513" s="9" t="str">
        <f>VLOOKUP(A513,WayshrineNames!$A$3:$B$967,2,)</f>
        <v>Necrom Wayshrine</v>
      </c>
      <c r="N513" s="3" t="str">
        <f>VLOOKUP(F513,'ESO zones'!$A$5:$D$10003,4,FALSE)</f>
        <v>Telvanni Peninsula</v>
      </c>
    </row>
    <row r="514" spans="1:14" x14ac:dyDescent="0.25">
      <c r="A514" s="58">
        <v>537</v>
      </c>
      <c r="B514">
        <v>49</v>
      </c>
      <c r="C514">
        <v>2274</v>
      </c>
      <c r="D514" t="s">
        <v>3637</v>
      </c>
      <c r="E514">
        <v>958</v>
      </c>
      <c r="F514">
        <v>1414</v>
      </c>
      <c r="G514" t="s">
        <v>3637</v>
      </c>
      <c r="H514">
        <v>1</v>
      </c>
      <c r="I514" t="s">
        <v>3641</v>
      </c>
      <c r="J514" s="2" t="str">
        <f t="shared" si="21"/>
        <v>[537]=1414,</v>
      </c>
      <c r="K514" s="3">
        <f t="shared" si="22"/>
        <v>537</v>
      </c>
      <c r="L514" s="3">
        <f t="shared" si="23"/>
        <v>1414</v>
      </c>
      <c r="M514" s="9" t="str">
        <f>VLOOKUP(A514,WayshrineNames!$A$3:$B$967,2,)</f>
        <v>Fungal Lowlands Wayshrine</v>
      </c>
      <c r="N514" s="3" t="str">
        <f>VLOOKUP(F514,'ESO zones'!$A$5:$D$10003,4,FALSE)</f>
        <v>Telvanni Peninsula</v>
      </c>
    </row>
    <row r="515" spans="1:14" x14ac:dyDescent="0.25">
      <c r="A515" s="58">
        <v>538</v>
      </c>
      <c r="B515">
        <v>49</v>
      </c>
      <c r="C515">
        <v>2274</v>
      </c>
      <c r="D515" t="s">
        <v>3637</v>
      </c>
      <c r="E515">
        <v>958</v>
      </c>
      <c r="F515">
        <v>1414</v>
      </c>
      <c r="G515" t="s">
        <v>3637</v>
      </c>
      <c r="H515">
        <v>1</v>
      </c>
      <c r="I515" t="s">
        <v>3642</v>
      </c>
      <c r="J515" s="2" t="str">
        <f t="shared" ref="J515:J578" si="24">IF(A515&lt;&gt;"",IF(F515&lt;&gt;"",IF(OR(ISNA(A515),ISNA(F515)),"","["&amp;A515&amp;"]="&amp;F515&amp;","),""),"")</f>
        <v>[538]=1414,</v>
      </c>
      <c r="K515" s="3">
        <f t="shared" ref="K515:K578" si="25">A515</f>
        <v>538</v>
      </c>
      <c r="L515" s="3">
        <f t="shared" ref="L515:L578" si="26">F515</f>
        <v>1414</v>
      </c>
      <c r="M515" s="9" t="str">
        <f>VLOOKUP(A515,WayshrineNames!$A$3:$B$967,2,)</f>
        <v>Ald Isra Wayshrine</v>
      </c>
      <c r="N515" s="3" t="str">
        <f>VLOOKUP(F515,'ESO zones'!$A$5:$D$10003,4,FALSE)</f>
        <v>Telvanni Peninsula</v>
      </c>
    </row>
    <row r="516" spans="1:14" x14ac:dyDescent="0.25">
      <c r="A516" s="58">
        <v>539</v>
      </c>
      <c r="B516">
        <v>49</v>
      </c>
      <c r="C516">
        <v>2274</v>
      </c>
      <c r="D516" t="s">
        <v>3637</v>
      </c>
      <c r="E516">
        <v>958</v>
      </c>
      <c r="F516">
        <v>1414</v>
      </c>
      <c r="G516" t="s">
        <v>3637</v>
      </c>
      <c r="H516">
        <v>1</v>
      </c>
      <c r="I516" t="s">
        <v>3643</v>
      </c>
      <c r="J516" s="2" t="str">
        <f t="shared" si="24"/>
        <v>[539]=1414,</v>
      </c>
      <c r="K516" s="3">
        <f t="shared" si="25"/>
        <v>539</v>
      </c>
      <c r="L516" s="3">
        <f t="shared" si="26"/>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3644</v>
      </c>
      <c r="J517" s="2" t="str">
        <f t="shared" si="24"/>
        <v>[540]=1413,</v>
      </c>
      <c r="K517" s="3">
        <f t="shared" si="25"/>
        <v>540</v>
      </c>
      <c r="L517" s="3">
        <f t="shared" si="26"/>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3645</v>
      </c>
      <c r="J518" s="2" t="str">
        <f t="shared" si="24"/>
        <v>[541]=1413,</v>
      </c>
      <c r="K518" s="3">
        <f t="shared" si="25"/>
        <v>541</v>
      </c>
      <c r="L518" s="3">
        <f t="shared" si="26"/>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3646</v>
      </c>
      <c r="J519" s="2" t="str">
        <f t="shared" si="24"/>
        <v>[542]=1413,</v>
      </c>
      <c r="K519" s="3">
        <f t="shared" si="25"/>
        <v>542</v>
      </c>
      <c r="L519" s="3">
        <f t="shared" si="26"/>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3647</v>
      </c>
      <c r="J520" s="2" t="str">
        <f t="shared" si="24"/>
        <v>[543]=1413,</v>
      </c>
      <c r="K520" s="3">
        <f t="shared" si="25"/>
        <v>543</v>
      </c>
      <c r="L520" s="3">
        <f t="shared" si="26"/>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3648</v>
      </c>
      <c r="J521" s="2" t="str">
        <f t="shared" si="24"/>
        <v>[544]=1413,</v>
      </c>
      <c r="K521" s="3">
        <f t="shared" si="25"/>
        <v>544</v>
      </c>
      <c r="L521" s="3">
        <f t="shared" si="26"/>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3649</v>
      </c>
      <c r="J522" s="2" t="str">
        <f t="shared" si="24"/>
        <v>[545]=1413,</v>
      </c>
      <c r="K522" s="3">
        <f t="shared" si="25"/>
        <v>545</v>
      </c>
      <c r="L522" s="3">
        <f t="shared" si="26"/>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3650</v>
      </c>
      <c r="J523" s="2" t="str">
        <f t="shared" si="24"/>
        <v>[546]=1413,</v>
      </c>
      <c r="K523" s="3">
        <f t="shared" si="25"/>
        <v>546</v>
      </c>
      <c r="L523" s="3">
        <f t="shared" si="26"/>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3651</v>
      </c>
      <c r="J524" s="2" t="str">
        <f t="shared" si="24"/>
        <v>[547]=1413,</v>
      </c>
      <c r="K524" s="3">
        <f t="shared" si="25"/>
        <v>547</v>
      </c>
      <c r="L524" s="3">
        <f t="shared" si="26"/>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3652</v>
      </c>
      <c r="J525" s="2" t="str">
        <f t="shared" si="24"/>
        <v>[548]=1413,</v>
      </c>
      <c r="K525" s="3">
        <f t="shared" si="25"/>
        <v>548</v>
      </c>
      <c r="L525" s="3">
        <f t="shared" si="26"/>
        <v>1413</v>
      </c>
      <c r="M525" s="9" t="str">
        <f>VLOOKUP(A525,WayshrineNames!$A$3:$B$967,2,)</f>
        <v>Feral Gallery Wayshrine</v>
      </c>
      <c r="N525" s="3" t="str">
        <f>VLOOKUP(F525,'ESO zones'!$A$5:$D$10003,4,FALSE)</f>
        <v>Apocrypha</v>
      </c>
    </row>
    <row r="526" spans="1:14" x14ac:dyDescent="0.25">
      <c r="A526" s="58">
        <v>549</v>
      </c>
      <c r="B526">
        <v>49</v>
      </c>
      <c r="C526">
        <v>2274</v>
      </c>
      <c r="D526" t="s">
        <v>3637</v>
      </c>
      <c r="E526">
        <v>958</v>
      </c>
      <c r="F526">
        <v>1414</v>
      </c>
      <c r="G526" t="s">
        <v>3637</v>
      </c>
      <c r="H526">
        <v>1</v>
      </c>
      <c r="I526" t="s">
        <v>3653</v>
      </c>
      <c r="J526" s="2" t="str">
        <f t="shared" si="24"/>
        <v>[549]=1414,</v>
      </c>
      <c r="K526" s="3">
        <f t="shared" si="25"/>
        <v>549</v>
      </c>
      <c r="L526" s="3">
        <f t="shared" si="26"/>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 t="shared" si="24"/>
        <v>[550]=1413,</v>
      </c>
      <c r="K527" s="3">
        <f t="shared" si="25"/>
        <v>550</v>
      </c>
      <c r="L527" s="3">
        <f t="shared" si="26"/>
        <v>1413</v>
      </c>
      <c r="M527" s="9" t="str">
        <f>VLOOKUP(A527,WayshrineNames!$A$3:$B$967,2,)</f>
        <v>Infinite Archive</v>
      </c>
      <c r="N527" s="3" t="str">
        <f>VLOOKUP(F527,'ESO zones'!$A$5:$D$10003,4,FALSE)</f>
        <v>Apocrypha</v>
      </c>
    </row>
    <row r="528" spans="1:14" x14ac:dyDescent="0.25">
      <c r="A528" s="58">
        <v>551</v>
      </c>
      <c r="B528">
        <v>48</v>
      </c>
      <c r="C528">
        <v>2212</v>
      </c>
      <c r="D528" t="s">
        <v>3626</v>
      </c>
      <c r="E528">
        <v>929</v>
      </c>
      <c r="F528">
        <v>1383</v>
      </c>
      <c r="G528" t="s">
        <v>1813</v>
      </c>
      <c r="H528">
        <v>7</v>
      </c>
      <c r="I528" t="s">
        <v>3654</v>
      </c>
      <c r="J528" s="2" t="str">
        <f t="shared" si="24"/>
        <v>[551]=1383,</v>
      </c>
      <c r="K528" s="3">
        <f t="shared" si="25"/>
        <v>551</v>
      </c>
      <c r="L528" s="3">
        <f t="shared" si="26"/>
        <v>1383</v>
      </c>
      <c r="M528" s="9" t="str">
        <f>VLOOKUP(A528,WayshrineNames!$A$3:$B$967,2,)</f>
        <v>The Fair Winds</v>
      </c>
      <c r="N528" s="3" t="str">
        <f>VLOOKUP(F528,'ESO zones'!$A$5:$D$10003,4,FALSE)</f>
        <v>Galen</v>
      </c>
    </row>
    <row r="529" spans="1:14" x14ac:dyDescent="0.25">
      <c r="A529" s="58">
        <v>552</v>
      </c>
      <c r="B529">
        <v>49</v>
      </c>
      <c r="C529">
        <v>2274</v>
      </c>
      <c r="D529" t="s">
        <v>3637</v>
      </c>
      <c r="E529">
        <v>958</v>
      </c>
      <c r="F529">
        <v>1414</v>
      </c>
      <c r="G529" t="s">
        <v>3637</v>
      </c>
      <c r="H529">
        <v>7</v>
      </c>
      <c r="I529" t="s">
        <v>3655</v>
      </c>
      <c r="J529" s="2" t="str">
        <f t="shared" si="24"/>
        <v>[552]=1414,</v>
      </c>
      <c r="K529" s="3">
        <f t="shared" si="25"/>
        <v>552</v>
      </c>
      <c r="L529" s="3">
        <f t="shared" si="26"/>
        <v>1414</v>
      </c>
      <c r="M529" s="9" t="str">
        <f>VLOOKUP(A529,WayshrineNames!$A$3:$B$967,2,)</f>
        <v>Journey's End Lodgings</v>
      </c>
      <c r="N529" s="3" t="str">
        <f>VLOOKUP(F529,'ESO zones'!$A$5:$D$10003,4,FALSE)</f>
        <v>Telvanni Peninsula</v>
      </c>
    </row>
    <row r="530" spans="1:14" x14ac:dyDescent="0.25">
      <c r="A530" s="58">
        <v>553</v>
      </c>
      <c r="B530">
        <v>49</v>
      </c>
      <c r="C530">
        <v>2274</v>
      </c>
      <c r="D530" t="s">
        <v>3637</v>
      </c>
      <c r="E530">
        <v>958</v>
      </c>
      <c r="F530">
        <v>1414</v>
      </c>
      <c r="G530" t="s">
        <v>3637</v>
      </c>
      <c r="H530">
        <v>7</v>
      </c>
      <c r="I530" t="s">
        <v>3656</v>
      </c>
      <c r="J530" s="2" t="str">
        <f t="shared" si="24"/>
        <v>[553]=1414,</v>
      </c>
      <c r="K530" s="3">
        <f t="shared" si="25"/>
        <v>553</v>
      </c>
      <c r="L530" s="3">
        <f t="shared" si="26"/>
        <v>1414</v>
      </c>
      <c r="M530" s="9" t="str">
        <f>VLOOKUP(A530,WayshrineNames!$A$3:$B$967,2,)</f>
        <v>Emissary's Enclave</v>
      </c>
      <c r="N530" s="3" t="str">
        <f>VLOOKUP(F530,'ESO zones'!$A$5:$D$10003,4,FALSE)</f>
        <v>Telvanni Peninsula</v>
      </c>
    </row>
    <row r="531" spans="1:14" x14ac:dyDescent="0.25">
      <c r="A531" s="58">
        <v>554</v>
      </c>
      <c r="B531">
        <v>49</v>
      </c>
      <c r="C531">
        <v>2274</v>
      </c>
      <c r="D531" t="s">
        <v>3637</v>
      </c>
      <c r="E531">
        <v>958</v>
      </c>
      <c r="F531">
        <v>1414</v>
      </c>
      <c r="G531" t="s">
        <v>3637</v>
      </c>
      <c r="H531">
        <v>1</v>
      </c>
      <c r="I531" t="s">
        <v>3657</v>
      </c>
      <c r="J531" s="2" t="str">
        <f t="shared" si="24"/>
        <v>[554]=1414,</v>
      </c>
      <c r="K531" s="3">
        <f t="shared" si="25"/>
        <v>554</v>
      </c>
      <c r="L531" s="3">
        <f t="shared" si="26"/>
        <v>1414</v>
      </c>
      <c r="M531" s="9" t="str">
        <f>VLOOKUP(A531,WayshrineNames!$A$3:$B$967,2,)</f>
        <v>Alavelis Wayshrine</v>
      </c>
      <c r="N531" s="3" t="str">
        <f>VLOOKUP(F531,'ESO zones'!$A$5:$D$10003,4,FALSE)</f>
        <v>Telvanni Peninsula</v>
      </c>
    </row>
    <row r="532" spans="1:14" x14ac:dyDescent="0.25">
      <c r="A532" s="58">
        <v>555</v>
      </c>
      <c r="B532">
        <v>49</v>
      </c>
      <c r="C532">
        <v>2274</v>
      </c>
      <c r="D532" t="s">
        <v>3637</v>
      </c>
      <c r="E532">
        <v>958</v>
      </c>
      <c r="F532">
        <v>1414</v>
      </c>
      <c r="G532" t="s">
        <v>3637</v>
      </c>
      <c r="H532">
        <v>7</v>
      </c>
      <c r="I532" t="s">
        <v>3028</v>
      </c>
      <c r="J532" s="2" t="str">
        <f t="shared" si="24"/>
        <v>[555]=1414,</v>
      </c>
      <c r="K532" s="3">
        <f t="shared" si="25"/>
        <v>555</v>
      </c>
      <c r="L532" s="3">
        <f t="shared" si="26"/>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3658</v>
      </c>
      <c r="J533" s="2" t="str">
        <f t="shared" si="24"/>
        <v>[556]=1207,</v>
      </c>
      <c r="K533" s="3">
        <f t="shared" si="25"/>
        <v>556</v>
      </c>
      <c r="L533" s="3">
        <f t="shared" si="26"/>
        <v>1207</v>
      </c>
      <c r="M533" s="9" t="str">
        <f>VLOOKUP(A533,WayshrineNames!$A$3:$B$967,2,)</f>
        <v>Dungeon: Oathsworn Pit</v>
      </c>
      <c r="N533" s="3" t="str">
        <f>VLOOKUP(F533,'ESO zones'!$A$5:$D$10003,4,FALSE)</f>
        <v>The Reach</v>
      </c>
    </row>
    <row r="534" spans="1:14" x14ac:dyDescent="0.25">
      <c r="A534" s="58">
        <v>557</v>
      </c>
      <c r="B534">
        <v>31</v>
      </c>
      <c r="C534">
        <v>1313</v>
      </c>
      <c r="D534" t="s">
        <v>3440</v>
      </c>
      <c r="E534">
        <v>590</v>
      </c>
      <c r="F534">
        <v>980</v>
      </c>
      <c r="G534" t="s">
        <v>3441</v>
      </c>
      <c r="H534">
        <v>7</v>
      </c>
      <c r="I534" t="s">
        <v>3659</v>
      </c>
      <c r="J534" s="2" t="str">
        <f t="shared" si="24"/>
        <v>[557]=980,</v>
      </c>
      <c r="K534" s="3">
        <f t="shared" si="25"/>
        <v>557</v>
      </c>
      <c r="L534" s="3">
        <f t="shared" si="26"/>
        <v>980</v>
      </c>
      <c r="M534" s="9" t="str">
        <f>VLOOKUP(A534,WayshrineNames!$A$3:$B$967,2,)</f>
        <v>Shadow Queen's Labyrinth</v>
      </c>
      <c r="N534" s="3" t="str">
        <f>VLOOKUP(F534,'ESO zones'!$A$5:$D$10003,4,FALSE)</f>
        <v>Clockwork City</v>
      </c>
    </row>
    <row r="535" spans="1:14" x14ac:dyDescent="0.25">
      <c r="A535">
        <v>558</v>
      </c>
      <c r="B535">
        <v>51</v>
      </c>
      <c r="C535" s="32">
        <v>2427</v>
      </c>
      <c r="D535" t="s">
        <v>3660</v>
      </c>
      <c r="E535">
        <v>982</v>
      </c>
      <c r="F535">
        <v>1443</v>
      </c>
      <c r="G535" t="s">
        <v>3660</v>
      </c>
      <c r="H535">
        <v>1</v>
      </c>
      <c r="I535" t="s">
        <v>3661</v>
      </c>
      <c r="J535" s="2" t="str">
        <f t="shared" si="24"/>
        <v>[558]=1443,</v>
      </c>
      <c r="K535" s="3">
        <f t="shared" si="25"/>
        <v>558</v>
      </c>
      <c r="L535" s="3">
        <f t="shared" si="26"/>
        <v>1443</v>
      </c>
      <c r="M535" s="9" t="str">
        <f>VLOOKUP(A535,WayshrineNames!$A$3:$B$967,2,)</f>
        <v>Skingrad City Wayshrine</v>
      </c>
      <c r="N535" s="3" t="str">
        <f>VLOOKUP(F535,'ESO zones'!$A$5:$D$10003,4,FALSE)</f>
        <v>West Weald</v>
      </c>
    </row>
    <row r="536" spans="1:14" x14ac:dyDescent="0.25">
      <c r="A536">
        <v>559</v>
      </c>
      <c r="B536">
        <v>51</v>
      </c>
      <c r="C536" s="32">
        <v>2427</v>
      </c>
      <c r="D536" t="s">
        <v>3660</v>
      </c>
      <c r="E536">
        <v>982</v>
      </c>
      <c r="F536">
        <v>1443</v>
      </c>
      <c r="G536" t="s">
        <v>3660</v>
      </c>
      <c r="H536">
        <v>1</v>
      </c>
      <c r="I536" t="s">
        <v>3662</v>
      </c>
      <c r="J536" s="2" t="str">
        <f t="shared" si="24"/>
        <v>[559]=1443,</v>
      </c>
      <c r="K536" s="3">
        <f t="shared" si="25"/>
        <v>559</v>
      </c>
      <c r="L536" s="3">
        <f t="shared" si="26"/>
        <v>1443</v>
      </c>
      <c r="M536" s="9" t="str">
        <f>VLOOKUP(A536,WayshrineNames!$A$3:$B$967,2,)</f>
        <v>Skingrad Vineyards Wayshrine</v>
      </c>
      <c r="N536" s="3" t="str">
        <f>VLOOKUP(F536,'ESO zones'!$A$5:$D$10003,4,FALSE)</f>
        <v>West Weald</v>
      </c>
    </row>
    <row r="537" spans="1:14" x14ac:dyDescent="0.25">
      <c r="A537">
        <v>560</v>
      </c>
      <c r="B537">
        <v>51</v>
      </c>
      <c r="C537" s="32">
        <v>2427</v>
      </c>
      <c r="D537" t="s">
        <v>3660</v>
      </c>
      <c r="E537">
        <v>982</v>
      </c>
      <c r="F537">
        <v>1443</v>
      </c>
      <c r="G537" t="s">
        <v>3660</v>
      </c>
      <c r="H537">
        <v>1</v>
      </c>
      <c r="I537" t="s">
        <v>3663</v>
      </c>
      <c r="J537" s="2" t="str">
        <f t="shared" si="24"/>
        <v>[560]=1443,</v>
      </c>
      <c r="K537" s="3">
        <f t="shared" si="25"/>
        <v>560</v>
      </c>
      <c r="L537" s="3">
        <f t="shared" si="26"/>
        <v>1443</v>
      </c>
      <c r="M537" s="9" t="str">
        <f>VLOOKUP(A537,WayshrineNames!$A$3:$B$967,2,)</f>
        <v>Vashabar Wayshrine</v>
      </c>
      <c r="N537" s="3" t="str">
        <f>VLOOKUP(F537,'ESO zones'!$A$5:$D$10003,4,FALSE)</f>
        <v>West Weald</v>
      </c>
    </row>
    <row r="538" spans="1:14" x14ac:dyDescent="0.25">
      <c r="A538">
        <v>561</v>
      </c>
      <c r="B538">
        <v>51</v>
      </c>
      <c r="C538" s="32">
        <v>2427</v>
      </c>
      <c r="D538" t="s">
        <v>3660</v>
      </c>
      <c r="E538">
        <v>982</v>
      </c>
      <c r="F538">
        <v>1443</v>
      </c>
      <c r="G538" t="s">
        <v>3660</v>
      </c>
      <c r="H538">
        <v>1</v>
      </c>
      <c r="I538" t="s">
        <v>3664</v>
      </c>
      <c r="J538" s="2" t="str">
        <f t="shared" si="24"/>
        <v>[561]=1443,</v>
      </c>
      <c r="K538" s="3">
        <f t="shared" si="25"/>
        <v>561</v>
      </c>
      <c r="L538" s="3">
        <f t="shared" si="26"/>
        <v>1443</v>
      </c>
      <c r="M538" s="9" t="str">
        <f>VLOOKUP(A538,WayshrineNames!$A$3:$B$967,2,)</f>
        <v>Ontus Wayshrine</v>
      </c>
      <c r="N538" s="3" t="str">
        <f>VLOOKUP(F538,'ESO zones'!$A$5:$D$10003,4,FALSE)</f>
        <v>West Weald</v>
      </c>
    </row>
    <row r="539" spans="1:14" x14ac:dyDescent="0.25">
      <c r="A539">
        <v>562</v>
      </c>
      <c r="B539">
        <v>51</v>
      </c>
      <c r="C539" s="32">
        <v>2427</v>
      </c>
      <c r="D539" t="s">
        <v>3660</v>
      </c>
      <c r="E539">
        <v>982</v>
      </c>
      <c r="F539">
        <v>1443</v>
      </c>
      <c r="G539" t="s">
        <v>3660</v>
      </c>
      <c r="H539">
        <v>1</v>
      </c>
      <c r="I539" t="s">
        <v>3665</v>
      </c>
      <c r="J539" s="2" t="str">
        <f t="shared" si="24"/>
        <v>[562]=1443,</v>
      </c>
      <c r="K539" s="3">
        <f t="shared" si="25"/>
        <v>562</v>
      </c>
      <c r="L539" s="3">
        <f t="shared" si="26"/>
        <v>1443</v>
      </c>
      <c r="M539" s="9" t="str">
        <f>VLOOKUP(A539,WayshrineNames!$A$3:$B$967,2,)</f>
        <v>Sutch Wayshrine</v>
      </c>
      <c r="N539" s="3" t="str">
        <f>VLOOKUP(F539,'ESO zones'!$A$5:$D$10003,4,FALSE)</f>
        <v>West Weald</v>
      </c>
    </row>
    <row r="540" spans="1:14" x14ac:dyDescent="0.25">
      <c r="A540">
        <v>563</v>
      </c>
      <c r="B540">
        <v>51</v>
      </c>
      <c r="C540" s="32">
        <v>2427</v>
      </c>
      <c r="D540" t="s">
        <v>3660</v>
      </c>
      <c r="E540">
        <v>982</v>
      </c>
      <c r="F540">
        <v>1443</v>
      </c>
      <c r="G540" t="s">
        <v>3660</v>
      </c>
      <c r="H540">
        <v>1</v>
      </c>
      <c r="I540" t="s">
        <v>3666</v>
      </c>
      <c r="J540" s="2" t="str">
        <f t="shared" si="24"/>
        <v>[563]=1443,</v>
      </c>
      <c r="K540" s="3">
        <f t="shared" si="25"/>
        <v>563</v>
      </c>
      <c r="L540" s="3">
        <f t="shared" si="26"/>
        <v>1443</v>
      </c>
      <c r="M540" s="9" t="str">
        <f>VLOOKUP(A540,WayshrineNames!$A$3:$B$967,2,)</f>
        <v>North Hook Wayshrine</v>
      </c>
      <c r="N540" s="3" t="str">
        <f>VLOOKUP(F540,'ESO zones'!$A$5:$D$10003,4,FALSE)</f>
        <v>West Weald</v>
      </c>
    </row>
    <row r="541" spans="1:14" x14ac:dyDescent="0.25">
      <c r="A541">
        <v>564</v>
      </c>
      <c r="B541">
        <v>51</v>
      </c>
      <c r="C541" s="32">
        <v>2427</v>
      </c>
      <c r="D541" t="s">
        <v>3660</v>
      </c>
      <c r="E541">
        <v>982</v>
      </c>
      <c r="F541">
        <v>1443</v>
      </c>
      <c r="G541" t="s">
        <v>3660</v>
      </c>
      <c r="H541">
        <v>1</v>
      </c>
      <c r="I541" t="s">
        <v>3667</v>
      </c>
      <c r="J541" s="2" t="str">
        <f t="shared" si="24"/>
        <v>[564]=1443,</v>
      </c>
      <c r="K541" s="3">
        <f t="shared" si="25"/>
        <v>564</v>
      </c>
      <c r="L541" s="3">
        <f t="shared" si="26"/>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3668</v>
      </c>
      <c r="J542" s="2" t="str">
        <f t="shared" si="24"/>
        <v>[565]=684,</v>
      </c>
      <c r="K542" s="3">
        <f t="shared" si="25"/>
        <v>565</v>
      </c>
      <c r="L542" s="3">
        <f t="shared" si="26"/>
        <v>684</v>
      </c>
      <c r="M542" s="9" t="str">
        <f>VLOOKUP(A542,WayshrineNames!$A$3:$B$967,2,)</f>
        <v>Dungeon: Bedlam Veil</v>
      </c>
      <c r="N542" s="3" t="str">
        <f>VLOOKUP(F542,'ESO zones'!$A$5:$D$10003,4,FALSE)</f>
        <v>Wrothgar</v>
      </c>
    </row>
    <row r="543" spans="1:14" x14ac:dyDescent="0.25">
      <c r="A543" s="58">
        <v>566</v>
      </c>
      <c r="B543">
        <v>48</v>
      </c>
      <c r="C543">
        <v>2212</v>
      </c>
      <c r="D543" t="s">
        <v>3626</v>
      </c>
      <c r="E543">
        <v>929</v>
      </c>
      <c r="F543">
        <v>1383</v>
      </c>
      <c r="G543" t="s">
        <v>1813</v>
      </c>
      <c r="H543">
        <v>7</v>
      </c>
      <c r="I543" t="s">
        <v>3669</v>
      </c>
      <c r="J543" s="2" t="str">
        <f t="shared" si="24"/>
        <v>[566]=1383,</v>
      </c>
      <c r="K543" s="3">
        <f t="shared" si="25"/>
        <v>566</v>
      </c>
      <c r="L543" s="3">
        <f t="shared" si="26"/>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3670</v>
      </c>
      <c r="J544" s="2" t="str">
        <f t="shared" si="24"/>
        <v>[567]=1413,</v>
      </c>
      <c r="K544" s="3">
        <f t="shared" si="25"/>
        <v>567</v>
      </c>
      <c r="L544" s="3">
        <f t="shared" si="26"/>
        <v>1413</v>
      </c>
      <c r="M544" s="9" t="str">
        <f>VLOOKUP(A544,WayshrineNames!$A$3:$B$967,2,)</f>
        <v>Tower of Unutterable Truths</v>
      </c>
      <c r="N544" s="3" t="str">
        <f>VLOOKUP(F544,'ESO zones'!$A$5:$D$10003,4,FALSE)</f>
        <v>Apocrypha</v>
      </c>
    </row>
    <row r="545" spans="1:14" x14ac:dyDescent="0.25">
      <c r="A545">
        <v>568</v>
      </c>
      <c r="B545">
        <v>51</v>
      </c>
      <c r="C545" s="32">
        <v>2427</v>
      </c>
      <c r="D545" t="s">
        <v>3660</v>
      </c>
      <c r="E545">
        <v>982</v>
      </c>
      <c r="F545">
        <v>1443</v>
      </c>
      <c r="G545" t="s">
        <v>3660</v>
      </c>
      <c r="H545">
        <v>3</v>
      </c>
      <c r="I545" t="s">
        <v>3671</v>
      </c>
      <c r="J545" s="2" t="str">
        <f t="shared" si="24"/>
        <v>[568]=1443,</v>
      </c>
      <c r="K545" s="3">
        <f t="shared" si="25"/>
        <v>568</v>
      </c>
      <c r="L545" s="3">
        <f t="shared" si="26"/>
        <v>1443</v>
      </c>
      <c r="M545" s="9" t="str">
        <f>VLOOKUP(A545,WayshrineNames!$A$3:$B$967,2,)</f>
        <v>Trial: Lucent Citadel</v>
      </c>
      <c r="N545" s="3" t="str">
        <f>VLOOKUP(F545,'ESO zones'!$A$5:$D$10003,4,FALSE)</f>
        <v>West Weald</v>
      </c>
    </row>
    <row r="546" spans="1:14" x14ac:dyDescent="0.25">
      <c r="A546">
        <v>573</v>
      </c>
      <c r="B546">
        <v>51</v>
      </c>
      <c r="C546" s="32">
        <v>2427</v>
      </c>
      <c r="D546" t="s">
        <v>3660</v>
      </c>
      <c r="E546">
        <v>982</v>
      </c>
      <c r="F546">
        <v>1443</v>
      </c>
      <c r="G546" t="s">
        <v>3660</v>
      </c>
      <c r="H546">
        <v>7</v>
      </c>
      <c r="I546" t="s">
        <v>3672</v>
      </c>
      <c r="J546" s="2" t="str">
        <f t="shared" si="24"/>
        <v>[573]=1443,</v>
      </c>
      <c r="K546" s="3">
        <f t="shared" si="25"/>
        <v>573</v>
      </c>
      <c r="L546" s="3">
        <f t="shared" si="26"/>
        <v>1443</v>
      </c>
      <c r="M546" s="9" t="str">
        <f>VLOOKUP(A546,WayshrineNames!$A$3:$B$967,2,)</f>
        <v>Merryvine Estate</v>
      </c>
      <c r="N546" s="3" t="str">
        <f>VLOOKUP(F546,'ESO zones'!$A$5:$D$10003,4,FALSE)</f>
        <v>West Weald</v>
      </c>
    </row>
    <row r="547" spans="1:14" x14ac:dyDescent="0.25">
      <c r="A547">
        <v>574</v>
      </c>
      <c r="B547">
        <v>51</v>
      </c>
      <c r="C547" s="32">
        <v>2427</v>
      </c>
      <c r="D547" t="s">
        <v>3660</v>
      </c>
      <c r="E547">
        <v>982</v>
      </c>
      <c r="F547">
        <v>1443</v>
      </c>
      <c r="G547" t="s">
        <v>3660</v>
      </c>
      <c r="H547">
        <v>7</v>
      </c>
      <c r="I547" t="s">
        <v>3673</v>
      </c>
      <c r="J547" s="2" t="str">
        <f t="shared" si="24"/>
        <v>[574]=1443,</v>
      </c>
      <c r="K547" s="3">
        <f t="shared" si="25"/>
        <v>574</v>
      </c>
      <c r="L547" s="3">
        <f t="shared" si="26"/>
        <v>1443</v>
      </c>
      <c r="M547" s="9" t="str">
        <f>VLOOKUP(A547,WayshrineNames!$A$3:$B$967,2,)</f>
        <v>Rosewine Retreat</v>
      </c>
      <c r="N547" s="3" t="str">
        <f>VLOOKUP(F547,'ESO zones'!$A$5:$D$10003,4,FALSE)</f>
        <v>West Weald</v>
      </c>
    </row>
    <row r="548" spans="1:14" x14ac:dyDescent="0.25">
      <c r="A548">
        <v>575</v>
      </c>
      <c r="B548">
        <v>51</v>
      </c>
      <c r="C548" s="32">
        <v>2427</v>
      </c>
      <c r="D548" t="s">
        <v>3660</v>
      </c>
      <c r="E548">
        <v>982</v>
      </c>
      <c r="F548">
        <v>1443</v>
      </c>
      <c r="G548" t="s">
        <v>3660</v>
      </c>
      <c r="H548">
        <v>1</v>
      </c>
      <c r="I548" t="s">
        <v>3674</v>
      </c>
      <c r="J548" s="2" t="str">
        <f t="shared" si="24"/>
        <v>[575]=1443,</v>
      </c>
      <c r="K548" s="3">
        <f t="shared" si="25"/>
        <v>575</v>
      </c>
      <c r="L548" s="3">
        <f t="shared" si="26"/>
        <v>1443</v>
      </c>
      <c r="M548" s="9" t="str">
        <f>VLOOKUP(A548,WayshrineNames!$A$3:$B$967,2,)</f>
        <v>Fall's Path Wayshrine</v>
      </c>
      <c r="N548" s="3" t="str">
        <f>VLOOKUP(F548,'ESO zones'!$A$5:$D$10003,4,FALSE)</f>
        <v>West Weald</v>
      </c>
    </row>
    <row r="549" spans="1:14" x14ac:dyDescent="0.25">
      <c r="A549">
        <v>577</v>
      </c>
      <c r="B549">
        <v>51</v>
      </c>
      <c r="C549" s="32">
        <v>2427</v>
      </c>
      <c r="D549" t="s">
        <v>3660</v>
      </c>
      <c r="E549">
        <v>982</v>
      </c>
      <c r="F549">
        <v>1443</v>
      </c>
      <c r="G549" t="s">
        <v>3660</v>
      </c>
      <c r="H549">
        <v>1</v>
      </c>
      <c r="I549" t="s">
        <v>3675</v>
      </c>
      <c r="J549" s="2" t="str">
        <f t="shared" si="24"/>
        <v>[577]=1443,</v>
      </c>
      <c r="K549" s="3">
        <f t="shared" si="25"/>
        <v>577</v>
      </c>
      <c r="L549" s="3">
        <f t="shared" si="26"/>
        <v>1443</v>
      </c>
      <c r="M549" s="9" t="str">
        <f>VLOOKUP(A549,WayshrineNames!$A$3:$B$967,2,)</f>
        <v>Wildburn's Edge Wayshrine</v>
      </c>
      <c r="N549" s="3" t="str">
        <f>VLOOKUP(F549,'ESO zones'!$A$5:$D$10003,4,FALSE)</f>
        <v>West Weald</v>
      </c>
    </row>
    <row r="550" spans="1:14" x14ac:dyDescent="0.25">
      <c r="A550">
        <v>578</v>
      </c>
      <c r="B550">
        <v>51</v>
      </c>
      <c r="C550" s="32">
        <v>2427</v>
      </c>
      <c r="D550" t="s">
        <v>3660</v>
      </c>
      <c r="E550">
        <v>982</v>
      </c>
      <c r="F550">
        <v>1443</v>
      </c>
      <c r="G550" t="s">
        <v>3660</v>
      </c>
      <c r="H550">
        <v>1</v>
      </c>
      <c r="I550" t="s">
        <v>3676</v>
      </c>
      <c r="J550" s="2" t="str">
        <f t="shared" si="24"/>
        <v>[578]=1443,</v>
      </c>
      <c r="K550" s="3">
        <f t="shared" si="25"/>
        <v>578</v>
      </c>
      <c r="L550" s="3">
        <f t="shared" si="26"/>
        <v>1443</v>
      </c>
      <c r="M550" s="9" t="str">
        <f>VLOOKUP(A550,WayshrineNames!$A$3:$B$967,2,)</f>
        <v>Ostumir Wayshrine</v>
      </c>
      <c r="N550" s="3" t="str">
        <f>VLOOKUP(F550,'ESO zones'!$A$5:$D$10003,4,FALSE)</f>
        <v>West Weald</v>
      </c>
    </row>
    <row r="551" spans="1:14" x14ac:dyDescent="0.25">
      <c r="A551">
        <v>579</v>
      </c>
      <c r="B551">
        <v>51</v>
      </c>
      <c r="C551" s="32">
        <v>2427</v>
      </c>
      <c r="D551" t="s">
        <v>3660</v>
      </c>
      <c r="E551">
        <v>982</v>
      </c>
      <c r="F551">
        <v>1443</v>
      </c>
      <c r="G551" t="s">
        <v>3660</v>
      </c>
      <c r="H551">
        <v>1</v>
      </c>
      <c r="I551" t="s">
        <v>3677</v>
      </c>
      <c r="J551" s="2" t="str">
        <f t="shared" si="24"/>
        <v>[579]=1443,</v>
      </c>
      <c r="K551" s="3">
        <f t="shared" si="25"/>
        <v>579</v>
      </c>
      <c r="L551" s="3">
        <f t="shared" si="26"/>
        <v>1443</v>
      </c>
      <c r="M551" s="9" t="str">
        <f>VLOOKUP(A551,WayshrineNames!$A$3:$B$967,2,)</f>
        <v>Centurion's Watch Wayshrine</v>
      </c>
      <c r="N551" s="3" t="str">
        <f>VLOOKUP(F551,'ESO zones'!$A$5:$D$10003,4,FALSE)</f>
        <v>West Weald</v>
      </c>
    </row>
    <row r="552" spans="1:14" x14ac:dyDescent="0.25">
      <c r="A552">
        <v>580</v>
      </c>
      <c r="B552">
        <v>51</v>
      </c>
      <c r="C552" s="32">
        <v>2427</v>
      </c>
      <c r="D552" t="s">
        <v>3660</v>
      </c>
      <c r="E552">
        <v>982</v>
      </c>
      <c r="F552">
        <v>1443</v>
      </c>
      <c r="G552" t="s">
        <v>3660</v>
      </c>
      <c r="H552">
        <v>1</v>
      </c>
      <c r="I552" t="s">
        <v>3678</v>
      </c>
      <c r="J552" s="2" t="str">
        <f t="shared" si="24"/>
        <v>[580]=1443,</v>
      </c>
      <c r="K552" s="3">
        <f t="shared" si="25"/>
        <v>580</v>
      </c>
      <c r="L552" s="3">
        <f t="shared" si="26"/>
        <v>1443</v>
      </c>
      <c r="M552" s="9" t="str">
        <f>VLOOKUP(A552,WayshrineNames!$A$3:$B$967,2,)</f>
        <v>Valente Vineyards Wayshrine</v>
      </c>
      <c r="N552" s="3" t="str">
        <f>VLOOKUP(F552,'ESO zones'!$A$5:$D$10003,4,FALSE)</f>
        <v>West Weald</v>
      </c>
    </row>
    <row r="553" spans="1:14" x14ac:dyDescent="0.25">
      <c r="A553">
        <v>581</v>
      </c>
      <c r="B553">
        <v>51</v>
      </c>
      <c r="C553" s="32">
        <v>2427</v>
      </c>
      <c r="D553" t="s">
        <v>3660</v>
      </c>
      <c r="E553">
        <v>982</v>
      </c>
      <c r="F553">
        <v>1443</v>
      </c>
      <c r="G553" t="s">
        <v>3660</v>
      </c>
      <c r="H553">
        <v>6</v>
      </c>
      <c r="I553" t="s">
        <v>3679</v>
      </c>
      <c r="J553" s="2" t="str">
        <f t="shared" si="24"/>
        <v>[581]=1443,</v>
      </c>
      <c r="K553" s="3">
        <f t="shared" si="25"/>
        <v>581</v>
      </c>
      <c r="L553" s="3">
        <f t="shared" si="26"/>
        <v>1443</v>
      </c>
      <c r="M553" s="9" t="str">
        <f>VLOOKUP(A553,WayshrineNames!$A$3:$B$967,2,)</f>
        <v>Dungeon: Exiled Redoubt</v>
      </c>
      <c r="N553" s="3" t="str">
        <f>VLOOKUP(F553,'ESO zones'!$A$5:$D$10003,4,FALSE)</f>
        <v>West Weald</v>
      </c>
    </row>
    <row r="554" spans="1:14" x14ac:dyDescent="0.25">
      <c r="A554">
        <v>582</v>
      </c>
      <c r="B554">
        <v>28</v>
      </c>
      <c r="C554">
        <v>994</v>
      </c>
      <c r="D554" t="s">
        <v>3364</v>
      </c>
      <c r="E554">
        <v>443</v>
      </c>
      <c r="F554">
        <v>816</v>
      </c>
      <c r="G554" t="s">
        <v>3364</v>
      </c>
      <c r="H554">
        <v>6</v>
      </c>
      <c r="I554" t="s">
        <v>3680</v>
      </c>
      <c r="J554" s="2" t="str">
        <f t="shared" si="24"/>
        <v>[582]=816,</v>
      </c>
      <c r="K554" s="3">
        <f t="shared" si="25"/>
        <v>582</v>
      </c>
      <c r="L554" s="3">
        <f t="shared" si="26"/>
        <v>816</v>
      </c>
      <c r="M554" s="9" t="str">
        <f>VLOOKUP(A554,WayshrineNames!$A$3:$B$967,2,)</f>
        <v>Dungeon: Lep Seclusa</v>
      </c>
      <c r="N554" s="3" t="str">
        <f>VLOOKUP(F554,'ESO zones'!$A$5:$D$10003,4,FALSE)</f>
        <v>Hew's Bane</v>
      </c>
    </row>
    <row r="555" spans="1:14" x14ac:dyDescent="0.25">
      <c r="A555">
        <v>583</v>
      </c>
      <c r="B555">
        <v>51</v>
      </c>
      <c r="C555" s="32">
        <v>2427</v>
      </c>
      <c r="D555" t="s">
        <v>3660</v>
      </c>
      <c r="E555">
        <v>982</v>
      </c>
      <c r="F555">
        <v>1443</v>
      </c>
      <c r="G555" t="s">
        <v>3660</v>
      </c>
      <c r="H555">
        <v>1</v>
      </c>
      <c r="I555" t="s">
        <v>3681</v>
      </c>
      <c r="J555" s="2" t="str">
        <f t="shared" si="24"/>
        <v>[583]=1443,</v>
      </c>
      <c r="K555" s="3">
        <f t="shared" si="25"/>
        <v>583</v>
      </c>
      <c r="L555" s="3">
        <f t="shared" si="26"/>
        <v>1443</v>
      </c>
      <c r="M555" s="9" t="str">
        <f>VLOOKUP(A555,WayshrineNames!$A$3:$B$967,2,)</f>
        <v>Feldagard Keep Wayshrine</v>
      </c>
      <c r="N555" s="3" t="str">
        <f>VLOOKUP(F555,'ESO zones'!$A$5:$D$10003,4,FALSE)</f>
        <v>West Weald</v>
      </c>
    </row>
    <row r="556" spans="1:14" x14ac:dyDescent="0.25">
      <c r="A556">
        <v>584</v>
      </c>
      <c r="B556">
        <v>51</v>
      </c>
      <c r="C556" s="32">
        <v>2427</v>
      </c>
      <c r="D556" t="s">
        <v>3660</v>
      </c>
      <c r="E556">
        <v>982</v>
      </c>
      <c r="F556">
        <v>1443</v>
      </c>
      <c r="G556" t="s">
        <v>3660</v>
      </c>
      <c r="H556">
        <v>1</v>
      </c>
      <c r="I556" t="s">
        <v>3682</v>
      </c>
      <c r="J556" s="2" t="str">
        <f t="shared" si="24"/>
        <v>[584]=1443,</v>
      </c>
      <c r="K556" s="3">
        <f t="shared" si="25"/>
        <v>584</v>
      </c>
      <c r="L556" s="3">
        <f t="shared" si="26"/>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3042</v>
      </c>
      <c r="J557" s="2" t="str">
        <f t="shared" si="24"/>
        <v>[585]=381,</v>
      </c>
      <c r="K557" s="3">
        <f t="shared" si="25"/>
        <v>585</v>
      </c>
      <c r="L557" s="3">
        <f t="shared" si="26"/>
        <v>381</v>
      </c>
      <c r="M557" s="9" t="str">
        <f>VLOOKUP(A557,WayshrineNames!$A$3:$B$967,2,)</f>
        <v>Seabloom Villa</v>
      </c>
      <c r="N557" s="3" t="str">
        <f>VLOOKUP(F557,'ESO zones'!$A$5:$D$10003,4,FALSE)</f>
        <v>Auridon</v>
      </c>
    </row>
    <row r="558" spans="1:14" x14ac:dyDescent="0.25">
      <c r="A558">
        <v>586</v>
      </c>
      <c r="B558">
        <v>51</v>
      </c>
      <c r="C558" s="32">
        <v>2427</v>
      </c>
      <c r="D558" t="s">
        <v>3660</v>
      </c>
      <c r="E558">
        <v>982</v>
      </c>
      <c r="F558">
        <v>1443</v>
      </c>
      <c r="G558" t="s">
        <v>3660</v>
      </c>
      <c r="H558">
        <v>7</v>
      </c>
      <c r="I558" t="s">
        <v>3043</v>
      </c>
      <c r="J558" s="2" t="str">
        <f t="shared" si="24"/>
        <v>[586]=1443,</v>
      </c>
      <c r="K558" s="3">
        <f t="shared" si="25"/>
        <v>586</v>
      </c>
      <c r="L558" s="3">
        <f t="shared" si="26"/>
        <v>1443</v>
      </c>
      <c r="M558" s="9" t="str">
        <f>VLOOKUP(A558,WayshrineNames!$A$3:$B$967,2,)</f>
        <v>Haven of the Five Companions</v>
      </c>
      <c r="N558" s="3" t="str">
        <f>VLOOKUP(F558,'ESO zones'!$A$5:$D$10003,4,FALSE)</f>
        <v>West Weald</v>
      </c>
    </row>
    <row r="559" spans="1:14" x14ac:dyDescent="0.25">
      <c r="A559">
        <v>587</v>
      </c>
      <c r="B559">
        <v>40</v>
      </c>
      <c r="C559">
        <v>1782</v>
      </c>
      <c r="D559" t="s">
        <v>3515</v>
      </c>
      <c r="E559">
        <v>4294967296</v>
      </c>
      <c r="F559">
        <v>0</v>
      </c>
      <c r="G559" t="s">
        <v>3515</v>
      </c>
      <c r="H559">
        <v>7</v>
      </c>
      <c r="I559" t="s">
        <v>3045</v>
      </c>
      <c r="J559" s="2" t="str">
        <f t="shared" si="24"/>
        <v>[587]=0,</v>
      </c>
      <c r="K559" s="3">
        <f t="shared" si="25"/>
        <v>587</v>
      </c>
      <c r="L559" s="3">
        <f t="shared" si="26"/>
        <v>0</v>
      </c>
      <c r="M559" s="9" t="str">
        <f>VLOOKUP(A559,WayshrineNames!$A$3:$B$967,2,)</f>
        <v>Kthendral Deep Mines</v>
      </c>
      <c r="N559" s="3" t="str">
        <f>VLOOKUP(F559,'ESO zones'!$A$5:$D$10003,4,FALSE)</f>
        <v>Tamriel Map</v>
      </c>
    </row>
    <row r="560" spans="1:14" x14ac:dyDescent="0.25">
      <c r="A560">
        <v>588</v>
      </c>
      <c r="B560">
        <v>12</v>
      </c>
      <c r="C560">
        <v>125</v>
      </c>
      <c r="D560" t="s">
        <v>3221</v>
      </c>
      <c r="E560">
        <v>16</v>
      </c>
      <c r="F560">
        <v>103</v>
      </c>
      <c r="G560" t="s">
        <v>3221</v>
      </c>
      <c r="H560">
        <v>7</v>
      </c>
      <c r="I560" t="s">
        <v>3046</v>
      </c>
      <c r="J560" s="2" t="str">
        <f t="shared" si="24"/>
        <v>[588]=103,</v>
      </c>
      <c r="K560" s="3">
        <f t="shared" si="25"/>
        <v>588</v>
      </c>
      <c r="L560" s="3">
        <f t="shared" si="26"/>
        <v>103</v>
      </c>
      <c r="M560" s="9" t="str">
        <f>VLOOKUP(A560,WayshrineNames!$A$3:$B$967,2,)</f>
        <v>Grand Gallery of Tamriel</v>
      </c>
      <c r="N560" s="3" t="str">
        <f>VLOOKUP(F560,'ESO zones'!$A$5:$D$10003,4,FALSE)</f>
        <v>The Rift</v>
      </c>
    </row>
    <row r="561" spans="1:14" s="39" customFormat="1" x14ac:dyDescent="0.25">
      <c r="A561">
        <v>589</v>
      </c>
      <c r="B561">
        <v>53</v>
      </c>
      <c r="C561">
        <v>2603</v>
      </c>
      <c r="D561" t="s">
        <v>3683</v>
      </c>
      <c r="E561">
        <v>1034</v>
      </c>
      <c r="F561">
        <v>1502</v>
      </c>
      <c r="G561" t="s">
        <v>3683</v>
      </c>
      <c r="H561">
        <v>3</v>
      </c>
      <c r="I561" t="s">
        <v>3684</v>
      </c>
      <c r="J561" s="2" t="str">
        <f t="shared" si="24"/>
        <v>[589]=1502,</v>
      </c>
      <c r="K561" s="3">
        <f t="shared" si="25"/>
        <v>589</v>
      </c>
      <c r="L561" s="3">
        <f t="shared" si="26"/>
        <v>1502</v>
      </c>
      <c r="M561" s="9" t="str">
        <f>VLOOKUP(A561,WayshrineNames!$A$3:$B$967,2,)</f>
        <v>Trial: Ossein Cage</v>
      </c>
      <c r="N561" s="3" t="str">
        <f>VLOOKUP(F561,'ESO zones'!$A$5:$D$10003,4,FALSE)</f>
        <v>Solstice</v>
      </c>
    </row>
    <row r="562" spans="1:14" x14ac:dyDescent="0.25">
      <c r="A562">
        <v>590</v>
      </c>
      <c r="F562">
        <v>1282</v>
      </c>
      <c r="G562" t="s">
        <v>1674</v>
      </c>
      <c r="H562">
        <v>7</v>
      </c>
      <c r="J562" s="2" t="str">
        <f t="shared" si="24"/>
        <v>[590]=1282,</v>
      </c>
      <c r="K562" s="3">
        <f t="shared" si="25"/>
        <v>590</v>
      </c>
      <c r="L562" s="3">
        <f t="shared" si="26"/>
        <v>1282</v>
      </c>
      <c r="M562" s="9" t="str">
        <f>VLOOKUP(A562,WayshrineNames!$A$3:$B$967,2,)</f>
        <v>Shattered Mirror Isle</v>
      </c>
      <c r="N562" s="3" t="str">
        <f>VLOOKUP(F562,'ESO zones'!$A$5:$D$10003,4,FALSE)</f>
        <v>Fargrave</v>
      </c>
    </row>
    <row r="563" spans="1:14" x14ac:dyDescent="0.25">
      <c r="A563">
        <v>591</v>
      </c>
      <c r="F563">
        <v>1443</v>
      </c>
      <c r="G563" t="s">
        <v>3660</v>
      </c>
      <c r="H563">
        <v>7</v>
      </c>
      <c r="J563" s="2" t="str">
        <f t="shared" si="24"/>
        <v>[591]=1443,</v>
      </c>
      <c r="K563" s="3">
        <f t="shared" si="25"/>
        <v>591</v>
      </c>
      <c r="L563" s="3">
        <f t="shared" si="26"/>
        <v>1443</v>
      </c>
      <c r="M563" s="9" t="str">
        <f>VLOOKUP(A563,WayshrineNames!$A$3:$B$967,2,)</f>
        <v>Castle Skingrad</v>
      </c>
      <c r="N563" s="3" t="str">
        <f>VLOOKUP(F563,'ESO zones'!$A$5:$D$10003,4,FALSE)</f>
        <v>West Weald</v>
      </c>
    </row>
    <row r="564" spans="1:14" x14ac:dyDescent="0.25">
      <c r="A564">
        <v>592</v>
      </c>
      <c r="B564">
        <v>53</v>
      </c>
      <c r="C564">
        <v>2603</v>
      </c>
      <c r="D564" t="s">
        <v>3683</v>
      </c>
      <c r="E564">
        <v>1034</v>
      </c>
      <c r="F564">
        <v>1502</v>
      </c>
      <c r="G564" t="s">
        <v>3683</v>
      </c>
      <c r="H564">
        <v>1</v>
      </c>
      <c r="I564" t="s">
        <v>3685</v>
      </c>
      <c r="J564" s="2" t="str">
        <f t="shared" si="24"/>
        <v>[592]=1502,</v>
      </c>
      <c r="K564" s="3">
        <f t="shared" si="25"/>
        <v>592</v>
      </c>
      <c r="L564" s="3">
        <f t="shared" si="26"/>
        <v>1502</v>
      </c>
      <c r="M564" s="9" t="str">
        <f>VLOOKUP(A564,WayshrineNames!$A$3:$B$967,2,)</f>
        <v>Sunport Docks Wayshrine</v>
      </c>
      <c r="N564" s="3" t="str">
        <f>VLOOKUP(F564,'ESO zones'!$A$5:$D$10003,4,FALSE)</f>
        <v>Solstice</v>
      </c>
    </row>
    <row r="565" spans="1:14" x14ac:dyDescent="0.25">
      <c r="A565">
        <v>593</v>
      </c>
      <c r="B565">
        <v>53</v>
      </c>
      <c r="C565">
        <v>2603</v>
      </c>
      <c r="D565" t="s">
        <v>3683</v>
      </c>
      <c r="E565">
        <v>1034</v>
      </c>
      <c r="F565">
        <v>1502</v>
      </c>
      <c r="G565" t="s">
        <v>3683</v>
      </c>
      <c r="H565">
        <v>1</v>
      </c>
      <c r="I565" t="s">
        <v>3617</v>
      </c>
      <c r="J565" s="2" t="str">
        <f t="shared" si="24"/>
        <v>[593]=1502,</v>
      </c>
      <c r="K565" s="3">
        <f t="shared" si="25"/>
        <v>593</v>
      </c>
      <c r="L565" s="3">
        <f t="shared" si="26"/>
        <v>1502</v>
      </c>
      <c r="M565" s="9" t="str">
        <f>VLOOKUP(A565,WayshrineNames!$A$3:$B$967,2,)</f>
        <v>Western Bay Wayshrine</v>
      </c>
      <c r="N565" s="3" t="str">
        <f>VLOOKUP(F565,'ESO zones'!$A$5:$D$10003,4,FALSE)</f>
        <v>Solstice</v>
      </c>
    </row>
    <row r="566" spans="1:14" x14ac:dyDescent="0.25">
      <c r="A566">
        <v>594</v>
      </c>
      <c r="B566">
        <v>53</v>
      </c>
      <c r="C566">
        <v>2603</v>
      </c>
      <c r="D566" t="s">
        <v>3683</v>
      </c>
      <c r="E566">
        <v>1034</v>
      </c>
      <c r="F566">
        <v>1502</v>
      </c>
      <c r="G566" t="s">
        <v>3683</v>
      </c>
      <c r="H566">
        <v>1</v>
      </c>
      <c r="I566" t="s">
        <v>3686</v>
      </c>
      <c r="J566" s="2" t="str">
        <f t="shared" si="24"/>
        <v>[594]=1502,</v>
      </c>
      <c r="K566" s="3">
        <f t="shared" si="25"/>
        <v>594</v>
      </c>
      <c r="L566" s="3">
        <f t="shared" si="26"/>
        <v>1502</v>
      </c>
      <c r="M566" s="9" t="str">
        <f>VLOOKUP(A566,WayshrineNames!$A$3:$B$967,2,)</f>
        <v>Shor's Stand Wayshrine</v>
      </c>
      <c r="N566" s="3" t="str">
        <f>VLOOKUP(F566,'ESO zones'!$A$5:$D$10003,4,FALSE)</f>
        <v>Solstice</v>
      </c>
    </row>
    <row r="567" spans="1:14" x14ac:dyDescent="0.25">
      <c r="A567">
        <v>595</v>
      </c>
      <c r="B567">
        <v>53</v>
      </c>
      <c r="C567">
        <v>2603</v>
      </c>
      <c r="D567" t="s">
        <v>3683</v>
      </c>
      <c r="E567">
        <v>1034</v>
      </c>
      <c r="F567">
        <v>1502</v>
      </c>
      <c r="G567" t="s">
        <v>3683</v>
      </c>
      <c r="H567">
        <v>1</v>
      </c>
      <c r="I567" t="s">
        <v>3687</v>
      </c>
      <c r="J567" s="2" t="str">
        <f t="shared" si="24"/>
        <v>[595]=1502,</v>
      </c>
      <c r="K567" s="3">
        <f t="shared" si="25"/>
        <v>595</v>
      </c>
      <c r="L567" s="3">
        <f t="shared" si="26"/>
        <v>1502</v>
      </c>
      <c r="M567" s="9" t="str">
        <f>VLOOKUP(A567,WayshrineNames!$A$3:$B$967,2,)</f>
        <v>Vale of Revelry Wayshrine</v>
      </c>
      <c r="N567" s="3" t="str">
        <f>VLOOKUP(F567,'ESO zones'!$A$5:$D$10003,4,FALSE)</f>
        <v>Solstice</v>
      </c>
    </row>
    <row r="568" spans="1:14" x14ac:dyDescent="0.25">
      <c r="A568">
        <v>596</v>
      </c>
      <c r="B568">
        <v>53</v>
      </c>
      <c r="C568">
        <v>2603</v>
      </c>
      <c r="D568" t="s">
        <v>3683</v>
      </c>
      <c r="E568">
        <v>1034</v>
      </c>
      <c r="F568">
        <v>1502</v>
      </c>
      <c r="G568" t="s">
        <v>3683</v>
      </c>
      <c r="H568">
        <v>1</v>
      </c>
      <c r="I568" t="s">
        <v>3688</v>
      </c>
      <c r="J568" s="2" t="str">
        <f t="shared" si="24"/>
        <v>[596]=1502,</v>
      </c>
      <c r="K568" s="3">
        <f t="shared" si="25"/>
        <v>596</v>
      </c>
      <c r="L568" s="3">
        <f t="shared" si="26"/>
        <v>1502</v>
      </c>
      <c r="M568" s="9" t="str">
        <f>VLOOKUP(A568,WayshrineNames!$A$3:$B$967,2,)</f>
        <v>Corelanya Manor Wayshrine</v>
      </c>
      <c r="N568" s="3" t="str">
        <f>VLOOKUP(F568,'ESO zones'!$A$5:$D$10003,4,FALSE)</f>
        <v>Solstice</v>
      </c>
    </row>
    <row r="569" spans="1:14" x14ac:dyDescent="0.25">
      <c r="A569">
        <v>597</v>
      </c>
      <c r="B569">
        <v>53</v>
      </c>
      <c r="C569">
        <v>2603</v>
      </c>
      <c r="D569" t="s">
        <v>3683</v>
      </c>
      <c r="E569">
        <v>1034</v>
      </c>
      <c r="F569">
        <v>1502</v>
      </c>
      <c r="G569" t="s">
        <v>3683</v>
      </c>
      <c r="H569">
        <v>1</v>
      </c>
      <c r="I569" t="s">
        <v>3689</v>
      </c>
      <c r="J569" s="2" t="str">
        <f t="shared" si="24"/>
        <v>[597]=1502,</v>
      </c>
      <c r="K569" s="3">
        <f t="shared" si="25"/>
        <v>597</v>
      </c>
      <c r="L569" s="3">
        <f t="shared" si="26"/>
        <v>1502</v>
      </c>
      <c r="M569" s="9" t="str">
        <f>VLOOKUP(A569,WayshrineNames!$A$3:$B$967,2,)</f>
        <v>Shell-Tide Village Wayshrine</v>
      </c>
      <c r="N569" s="3" t="str">
        <f>VLOOKUP(F569,'ESO zones'!$A$5:$D$10003,4,FALSE)</f>
        <v>Solstice</v>
      </c>
    </row>
    <row r="570" spans="1:14" x14ac:dyDescent="0.25">
      <c r="A570">
        <v>598</v>
      </c>
      <c r="B570">
        <v>53</v>
      </c>
      <c r="C570">
        <v>2603</v>
      </c>
      <c r="D570" t="s">
        <v>3683</v>
      </c>
      <c r="E570">
        <v>1034</v>
      </c>
      <c r="F570">
        <v>1502</v>
      </c>
      <c r="G570" t="s">
        <v>3683</v>
      </c>
      <c r="H570">
        <v>1</v>
      </c>
      <c r="I570" t="s">
        <v>3690</v>
      </c>
      <c r="J570" s="2" t="str">
        <f t="shared" si="24"/>
        <v>[598]=1502,</v>
      </c>
      <c r="K570" s="3">
        <f t="shared" si="25"/>
        <v>598</v>
      </c>
      <c r="L570" s="3">
        <f t="shared" si="26"/>
        <v>1502</v>
      </c>
      <c r="M570" s="9" t="str">
        <f>VLOOKUP(A570,WayshrineNames!$A$3:$B$967,2,)</f>
        <v>Sunport Wayshrine</v>
      </c>
      <c r="N570" s="3" t="str">
        <f>VLOOKUP(F570,'ESO zones'!$A$5:$D$10003,4,FALSE)</f>
        <v>Solstice</v>
      </c>
    </row>
    <row r="571" spans="1:14" x14ac:dyDescent="0.25">
      <c r="A571">
        <v>599</v>
      </c>
      <c r="B571">
        <v>53</v>
      </c>
      <c r="C571">
        <v>2603</v>
      </c>
      <c r="D571" t="s">
        <v>3683</v>
      </c>
      <c r="E571">
        <v>1034</v>
      </c>
      <c r="F571">
        <v>1502</v>
      </c>
      <c r="G571" t="s">
        <v>3683</v>
      </c>
      <c r="H571">
        <v>7</v>
      </c>
      <c r="I571" t="s">
        <v>3691</v>
      </c>
      <c r="J571" s="2" t="str">
        <f t="shared" si="24"/>
        <v>[599]=1502,</v>
      </c>
      <c r="K571" s="3">
        <f t="shared" si="25"/>
        <v>599</v>
      </c>
      <c r="L571" s="3">
        <f t="shared" si="26"/>
        <v>1502</v>
      </c>
      <c r="M571" s="9" t="str">
        <f>VLOOKUP(A571,WayshrineNames!$A$3:$B$967,2,)</f>
        <v>The Sleepy Sloth</v>
      </c>
      <c r="N571" s="3" t="str">
        <f>VLOOKUP(F571,'ESO zones'!$A$5:$D$10003,4,FALSE)</f>
        <v>Solstice</v>
      </c>
    </row>
    <row r="572" spans="1:14" x14ac:dyDescent="0.25">
      <c r="A572">
        <v>601</v>
      </c>
      <c r="B572">
        <v>53</v>
      </c>
      <c r="C572">
        <v>2603</v>
      </c>
      <c r="D572" t="s">
        <v>3683</v>
      </c>
      <c r="E572">
        <v>1034</v>
      </c>
      <c r="F572">
        <v>1502</v>
      </c>
      <c r="G572" t="s">
        <v>3683</v>
      </c>
      <c r="H572">
        <v>7</v>
      </c>
      <c r="I572" t="s">
        <v>3692</v>
      </c>
      <c r="J572" s="2" t="str">
        <f t="shared" si="24"/>
        <v>[601]=1502,</v>
      </c>
      <c r="K572" s="3">
        <f t="shared" si="25"/>
        <v>601</v>
      </c>
      <c r="L572" s="3">
        <f t="shared" si="26"/>
        <v>1502</v>
      </c>
      <c r="M572" s="9" t="str">
        <f>VLOOKUP(A572,WayshrineNames!$A$3:$B$967,2,)</f>
        <v>Bismuth Steam Baths</v>
      </c>
      <c r="N572" s="3" t="str">
        <f>VLOOKUP(F572,'ESO zones'!$A$5:$D$10003,4,FALSE)</f>
        <v>Solstice</v>
      </c>
    </row>
    <row r="573" spans="1:14" x14ac:dyDescent="0.25">
      <c r="A573">
        <v>605</v>
      </c>
      <c r="B573">
        <v>53</v>
      </c>
      <c r="C573">
        <v>2603</v>
      </c>
      <c r="D573" t="s">
        <v>3683</v>
      </c>
      <c r="E573">
        <v>1034</v>
      </c>
      <c r="F573">
        <v>1502</v>
      </c>
      <c r="G573" t="s">
        <v>3683</v>
      </c>
      <c r="H573">
        <v>6</v>
      </c>
      <c r="I573" t="s">
        <v>3693</v>
      </c>
      <c r="J573" s="2" t="str">
        <f t="shared" si="24"/>
        <v>[605]=1502,</v>
      </c>
      <c r="K573" s="3">
        <f t="shared" si="25"/>
        <v>605</v>
      </c>
      <c r="L573" s="3">
        <f t="shared" si="26"/>
        <v>1502</v>
      </c>
      <c r="M573" s="9" t="str">
        <f>VLOOKUP(A573,WayshrineNames!$A$3:$B$967,2,)</f>
        <v>Dungeon: Black Gem Foundry</v>
      </c>
      <c r="N573" s="3" t="str">
        <f>VLOOKUP(F573,'ESO zones'!$A$5:$D$10003,4,FALSE)</f>
        <v>Solstice</v>
      </c>
    </row>
    <row r="574" spans="1:14" x14ac:dyDescent="0.25">
      <c r="A574">
        <v>606</v>
      </c>
      <c r="B574">
        <v>53</v>
      </c>
      <c r="C574">
        <v>2603</v>
      </c>
      <c r="D574" t="s">
        <v>3683</v>
      </c>
      <c r="E574">
        <v>1034</v>
      </c>
      <c r="F574">
        <v>1502</v>
      </c>
      <c r="G574" t="s">
        <v>3683</v>
      </c>
      <c r="H574">
        <v>6</v>
      </c>
      <c r="I574" t="s">
        <v>3694</v>
      </c>
      <c r="J574" s="2" t="str">
        <f t="shared" si="24"/>
        <v>[606]=1502,</v>
      </c>
      <c r="K574" s="3">
        <f t="shared" si="25"/>
        <v>606</v>
      </c>
      <c r="L574" s="3">
        <f t="shared" si="26"/>
        <v>1502</v>
      </c>
      <c r="M574" s="9" t="str">
        <f>VLOOKUP(A574,WayshrineNames!$A$3:$B$967,2,)</f>
        <v>Dungeon: Naj-Caldeesh</v>
      </c>
      <c r="N574" s="3" t="str">
        <f>VLOOKUP(F574,'ESO zones'!$A$5:$D$10003,4,FALSE)</f>
        <v>Solstice</v>
      </c>
    </row>
    <row r="575" spans="1:14" x14ac:dyDescent="0.25">
      <c r="A575">
        <v>607</v>
      </c>
      <c r="B575">
        <v>53</v>
      </c>
      <c r="C575">
        <v>2603</v>
      </c>
      <c r="D575" t="s">
        <v>3683</v>
      </c>
      <c r="E575">
        <v>1034</v>
      </c>
      <c r="F575">
        <v>1502</v>
      </c>
      <c r="G575" t="s">
        <v>3683</v>
      </c>
      <c r="H575">
        <v>1</v>
      </c>
      <c r="I575" t="s">
        <v>3695</v>
      </c>
      <c r="J575" s="2" t="str">
        <f t="shared" si="24"/>
        <v>[607]=1502,</v>
      </c>
      <c r="K575" s="3">
        <f t="shared" si="25"/>
        <v>607</v>
      </c>
      <c r="L575" s="3">
        <f t="shared" si="26"/>
        <v>1502</v>
      </c>
      <c r="M575" s="9" t="str">
        <f>VLOOKUP(A575,WayshrineNames!$A$3:$B$967,2,)</f>
        <v>Gristmung Hold Camp Wayshrine</v>
      </c>
      <c r="N575" s="3" t="str">
        <f>VLOOKUP(F575,'ESO zones'!$A$5:$D$10003,4,FALSE)</f>
        <v>Solstice</v>
      </c>
    </row>
    <row r="576" spans="1:14" x14ac:dyDescent="0.25">
      <c r="A576">
        <v>608</v>
      </c>
      <c r="B576">
        <v>53</v>
      </c>
      <c r="C576">
        <v>2603</v>
      </c>
      <c r="D576" t="s">
        <v>3683</v>
      </c>
      <c r="E576">
        <v>1034</v>
      </c>
      <c r="F576">
        <v>1502</v>
      </c>
      <c r="G576" t="s">
        <v>3683</v>
      </c>
      <c r="H576">
        <v>1</v>
      </c>
      <c r="I576" t="s">
        <v>3696</v>
      </c>
      <c r="J576" s="2" t="str">
        <f t="shared" si="24"/>
        <v>[608]=1502,</v>
      </c>
      <c r="K576" s="3">
        <f t="shared" si="25"/>
        <v>608</v>
      </c>
      <c r="L576" s="3">
        <f t="shared" si="26"/>
        <v>1502</v>
      </c>
      <c r="M576" s="9" t="str">
        <f>VLOOKUP(A576,WayshrineNames!$A$3:$B$967,2,)</f>
        <v>Mor Naril Camp Wayshrine</v>
      </c>
      <c r="N576" s="3" t="str">
        <f>VLOOKUP(F576,'ESO zones'!$A$5:$D$10003,4,FALSE)</f>
        <v>Solstice</v>
      </c>
    </row>
    <row r="577" spans="1:14" x14ac:dyDescent="0.25">
      <c r="A577">
        <v>609</v>
      </c>
      <c r="B577">
        <v>53</v>
      </c>
      <c r="C577">
        <v>2603</v>
      </c>
      <c r="D577" t="s">
        <v>3683</v>
      </c>
      <c r="E577">
        <v>1034</v>
      </c>
      <c r="F577">
        <v>1502</v>
      </c>
      <c r="G577" t="s">
        <v>3683</v>
      </c>
      <c r="H577">
        <v>1</v>
      </c>
      <c r="I577" t="s">
        <v>3697</v>
      </c>
      <c r="J577" s="2" t="str">
        <f t="shared" si="24"/>
        <v>[609]=1502,</v>
      </c>
      <c r="K577" s="3">
        <f t="shared" si="25"/>
        <v>609</v>
      </c>
      <c r="L577" s="3">
        <f t="shared" si="26"/>
        <v>1502</v>
      </c>
      <c r="M577" s="9" t="str">
        <f>VLOOKUP(A577,WayshrineNames!$A$3:$B$967,2,)</f>
        <v>Xor-Hist Wayshrine</v>
      </c>
      <c r="N577" s="3" t="str">
        <f>VLOOKUP(F577,'ESO zones'!$A$5:$D$10003,4,FALSE)</f>
        <v>Solstice</v>
      </c>
    </row>
    <row r="578" spans="1:14" x14ac:dyDescent="0.25">
      <c r="A578">
        <v>610</v>
      </c>
      <c r="B578">
        <v>53</v>
      </c>
      <c r="C578">
        <v>2603</v>
      </c>
      <c r="D578" t="s">
        <v>3683</v>
      </c>
      <c r="E578">
        <v>1034</v>
      </c>
      <c r="F578">
        <v>1502</v>
      </c>
      <c r="G578" t="s">
        <v>3683</v>
      </c>
      <c r="H578">
        <v>1</v>
      </c>
      <c r="I578" t="s">
        <v>3698</v>
      </c>
      <c r="J578" s="2" t="str">
        <f t="shared" si="24"/>
        <v>[610]=1502,</v>
      </c>
      <c r="K578" s="3">
        <f t="shared" si="25"/>
        <v>610</v>
      </c>
      <c r="L578" s="3">
        <f t="shared" si="26"/>
        <v>1502</v>
      </c>
      <c r="M578" s="9" t="str">
        <f>VLOOKUP(A578,WayshrineNames!$A$3:$B$967,2,)</f>
        <v>Caterwaul Cove Wayshrine</v>
      </c>
      <c r="N578" s="3" t="str">
        <f>VLOOKUP(F578,'ESO zones'!$A$5:$D$10003,4,FALSE)</f>
        <v>Solstice</v>
      </c>
    </row>
    <row r="579" spans="1:14" x14ac:dyDescent="0.25">
      <c r="A579">
        <v>611</v>
      </c>
      <c r="B579">
        <v>53</v>
      </c>
      <c r="C579">
        <v>2603</v>
      </c>
      <c r="D579" t="s">
        <v>3683</v>
      </c>
      <c r="E579">
        <v>1034</v>
      </c>
      <c r="F579">
        <v>1502</v>
      </c>
      <c r="G579" t="s">
        <v>3683</v>
      </c>
      <c r="H579">
        <v>1</v>
      </c>
      <c r="I579" t="s">
        <v>3699</v>
      </c>
      <c r="J579" s="2" t="str">
        <f t="shared" ref="J579:J587" si="27">IF(A579&lt;&gt;"",IF(F579&lt;&gt;"",IF(OR(ISNA(A579),ISNA(F579)),"","["&amp;A579&amp;"]="&amp;F579&amp;","),""),"")</f>
        <v>[611]=1502,</v>
      </c>
      <c r="K579" s="3">
        <f t="shared" ref="K579:K587" si="28">A579</f>
        <v>611</v>
      </c>
      <c r="L579" s="3">
        <f t="shared" ref="L579:L587" si="29">F579</f>
        <v>1502</v>
      </c>
      <c r="M579" s="9" t="str">
        <f>VLOOKUP(A579,WayshrineNames!$A$3:$B$967,2,)</f>
        <v>Grand Juncture Pass Wayshrine</v>
      </c>
      <c r="N579" s="3" t="str">
        <f>VLOOKUP(F579,'ESO zones'!$A$5:$D$10003,4,FALSE)</f>
        <v>Solstice</v>
      </c>
    </row>
    <row r="580" spans="1:14" x14ac:dyDescent="0.25">
      <c r="A580">
        <v>612</v>
      </c>
      <c r="B580">
        <v>53</v>
      </c>
      <c r="C580">
        <v>2603</v>
      </c>
      <c r="D580" t="s">
        <v>3683</v>
      </c>
      <c r="E580">
        <v>1034</v>
      </c>
      <c r="F580">
        <v>1502</v>
      </c>
      <c r="G580" t="s">
        <v>3683</v>
      </c>
      <c r="H580">
        <v>1</v>
      </c>
      <c r="I580" t="s">
        <v>3700</v>
      </c>
      <c r="J580" s="2" t="str">
        <f t="shared" si="27"/>
        <v>[612]=1502,</v>
      </c>
      <c r="K580" s="3">
        <f t="shared" si="28"/>
        <v>612</v>
      </c>
      <c r="L580" s="3">
        <f t="shared" si="29"/>
        <v>1502</v>
      </c>
      <c r="M580" s="9" t="str">
        <f>VLOOKUP(A580,WayshrineNames!$A$3:$B$967,2,)</f>
        <v>Stone Cove Wayshrine</v>
      </c>
      <c r="N580" s="3" t="str">
        <f>VLOOKUP(F580,'ESO zones'!$A$5:$D$10003,4,FALSE)</f>
        <v>Solstice</v>
      </c>
    </row>
    <row r="581" spans="1:14" x14ac:dyDescent="0.25">
      <c r="A581">
        <v>614</v>
      </c>
      <c r="B581">
        <v>53</v>
      </c>
      <c r="C581">
        <v>2603</v>
      </c>
      <c r="D581" t="s">
        <v>3683</v>
      </c>
      <c r="E581">
        <v>1034</v>
      </c>
      <c r="F581">
        <v>1502</v>
      </c>
      <c r="G581" t="s">
        <v>3683</v>
      </c>
      <c r="H581">
        <v>7</v>
      </c>
      <c r="I581" t="s">
        <v>3701</v>
      </c>
      <c r="J581" s="2" t="str">
        <f t="shared" si="27"/>
        <v>[614]=1502,</v>
      </c>
      <c r="K581" s="3">
        <f t="shared" si="28"/>
        <v>614</v>
      </c>
      <c r="L581" s="3">
        <f t="shared" si="29"/>
        <v>1502</v>
      </c>
      <c r="M581" s="9" t="str">
        <f>VLOOKUP(A581,WayshrineNames!$A$3:$B$967,2,)</f>
        <v>Cradle of the Worm Colossus</v>
      </c>
      <c r="N581" s="3" t="str">
        <f>VLOOKUP(F581,'ESO zones'!$A$5:$D$10003,4,FALSE)</f>
        <v>Solstice</v>
      </c>
    </row>
    <row r="582" spans="1:14" x14ac:dyDescent="0.25">
      <c r="A582">
        <v>615</v>
      </c>
      <c r="B582">
        <v>53</v>
      </c>
      <c r="C582">
        <v>2603</v>
      </c>
      <c r="D582" t="s">
        <v>3683</v>
      </c>
      <c r="E582">
        <v>1034</v>
      </c>
      <c r="F582">
        <v>1502</v>
      </c>
      <c r="G582" t="s">
        <v>3683</v>
      </c>
      <c r="H582">
        <v>1</v>
      </c>
      <c r="I582" t="s">
        <v>3702</v>
      </c>
      <c r="J582" s="2" t="str">
        <f t="shared" si="27"/>
        <v>[615]=1502,</v>
      </c>
      <c r="K582" s="3">
        <f t="shared" si="28"/>
        <v>615</v>
      </c>
      <c r="L582" s="3">
        <f t="shared" si="29"/>
        <v>1502</v>
      </c>
      <c r="M582" s="9" t="str">
        <f>VLOOKUP(A582,WayshrineNames!$A$3:$B$967,2,)</f>
        <v>Rampart Camp Wayshrine</v>
      </c>
      <c r="N582" s="3" t="str">
        <f>VLOOKUP(F582,'ESO zones'!$A$5:$D$10003,4,FALSE)</f>
        <v>Solstice</v>
      </c>
    </row>
    <row r="583" spans="1:14" x14ac:dyDescent="0.25">
      <c r="A583" s="39">
        <v>613</v>
      </c>
      <c r="I583" t="s">
        <v>3702</v>
      </c>
      <c r="J583" s="2" t="str">
        <f t="shared" si="27"/>
        <v/>
      </c>
      <c r="K583" s="3">
        <f t="shared" si="28"/>
        <v>613</v>
      </c>
      <c r="L583" s="3">
        <f t="shared" si="29"/>
        <v>0</v>
      </c>
      <c r="M583" s="9" t="str">
        <f>VLOOKUP(A583,WayshrineNames!$A$3:$B$967,2,)</f>
        <v>Druidspring Conservatory</v>
      </c>
      <c r="N583" s="3" t="str">
        <f>VLOOKUP(F583,'ESO zones'!$A$5:$D$10003,4,FALSE)</f>
        <v>Tamriel Map</v>
      </c>
    </row>
    <row r="584" spans="1:14" x14ac:dyDescent="0.25">
      <c r="A584" s="39">
        <v>616</v>
      </c>
      <c r="B584">
        <v>45</v>
      </c>
      <c r="C584">
        <v>2021</v>
      </c>
      <c r="D584" t="s">
        <v>3578</v>
      </c>
      <c r="E584">
        <v>855</v>
      </c>
      <c r="F584">
        <v>1283</v>
      </c>
      <c r="G584" t="s">
        <v>3591</v>
      </c>
      <c r="H584">
        <v>1</v>
      </c>
      <c r="I584" t="s">
        <v>3703</v>
      </c>
      <c r="J584" s="2" t="str">
        <f t="shared" si="27"/>
        <v>[616]=1283,</v>
      </c>
      <c r="K584" s="3">
        <f t="shared" si="28"/>
        <v>616</v>
      </c>
      <c r="L584" s="3">
        <f t="shared" si="29"/>
        <v>1283</v>
      </c>
      <c r="M584" s="9" t="str">
        <f>VLOOKUP(A584,WayshrineNames!$A$3:$B$967,2,)</f>
        <v>Event Zone: Night Market</v>
      </c>
      <c r="N584" s="3" t="str">
        <f>VLOOKUP(F584,'ESO zones'!$A$5:$D$10003,4,FALSE)</f>
        <v>The Shambles</v>
      </c>
    </row>
    <row r="585" spans="1:14" x14ac:dyDescent="0.25">
      <c r="A585" s="39">
        <v>617</v>
      </c>
      <c r="I585" t="s">
        <v>3073</v>
      </c>
      <c r="J585" s="2" t="str">
        <f t="shared" si="27"/>
        <v/>
      </c>
      <c r="K585" s="3">
        <f t="shared" si="28"/>
        <v>617</v>
      </c>
      <c r="L585" s="3">
        <f t="shared" si="29"/>
        <v>0</v>
      </c>
      <c r="M585" s="9" t="str">
        <f>VLOOKUP(A585,WayshrineNames!$A$3:$B$967,2,)</f>
        <v>Writhing Fortress</v>
      </c>
      <c r="N585" s="3" t="str">
        <f>VLOOKUP(F585,'ESO zones'!$A$5:$D$10003,4,FALSE)</f>
        <v>Tamriel Map</v>
      </c>
    </row>
    <row r="586" spans="1:14" x14ac:dyDescent="0.25">
      <c r="A586" s="39">
        <v>618</v>
      </c>
      <c r="I586" t="s">
        <v>3086</v>
      </c>
      <c r="J586" s="2" t="str">
        <f t="shared" si="27"/>
        <v/>
      </c>
      <c r="K586" s="3">
        <f t="shared" si="28"/>
        <v>618</v>
      </c>
      <c r="L586" s="3">
        <f t="shared" si="29"/>
        <v>0</v>
      </c>
      <c r="M586" s="9" t="str">
        <f>VLOOKUP(A586,WayshrineNames!$A$3:$B$967,2,)</f>
        <v>Night's Den</v>
      </c>
      <c r="N586" s="3" t="str">
        <f>VLOOKUP(F586,'ESO zones'!$A$5:$D$10003,4,FALSE)</f>
        <v>Tamriel Map</v>
      </c>
    </row>
    <row r="587" spans="1:14" x14ac:dyDescent="0.25">
      <c r="A587" s="39">
        <v>619</v>
      </c>
      <c r="I587" t="s">
        <v>3087</v>
      </c>
      <c r="J587" s="2" t="str">
        <f t="shared" si="27"/>
        <v/>
      </c>
      <c r="K587" s="3">
        <f t="shared" si="28"/>
        <v>619</v>
      </c>
      <c r="L587" s="3">
        <f t="shared" si="29"/>
        <v>0</v>
      </c>
      <c r="M587" s="9" t="str">
        <f>VLOOKUP(A587,WayshrineNames!$A$3:$B$967,2,)</f>
        <v>Buccaneer Bay</v>
      </c>
      <c r="N587" s="3" t="str">
        <f>VLOOKUP(F587,'ESO zones'!$A$5:$D$10003,4,FALSE)</f>
        <v>Tamriel Map</v>
      </c>
    </row>
  </sheetData>
  <autoFilter ref="A2:N587" xr:uid="{00000000-0009-0000-0000-00000E000000}">
    <sortState xmlns:xlrd2="http://schemas.microsoft.com/office/spreadsheetml/2017/richdata2" ref="A3:A587">
      <sortCondition ref="A2:A587"/>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27"/>
  <sheetViews>
    <sheetView workbookViewId="0">
      <pane xSplit="1" ySplit="2" topLeftCell="B3" activePane="bottomRight" state="frozen"/>
      <selection pane="topRight"/>
      <selection pane="bottomLeft"/>
      <selection pane="bottomRight" activeCell="B2" sqref="B2"/>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4309</v>
      </c>
      <c r="C1" s="38"/>
      <c r="D1" s="38" t="s">
        <v>3704</v>
      </c>
      <c r="E1" s="38"/>
      <c r="F1" s="38"/>
      <c r="G1" s="38"/>
      <c r="H1" s="38"/>
      <c r="I1" s="38"/>
      <c r="J1" s="38"/>
      <c r="K1" s="38"/>
      <c r="L1" s="38"/>
    </row>
    <row r="2" spans="1:12" s="6" customFormat="1" x14ac:dyDescent="0.25">
      <c r="A2" s="1" t="s">
        <v>3705</v>
      </c>
      <c r="B2" s="6" t="s">
        <v>3706</v>
      </c>
    </row>
    <row r="3" spans="1:12" x14ac:dyDescent="0.25">
      <c r="A3">
        <v>1</v>
      </c>
      <c r="B3" t="s">
        <v>3707</v>
      </c>
    </row>
    <row r="4" spans="1:12" x14ac:dyDescent="0.25">
      <c r="A4">
        <v>2</v>
      </c>
      <c r="B4" t="s">
        <v>3708</v>
      </c>
    </row>
    <row r="5" spans="1:12" x14ac:dyDescent="0.25">
      <c r="A5">
        <v>3</v>
      </c>
      <c r="B5" t="s">
        <v>3709</v>
      </c>
    </row>
    <row r="6" spans="1:12" x14ac:dyDescent="0.25">
      <c r="A6">
        <v>4</v>
      </c>
      <c r="B6" t="s">
        <v>3710</v>
      </c>
    </row>
    <row r="7" spans="1:12" x14ac:dyDescent="0.25">
      <c r="A7">
        <v>5</v>
      </c>
      <c r="B7" t="s">
        <v>3711</v>
      </c>
    </row>
    <row r="8" spans="1:12" x14ac:dyDescent="0.25">
      <c r="A8">
        <v>6</v>
      </c>
      <c r="B8" t="s">
        <v>3712</v>
      </c>
    </row>
    <row r="9" spans="1:12" x14ac:dyDescent="0.25">
      <c r="A9">
        <v>7</v>
      </c>
      <c r="B9" t="s">
        <v>3713</v>
      </c>
    </row>
    <row r="10" spans="1:12" x14ac:dyDescent="0.25">
      <c r="A10">
        <v>8</v>
      </c>
      <c r="B10" t="s">
        <v>3714</v>
      </c>
    </row>
    <row r="11" spans="1:12" x14ac:dyDescent="0.25">
      <c r="A11">
        <v>9</v>
      </c>
      <c r="B11" t="s">
        <v>3715</v>
      </c>
    </row>
    <row r="12" spans="1:12" x14ac:dyDescent="0.25">
      <c r="A12">
        <v>10</v>
      </c>
      <c r="B12" t="s">
        <v>3716</v>
      </c>
    </row>
    <row r="13" spans="1:12" x14ac:dyDescent="0.25">
      <c r="A13">
        <v>11</v>
      </c>
      <c r="B13" t="s">
        <v>3717</v>
      </c>
    </row>
    <row r="14" spans="1:12" x14ac:dyDescent="0.25">
      <c r="A14">
        <v>12</v>
      </c>
      <c r="B14" t="s">
        <v>3718</v>
      </c>
    </row>
    <row r="15" spans="1:12" x14ac:dyDescent="0.25">
      <c r="A15">
        <v>13</v>
      </c>
      <c r="B15" t="s">
        <v>3719</v>
      </c>
    </row>
    <row r="16" spans="1:12" x14ac:dyDescent="0.25">
      <c r="A16">
        <v>14</v>
      </c>
      <c r="B16" t="s">
        <v>3720</v>
      </c>
    </row>
    <row r="17" spans="1:2" x14ac:dyDescent="0.25">
      <c r="A17">
        <v>15</v>
      </c>
      <c r="B17" t="s">
        <v>3721</v>
      </c>
    </row>
    <row r="18" spans="1:2" x14ac:dyDescent="0.25">
      <c r="A18">
        <v>16</v>
      </c>
      <c r="B18" t="s">
        <v>3722</v>
      </c>
    </row>
    <row r="19" spans="1:2" x14ac:dyDescent="0.25">
      <c r="A19">
        <v>17</v>
      </c>
      <c r="B19" t="s">
        <v>3723</v>
      </c>
    </row>
    <row r="20" spans="1:2" x14ac:dyDescent="0.25">
      <c r="A20">
        <v>18</v>
      </c>
      <c r="B20" t="s">
        <v>3724</v>
      </c>
    </row>
    <row r="21" spans="1:2" x14ac:dyDescent="0.25">
      <c r="A21">
        <v>19</v>
      </c>
      <c r="B21" t="s">
        <v>3725</v>
      </c>
    </row>
    <row r="22" spans="1:2" x14ac:dyDescent="0.25">
      <c r="A22">
        <v>20</v>
      </c>
      <c r="B22" t="s">
        <v>3726</v>
      </c>
    </row>
    <row r="23" spans="1:2" x14ac:dyDescent="0.25">
      <c r="A23">
        <v>21</v>
      </c>
      <c r="B23" t="s">
        <v>3727</v>
      </c>
    </row>
    <row r="24" spans="1:2" x14ac:dyDescent="0.25">
      <c r="A24">
        <v>22</v>
      </c>
      <c r="B24" t="s">
        <v>3728</v>
      </c>
    </row>
    <row r="25" spans="1:2" x14ac:dyDescent="0.25">
      <c r="A25">
        <v>23</v>
      </c>
      <c r="B25" t="s">
        <v>3729</v>
      </c>
    </row>
    <row r="26" spans="1:2" x14ac:dyDescent="0.25">
      <c r="A26">
        <v>24</v>
      </c>
      <c r="B26" t="s">
        <v>3730</v>
      </c>
    </row>
    <row r="27" spans="1:2" x14ac:dyDescent="0.25">
      <c r="A27">
        <v>25</v>
      </c>
      <c r="B27" t="s">
        <v>3731</v>
      </c>
    </row>
    <row r="28" spans="1:2" x14ac:dyDescent="0.25">
      <c r="A28">
        <v>26</v>
      </c>
      <c r="B28" t="s">
        <v>3732</v>
      </c>
    </row>
    <row r="29" spans="1:2" x14ac:dyDescent="0.25">
      <c r="A29">
        <v>27</v>
      </c>
      <c r="B29" t="s">
        <v>3733</v>
      </c>
    </row>
    <row r="30" spans="1:2" x14ac:dyDescent="0.25">
      <c r="A30">
        <v>28</v>
      </c>
      <c r="B30" t="s">
        <v>3734</v>
      </c>
    </row>
    <row r="31" spans="1:2" x14ac:dyDescent="0.25">
      <c r="A31">
        <v>29</v>
      </c>
      <c r="B31" t="s">
        <v>3735</v>
      </c>
    </row>
    <row r="32" spans="1:2" x14ac:dyDescent="0.25">
      <c r="A32">
        <v>30</v>
      </c>
      <c r="B32" t="s">
        <v>3736</v>
      </c>
    </row>
    <row r="33" spans="1:2" x14ac:dyDescent="0.25">
      <c r="A33">
        <v>31</v>
      </c>
      <c r="B33" t="s">
        <v>3737</v>
      </c>
    </row>
    <row r="34" spans="1:2" x14ac:dyDescent="0.25">
      <c r="A34">
        <v>32</v>
      </c>
      <c r="B34" t="s">
        <v>3738</v>
      </c>
    </row>
    <row r="35" spans="1:2" x14ac:dyDescent="0.25">
      <c r="A35">
        <v>33</v>
      </c>
      <c r="B35" t="s">
        <v>3739</v>
      </c>
    </row>
    <row r="36" spans="1:2" x14ac:dyDescent="0.25">
      <c r="A36">
        <v>34</v>
      </c>
      <c r="B36" t="s">
        <v>3740</v>
      </c>
    </row>
    <row r="37" spans="1:2" x14ac:dyDescent="0.25">
      <c r="A37">
        <v>35</v>
      </c>
      <c r="B37" t="s">
        <v>3741</v>
      </c>
    </row>
    <row r="38" spans="1:2" x14ac:dyDescent="0.25">
      <c r="A38">
        <v>36</v>
      </c>
      <c r="B38" t="s">
        <v>3742</v>
      </c>
    </row>
    <row r="39" spans="1:2" x14ac:dyDescent="0.25">
      <c r="A39">
        <v>37</v>
      </c>
      <c r="B39" t="s">
        <v>3743</v>
      </c>
    </row>
    <row r="40" spans="1:2" x14ac:dyDescent="0.25">
      <c r="A40">
        <v>38</v>
      </c>
      <c r="B40" t="s">
        <v>3744</v>
      </c>
    </row>
    <row r="41" spans="1:2" x14ac:dyDescent="0.25">
      <c r="A41">
        <v>39</v>
      </c>
      <c r="B41" t="s">
        <v>3745</v>
      </c>
    </row>
    <row r="42" spans="1:2" x14ac:dyDescent="0.25">
      <c r="A42">
        <v>40</v>
      </c>
      <c r="B42" t="s">
        <v>3746</v>
      </c>
    </row>
    <row r="43" spans="1:2" x14ac:dyDescent="0.25">
      <c r="A43">
        <v>41</v>
      </c>
      <c r="B43" t="s">
        <v>3747</v>
      </c>
    </row>
    <row r="44" spans="1:2" x14ac:dyDescent="0.25">
      <c r="A44">
        <v>42</v>
      </c>
      <c r="B44" t="s">
        <v>3748</v>
      </c>
    </row>
    <row r="45" spans="1:2" x14ac:dyDescent="0.25">
      <c r="A45">
        <v>43</v>
      </c>
      <c r="B45" t="s">
        <v>3749</v>
      </c>
    </row>
    <row r="46" spans="1:2" x14ac:dyDescent="0.25">
      <c r="A46">
        <v>44</v>
      </c>
      <c r="B46" t="s">
        <v>3750</v>
      </c>
    </row>
    <row r="47" spans="1:2" x14ac:dyDescent="0.25">
      <c r="A47">
        <v>45</v>
      </c>
      <c r="B47" t="s">
        <v>3751</v>
      </c>
    </row>
    <row r="48" spans="1:2" x14ac:dyDescent="0.25">
      <c r="A48">
        <v>46</v>
      </c>
      <c r="B48" t="s">
        <v>3752</v>
      </c>
    </row>
    <row r="49" spans="1:2" x14ac:dyDescent="0.25">
      <c r="A49">
        <v>47</v>
      </c>
      <c r="B49" t="s">
        <v>3753</v>
      </c>
    </row>
    <row r="50" spans="1:2" x14ac:dyDescent="0.25">
      <c r="A50">
        <v>48</v>
      </c>
      <c r="B50" t="s">
        <v>3754</v>
      </c>
    </row>
    <row r="51" spans="1:2" x14ac:dyDescent="0.25">
      <c r="A51">
        <v>49</v>
      </c>
      <c r="B51" t="s">
        <v>3755</v>
      </c>
    </row>
    <row r="52" spans="1:2" x14ac:dyDescent="0.25">
      <c r="A52">
        <v>50</v>
      </c>
      <c r="B52" t="s">
        <v>3756</v>
      </c>
    </row>
    <row r="53" spans="1:2" x14ac:dyDescent="0.25">
      <c r="A53">
        <v>51</v>
      </c>
      <c r="B53" t="s">
        <v>3757</v>
      </c>
    </row>
    <row r="54" spans="1:2" x14ac:dyDescent="0.25">
      <c r="A54">
        <v>52</v>
      </c>
      <c r="B54" t="s">
        <v>3758</v>
      </c>
    </row>
    <row r="55" spans="1:2" x14ac:dyDescent="0.25">
      <c r="A55">
        <v>53</v>
      </c>
      <c r="B55" t="s">
        <v>3759</v>
      </c>
    </row>
    <row r="56" spans="1:2" x14ac:dyDescent="0.25">
      <c r="A56">
        <v>54</v>
      </c>
    </row>
    <row r="57" spans="1:2" x14ac:dyDescent="0.25">
      <c r="A57">
        <v>55</v>
      </c>
      <c r="B57" t="s">
        <v>3760</v>
      </c>
    </row>
    <row r="58" spans="1:2" x14ac:dyDescent="0.25">
      <c r="A58">
        <v>56</v>
      </c>
      <c r="B58" t="s">
        <v>3761</v>
      </c>
    </row>
    <row r="59" spans="1:2" x14ac:dyDescent="0.25">
      <c r="A59">
        <v>57</v>
      </c>
      <c r="B59" t="s">
        <v>3762</v>
      </c>
    </row>
    <row r="60" spans="1:2" x14ac:dyDescent="0.25">
      <c r="A60">
        <v>58</v>
      </c>
      <c r="B60" t="s">
        <v>3763</v>
      </c>
    </row>
    <row r="61" spans="1:2" x14ac:dyDescent="0.25">
      <c r="A61">
        <v>59</v>
      </c>
      <c r="B61" t="s">
        <v>3764</v>
      </c>
    </row>
    <row r="62" spans="1:2" x14ac:dyDescent="0.25">
      <c r="A62">
        <v>60</v>
      </c>
      <c r="B62" t="s">
        <v>3765</v>
      </c>
    </row>
    <row r="63" spans="1:2" x14ac:dyDescent="0.25">
      <c r="A63">
        <v>61</v>
      </c>
      <c r="B63" t="s">
        <v>3766</v>
      </c>
    </row>
    <row r="64" spans="1:2" x14ac:dyDescent="0.25">
      <c r="A64">
        <v>62</v>
      </c>
      <c r="B64" t="s">
        <v>3767</v>
      </c>
    </row>
    <row r="65" spans="1:2" x14ac:dyDescent="0.25">
      <c r="A65">
        <v>63</v>
      </c>
      <c r="B65" t="s">
        <v>3768</v>
      </c>
    </row>
    <row r="66" spans="1:2" x14ac:dyDescent="0.25">
      <c r="A66">
        <v>64</v>
      </c>
      <c r="B66" t="s">
        <v>3769</v>
      </c>
    </row>
    <row r="67" spans="1:2" x14ac:dyDescent="0.25">
      <c r="A67">
        <v>65</v>
      </c>
      <c r="B67" t="s">
        <v>3770</v>
      </c>
    </row>
    <row r="68" spans="1:2" x14ac:dyDescent="0.25">
      <c r="A68">
        <v>66</v>
      </c>
      <c r="B68" t="s">
        <v>3771</v>
      </c>
    </row>
    <row r="69" spans="1:2" x14ac:dyDescent="0.25">
      <c r="A69">
        <v>67</v>
      </c>
      <c r="B69" t="s">
        <v>3772</v>
      </c>
    </row>
    <row r="70" spans="1:2" x14ac:dyDescent="0.25">
      <c r="A70">
        <v>68</v>
      </c>
      <c r="B70" t="s">
        <v>3773</v>
      </c>
    </row>
    <row r="71" spans="1:2" x14ac:dyDescent="0.25">
      <c r="A71">
        <v>69</v>
      </c>
      <c r="B71" t="s">
        <v>3774</v>
      </c>
    </row>
    <row r="72" spans="1:2" x14ac:dyDescent="0.25">
      <c r="A72">
        <v>70</v>
      </c>
    </row>
    <row r="73" spans="1:2" x14ac:dyDescent="0.25">
      <c r="A73">
        <v>71</v>
      </c>
      <c r="B73" t="s">
        <v>3775</v>
      </c>
    </row>
    <row r="74" spans="1:2" x14ac:dyDescent="0.25">
      <c r="A74">
        <v>72</v>
      </c>
      <c r="B74" t="s">
        <v>3776</v>
      </c>
    </row>
    <row r="75" spans="1:2" x14ac:dyDescent="0.25">
      <c r="A75">
        <v>73</v>
      </c>
      <c r="B75" t="s">
        <v>3777</v>
      </c>
    </row>
    <row r="76" spans="1:2" x14ac:dyDescent="0.25">
      <c r="A76">
        <v>74</v>
      </c>
      <c r="B76" t="s">
        <v>3778</v>
      </c>
    </row>
    <row r="77" spans="1:2" x14ac:dyDescent="0.25">
      <c r="A77">
        <v>75</v>
      </c>
      <c r="B77" t="s">
        <v>3779</v>
      </c>
    </row>
    <row r="78" spans="1:2" x14ac:dyDescent="0.25">
      <c r="A78">
        <v>76</v>
      </c>
      <c r="B78" t="s">
        <v>3780</v>
      </c>
    </row>
    <row r="79" spans="1:2" x14ac:dyDescent="0.25">
      <c r="A79">
        <v>77</v>
      </c>
      <c r="B79" t="s">
        <v>3781</v>
      </c>
    </row>
    <row r="80" spans="1:2" x14ac:dyDescent="0.25">
      <c r="A80">
        <v>78</v>
      </c>
      <c r="B80" t="s">
        <v>3782</v>
      </c>
    </row>
    <row r="81" spans="1:2" x14ac:dyDescent="0.25">
      <c r="A81">
        <v>79</v>
      </c>
      <c r="B81" t="s">
        <v>3783</v>
      </c>
    </row>
    <row r="82" spans="1:2" x14ac:dyDescent="0.25">
      <c r="A82">
        <v>80</v>
      </c>
      <c r="B82" t="s">
        <v>3784</v>
      </c>
    </row>
    <row r="83" spans="1:2" x14ac:dyDescent="0.25">
      <c r="A83">
        <v>81</v>
      </c>
      <c r="B83" t="s">
        <v>3785</v>
      </c>
    </row>
    <row r="84" spans="1:2" x14ac:dyDescent="0.25">
      <c r="A84">
        <v>82</v>
      </c>
      <c r="B84" t="s">
        <v>3786</v>
      </c>
    </row>
    <row r="85" spans="1:2" x14ac:dyDescent="0.25">
      <c r="A85">
        <v>83</v>
      </c>
      <c r="B85" t="s">
        <v>3787</v>
      </c>
    </row>
    <row r="86" spans="1:2" x14ac:dyDescent="0.25">
      <c r="A86">
        <v>84</v>
      </c>
      <c r="B86" t="s">
        <v>3788</v>
      </c>
    </row>
    <row r="87" spans="1:2" x14ac:dyDescent="0.25">
      <c r="A87">
        <v>85</v>
      </c>
      <c r="B87" t="s">
        <v>3789</v>
      </c>
    </row>
    <row r="88" spans="1:2" x14ac:dyDescent="0.25">
      <c r="A88">
        <v>86</v>
      </c>
      <c r="B88" t="s">
        <v>3790</v>
      </c>
    </row>
    <row r="89" spans="1:2" x14ac:dyDescent="0.25">
      <c r="A89">
        <v>87</v>
      </c>
      <c r="B89" t="s">
        <v>3791</v>
      </c>
    </row>
    <row r="90" spans="1:2" x14ac:dyDescent="0.25">
      <c r="A90">
        <v>88</v>
      </c>
      <c r="B90" t="s">
        <v>3792</v>
      </c>
    </row>
    <row r="91" spans="1:2" x14ac:dyDescent="0.25">
      <c r="A91">
        <v>89</v>
      </c>
      <c r="B91" t="s">
        <v>3793</v>
      </c>
    </row>
    <row r="92" spans="1:2" x14ac:dyDescent="0.25">
      <c r="A92">
        <v>90</v>
      </c>
      <c r="B92" t="s">
        <v>3794</v>
      </c>
    </row>
    <row r="93" spans="1:2" x14ac:dyDescent="0.25">
      <c r="A93">
        <v>91</v>
      </c>
      <c r="B93" t="s">
        <v>3795</v>
      </c>
    </row>
    <row r="94" spans="1:2" x14ac:dyDescent="0.25">
      <c r="A94">
        <v>92</v>
      </c>
      <c r="B94" t="s">
        <v>3796</v>
      </c>
    </row>
    <row r="95" spans="1:2" x14ac:dyDescent="0.25">
      <c r="A95">
        <v>93</v>
      </c>
      <c r="B95" t="s">
        <v>3797</v>
      </c>
    </row>
    <row r="96" spans="1:2" x14ac:dyDescent="0.25">
      <c r="A96">
        <v>94</v>
      </c>
      <c r="B96" t="s">
        <v>3798</v>
      </c>
    </row>
    <row r="97" spans="1:2" x14ac:dyDescent="0.25">
      <c r="A97">
        <v>95</v>
      </c>
      <c r="B97" t="s">
        <v>3799</v>
      </c>
    </row>
    <row r="98" spans="1:2" x14ac:dyDescent="0.25">
      <c r="A98">
        <v>96</v>
      </c>
      <c r="B98" t="s">
        <v>3800</v>
      </c>
    </row>
    <row r="99" spans="1:2" x14ac:dyDescent="0.25">
      <c r="A99">
        <v>97</v>
      </c>
      <c r="B99" t="s">
        <v>3801</v>
      </c>
    </row>
    <row r="100" spans="1:2" x14ac:dyDescent="0.25">
      <c r="A100">
        <v>98</v>
      </c>
      <c r="B100" t="s">
        <v>3802</v>
      </c>
    </row>
    <row r="101" spans="1:2" x14ac:dyDescent="0.25">
      <c r="A101">
        <v>99</v>
      </c>
      <c r="B101" t="s">
        <v>3803</v>
      </c>
    </row>
    <row r="102" spans="1:2" x14ac:dyDescent="0.25">
      <c r="A102">
        <v>100</v>
      </c>
      <c r="B102" t="s">
        <v>3804</v>
      </c>
    </row>
    <row r="103" spans="1:2" x14ac:dyDescent="0.25">
      <c r="A103">
        <v>101</v>
      </c>
      <c r="B103" t="s">
        <v>3805</v>
      </c>
    </row>
    <row r="104" spans="1:2" x14ac:dyDescent="0.25">
      <c r="A104">
        <v>102</v>
      </c>
      <c r="B104" t="s">
        <v>3806</v>
      </c>
    </row>
    <row r="105" spans="1:2" x14ac:dyDescent="0.25">
      <c r="A105">
        <v>103</v>
      </c>
      <c r="B105" t="s">
        <v>3807</v>
      </c>
    </row>
    <row r="106" spans="1:2" x14ac:dyDescent="0.25">
      <c r="A106">
        <v>104</v>
      </c>
      <c r="B106" t="s">
        <v>3808</v>
      </c>
    </row>
    <row r="107" spans="1:2" x14ac:dyDescent="0.25">
      <c r="A107">
        <v>105</v>
      </c>
      <c r="B107" t="s">
        <v>3809</v>
      </c>
    </row>
    <row r="108" spans="1:2" x14ac:dyDescent="0.25">
      <c r="A108">
        <v>106</v>
      </c>
      <c r="B108" t="s">
        <v>3810</v>
      </c>
    </row>
    <row r="109" spans="1:2" x14ac:dyDescent="0.25">
      <c r="A109">
        <v>107</v>
      </c>
      <c r="B109" t="s">
        <v>3811</v>
      </c>
    </row>
    <row r="110" spans="1:2" x14ac:dyDescent="0.25">
      <c r="A110">
        <v>108</v>
      </c>
      <c r="B110" t="s">
        <v>3812</v>
      </c>
    </row>
    <row r="111" spans="1:2" x14ac:dyDescent="0.25">
      <c r="A111">
        <v>109</v>
      </c>
      <c r="B111" t="s">
        <v>3813</v>
      </c>
    </row>
    <row r="112" spans="1:2" x14ac:dyDescent="0.25">
      <c r="A112">
        <v>110</v>
      </c>
      <c r="B112" t="s">
        <v>3814</v>
      </c>
    </row>
    <row r="113" spans="1:2" x14ac:dyDescent="0.25">
      <c r="A113">
        <v>111</v>
      </c>
      <c r="B113" t="s">
        <v>3815</v>
      </c>
    </row>
    <row r="114" spans="1:2" x14ac:dyDescent="0.25">
      <c r="A114">
        <v>112</v>
      </c>
      <c r="B114" t="s">
        <v>3816</v>
      </c>
    </row>
    <row r="115" spans="1:2" x14ac:dyDescent="0.25">
      <c r="A115">
        <v>113</v>
      </c>
      <c r="B115" t="s">
        <v>3817</v>
      </c>
    </row>
    <row r="116" spans="1:2" x14ac:dyDescent="0.25">
      <c r="A116">
        <v>114</v>
      </c>
      <c r="B116" t="s">
        <v>3818</v>
      </c>
    </row>
    <row r="117" spans="1:2" x14ac:dyDescent="0.25">
      <c r="A117">
        <v>115</v>
      </c>
      <c r="B117" t="s">
        <v>3819</v>
      </c>
    </row>
    <row r="118" spans="1:2" x14ac:dyDescent="0.25">
      <c r="A118">
        <v>116</v>
      </c>
      <c r="B118" t="s">
        <v>3820</v>
      </c>
    </row>
    <row r="119" spans="1:2" x14ac:dyDescent="0.25">
      <c r="A119">
        <v>117</v>
      </c>
      <c r="B119" t="s">
        <v>3821</v>
      </c>
    </row>
    <row r="120" spans="1:2" x14ac:dyDescent="0.25">
      <c r="A120">
        <v>118</v>
      </c>
      <c r="B120" t="s">
        <v>3822</v>
      </c>
    </row>
    <row r="121" spans="1:2" x14ac:dyDescent="0.25">
      <c r="A121">
        <v>119</v>
      </c>
      <c r="B121" t="s">
        <v>3823</v>
      </c>
    </row>
    <row r="122" spans="1:2" x14ac:dyDescent="0.25">
      <c r="A122">
        <v>120</v>
      </c>
      <c r="B122" t="s">
        <v>3824</v>
      </c>
    </row>
    <row r="123" spans="1:2" x14ac:dyDescent="0.25">
      <c r="A123">
        <v>121</v>
      </c>
      <c r="B123" t="s">
        <v>3825</v>
      </c>
    </row>
    <row r="124" spans="1:2" x14ac:dyDescent="0.25">
      <c r="A124">
        <v>122</v>
      </c>
      <c r="B124" t="s">
        <v>3826</v>
      </c>
    </row>
    <row r="125" spans="1:2" x14ac:dyDescent="0.25">
      <c r="A125">
        <v>123</v>
      </c>
      <c r="B125" t="s">
        <v>3827</v>
      </c>
    </row>
    <row r="126" spans="1:2" x14ac:dyDescent="0.25">
      <c r="A126">
        <v>124</v>
      </c>
      <c r="B126" t="s">
        <v>3828</v>
      </c>
    </row>
    <row r="127" spans="1:2" x14ac:dyDescent="0.25">
      <c r="A127">
        <v>125</v>
      </c>
      <c r="B127" t="s">
        <v>3829</v>
      </c>
    </row>
    <row r="128" spans="1:2" x14ac:dyDescent="0.25">
      <c r="A128">
        <v>126</v>
      </c>
      <c r="B128" t="s">
        <v>3830</v>
      </c>
    </row>
    <row r="129" spans="1:2" x14ac:dyDescent="0.25">
      <c r="A129">
        <v>127</v>
      </c>
      <c r="B129" t="s">
        <v>3831</v>
      </c>
    </row>
    <row r="130" spans="1:2" x14ac:dyDescent="0.25">
      <c r="A130">
        <v>128</v>
      </c>
      <c r="B130" t="s">
        <v>3832</v>
      </c>
    </row>
    <row r="131" spans="1:2" x14ac:dyDescent="0.25">
      <c r="A131">
        <v>129</v>
      </c>
      <c r="B131" t="s">
        <v>3833</v>
      </c>
    </row>
    <row r="132" spans="1:2" x14ac:dyDescent="0.25">
      <c r="A132">
        <v>130</v>
      </c>
      <c r="B132" t="s">
        <v>3834</v>
      </c>
    </row>
    <row r="133" spans="1:2" x14ac:dyDescent="0.25">
      <c r="A133">
        <v>131</v>
      </c>
      <c r="B133" t="s">
        <v>3835</v>
      </c>
    </row>
    <row r="134" spans="1:2" x14ac:dyDescent="0.25">
      <c r="A134">
        <v>132</v>
      </c>
      <c r="B134" t="s">
        <v>3836</v>
      </c>
    </row>
    <row r="135" spans="1:2" x14ac:dyDescent="0.25">
      <c r="A135">
        <v>133</v>
      </c>
      <c r="B135" t="s">
        <v>3837</v>
      </c>
    </row>
    <row r="136" spans="1:2" x14ac:dyDescent="0.25">
      <c r="A136">
        <v>134</v>
      </c>
      <c r="B136" t="s">
        <v>3838</v>
      </c>
    </row>
    <row r="137" spans="1:2" x14ac:dyDescent="0.25">
      <c r="A137">
        <v>135</v>
      </c>
      <c r="B137" t="s">
        <v>3839</v>
      </c>
    </row>
    <row r="138" spans="1:2" x14ac:dyDescent="0.25">
      <c r="A138">
        <v>136</v>
      </c>
      <c r="B138" t="s">
        <v>3840</v>
      </c>
    </row>
    <row r="139" spans="1:2" x14ac:dyDescent="0.25">
      <c r="A139">
        <v>137</v>
      </c>
      <c r="B139" t="s">
        <v>3841</v>
      </c>
    </row>
    <row r="140" spans="1:2" x14ac:dyDescent="0.25">
      <c r="A140">
        <v>138</v>
      </c>
      <c r="B140" t="s">
        <v>3842</v>
      </c>
    </row>
    <row r="141" spans="1:2" x14ac:dyDescent="0.25">
      <c r="A141">
        <v>139</v>
      </c>
      <c r="B141" t="s">
        <v>3843</v>
      </c>
    </row>
    <row r="142" spans="1:2" x14ac:dyDescent="0.25">
      <c r="A142">
        <v>140</v>
      </c>
      <c r="B142" t="s">
        <v>3844</v>
      </c>
    </row>
    <row r="143" spans="1:2" x14ac:dyDescent="0.25">
      <c r="A143">
        <v>141</v>
      </c>
      <c r="B143" t="s">
        <v>3845</v>
      </c>
    </row>
    <row r="144" spans="1:2" x14ac:dyDescent="0.25">
      <c r="A144">
        <v>142</v>
      </c>
      <c r="B144" t="s">
        <v>3846</v>
      </c>
    </row>
    <row r="145" spans="1:2" x14ac:dyDescent="0.25">
      <c r="A145">
        <v>143</v>
      </c>
      <c r="B145" t="s">
        <v>3847</v>
      </c>
    </row>
    <row r="146" spans="1:2" x14ac:dyDescent="0.25">
      <c r="A146">
        <v>144</v>
      </c>
      <c r="B146" t="s">
        <v>3848</v>
      </c>
    </row>
    <row r="147" spans="1:2" x14ac:dyDescent="0.25">
      <c r="A147">
        <v>145</v>
      </c>
      <c r="B147" t="s">
        <v>3849</v>
      </c>
    </row>
    <row r="148" spans="1:2" x14ac:dyDescent="0.25">
      <c r="A148">
        <v>146</v>
      </c>
      <c r="B148" t="s">
        <v>3850</v>
      </c>
    </row>
    <row r="149" spans="1:2" x14ac:dyDescent="0.25">
      <c r="A149">
        <v>147</v>
      </c>
      <c r="B149" t="s">
        <v>3851</v>
      </c>
    </row>
    <row r="150" spans="1:2" x14ac:dyDescent="0.25">
      <c r="A150">
        <v>148</v>
      </c>
      <c r="B150" t="s">
        <v>3852</v>
      </c>
    </row>
    <row r="151" spans="1:2" x14ac:dyDescent="0.25">
      <c r="A151">
        <v>149</v>
      </c>
      <c r="B151" t="s">
        <v>3853</v>
      </c>
    </row>
    <row r="152" spans="1:2" x14ac:dyDescent="0.25">
      <c r="A152">
        <v>150</v>
      </c>
      <c r="B152" t="s">
        <v>3854</v>
      </c>
    </row>
    <row r="153" spans="1:2" x14ac:dyDescent="0.25">
      <c r="A153">
        <v>151</v>
      </c>
      <c r="B153" t="s">
        <v>3855</v>
      </c>
    </row>
    <row r="154" spans="1:2" x14ac:dyDescent="0.25">
      <c r="A154">
        <v>152</v>
      </c>
      <c r="B154" t="s">
        <v>3856</v>
      </c>
    </row>
    <row r="155" spans="1:2" x14ac:dyDescent="0.25">
      <c r="A155">
        <v>153</v>
      </c>
      <c r="B155" t="s">
        <v>3857</v>
      </c>
    </row>
    <row r="156" spans="1:2" x14ac:dyDescent="0.25">
      <c r="A156">
        <v>154</v>
      </c>
      <c r="B156" t="s">
        <v>3858</v>
      </c>
    </row>
    <row r="157" spans="1:2" x14ac:dyDescent="0.25">
      <c r="A157">
        <v>155</v>
      </c>
      <c r="B157" t="s">
        <v>3859</v>
      </c>
    </row>
    <row r="158" spans="1:2" x14ac:dyDescent="0.25">
      <c r="A158">
        <v>156</v>
      </c>
      <c r="B158" t="s">
        <v>3860</v>
      </c>
    </row>
    <row r="159" spans="1:2" x14ac:dyDescent="0.25">
      <c r="A159">
        <v>157</v>
      </c>
      <c r="B159" t="s">
        <v>3861</v>
      </c>
    </row>
    <row r="160" spans="1:2" x14ac:dyDescent="0.25">
      <c r="A160">
        <v>158</v>
      </c>
      <c r="B160" t="s">
        <v>3862</v>
      </c>
    </row>
    <row r="161" spans="1:2" x14ac:dyDescent="0.25">
      <c r="A161">
        <v>159</v>
      </c>
      <c r="B161" t="s">
        <v>3863</v>
      </c>
    </row>
    <row r="162" spans="1:2" x14ac:dyDescent="0.25">
      <c r="A162">
        <v>160</v>
      </c>
      <c r="B162" t="s">
        <v>3864</v>
      </c>
    </row>
    <row r="163" spans="1:2" x14ac:dyDescent="0.25">
      <c r="A163">
        <v>161</v>
      </c>
      <c r="B163" t="s">
        <v>3865</v>
      </c>
    </row>
    <row r="164" spans="1:2" x14ac:dyDescent="0.25">
      <c r="A164">
        <v>162</v>
      </c>
      <c r="B164" t="s">
        <v>3866</v>
      </c>
    </row>
    <row r="165" spans="1:2" x14ac:dyDescent="0.25">
      <c r="A165">
        <v>163</v>
      </c>
      <c r="B165" t="s">
        <v>3867</v>
      </c>
    </row>
    <row r="166" spans="1:2" x14ac:dyDescent="0.25">
      <c r="A166">
        <v>164</v>
      </c>
      <c r="B166" t="s">
        <v>3868</v>
      </c>
    </row>
    <row r="167" spans="1:2" x14ac:dyDescent="0.25">
      <c r="A167">
        <v>165</v>
      </c>
      <c r="B167" t="s">
        <v>3869</v>
      </c>
    </row>
    <row r="168" spans="1:2" x14ac:dyDescent="0.25">
      <c r="A168">
        <v>166</v>
      </c>
      <c r="B168" t="s">
        <v>3870</v>
      </c>
    </row>
    <row r="169" spans="1:2" x14ac:dyDescent="0.25">
      <c r="A169">
        <v>167</v>
      </c>
      <c r="B169" t="s">
        <v>3871</v>
      </c>
    </row>
    <row r="170" spans="1:2" x14ac:dyDescent="0.25">
      <c r="A170">
        <v>168</v>
      </c>
      <c r="B170" t="s">
        <v>3872</v>
      </c>
    </row>
    <row r="171" spans="1:2" x14ac:dyDescent="0.25">
      <c r="A171">
        <v>169</v>
      </c>
      <c r="B171" t="s">
        <v>3873</v>
      </c>
    </row>
    <row r="172" spans="1:2" x14ac:dyDescent="0.25">
      <c r="A172">
        <v>170</v>
      </c>
      <c r="B172" t="s">
        <v>3874</v>
      </c>
    </row>
    <row r="173" spans="1:2" x14ac:dyDescent="0.25">
      <c r="A173">
        <v>171</v>
      </c>
      <c r="B173" t="s">
        <v>3875</v>
      </c>
    </row>
    <row r="174" spans="1:2" x14ac:dyDescent="0.25">
      <c r="A174">
        <v>172</v>
      </c>
      <c r="B174" t="s">
        <v>3876</v>
      </c>
    </row>
    <row r="175" spans="1:2" x14ac:dyDescent="0.25">
      <c r="A175">
        <v>173</v>
      </c>
      <c r="B175" t="s">
        <v>3877</v>
      </c>
    </row>
    <row r="176" spans="1:2" x14ac:dyDescent="0.25">
      <c r="A176">
        <v>174</v>
      </c>
      <c r="B176" t="s">
        <v>3878</v>
      </c>
    </row>
    <row r="177" spans="1:2" x14ac:dyDescent="0.25">
      <c r="A177">
        <v>175</v>
      </c>
      <c r="B177" t="s">
        <v>3879</v>
      </c>
    </row>
    <row r="178" spans="1:2" x14ac:dyDescent="0.25">
      <c r="A178">
        <v>176</v>
      </c>
      <c r="B178" t="s">
        <v>3880</v>
      </c>
    </row>
    <row r="179" spans="1:2" x14ac:dyDescent="0.25">
      <c r="A179">
        <v>177</v>
      </c>
      <c r="B179" t="s">
        <v>3881</v>
      </c>
    </row>
    <row r="180" spans="1:2" x14ac:dyDescent="0.25">
      <c r="A180">
        <v>178</v>
      </c>
      <c r="B180" t="s">
        <v>3882</v>
      </c>
    </row>
    <row r="181" spans="1:2" x14ac:dyDescent="0.25">
      <c r="A181">
        <v>179</v>
      </c>
      <c r="B181" t="s">
        <v>3883</v>
      </c>
    </row>
    <row r="182" spans="1:2" x14ac:dyDescent="0.25">
      <c r="A182">
        <v>180</v>
      </c>
      <c r="B182" t="s">
        <v>3884</v>
      </c>
    </row>
    <row r="183" spans="1:2" x14ac:dyDescent="0.25">
      <c r="A183">
        <v>181</v>
      </c>
      <c r="B183" t="s">
        <v>3885</v>
      </c>
    </row>
    <row r="184" spans="1:2" x14ac:dyDescent="0.25">
      <c r="A184">
        <v>182</v>
      </c>
      <c r="B184" t="s">
        <v>3886</v>
      </c>
    </row>
    <row r="185" spans="1:2" x14ac:dyDescent="0.25">
      <c r="A185">
        <v>183</v>
      </c>
      <c r="B185" t="s">
        <v>3887</v>
      </c>
    </row>
    <row r="186" spans="1:2" x14ac:dyDescent="0.25">
      <c r="A186">
        <v>184</v>
      </c>
      <c r="B186" t="s">
        <v>3888</v>
      </c>
    </row>
    <row r="187" spans="1:2" x14ac:dyDescent="0.25">
      <c r="A187">
        <v>185</v>
      </c>
      <c r="B187" t="s">
        <v>3889</v>
      </c>
    </row>
    <row r="188" spans="1:2" x14ac:dyDescent="0.25">
      <c r="A188">
        <v>186</v>
      </c>
      <c r="B188" t="s">
        <v>3890</v>
      </c>
    </row>
    <row r="189" spans="1:2" x14ac:dyDescent="0.25">
      <c r="A189">
        <v>187</v>
      </c>
      <c r="B189" t="s">
        <v>3891</v>
      </c>
    </row>
    <row r="190" spans="1:2" x14ac:dyDescent="0.25">
      <c r="A190">
        <v>188</v>
      </c>
      <c r="B190" t="s">
        <v>3892</v>
      </c>
    </row>
    <row r="191" spans="1:2" x14ac:dyDescent="0.25">
      <c r="A191">
        <v>189</v>
      </c>
      <c r="B191" t="s">
        <v>3893</v>
      </c>
    </row>
    <row r="192" spans="1:2" x14ac:dyDescent="0.25">
      <c r="A192">
        <v>190</v>
      </c>
      <c r="B192" t="s">
        <v>3894</v>
      </c>
    </row>
    <row r="193" spans="1:2" x14ac:dyDescent="0.25">
      <c r="A193">
        <v>191</v>
      </c>
      <c r="B193" t="s">
        <v>3895</v>
      </c>
    </row>
    <row r="194" spans="1:2" x14ac:dyDescent="0.25">
      <c r="A194">
        <v>192</v>
      </c>
      <c r="B194" t="s">
        <v>3896</v>
      </c>
    </row>
    <row r="195" spans="1:2" x14ac:dyDescent="0.25">
      <c r="A195">
        <v>193</v>
      </c>
      <c r="B195" t="s">
        <v>3897</v>
      </c>
    </row>
    <row r="196" spans="1:2" x14ac:dyDescent="0.25">
      <c r="A196">
        <v>194</v>
      </c>
      <c r="B196" t="s">
        <v>3898</v>
      </c>
    </row>
    <row r="197" spans="1:2" x14ac:dyDescent="0.25">
      <c r="A197">
        <v>195</v>
      </c>
      <c r="B197" t="s">
        <v>3899</v>
      </c>
    </row>
    <row r="198" spans="1:2" x14ac:dyDescent="0.25">
      <c r="A198">
        <v>196</v>
      </c>
      <c r="B198" t="s">
        <v>3900</v>
      </c>
    </row>
    <row r="199" spans="1:2" x14ac:dyDescent="0.25">
      <c r="A199">
        <v>197</v>
      </c>
      <c r="B199" t="s">
        <v>3901</v>
      </c>
    </row>
    <row r="200" spans="1:2" x14ac:dyDescent="0.25">
      <c r="A200">
        <v>198</v>
      </c>
      <c r="B200" t="s">
        <v>3902</v>
      </c>
    </row>
    <row r="201" spans="1:2" x14ac:dyDescent="0.25">
      <c r="A201">
        <v>199</v>
      </c>
      <c r="B201" t="s">
        <v>3903</v>
      </c>
    </row>
    <row r="202" spans="1:2" x14ac:dyDescent="0.25">
      <c r="A202">
        <v>200</v>
      </c>
      <c r="B202" t="s">
        <v>3904</v>
      </c>
    </row>
    <row r="203" spans="1:2" x14ac:dyDescent="0.25">
      <c r="A203">
        <v>201</v>
      </c>
      <c r="B203" t="s">
        <v>3905</v>
      </c>
    </row>
    <row r="204" spans="1:2" x14ac:dyDescent="0.25">
      <c r="A204">
        <v>202</v>
      </c>
      <c r="B204" t="s">
        <v>3906</v>
      </c>
    </row>
    <row r="205" spans="1:2" x14ac:dyDescent="0.25">
      <c r="A205">
        <v>203</v>
      </c>
      <c r="B205" t="s">
        <v>3907</v>
      </c>
    </row>
    <row r="206" spans="1:2" x14ac:dyDescent="0.25">
      <c r="A206">
        <v>204</v>
      </c>
      <c r="B206" t="s">
        <v>3908</v>
      </c>
    </row>
    <row r="207" spans="1:2" x14ac:dyDescent="0.25">
      <c r="A207">
        <v>205</v>
      </c>
      <c r="B207" t="s">
        <v>3909</v>
      </c>
    </row>
    <row r="208" spans="1:2" x14ac:dyDescent="0.25">
      <c r="A208">
        <v>206</v>
      </c>
      <c r="B208" t="s">
        <v>3910</v>
      </c>
    </row>
    <row r="209" spans="1:2" x14ac:dyDescent="0.25">
      <c r="A209">
        <v>207</v>
      </c>
      <c r="B209" t="s">
        <v>3911</v>
      </c>
    </row>
    <row r="210" spans="1:2" x14ac:dyDescent="0.25">
      <c r="A210">
        <v>208</v>
      </c>
      <c r="B210" t="s">
        <v>3912</v>
      </c>
    </row>
    <row r="211" spans="1:2" x14ac:dyDescent="0.25">
      <c r="A211">
        <v>209</v>
      </c>
    </row>
    <row r="212" spans="1:2" x14ac:dyDescent="0.25">
      <c r="A212">
        <v>210</v>
      </c>
      <c r="B212" t="s">
        <v>2997</v>
      </c>
    </row>
    <row r="213" spans="1:2" x14ac:dyDescent="0.25">
      <c r="A213">
        <v>211</v>
      </c>
      <c r="B213" t="s">
        <v>2997</v>
      </c>
    </row>
    <row r="214" spans="1:2" x14ac:dyDescent="0.25">
      <c r="A214">
        <v>212</v>
      </c>
      <c r="B214" t="s">
        <v>2997</v>
      </c>
    </row>
    <row r="215" spans="1:2" x14ac:dyDescent="0.25">
      <c r="A215">
        <v>213</v>
      </c>
      <c r="B215" t="s">
        <v>3913</v>
      </c>
    </row>
    <row r="216" spans="1:2" x14ac:dyDescent="0.25">
      <c r="A216">
        <v>214</v>
      </c>
      <c r="B216" t="s">
        <v>3914</v>
      </c>
    </row>
    <row r="217" spans="1:2" x14ac:dyDescent="0.25">
      <c r="A217">
        <v>215</v>
      </c>
      <c r="B217" t="s">
        <v>561</v>
      </c>
    </row>
    <row r="218" spans="1:2" x14ac:dyDescent="0.25">
      <c r="A218">
        <v>216</v>
      </c>
      <c r="B218" t="s">
        <v>3915</v>
      </c>
    </row>
    <row r="219" spans="1:2" x14ac:dyDescent="0.25">
      <c r="A219">
        <v>217</v>
      </c>
      <c r="B219" t="s">
        <v>3916</v>
      </c>
    </row>
    <row r="220" spans="1:2" x14ac:dyDescent="0.25">
      <c r="A220">
        <v>218</v>
      </c>
      <c r="B220" t="s">
        <v>3917</v>
      </c>
    </row>
    <row r="221" spans="1:2" x14ac:dyDescent="0.25">
      <c r="A221">
        <v>219</v>
      </c>
      <c r="B221" t="s">
        <v>3918</v>
      </c>
    </row>
    <row r="222" spans="1:2" x14ac:dyDescent="0.25">
      <c r="A222">
        <v>220</v>
      </c>
      <c r="B222" t="s">
        <v>3919</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3920</v>
      </c>
    </row>
    <row r="228" spans="1:2" x14ac:dyDescent="0.25">
      <c r="A228">
        <v>226</v>
      </c>
      <c r="B228" t="s">
        <v>3921</v>
      </c>
    </row>
    <row r="229" spans="1:2" x14ac:dyDescent="0.25">
      <c r="A229">
        <v>227</v>
      </c>
      <c r="B229" t="s">
        <v>3922</v>
      </c>
    </row>
    <row r="230" spans="1:2" x14ac:dyDescent="0.25">
      <c r="A230">
        <v>228</v>
      </c>
    </row>
    <row r="231" spans="1:2" x14ac:dyDescent="0.25">
      <c r="A231">
        <v>229</v>
      </c>
      <c r="B231" t="s">
        <v>3923</v>
      </c>
    </row>
    <row r="232" spans="1:2" x14ac:dyDescent="0.25">
      <c r="A232">
        <v>230</v>
      </c>
      <c r="B232" t="s">
        <v>3924</v>
      </c>
    </row>
    <row r="233" spans="1:2" x14ac:dyDescent="0.25">
      <c r="A233">
        <v>231</v>
      </c>
      <c r="B233" t="s">
        <v>3925</v>
      </c>
    </row>
    <row r="234" spans="1:2" x14ac:dyDescent="0.25">
      <c r="A234">
        <v>232</v>
      </c>
      <c r="B234" t="s">
        <v>3926</v>
      </c>
    </row>
    <row r="235" spans="1:2" x14ac:dyDescent="0.25">
      <c r="A235">
        <v>233</v>
      </c>
      <c r="B235" t="s">
        <v>3927</v>
      </c>
    </row>
    <row r="236" spans="1:2" x14ac:dyDescent="0.25">
      <c r="A236">
        <v>234</v>
      </c>
      <c r="B236" t="s">
        <v>3928</v>
      </c>
    </row>
    <row r="237" spans="1:2" x14ac:dyDescent="0.25">
      <c r="A237">
        <v>235</v>
      </c>
      <c r="B237" t="s">
        <v>3929</v>
      </c>
    </row>
    <row r="238" spans="1:2" x14ac:dyDescent="0.25">
      <c r="A238">
        <v>236</v>
      </c>
      <c r="B238" t="s">
        <v>3930</v>
      </c>
    </row>
    <row r="239" spans="1:2" x14ac:dyDescent="0.25">
      <c r="A239">
        <v>237</v>
      </c>
      <c r="B239" t="s">
        <v>3347</v>
      </c>
    </row>
    <row r="240" spans="1:2" x14ac:dyDescent="0.25">
      <c r="A240">
        <v>238</v>
      </c>
      <c r="B240" t="s">
        <v>3348</v>
      </c>
    </row>
    <row r="241" spans="1:2" x14ac:dyDescent="0.25">
      <c r="A241">
        <v>239</v>
      </c>
      <c r="B241" t="s">
        <v>3349</v>
      </c>
    </row>
    <row r="242" spans="1:2" x14ac:dyDescent="0.25">
      <c r="A242">
        <v>240</v>
      </c>
      <c r="B242" t="s">
        <v>3350</v>
      </c>
    </row>
    <row r="243" spans="1:2" x14ac:dyDescent="0.25">
      <c r="A243">
        <v>241</v>
      </c>
      <c r="B243" t="s">
        <v>3351</v>
      </c>
    </row>
    <row r="244" spans="1:2" x14ac:dyDescent="0.25">
      <c r="A244">
        <v>242</v>
      </c>
      <c r="B244" t="s">
        <v>3352</v>
      </c>
    </row>
    <row r="245" spans="1:2" x14ac:dyDescent="0.25">
      <c r="A245">
        <v>243</v>
      </c>
      <c r="B245" t="s">
        <v>3353</v>
      </c>
    </row>
    <row r="246" spans="1:2" x14ac:dyDescent="0.25">
      <c r="A246">
        <v>244</v>
      </c>
      <c r="B246" t="s">
        <v>3354</v>
      </c>
    </row>
    <row r="247" spans="1:2" x14ac:dyDescent="0.25">
      <c r="A247">
        <v>245</v>
      </c>
      <c r="B247" t="s">
        <v>3355</v>
      </c>
    </row>
    <row r="248" spans="1:2" x14ac:dyDescent="0.25">
      <c r="A248">
        <v>246</v>
      </c>
      <c r="B248" t="s">
        <v>3356</v>
      </c>
    </row>
    <row r="249" spans="1:2" x14ac:dyDescent="0.25">
      <c r="A249">
        <v>247</v>
      </c>
      <c r="B249" t="s">
        <v>3931</v>
      </c>
    </row>
    <row r="250" spans="1:2" x14ac:dyDescent="0.25">
      <c r="A250">
        <v>248</v>
      </c>
    </row>
    <row r="251" spans="1:2" x14ac:dyDescent="0.25">
      <c r="A251">
        <v>249</v>
      </c>
      <c r="B251" t="s">
        <v>818</v>
      </c>
    </row>
    <row r="252" spans="1:2" x14ac:dyDescent="0.25">
      <c r="A252">
        <v>250</v>
      </c>
      <c r="B252" t="s">
        <v>818</v>
      </c>
    </row>
    <row r="253" spans="1:2" x14ac:dyDescent="0.25">
      <c r="A253">
        <v>251</v>
      </c>
      <c r="B253" t="s">
        <v>3932</v>
      </c>
    </row>
    <row r="254" spans="1:2" x14ac:dyDescent="0.25">
      <c r="A254">
        <v>252</v>
      </c>
      <c r="B254" t="s">
        <v>3933</v>
      </c>
    </row>
    <row r="255" spans="1:2" x14ac:dyDescent="0.25">
      <c r="A255">
        <v>253</v>
      </c>
      <c r="B255" t="s">
        <v>3934</v>
      </c>
    </row>
    <row r="256" spans="1:2" x14ac:dyDescent="0.25">
      <c r="A256">
        <v>254</v>
      </c>
      <c r="B256" t="s">
        <v>3935</v>
      </c>
    </row>
    <row r="257" spans="1:2" x14ac:dyDescent="0.25">
      <c r="A257">
        <v>255</v>
      </c>
      <c r="B257" t="s">
        <v>3936</v>
      </c>
    </row>
    <row r="258" spans="1:2" x14ac:dyDescent="0.25">
      <c r="A258">
        <v>256</v>
      </c>
      <c r="B258" t="s">
        <v>3937</v>
      </c>
    </row>
    <row r="259" spans="1:2" x14ac:dyDescent="0.25">
      <c r="A259">
        <v>257</v>
      </c>
      <c r="B259" t="s">
        <v>3938</v>
      </c>
    </row>
    <row r="260" spans="1:2" x14ac:dyDescent="0.25">
      <c r="A260">
        <v>258</v>
      </c>
      <c r="B260" t="s">
        <v>3939</v>
      </c>
    </row>
    <row r="261" spans="1:2" x14ac:dyDescent="0.25">
      <c r="A261">
        <v>259</v>
      </c>
    </row>
    <row r="262" spans="1:2" x14ac:dyDescent="0.25">
      <c r="A262">
        <v>260</v>
      </c>
      <c r="B262" t="s">
        <v>3940</v>
      </c>
    </row>
    <row r="263" spans="1:2" x14ac:dyDescent="0.25">
      <c r="A263">
        <v>261</v>
      </c>
      <c r="B263" t="s">
        <v>3941</v>
      </c>
    </row>
    <row r="264" spans="1:2" x14ac:dyDescent="0.25">
      <c r="A264">
        <v>262</v>
      </c>
      <c r="B264" t="s">
        <v>3942</v>
      </c>
    </row>
    <row r="265" spans="1:2" x14ac:dyDescent="0.25">
      <c r="A265">
        <v>263</v>
      </c>
      <c r="B265" t="s">
        <v>3943</v>
      </c>
    </row>
    <row r="266" spans="1:2" x14ac:dyDescent="0.25">
      <c r="A266">
        <v>264</v>
      </c>
      <c r="B266" t="s">
        <v>3944</v>
      </c>
    </row>
    <row r="267" spans="1:2" x14ac:dyDescent="0.25">
      <c r="A267">
        <v>265</v>
      </c>
      <c r="B267" t="s">
        <v>3945</v>
      </c>
    </row>
    <row r="268" spans="1:2" x14ac:dyDescent="0.25">
      <c r="A268">
        <v>266</v>
      </c>
      <c r="B268" t="s">
        <v>3946</v>
      </c>
    </row>
    <row r="269" spans="1:2" x14ac:dyDescent="0.25">
      <c r="A269">
        <v>267</v>
      </c>
      <c r="B269" t="s">
        <v>3947</v>
      </c>
    </row>
    <row r="270" spans="1:2" x14ac:dyDescent="0.25">
      <c r="A270">
        <v>268</v>
      </c>
      <c r="B270" t="s">
        <v>3948</v>
      </c>
    </row>
    <row r="271" spans="1:2" x14ac:dyDescent="0.25">
      <c r="A271">
        <v>269</v>
      </c>
      <c r="B271" t="s">
        <v>3949</v>
      </c>
    </row>
    <row r="272" spans="1:2" x14ac:dyDescent="0.25">
      <c r="A272">
        <v>270</v>
      </c>
      <c r="B272" t="s">
        <v>416</v>
      </c>
    </row>
    <row r="273" spans="1:2" x14ac:dyDescent="0.25">
      <c r="A273">
        <v>271</v>
      </c>
    </row>
    <row r="274" spans="1:2" x14ac:dyDescent="0.25">
      <c r="A274">
        <v>272</v>
      </c>
      <c r="B274" t="s">
        <v>3950</v>
      </c>
    </row>
    <row r="275" spans="1:2" x14ac:dyDescent="0.25">
      <c r="A275">
        <v>273</v>
      </c>
      <c r="B275" t="s">
        <v>3951</v>
      </c>
    </row>
    <row r="276" spans="1:2" x14ac:dyDescent="0.25">
      <c r="A276">
        <v>274</v>
      </c>
      <c r="B276" t="s">
        <v>3952</v>
      </c>
    </row>
    <row r="277" spans="1:2" x14ac:dyDescent="0.25">
      <c r="A277">
        <v>275</v>
      </c>
      <c r="B277" t="s">
        <v>3953</v>
      </c>
    </row>
    <row r="278" spans="1:2" x14ac:dyDescent="0.25">
      <c r="A278">
        <v>276</v>
      </c>
      <c r="B278" t="s">
        <v>3954</v>
      </c>
    </row>
    <row r="279" spans="1:2" x14ac:dyDescent="0.25">
      <c r="A279">
        <v>277</v>
      </c>
      <c r="B279" t="s">
        <v>3955</v>
      </c>
    </row>
    <row r="280" spans="1:2" x14ac:dyDescent="0.25">
      <c r="A280">
        <v>278</v>
      </c>
      <c r="B280" t="s">
        <v>3956</v>
      </c>
    </row>
    <row r="281" spans="1:2" x14ac:dyDescent="0.25">
      <c r="A281">
        <v>279</v>
      </c>
      <c r="B281" t="s">
        <v>3957</v>
      </c>
    </row>
    <row r="282" spans="1:2" x14ac:dyDescent="0.25">
      <c r="A282">
        <v>280</v>
      </c>
      <c r="B282" t="s">
        <v>3958</v>
      </c>
    </row>
    <row r="283" spans="1:2" x14ac:dyDescent="0.25">
      <c r="A283">
        <v>281</v>
      </c>
      <c r="B283" t="s">
        <v>3959</v>
      </c>
    </row>
    <row r="284" spans="1:2" x14ac:dyDescent="0.25">
      <c r="A284">
        <v>282</v>
      </c>
      <c r="B284" t="s">
        <v>3960</v>
      </c>
    </row>
    <row r="285" spans="1:2" x14ac:dyDescent="0.25">
      <c r="A285">
        <v>283</v>
      </c>
    </row>
    <row r="286" spans="1:2" x14ac:dyDescent="0.25">
      <c r="A286">
        <v>284</v>
      </c>
      <c r="B286" t="s">
        <v>3961</v>
      </c>
    </row>
    <row r="287" spans="1:2" x14ac:dyDescent="0.25">
      <c r="A287">
        <v>285</v>
      </c>
      <c r="B287" t="s">
        <v>2658</v>
      </c>
    </row>
    <row r="288" spans="1:2" x14ac:dyDescent="0.25">
      <c r="A288">
        <v>286</v>
      </c>
      <c r="B288" t="s">
        <v>2657</v>
      </c>
    </row>
    <row r="289" spans="1:2" x14ac:dyDescent="0.25">
      <c r="A289">
        <v>287</v>
      </c>
      <c r="B289" t="s">
        <v>2656</v>
      </c>
    </row>
    <row r="290" spans="1:2" x14ac:dyDescent="0.25">
      <c r="A290">
        <v>288</v>
      </c>
      <c r="B290" t="s">
        <v>2659</v>
      </c>
    </row>
    <row r="291" spans="1:2" x14ac:dyDescent="0.25">
      <c r="A291">
        <v>289</v>
      </c>
      <c r="B291" t="s">
        <v>2661</v>
      </c>
    </row>
    <row r="292" spans="1:2" x14ac:dyDescent="0.25">
      <c r="A292">
        <v>290</v>
      </c>
      <c r="B292" t="s">
        <v>2660</v>
      </c>
    </row>
    <row r="293" spans="1:2" x14ac:dyDescent="0.25">
      <c r="A293">
        <v>291</v>
      </c>
      <c r="B293" t="s">
        <v>2663</v>
      </c>
    </row>
    <row r="294" spans="1:2" x14ac:dyDescent="0.25">
      <c r="A294">
        <v>292</v>
      </c>
      <c r="B294" t="s">
        <v>2662</v>
      </c>
    </row>
    <row r="295" spans="1:2" x14ac:dyDescent="0.25">
      <c r="A295">
        <v>293</v>
      </c>
      <c r="B295" t="s">
        <v>2664</v>
      </c>
    </row>
    <row r="296" spans="1:2" x14ac:dyDescent="0.25">
      <c r="A296">
        <v>294</v>
      </c>
      <c r="B296" t="s">
        <v>2593</v>
      </c>
    </row>
    <row r="297" spans="1:2" x14ac:dyDescent="0.25">
      <c r="A297">
        <v>295</v>
      </c>
      <c r="B297" t="s">
        <v>2602</v>
      </c>
    </row>
    <row r="298" spans="1:2" x14ac:dyDescent="0.25">
      <c r="A298">
        <v>296</v>
      </c>
      <c r="B298" t="s">
        <v>2594</v>
      </c>
    </row>
    <row r="299" spans="1:2" x14ac:dyDescent="0.25">
      <c r="A299">
        <v>297</v>
      </c>
      <c r="B299" t="s">
        <v>2586</v>
      </c>
    </row>
    <row r="300" spans="1:2" x14ac:dyDescent="0.25">
      <c r="A300">
        <v>298</v>
      </c>
      <c r="B300" t="s">
        <v>2601</v>
      </c>
    </row>
    <row r="301" spans="1:2" x14ac:dyDescent="0.25">
      <c r="A301">
        <v>299</v>
      </c>
      <c r="B301" t="s">
        <v>2605</v>
      </c>
    </row>
    <row r="302" spans="1:2" x14ac:dyDescent="0.25">
      <c r="A302">
        <v>300</v>
      </c>
      <c r="B302" t="s">
        <v>2597</v>
      </c>
    </row>
    <row r="303" spans="1:2" x14ac:dyDescent="0.25">
      <c r="A303">
        <v>301</v>
      </c>
      <c r="B303" t="s">
        <v>2598</v>
      </c>
    </row>
    <row r="304" spans="1:2" x14ac:dyDescent="0.25">
      <c r="A304">
        <v>302</v>
      </c>
      <c r="B304" t="s">
        <v>2589</v>
      </c>
    </row>
    <row r="305" spans="1:2" x14ac:dyDescent="0.25">
      <c r="A305">
        <v>303</v>
      </c>
      <c r="B305" t="s">
        <v>2590</v>
      </c>
    </row>
    <row r="306" spans="1:2" x14ac:dyDescent="0.25">
      <c r="A306">
        <v>304</v>
      </c>
      <c r="B306" t="s">
        <v>2592</v>
      </c>
    </row>
    <row r="307" spans="1:2" x14ac:dyDescent="0.25">
      <c r="A307">
        <v>305</v>
      </c>
      <c r="B307" t="s">
        <v>2603</v>
      </c>
    </row>
    <row r="308" spans="1:2" x14ac:dyDescent="0.25">
      <c r="A308">
        <v>306</v>
      </c>
      <c r="B308" t="s">
        <v>2595</v>
      </c>
    </row>
    <row r="309" spans="1:2" x14ac:dyDescent="0.25">
      <c r="A309">
        <v>307</v>
      </c>
      <c r="B309" t="s">
        <v>2587</v>
      </c>
    </row>
    <row r="310" spans="1:2" x14ac:dyDescent="0.25">
      <c r="A310">
        <v>308</v>
      </c>
    </row>
    <row r="311" spans="1:2" x14ac:dyDescent="0.25">
      <c r="A311">
        <v>309</v>
      </c>
      <c r="B311" t="s">
        <v>2600</v>
      </c>
    </row>
    <row r="312" spans="1:2" x14ac:dyDescent="0.25">
      <c r="A312">
        <v>310</v>
      </c>
      <c r="B312" t="s">
        <v>2604</v>
      </c>
    </row>
    <row r="313" spans="1:2" x14ac:dyDescent="0.25">
      <c r="A313">
        <v>311</v>
      </c>
      <c r="B313" t="s">
        <v>2596</v>
      </c>
    </row>
    <row r="314" spans="1:2" x14ac:dyDescent="0.25">
      <c r="A314">
        <v>312</v>
      </c>
      <c r="B314" t="s">
        <v>2599</v>
      </c>
    </row>
    <row r="315" spans="1:2" x14ac:dyDescent="0.25">
      <c r="A315">
        <v>313</v>
      </c>
      <c r="B315" t="s">
        <v>2588</v>
      </c>
    </row>
    <row r="316" spans="1:2" x14ac:dyDescent="0.25">
      <c r="A316">
        <v>314</v>
      </c>
      <c r="B316" t="s">
        <v>2591</v>
      </c>
    </row>
    <row r="317" spans="1:2" x14ac:dyDescent="0.25">
      <c r="A317">
        <v>315</v>
      </c>
      <c r="B317" t="s">
        <v>2612</v>
      </c>
    </row>
    <row r="318" spans="1:2" x14ac:dyDescent="0.25">
      <c r="A318">
        <v>316</v>
      </c>
      <c r="B318" t="s">
        <v>2607</v>
      </c>
    </row>
    <row r="319" spans="1:2" x14ac:dyDescent="0.25">
      <c r="A319">
        <v>317</v>
      </c>
      <c r="B319" t="s">
        <v>2611</v>
      </c>
    </row>
    <row r="320" spans="1:2" x14ac:dyDescent="0.25">
      <c r="A320">
        <v>318</v>
      </c>
      <c r="B320" t="s">
        <v>2615</v>
      </c>
    </row>
    <row r="321" spans="1:2" x14ac:dyDescent="0.25">
      <c r="A321">
        <v>319</v>
      </c>
      <c r="B321" t="s">
        <v>2608</v>
      </c>
    </row>
    <row r="322" spans="1:2" x14ac:dyDescent="0.25">
      <c r="A322">
        <v>320</v>
      </c>
      <c r="B322" t="s">
        <v>2606</v>
      </c>
    </row>
    <row r="323" spans="1:2" x14ac:dyDescent="0.25">
      <c r="A323">
        <v>321</v>
      </c>
      <c r="B323" t="s">
        <v>2610</v>
      </c>
    </row>
    <row r="324" spans="1:2" x14ac:dyDescent="0.25">
      <c r="A324">
        <v>322</v>
      </c>
      <c r="B324" t="s">
        <v>2609</v>
      </c>
    </row>
    <row r="325" spans="1:2" x14ac:dyDescent="0.25">
      <c r="A325">
        <v>323</v>
      </c>
      <c r="B325" t="s">
        <v>2614</v>
      </c>
    </row>
    <row r="326" spans="1:2" x14ac:dyDescent="0.25">
      <c r="A326">
        <v>324</v>
      </c>
      <c r="B326" t="s">
        <v>2613</v>
      </c>
    </row>
    <row r="327" spans="1:2" x14ac:dyDescent="0.25">
      <c r="A327">
        <v>325</v>
      </c>
      <c r="B327" t="s">
        <v>2616</v>
      </c>
    </row>
    <row r="328" spans="1:2" x14ac:dyDescent="0.25">
      <c r="A328">
        <v>326</v>
      </c>
      <c r="B328" t="s">
        <v>3962</v>
      </c>
    </row>
    <row r="329" spans="1:2" x14ac:dyDescent="0.25">
      <c r="A329">
        <v>327</v>
      </c>
      <c r="B329" t="s">
        <v>2617</v>
      </c>
    </row>
    <row r="330" spans="1:2" x14ac:dyDescent="0.25">
      <c r="A330">
        <v>328</v>
      </c>
      <c r="B330" t="s">
        <v>3963</v>
      </c>
    </row>
    <row r="331" spans="1:2" x14ac:dyDescent="0.25">
      <c r="A331">
        <v>329</v>
      </c>
      <c r="B331" t="s">
        <v>3964</v>
      </c>
    </row>
    <row r="332" spans="1:2" x14ac:dyDescent="0.25">
      <c r="A332">
        <v>330</v>
      </c>
      <c r="B332" t="s">
        <v>3965</v>
      </c>
    </row>
    <row r="333" spans="1:2" x14ac:dyDescent="0.25">
      <c r="A333">
        <v>331</v>
      </c>
      <c r="B333" t="s">
        <v>3966</v>
      </c>
    </row>
    <row r="334" spans="1:2" x14ac:dyDescent="0.25">
      <c r="A334">
        <v>332</v>
      </c>
      <c r="B334" t="s">
        <v>3967</v>
      </c>
    </row>
    <row r="335" spans="1:2" x14ac:dyDescent="0.25">
      <c r="A335">
        <v>333</v>
      </c>
      <c r="B335" t="s">
        <v>2705</v>
      </c>
    </row>
    <row r="336" spans="1:2" x14ac:dyDescent="0.25">
      <c r="A336">
        <v>334</v>
      </c>
      <c r="B336" t="s">
        <v>2706</v>
      </c>
    </row>
    <row r="337" spans="1:2" x14ac:dyDescent="0.25">
      <c r="A337">
        <v>335</v>
      </c>
      <c r="B337" t="s">
        <v>2708</v>
      </c>
    </row>
    <row r="338" spans="1:2" x14ac:dyDescent="0.25">
      <c r="A338">
        <v>336</v>
      </c>
      <c r="B338" t="s">
        <v>2707</v>
      </c>
    </row>
    <row r="339" spans="1:2" x14ac:dyDescent="0.25">
      <c r="A339">
        <v>337</v>
      </c>
      <c r="B339" t="s">
        <v>3968</v>
      </c>
    </row>
    <row r="340" spans="1:2" x14ac:dyDescent="0.25">
      <c r="A340">
        <v>338</v>
      </c>
      <c r="B340" t="s">
        <v>3969</v>
      </c>
    </row>
    <row r="341" spans="1:2" x14ac:dyDescent="0.25">
      <c r="A341">
        <v>339</v>
      </c>
      <c r="B341" t="s">
        <v>3970</v>
      </c>
    </row>
    <row r="342" spans="1:2" x14ac:dyDescent="0.25">
      <c r="A342">
        <v>340</v>
      </c>
      <c r="B342" t="s">
        <v>3971</v>
      </c>
    </row>
    <row r="343" spans="1:2" x14ac:dyDescent="0.25">
      <c r="A343">
        <v>341</v>
      </c>
      <c r="B343" t="s">
        <v>3972</v>
      </c>
    </row>
    <row r="344" spans="1:2" x14ac:dyDescent="0.25">
      <c r="A344">
        <v>342</v>
      </c>
      <c r="B344" t="s">
        <v>2713</v>
      </c>
    </row>
    <row r="345" spans="1:2" x14ac:dyDescent="0.25">
      <c r="A345">
        <v>343</v>
      </c>
      <c r="B345" t="s">
        <v>2712</v>
      </c>
    </row>
    <row r="346" spans="1:2" x14ac:dyDescent="0.25">
      <c r="A346">
        <v>344</v>
      </c>
      <c r="B346" t="s">
        <v>2715</v>
      </c>
    </row>
    <row r="347" spans="1:2" x14ac:dyDescent="0.25">
      <c r="A347">
        <v>345</v>
      </c>
      <c r="B347" t="s">
        <v>2714</v>
      </c>
    </row>
    <row r="348" spans="1:2" x14ac:dyDescent="0.25">
      <c r="A348">
        <v>346</v>
      </c>
      <c r="B348" t="s">
        <v>3973</v>
      </c>
    </row>
    <row r="349" spans="1:2" x14ac:dyDescent="0.25">
      <c r="A349">
        <v>347</v>
      </c>
      <c r="B349" t="s">
        <v>2741</v>
      </c>
    </row>
    <row r="350" spans="1:2" x14ac:dyDescent="0.25">
      <c r="A350">
        <v>348</v>
      </c>
      <c r="B350" t="s">
        <v>2740</v>
      </c>
    </row>
    <row r="351" spans="1:2" x14ac:dyDescent="0.25">
      <c r="A351">
        <v>349</v>
      </c>
      <c r="B351" t="s">
        <v>3974</v>
      </c>
    </row>
    <row r="352" spans="1:2" x14ac:dyDescent="0.25">
      <c r="A352">
        <v>350</v>
      </c>
      <c r="B352" t="s">
        <v>3975</v>
      </c>
    </row>
    <row r="353" spans="1:2" x14ac:dyDescent="0.25">
      <c r="A353">
        <v>351</v>
      </c>
      <c r="B353" t="s">
        <v>3976</v>
      </c>
    </row>
    <row r="354" spans="1:2" x14ac:dyDescent="0.25">
      <c r="A354">
        <v>352</v>
      </c>
      <c r="B354" t="s">
        <v>3977</v>
      </c>
    </row>
    <row r="355" spans="1:2" x14ac:dyDescent="0.25">
      <c r="A355">
        <v>353</v>
      </c>
      <c r="B355" t="s">
        <v>3978</v>
      </c>
    </row>
    <row r="356" spans="1:2" x14ac:dyDescent="0.25">
      <c r="A356">
        <v>354</v>
      </c>
      <c r="B356" t="s">
        <v>3979</v>
      </c>
    </row>
    <row r="357" spans="1:2" x14ac:dyDescent="0.25">
      <c r="A357">
        <v>355</v>
      </c>
      <c r="B357" t="s">
        <v>3980</v>
      </c>
    </row>
    <row r="358" spans="1:2" x14ac:dyDescent="0.25">
      <c r="A358">
        <v>356</v>
      </c>
      <c r="B358" t="s">
        <v>3981</v>
      </c>
    </row>
    <row r="359" spans="1:2" x14ac:dyDescent="0.25">
      <c r="A359">
        <v>357</v>
      </c>
      <c r="B359" t="s">
        <v>3982</v>
      </c>
    </row>
    <row r="360" spans="1:2" x14ac:dyDescent="0.25">
      <c r="A360">
        <v>358</v>
      </c>
      <c r="B360" t="s">
        <v>3983</v>
      </c>
    </row>
    <row r="361" spans="1:2" x14ac:dyDescent="0.25">
      <c r="A361">
        <v>359</v>
      </c>
      <c r="B361" t="s">
        <v>3984</v>
      </c>
    </row>
    <row r="362" spans="1:2" x14ac:dyDescent="0.25">
      <c r="A362">
        <v>360</v>
      </c>
      <c r="B362" t="s">
        <v>3985</v>
      </c>
    </row>
    <row r="363" spans="1:2" x14ac:dyDescent="0.25">
      <c r="A363">
        <v>361</v>
      </c>
      <c r="B363" t="s">
        <v>2743</v>
      </c>
    </row>
    <row r="364" spans="1:2" x14ac:dyDescent="0.25">
      <c r="A364">
        <v>362</v>
      </c>
      <c r="B364" t="s">
        <v>2742</v>
      </c>
    </row>
    <row r="365" spans="1:2" x14ac:dyDescent="0.25">
      <c r="A365">
        <v>363</v>
      </c>
      <c r="B365" t="s">
        <v>3986</v>
      </c>
    </row>
    <row r="366" spans="1:2" x14ac:dyDescent="0.25">
      <c r="A366">
        <v>364</v>
      </c>
      <c r="B366" t="s">
        <v>3987</v>
      </c>
    </row>
    <row r="367" spans="1:2" x14ac:dyDescent="0.25">
      <c r="A367">
        <v>365</v>
      </c>
      <c r="B367" t="s">
        <v>3988</v>
      </c>
    </row>
    <row r="368" spans="1:2" x14ac:dyDescent="0.25">
      <c r="A368">
        <v>366</v>
      </c>
      <c r="B368" t="s">
        <v>2747</v>
      </c>
    </row>
    <row r="369" spans="1:2" x14ac:dyDescent="0.25">
      <c r="A369">
        <v>367</v>
      </c>
      <c r="B369" t="s">
        <v>2748</v>
      </c>
    </row>
    <row r="370" spans="1:2" x14ac:dyDescent="0.25">
      <c r="A370">
        <v>368</v>
      </c>
      <c r="B370" t="s">
        <v>2749</v>
      </c>
    </row>
    <row r="371" spans="1:2" x14ac:dyDescent="0.25">
      <c r="A371">
        <v>369</v>
      </c>
      <c r="B371" t="s">
        <v>3989</v>
      </c>
    </row>
    <row r="372" spans="1:2" x14ac:dyDescent="0.25">
      <c r="A372">
        <v>370</v>
      </c>
      <c r="B372" t="s">
        <v>3990</v>
      </c>
    </row>
    <row r="373" spans="1:2" x14ac:dyDescent="0.25">
      <c r="A373">
        <v>371</v>
      </c>
      <c r="B373" t="s">
        <v>3991</v>
      </c>
    </row>
    <row r="374" spans="1:2" x14ac:dyDescent="0.25">
      <c r="A374">
        <v>372</v>
      </c>
      <c r="B374" t="s">
        <v>2751</v>
      </c>
    </row>
    <row r="375" spans="1:2" x14ac:dyDescent="0.25">
      <c r="A375">
        <v>373</v>
      </c>
      <c r="B375" t="s">
        <v>2750</v>
      </c>
    </row>
    <row r="376" spans="1:2" x14ac:dyDescent="0.25">
      <c r="A376">
        <v>374</v>
      </c>
      <c r="B376" t="s">
        <v>3992</v>
      </c>
    </row>
    <row r="377" spans="1:2" x14ac:dyDescent="0.25">
      <c r="A377">
        <v>375</v>
      </c>
      <c r="B377" t="s">
        <v>3993</v>
      </c>
    </row>
    <row r="378" spans="1:2" x14ac:dyDescent="0.25">
      <c r="A378">
        <v>376</v>
      </c>
      <c r="B378" t="s">
        <v>3994</v>
      </c>
    </row>
    <row r="379" spans="1:2" x14ac:dyDescent="0.25">
      <c r="A379">
        <v>377</v>
      </c>
      <c r="B379" t="s">
        <v>3995</v>
      </c>
    </row>
    <row r="380" spans="1:2" x14ac:dyDescent="0.25">
      <c r="A380">
        <v>378</v>
      </c>
      <c r="B380" t="s">
        <v>1224</v>
      </c>
    </row>
    <row r="381" spans="1:2" x14ac:dyDescent="0.25">
      <c r="A381">
        <v>379</v>
      </c>
      <c r="B381" t="s">
        <v>3996</v>
      </c>
    </row>
    <row r="382" spans="1:2" x14ac:dyDescent="0.25">
      <c r="A382">
        <v>380</v>
      </c>
      <c r="B382" t="s">
        <v>2783</v>
      </c>
    </row>
    <row r="383" spans="1:2" x14ac:dyDescent="0.25">
      <c r="A383">
        <v>381</v>
      </c>
      <c r="B383" t="s">
        <v>3997</v>
      </c>
    </row>
    <row r="384" spans="1:2" x14ac:dyDescent="0.25">
      <c r="A384">
        <v>382</v>
      </c>
      <c r="B384" t="s">
        <v>3998</v>
      </c>
    </row>
    <row r="385" spans="1:2" x14ac:dyDescent="0.25">
      <c r="A385">
        <v>383</v>
      </c>
      <c r="B385" t="s">
        <v>3999</v>
      </c>
    </row>
    <row r="386" spans="1:2" x14ac:dyDescent="0.25">
      <c r="A386">
        <v>384</v>
      </c>
      <c r="B386" t="s">
        <v>4000</v>
      </c>
    </row>
    <row r="387" spans="1:2" x14ac:dyDescent="0.25">
      <c r="A387">
        <v>385</v>
      </c>
    </row>
    <row r="388" spans="1:2" x14ac:dyDescent="0.25">
      <c r="A388">
        <v>386</v>
      </c>
      <c r="B388" t="s">
        <v>4001</v>
      </c>
    </row>
    <row r="389" spans="1:2" x14ac:dyDescent="0.25">
      <c r="A389">
        <v>387</v>
      </c>
      <c r="B389" t="s">
        <v>4002</v>
      </c>
    </row>
    <row r="390" spans="1:2" x14ac:dyDescent="0.25">
      <c r="A390">
        <v>388</v>
      </c>
      <c r="B390" t="s">
        <v>2782</v>
      </c>
    </row>
    <row r="391" spans="1:2" x14ac:dyDescent="0.25">
      <c r="A391">
        <v>389</v>
      </c>
      <c r="B391" t="s">
        <v>4003</v>
      </c>
    </row>
    <row r="392" spans="1:2" x14ac:dyDescent="0.25">
      <c r="A392">
        <v>390</v>
      </c>
      <c r="B392" t="s">
        <v>4004</v>
      </c>
    </row>
    <row r="393" spans="1:2" x14ac:dyDescent="0.25">
      <c r="A393">
        <v>391</v>
      </c>
      <c r="B393" t="s">
        <v>4005</v>
      </c>
    </row>
    <row r="394" spans="1:2" x14ac:dyDescent="0.25">
      <c r="A394">
        <v>392</v>
      </c>
      <c r="B394" t="s">
        <v>2795</v>
      </c>
    </row>
    <row r="395" spans="1:2" x14ac:dyDescent="0.25">
      <c r="A395">
        <v>393</v>
      </c>
    </row>
    <row r="396" spans="1:2" x14ac:dyDescent="0.25">
      <c r="A396">
        <v>394</v>
      </c>
    </row>
    <row r="397" spans="1:2" x14ac:dyDescent="0.25">
      <c r="A397">
        <v>395</v>
      </c>
      <c r="B397" t="s">
        <v>2796</v>
      </c>
    </row>
    <row r="398" spans="1:2" x14ac:dyDescent="0.25">
      <c r="A398">
        <v>396</v>
      </c>
      <c r="B398" t="s">
        <v>2797</v>
      </c>
    </row>
    <row r="399" spans="1:2" x14ac:dyDescent="0.25">
      <c r="A399">
        <v>397</v>
      </c>
      <c r="B399" t="s">
        <v>4006</v>
      </c>
    </row>
    <row r="400" spans="1:2" x14ac:dyDescent="0.25">
      <c r="A400">
        <v>398</v>
      </c>
      <c r="B400" t="s">
        <v>4007</v>
      </c>
    </row>
    <row r="401" spans="1:2" x14ac:dyDescent="0.25">
      <c r="A401">
        <v>399</v>
      </c>
      <c r="B401" t="s">
        <v>4008</v>
      </c>
    </row>
    <row r="402" spans="1:2" x14ac:dyDescent="0.25">
      <c r="A402">
        <v>400</v>
      </c>
      <c r="B402" t="s">
        <v>2798</v>
      </c>
    </row>
    <row r="403" spans="1:2" x14ac:dyDescent="0.25">
      <c r="A403">
        <v>401</v>
      </c>
      <c r="B403" t="s">
        <v>2799</v>
      </c>
    </row>
    <row r="404" spans="1:2" x14ac:dyDescent="0.25">
      <c r="A404">
        <v>402</v>
      </c>
      <c r="B404" t="s">
        <v>4009</v>
      </c>
    </row>
    <row r="405" spans="1:2" x14ac:dyDescent="0.25">
      <c r="A405">
        <v>403</v>
      </c>
      <c r="B405" t="s">
        <v>4010</v>
      </c>
    </row>
    <row r="406" spans="1:2" x14ac:dyDescent="0.25">
      <c r="A406">
        <v>404</v>
      </c>
      <c r="B406" t="s">
        <v>4011</v>
      </c>
    </row>
    <row r="407" spans="1:2" x14ac:dyDescent="0.25">
      <c r="A407">
        <v>405</v>
      </c>
      <c r="B407" t="s">
        <v>4012</v>
      </c>
    </row>
    <row r="408" spans="1:2" x14ac:dyDescent="0.25">
      <c r="A408">
        <v>406</v>
      </c>
      <c r="B408" t="s">
        <v>4013</v>
      </c>
    </row>
    <row r="409" spans="1:2" x14ac:dyDescent="0.25">
      <c r="A409">
        <v>407</v>
      </c>
      <c r="B409" t="s">
        <v>4014</v>
      </c>
    </row>
    <row r="410" spans="1:2" x14ac:dyDescent="0.25">
      <c r="A410">
        <v>408</v>
      </c>
    </row>
    <row r="411" spans="1:2" x14ac:dyDescent="0.25">
      <c r="A411">
        <v>409</v>
      </c>
      <c r="B411" t="s">
        <v>2817</v>
      </c>
    </row>
    <row r="412" spans="1:2" x14ac:dyDescent="0.25">
      <c r="A412">
        <v>410</v>
      </c>
      <c r="B412" t="s">
        <v>2816</v>
      </c>
    </row>
    <row r="413" spans="1:2" x14ac:dyDescent="0.25">
      <c r="A413">
        <v>411</v>
      </c>
      <c r="B413" t="s">
        <v>4015</v>
      </c>
    </row>
    <row r="414" spans="1:2" x14ac:dyDescent="0.25">
      <c r="A414">
        <v>412</v>
      </c>
      <c r="B414" t="s">
        <v>4016</v>
      </c>
    </row>
    <row r="415" spans="1:2" x14ac:dyDescent="0.25">
      <c r="A415">
        <v>413</v>
      </c>
      <c r="B415" t="s">
        <v>4017</v>
      </c>
    </row>
    <row r="416" spans="1:2" x14ac:dyDescent="0.25">
      <c r="A416">
        <v>414</v>
      </c>
      <c r="B416" t="s">
        <v>4018</v>
      </c>
    </row>
    <row r="417" spans="1:2" x14ac:dyDescent="0.25">
      <c r="A417">
        <v>415</v>
      </c>
      <c r="B417" t="s">
        <v>4019</v>
      </c>
    </row>
    <row r="418" spans="1:2" x14ac:dyDescent="0.25">
      <c r="A418">
        <v>416</v>
      </c>
      <c r="B418" t="s">
        <v>4020</v>
      </c>
    </row>
    <row r="419" spans="1:2" x14ac:dyDescent="0.25">
      <c r="A419">
        <v>417</v>
      </c>
      <c r="B419" t="s">
        <v>4021</v>
      </c>
    </row>
    <row r="420" spans="1:2" x14ac:dyDescent="0.25">
      <c r="A420">
        <v>418</v>
      </c>
      <c r="B420" t="s">
        <v>4022</v>
      </c>
    </row>
    <row r="421" spans="1:2" x14ac:dyDescent="0.25">
      <c r="A421">
        <v>419</v>
      </c>
      <c r="B421" t="s">
        <v>4023</v>
      </c>
    </row>
    <row r="422" spans="1:2" x14ac:dyDescent="0.25">
      <c r="A422">
        <v>420</v>
      </c>
      <c r="B422" t="s">
        <v>4024</v>
      </c>
    </row>
    <row r="423" spans="1:2" x14ac:dyDescent="0.25">
      <c r="A423">
        <v>421</v>
      </c>
      <c r="B423" t="s">
        <v>4025</v>
      </c>
    </row>
    <row r="424" spans="1:2" x14ac:dyDescent="0.25">
      <c r="A424">
        <v>422</v>
      </c>
      <c r="B424" t="s">
        <v>2842</v>
      </c>
    </row>
    <row r="425" spans="1:2" x14ac:dyDescent="0.25">
      <c r="A425">
        <v>423</v>
      </c>
      <c r="B425" t="s">
        <v>2843</v>
      </c>
    </row>
    <row r="426" spans="1:2" x14ac:dyDescent="0.25">
      <c r="A426">
        <v>424</v>
      </c>
      <c r="B426" t="s">
        <v>3530</v>
      </c>
    </row>
    <row r="427" spans="1:2" x14ac:dyDescent="0.25">
      <c r="A427">
        <v>425</v>
      </c>
      <c r="B427" t="s">
        <v>4026</v>
      </c>
    </row>
    <row r="428" spans="1:2" x14ac:dyDescent="0.25">
      <c r="A428">
        <v>426</v>
      </c>
      <c r="B428" t="s">
        <v>4027</v>
      </c>
    </row>
    <row r="429" spans="1:2" x14ac:dyDescent="0.25">
      <c r="A429">
        <v>427</v>
      </c>
      <c r="B429" t="s">
        <v>2846</v>
      </c>
    </row>
    <row r="430" spans="1:2" x14ac:dyDescent="0.25">
      <c r="A430">
        <v>428</v>
      </c>
      <c r="B430" t="s">
        <v>2845</v>
      </c>
    </row>
    <row r="431" spans="1:2" x14ac:dyDescent="0.25">
      <c r="A431">
        <v>429</v>
      </c>
      <c r="B431" t="s">
        <v>4028</v>
      </c>
    </row>
    <row r="432" spans="1:2" x14ac:dyDescent="0.25">
      <c r="A432">
        <v>430</v>
      </c>
      <c r="B432" t="s">
        <v>4029</v>
      </c>
    </row>
    <row r="433" spans="1:2" x14ac:dyDescent="0.25">
      <c r="A433">
        <v>431</v>
      </c>
      <c r="B433" t="s">
        <v>4030</v>
      </c>
    </row>
    <row r="434" spans="1:2" x14ac:dyDescent="0.25">
      <c r="A434">
        <v>432</v>
      </c>
      <c r="B434" t="s">
        <v>4031</v>
      </c>
    </row>
    <row r="435" spans="1:2" x14ac:dyDescent="0.25">
      <c r="A435">
        <v>433</v>
      </c>
      <c r="B435" t="s">
        <v>4032</v>
      </c>
    </row>
    <row r="436" spans="1:2" x14ac:dyDescent="0.25">
      <c r="A436">
        <v>434</v>
      </c>
      <c r="B436" t="s">
        <v>4033</v>
      </c>
    </row>
    <row r="437" spans="1:2" x14ac:dyDescent="0.25">
      <c r="A437">
        <v>435</v>
      </c>
      <c r="B437" t="s">
        <v>4034</v>
      </c>
    </row>
    <row r="438" spans="1:2" x14ac:dyDescent="0.25">
      <c r="A438">
        <v>436</v>
      </c>
      <c r="B438" t="s">
        <v>4035</v>
      </c>
    </row>
    <row r="439" spans="1:2" x14ac:dyDescent="0.25">
      <c r="A439">
        <v>437</v>
      </c>
      <c r="B439" t="s">
        <v>4036</v>
      </c>
    </row>
    <row r="440" spans="1:2" x14ac:dyDescent="0.25">
      <c r="A440">
        <v>438</v>
      </c>
      <c r="B440" t="s">
        <v>2860</v>
      </c>
    </row>
    <row r="441" spans="1:2" x14ac:dyDescent="0.25">
      <c r="A441">
        <v>439</v>
      </c>
      <c r="B441" t="s">
        <v>2861</v>
      </c>
    </row>
    <row r="442" spans="1:2" x14ac:dyDescent="0.25">
      <c r="A442">
        <v>440</v>
      </c>
      <c r="B442" t="s">
        <v>2862</v>
      </c>
    </row>
    <row r="443" spans="1:2" x14ac:dyDescent="0.25">
      <c r="A443">
        <v>441</v>
      </c>
      <c r="B443" t="s">
        <v>3546</v>
      </c>
    </row>
    <row r="444" spans="1:2" x14ac:dyDescent="0.25">
      <c r="A444">
        <v>442</v>
      </c>
      <c r="B444" t="s">
        <v>3547</v>
      </c>
    </row>
    <row r="445" spans="1:2" x14ac:dyDescent="0.25">
      <c r="A445">
        <v>443</v>
      </c>
      <c r="B445" t="s">
        <v>3548</v>
      </c>
    </row>
    <row r="446" spans="1:2" x14ac:dyDescent="0.25">
      <c r="A446">
        <v>444</v>
      </c>
      <c r="B446" t="s">
        <v>3549</v>
      </c>
    </row>
    <row r="447" spans="1:2" x14ac:dyDescent="0.25">
      <c r="A447">
        <v>445</v>
      </c>
      <c r="B447" t="s">
        <v>3550</v>
      </c>
    </row>
    <row r="448" spans="1:2" x14ac:dyDescent="0.25">
      <c r="A448">
        <v>446</v>
      </c>
      <c r="B448" t="s">
        <v>4037</v>
      </c>
    </row>
    <row r="449" spans="1:2" x14ac:dyDescent="0.25">
      <c r="A449">
        <v>447</v>
      </c>
      <c r="B449" t="s">
        <v>3552</v>
      </c>
    </row>
    <row r="450" spans="1:2" x14ac:dyDescent="0.25">
      <c r="A450">
        <v>448</v>
      </c>
      <c r="B450" t="s">
        <v>4038</v>
      </c>
    </row>
    <row r="451" spans="1:2" x14ac:dyDescent="0.25">
      <c r="A451">
        <v>449</v>
      </c>
      <c r="B451" t="s">
        <v>3554</v>
      </c>
    </row>
    <row r="452" spans="1:2" x14ac:dyDescent="0.25">
      <c r="A452">
        <v>450</v>
      </c>
      <c r="B452" t="s">
        <v>4039</v>
      </c>
    </row>
    <row r="453" spans="1:2" x14ac:dyDescent="0.25">
      <c r="A453">
        <v>451</v>
      </c>
      <c r="B453" t="s">
        <v>4040</v>
      </c>
    </row>
    <row r="454" spans="1:2" x14ac:dyDescent="0.25">
      <c r="A454">
        <v>452</v>
      </c>
      <c r="B454" t="s">
        <v>2868</v>
      </c>
    </row>
    <row r="455" spans="1:2" x14ac:dyDescent="0.25">
      <c r="A455">
        <v>453</v>
      </c>
      <c r="B455" t="s">
        <v>2869</v>
      </c>
    </row>
    <row r="456" spans="1:2" x14ac:dyDescent="0.25">
      <c r="A456">
        <v>454</v>
      </c>
      <c r="B456" t="s">
        <v>4041</v>
      </c>
    </row>
    <row r="457" spans="1:2" x14ac:dyDescent="0.25">
      <c r="A457">
        <v>455</v>
      </c>
      <c r="B457" t="s">
        <v>2895</v>
      </c>
    </row>
    <row r="458" spans="1:2" x14ac:dyDescent="0.25">
      <c r="A458">
        <v>456</v>
      </c>
      <c r="B458" t="s">
        <v>2894</v>
      </c>
    </row>
    <row r="459" spans="1:2" x14ac:dyDescent="0.25">
      <c r="A459">
        <v>457</v>
      </c>
      <c r="B459" t="s">
        <v>1511</v>
      </c>
    </row>
    <row r="460" spans="1:2" x14ac:dyDescent="0.25">
      <c r="A460">
        <v>458</v>
      </c>
      <c r="B460" t="s">
        <v>4042</v>
      </c>
    </row>
    <row r="461" spans="1:2" x14ac:dyDescent="0.25">
      <c r="A461">
        <v>459</v>
      </c>
      <c r="B461" t="s">
        <v>4043</v>
      </c>
    </row>
    <row r="462" spans="1:2" x14ac:dyDescent="0.25">
      <c r="A462">
        <v>460</v>
      </c>
      <c r="B462" t="s">
        <v>4044</v>
      </c>
    </row>
    <row r="463" spans="1:2" x14ac:dyDescent="0.25">
      <c r="A463">
        <v>461</v>
      </c>
      <c r="B463" t="s">
        <v>4045</v>
      </c>
    </row>
    <row r="464" spans="1:2" x14ac:dyDescent="0.25">
      <c r="A464">
        <v>462</v>
      </c>
      <c r="B464" t="s">
        <v>4046</v>
      </c>
    </row>
    <row r="465" spans="1:2" x14ac:dyDescent="0.25">
      <c r="A465">
        <v>463</v>
      </c>
      <c r="B465" t="s">
        <v>4047</v>
      </c>
    </row>
    <row r="466" spans="1:2" x14ac:dyDescent="0.25">
      <c r="A466">
        <v>464</v>
      </c>
      <c r="B466" t="s">
        <v>4048</v>
      </c>
    </row>
    <row r="467" spans="1:2" x14ac:dyDescent="0.25">
      <c r="A467">
        <v>465</v>
      </c>
      <c r="B467" t="s">
        <v>2897</v>
      </c>
    </row>
    <row r="468" spans="1:2" x14ac:dyDescent="0.25">
      <c r="A468">
        <v>466</v>
      </c>
      <c r="B468" t="s">
        <v>2898</v>
      </c>
    </row>
    <row r="469" spans="1:2" x14ac:dyDescent="0.25">
      <c r="A469">
        <v>467</v>
      </c>
      <c r="B469" t="s">
        <v>4049</v>
      </c>
    </row>
    <row r="470" spans="1:2" x14ac:dyDescent="0.25">
      <c r="A470">
        <v>468</v>
      </c>
      <c r="B470" t="s">
        <v>4050</v>
      </c>
    </row>
    <row r="471" spans="1:2" x14ac:dyDescent="0.25">
      <c r="A471">
        <v>469</v>
      </c>
      <c r="B471" t="s">
        <v>4051</v>
      </c>
    </row>
    <row r="472" spans="1:2" x14ac:dyDescent="0.25">
      <c r="A472">
        <v>470</v>
      </c>
      <c r="B472" t="s">
        <v>4052</v>
      </c>
    </row>
    <row r="473" spans="1:2" x14ac:dyDescent="0.25">
      <c r="A473">
        <v>471</v>
      </c>
      <c r="B473" t="s">
        <v>2900</v>
      </c>
    </row>
    <row r="474" spans="1:2" x14ac:dyDescent="0.25">
      <c r="A474">
        <v>472</v>
      </c>
      <c r="B474" t="s">
        <v>2901</v>
      </c>
    </row>
    <row r="475" spans="1:2" x14ac:dyDescent="0.25">
      <c r="A475">
        <v>473</v>
      </c>
      <c r="B475" t="s">
        <v>2902</v>
      </c>
    </row>
    <row r="476" spans="1:2" x14ac:dyDescent="0.25">
      <c r="A476">
        <v>474</v>
      </c>
    </row>
    <row r="477" spans="1:2" x14ac:dyDescent="0.25">
      <c r="A477">
        <v>475</v>
      </c>
    </row>
    <row r="478" spans="1:2" x14ac:dyDescent="0.25">
      <c r="A478">
        <v>476</v>
      </c>
      <c r="B478" t="s">
        <v>4053</v>
      </c>
    </row>
    <row r="479" spans="1:2" x14ac:dyDescent="0.25">
      <c r="A479">
        <v>477</v>
      </c>
      <c r="B479" t="s">
        <v>4054</v>
      </c>
    </row>
    <row r="480" spans="1:2" x14ac:dyDescent="0.25">
      <c r="A480">
        <v>478</v>
      </c>
      <c r="B480" t="s">
        <v>4055</v>
      </c>
    </row>
    <row r="481" spans="1:2" x14ac:dyDescent="0.25">
      <c r="A481">
        <v>479</v>
      </c>
      <c r="B481" t="s">
        <v>4056</v>
      </c>
    </row>
    <row r="482" spans="1:2" x14ac:dyDescent="0.25">
      <c r="A482">
        <v>480</v>
      </c>
      <c r="B482" t="s">
        <v>4057</v>
      </c>
    </row>
    <row r="483" spans="1:2" x14ac:dyDescent="0.25">
      <c r="A483">
        <v>481</v>
      </c>
      <c r="B483" t="s">
        <v>4058</v>
      </c>
    </row>
    <row r="484" spans="1:2" x14ac:dyDescent="0.25">
      <c r="A484">
        <v>482</v>
      </c>
      <c r="B484" t="s">
        <v>4059</v>
      </c>
    </row>
    <row r="485" spans="1:2" x14ac:dyDescent="0.25">
      <c r="A485">
        <v>483</v>
      </c>
      <c r="B485" t="s">
        <v>4060</v>
      </c>
    </row>
    <row r="486" spans="1:2" x14ac:dyDescent="0.25">
      <c r="A486">
        <v>484</v>
      </c>
      <c r="B486" t="s">
        <v>4061</v>
      </c>
    </row>
    <row r="487" spans="1:2" x14ac:dyDescent="0.25">
      <c r="A487">
        <v>485</v>
      </c>
      <c r="B487" t="s">
        <v>2921</v>
      </c>
    </row>
    <row r="488" spans="1:2" x14ac:dyDescent="0.25">
      <c r="A488">
        <v>486</v>
      </c>
      <c r="B488" t="s">
        <v>2922</v>
      </c>
    </row>
    <row r="489" spans="1:2" x14ac:dyDescent="0.25">
      <c r="A489">
        <v>487</v>
      </c>
      <c r="B489" t="s">
        <v>4062</v>
      </c>
    </row>
    <row r="490" spans="1:2" x14ac:dyDescent="0.25">
      <c r="A490">
        <v>488</v>
      </c>
      <c r="B490" t="s">
        <v>4063</v>
      </c>
    </row>
    <row r="491" spans="1:2" x14ac:dyDescent="0.25">
      <c r="A491">
        <v>489</v>
      </c>
      <c r="B491" t="s">
        <v>4064</v>
      </c>
    </row>
    <row r="492" spans="1:2" x14ac:dyDescent="0.25">
      <c r="A492">
        <v>490</v>
      </c>
      <c r="B492" t="s">
        <v>4065</v>
      </c>
    </row>
    <row r="493" spans="1:2" x14ac:dyDescent="0.25">
      <c r="A493">
        <v>491</v>
      </c>
      <c r="B493" t="s">
        <v>4066</v>
      </c>
    </row>
    <row r="494" spans="1:2" x14ac:dyDescent="0.25">
      <c r="A494">
        <v>492</v>
      </c>
    </row>
    <row r="495" spans="1:2" x14ac:dyDescent="0.25">
      <c r="A495">
        <v>493</v>
      </c>
      <c r="B495" t="s">
        <v>4067</v>
      </c>
    </row>
    <row r="496" spans="1:2" x14ac:dyDescent="0.25">
      <c r="A496">
        <v>494</v>
      </c>
      <c r="B496" t="s">
        <v>4068</v>
      </c>
    </row>
    <row r="497" spans="1:2" x14ac:dyDescent="0.25">
      <c r="A497">
        <v>495</v>
      </c>
      <c r="B497" t="s">
        <v>2944</v>
      </c>
    </row>
    <row r="498" spans="1:2" x14ac:dyDescent="0.25">
      <c r="A498">
        <v>496</v>
      </c>
      <c r="B498" t="s">
        <v>2945</v>
      </c>
    </row>
    <row r="499" spans="1:2" x14ac:dyDescent="0.25">
      <c r="A499">
        <v>497</v>
      </c>
      <c r="B499" t="s">
        <v>4069</v>
      </c>
    </row>
    <row r="500" spans="1:2" x14ac:dyDescent="0.25">
      <c r="A500">
        <v>498</v>
      </c>
      <c r="B500" t="s">
        <v>4070</v>
      </c>
    </row>
    <row r="501" spans="1:2" x14ac:dyDescent="0.25">
      <c r="A501">
        <v>499</v>
      </c>
      <c r="B501" t="s">
        <v>2946</v>
      </c>
    </row>
    <row r="502" spans="1:2" x14ac:dyDescent="0.25">
      <c r="A502">
        <v>500</v>
      </c>
    </row>
    <row r="503" spans="1:2" x14ac:dyDescent="0.25">
      <c r="A503">
        <v>501</v>
      </c>
      <c r="B503" t="s">
        <v>4071</v>
      </c>
    </row>
    <row r="504" spans="1:2" x14ac:dyDescent="0.25">
      <c r="A504">
        <v>502</v>
      </c>
      <c r="B504" t="s">
        <v>4072</v>
      </c>
    </row>
    <row r="505" spans="1:2" x14ac:dyDescent="0.25">
      <c r="A505">
        <v>503</v>
      </c>
      <c r="B505" t="s">
        <v>4073</v>
      </c>
    </row>
    <row r="506" spans="1:2" x14ac:dyDescent="0.25">
      <c r="A506">
        <v>504</v>
      </c>
      <c r="B506" t="s">
        <v>4074</v>
      </c>
    </row>
    <row r="507" spans="1:2" x14ac:dyDescent="0.25">
      <c r="A507">
        <v>505</v>
      </c>
      <c r="B507" t="s">
        <v>4075</v>
      </c>
    </row>
    <row r="508" spans="1:2" x14ac:dyDescent="0.25">
      <c r="A508">
        <v>506</v>
      </c>
      <c r="B508" t="s">
        <v>4076</v>
      </c>
    </row>
    <row r="509" spans="1:2" x14ac:dyDescent="0.25">
      <c r="A509">
        <v>507</v>
      </c>
      <c r="B509" t="s">
        <v>4077</v>
      </c>
    </row>
    <row r="510" spans="1:2" x14ac:dyDescent="0.25">
      <c r="A510">
        <v>508</v>
      </c>
      <c r="B510" t="s">
        <v>4078</v>
      </c>
    </row>
    <row r="511" spans="1:2" x14ac:dyDescent="0.25">
      <c r="A511">
        <v>509</v>
      </c>
      <c r="B511" t="s">
        <v>4079</v>
      </c>
    </row>
    <row r="512" spans="1:2" x14ac:dyDescent="0.25">
      <c r="A512">
        <v>510</v>
      </c>
      <c r="B512" t="s">
        <v>4080</v>
      </c>
    </row>
    <row r="513" spans="1:2" x14ac:dyDescent="0.25">
      <c r="A513">
        <v>511</v>
      </c>
      <c r="B513" t="s">
        <v>4081</v>
      </c>
    </row>
    <row r="514" spans="1:2" x14ac:dyDescent="0.25">
      <c r="A514">
        <v>512</v>
      </c>
      <c r="B514" t="s">
        <v>4082</v>
      </c>
    </row>
    <row r="515" spans="1:2" x14ac:dyDescent="0.25">
      <c r="A515">
        <v>513</v>
      </c>
      <c r="B515" t="s">
        <v>4083</v>
      </c>
    </row>
    <row r="516" spans="1:2" x14ac:dyDescent="0.25">
      <c r="A516">
        <v>514</v>
      </c>
    </row>
    <row r="517" spans="1:2" x14ac:dyDescent="0.25">
      <c r="A517">
        <v>515</v>
      </c>
    </row>
    <row r="518" spans="1:2" x14ac:dyDescent="0.25">
      <c r="A518">
        <v>516</v>
      </c>
    </row>
    <row r="519" spans="1:2" x14ac:dyDescent="0.25">
      <c r="A519">
        <v>517</v>
      </c>
      <c r="B519" t="s">
        <v>2929</v>
      </c>
    </row>
    <row r="520" spans="1:2" x14ac:dyDescent="0.25">
      <c r="A520">
        <v>518</v>
      </c>
      <c r="B520" t="s">
        <v>4084</v>
      </c>
    </row>
    <row r="521" spans="1:2" x14ac:dyDescent="0.25">
      <c r="A521">
        <v>519</v>
      </c>
      <c r="B521" t="s">
        <v>4085</v>
      </c>
    </row>
    <row r="522" spans="1:2" x14ac:dyDescent="0.25">
      <c r="A522">
        <v>520</v>
      </c>
      <c r="B522" t="s">
        <v>4086</v>
      </c>
    </row>
    <row r="523" spans="1:2" x14ac:dyDescent="0.25">
      <c r="A523">
        <v>521</v>
      </c>
      <c r="B523" t="s">
        <v>4087</v>
      </c>
    </row>
    <row r="524" spans="1:2" x14ac:dyDescent="0.25">
      <c r="A524">
        <v>522</v>
      </c>
      <c r="B524" t="s">
        <v>2948</v>
      </c>
    </row>
    <row r="525" spans="1:2" x14ac:dyDescent="0.25">
      <c r="A525">
        <v>523</v>
      </c>
      <c r="B525" t="s">
        <v>2947</v>
      </c>
    </row>
    <row r="526" spans="1:2" x14ac:dyDescent="0.25">
      <c r="A526">
        <v>524</v>
      </c>
      <c r="B526" t="s">
        <v>4088</v>
      </c>
    </row>
    <row r="527" spans="1:2" x14ac:dyDescent="0.25">
      <c r="A527">
        <v>525</v>
      </c>
      <c r="B527" t="s">
        <v>4089</v>
      </c>
    </row>
    <row r="528" spans="1:2" x14ac:dyDescent="0.25">
      <c r="A528">
        <v>526</v>
      </c>
      <c r="B528" t="s">
        <v>4090</v>
      </c>
    </row>
    <row r="529" spans="1:2" x14ac:dyDescent="0.25">
      <c r="A529">
        <v>527</v>
      </c>
      <c r="B529" t="s">
        <v>4091</v>
      </c>
    </row>
    <row r="530" spans="1:2" x14ac:dyDescent="0.25">
      <c r="A530">
        <v>528</v>
      </c>
      <c r="B530" t="s">
        <v>4092</v>
      </c>
    </row>
    <row r="531" spans="1:2" x14ac:dyDescent="0.25">
      <c r="A531">
        <v>529</v>
      </c>
      <c r="B531" t="s">
        <v>4093</v>
      </c>
    </row>
    <row r="532" spans="1:2" x14ac:dyDescent="0.25">
      <c r="A532">
        <v>530</v>
      </c>
      <c r="B532" t="s">
        <v>4094</v>
      </c>
    </row>
    <row r="533" spans="1:2" x14ac:dyDescent="0.25">
      <c r="A533">
        <v>531</v>
      </c>
      <c r="B533" t="s">
        <v>4095</v>
      </c>
    </row>
    <row r="534" spans="1:2" x14ac:dyDescent="0.25">
      <c r="A534">
        <v>532</v>
      </c>
      <c r="B534" t="s">
        <v>4096</v>
      </c>
    </row>
    <row r="535" spans="1:2" x14ac:dyDescent="0.25">
      <c r="A535">
        <v>533</v>
      </c>
      <c r="B535" t="s">
        <v>2998</v>
      </c>
    </row>
    <row r="536" spans="1:2" x14ac:dyDescent="0.25">
      <c r="A536">
        <v>534</v>
      </c>
      <c r="B536" t="s">
        <v>4097</v>
      </c>
    </row>
    <row r="537" spans="1:2" x14ac:dyDescent="0.25">
      <c r="A537">
        <v>535</v>
      </c>
      <c r="B537" t="s">
        <v>4098</v>
      </c>
    </row>
    <row r="538" spans="1:2" x14ac:dyDescent="0.25">
      <c r="A538">
        <v>536</v>
      </c>
      <c r="B538" t="s">
        <v>4099</v>
      </c>
    </row>
    <row r="539" spans="1:2" x14ac:dyDescent="0.25">
      <c r="A539">
        <v>537</v>
      </c>
      <c r="B539" t="s">
        <v>4100</v>
      </c>
    </row>
    <row r="540" spans="1:2" x14ac:dyDescent="0.25">
      <c r="A540">
        <v>538</v>
      </c>
      <c r="B540" t="s">
        <v>4101</v>
      </c>
    </row>
    <row r="541" spans="1:2" x14ac:dyDescent="0.25">
      <c r="A541">
        <v>539</v>
      </c>
      <c r="B541" t="s">
        <v>4102</v>
      </c>
    </row>
    <row r="542" spans="1:2" x14ac:dyDescent="0.25">
      <c r="A542">
        <v>540</v>
      </c>
      <c r="B542" t="s">
        <v>4103</v>
      </c>
    </row>
    <row r="543" spans="1:2" x14ac:dyDescent="0.25">
      <c r="A543">
        <v>541</v>
      </c>
      <c r="B543" t="s">
        <v>4104</v>
      </c>
    </row>
    <row r="544" spans="1:2" x14ac:dyDescent="0.25">
      <c r="A544">
        <v>542</v>
      </c>
      <c r="B544" t="s">
        <v>4105</v>
      </c>
    </row>
    <row r="545" spans="1:2" x14ac:dyDescent="0.25">
      <c r="A545">
        <v>543</v>
      </c>
      <c r="B545" t="s">
        <v>4106</v>
      </c>
    </row>
    <row r="546" spans="1:2" x14ac:dyDescent="0.25">
      <c r="A546">
        <v>544</v>
      </c>
      <c r="B546" t="s">
        <v>4107</v>
      </c>
    </row>
    <row r="547" spans="1:2" x14ac:dyDescent="0.25">
      <c r="A547">
        <v>545</v>
      </c>
      <c r="B547" t="s">
        <v>4108</v>
      </c>
    </row>
    <row r="548" spans="1:2" x14ac:dyDescent="0.25">
      <c r="A548">
        <v>546</v>
      </c>
      <c r="B548" t="s">
        <v>4109</v>
      </c>
    </row>
    <row r="549" spans="1:2" x14ac:dyDescent="0.25">
      <c r="A549">
        <v>547</v>
      </c>
      <c r="B549" t="s">
        <v>4110</v>
      </c>
    </row>
    <row r="550" spans="1:2" x14ac:dyDescent="0.25">
      <c r="A550">
        <v>548</v>
      </c>
      <c r="B550" t="s">
        <v>4111</v>
      </c>
    </row>
    <row r="551" spans="1:2" x14ac:dyDescent="0.25">
      <c r="A551">
        <v>549</v>
      </c>
      <c r="B551" t="s">
        <v>4112</v>
      </c>
    </row>
    <row r="552" spans="1:2" x14ac:dyDescent="0.25">
      <c r="A552">
        <v>550</v>
      </c>
      <c r="B552" t="s">
        <v>1930</v>
      </c>
    </row>
    <row r="553" spans="1:2" x14ac:dyDescent="0.25">
      <c r="A553">
        <v>551</v>
      </c>
      <c r="B553" t="s">
        <v>3001</v>
      </c>
    </row>
    <row r="554" spans="1:2" x14ac:dyDescent="0.25">
      <c r="A554">
        <v>552</v>
      </c>
      <c r="B554" t="s">
        <v>2999</v>
      </c>
    </row>
    <row r="555" spans="1:2" x14ac:dyDescent="0.25">
      <c r="A555">
        <v>553</v>
      </c>
      <c r="B555" t="s">
        <v>3000</v>
      </c>
    </row>
    <row r="556" spans="1:2" x14ac:dyDescent="0.25">
      <c r="A556">
        <v>554</v>
      </c>
      <c r="B556" t="s">
        <v>4113</v>
      </c>
    </row>
    <row r="557" spans="1:2" x14ac:dyDescent="0.25">
      <c r="A557">
        <v>555</v>
      </c>
      <c r="B557" t="s">
        <v>3028</v>
      </c>
    </row>
    <row r="558" spans="1:2" x14ac:dyDescent="0.25">
      <c r="A558">
        <v>556</v>
      </c>
      <c r="B558" t="s">
        <v>3658</v>
      </c>
    </row>
    <row r="559" spans="1:2" x14ac:dyDescent="0.25">
      <c r="A559">
        <v>557</v>
      </c>
      <c r="B559" t="s">
        <v>3002</v>
      </c>
    </row>
    <row r="560" spans="1:2" x14ac:dyDescent="0.25">
      <c r="A560">
        <v>558</v>
      </c>
      <c r="B560" t="s">
        <v>4114</v>
      </c>
    </row>
    <row r="561" spans="1:2" x14ac:dyDescent="0.25">
      <c r="A561">
        <v>559</v>
      </c>
      <c r="B561" t="s">
        <v>4115</v>
      </c>
    </row>
    <row r="562" spans="1:2" x14ac:dyDescent="0.25">
      <c r="A562">
        <v>560</v>
      </c>
      <c r="B562" t="s">
        <v>4116</v>
      </c>
    </row>
    <row r="563" spans="1:2" x14ac:dyDescent="0.25">
      <c r="A563">
        <v>561</v>
      </c>
      <c r="B563" t="s">
        <v>4117</v>
      </c>
    </row>
    <row r="564" spans="1:2" x14ac:dyDescent="0.25">
      <c r="A564">
        <v>562</v>
      </c>
      <c r="B564" t="s">
        <v>4118</v>
      </c>
    </row>
    <row r="565" spans="1:2" x14ac:dyDescent="0.25">
      <c r="A565">
        <v>563</v>
      </c>
      <c r="B565" t="s">
        <v>4119</v>
      </c>
    </row>
    <row r="566" spans="1:2" x14ac:dyDescent="0.25">
      <c r="A566">
        <v>564</v>
      </c>
      <c r="B566" t="s">
        <v>4120</v>
      </c>
    </row>
    <row r="567" spans="1:2" x14ac:dyDescent="0.25">
      <c r="A567">
        <v>565</v>
      </c>
      <c r="B567" t="s">
        <v>3668</v>
      </c>
    </row>
    <row r="568" spans="1:2" x14ac:dyDescent="0.25">
      <c r="A568">
        <v>566</v>
      </c>
      <c r="B568" t="s">
        <v>3029</v>
      </c>
    </row>
    <row r="569" spans="1:2" x14ac:dyDescent="0.25">
      <c r="A569">
        <v>567</v>
      </c>
      <c r="B569" t="s">
        <v>3030</v>
      </c>
    </row>
    <row r="570" spans="1:2" x14ac:dyDescent="0.25">
      <c r="A570">
        <v>568</v>
      </c>
      <c r="B570" t="s">
        <v>4121</v>
      </c>
    </row>
    <row r="571" spans="1:2" x14ac:dyDescent="0.25">
      <c r="A571">
        <v>569</v>
      </c>
      <c r="B571" t="s">
        <v>3003</v>
      </c>
    </row>
    <row r="572" spans="1:2" x14ac:dyDescent="0.25">
      <c r="A572">
        <v>570</v>
      </c>
      <c r="B572" t="s">
        <v>3032</v>
      </c>
    </row>
    <row r="573" spans="1:2" x14ac:dyDescent="0.25">
      <c r="A573">
        <v>571</v>
      </c>
      <c r="B573" t="s">
        <v>3707</v>
      </c>
    </row>
    <row r="574" spans="1:2" x14ac:dyDescent="0.25">
      <c r="A574">
        <v>572</v>
      </c>
      <c r="B574" t="s">
        <v>4122</v>
      </c>
    </row>
    <row r="575" spans="1:2" x14ac:dyDescent="0.25">
      <c r="A575">
        <v>573</v>
      </c>
      <c r="B575" t="s">
        <v>3041</v>
      </c>
    </row>
    <row r="576" spans="1:2" x14ac:dyDescent="0.25">
      <c r="A576">
        <v>574</v>
      </c>
      <c r="B576" t="s">
        <v>3040</v>
      </c>
    </row>
    <row r="577" spans="1:2" x14ac:dyDescent="0.25">
      <c r="A577">
        <v>575</v>
      </c>
      <c r="B577" t="s">
        <v>4123</v>
      </c>
    </row>
    <row r="578" spans="1:2" x14ac:dyDescent="0.25">
      <c r="A578">
        <v>576</v>
      </c>
      <c r="B578" t="s">
        <v>3038</v>
      </c>
    </row>
    <row r="579" spans="1:2" x14ac:dyDescent="0.25">
      <c r="A579">
        <v>577</v>
      </c>
      <c r="B579" t="s">
        <v>4124</v>
      </c>
    </row>
    <row r="580" spans="1:2" x14ac:dyDescent="0.25">
      <c r="A580">
        <v>578</v>
      </c>
      <c r="B580" t="s">
        <v>4125</v>
      </c>
    </row>
    <row r="581" spans="1:2" x14ac:dyDescent="0.25">
      <c r="A581">
        <v>579</v>
      </c>
      <c r="B581" t="s">
        <v>4126</v>
      </c>
    </row>
    <row r="582" spans="1:2" x14ac:dyDescent="0.25">
      <c r="A582">
        <v>580</v>
      </c>
      <c r="B582" t="s">
        <v>4127</v>
      </c>
    </row>
    <row r="583" spans="1:2" x14ac:dyDescent="0.25">
      <c r="A583">
        <v>581</v>
      </c>
      <c r="B583" t="s">
        <v>3679</v>
      </c>
    </row>
    <row r="584" spans="1:2" x14ac:dyDescent="0.25">
      <c r="A584">
        <v>582</v>
      </c>
      <c r="B584" t="s">
        <v>3680</v>
      </c>
    </row>
    <row r="585" spans="1:2" x14ac:dyDescent="0.25">
      <c r="A585">
        <v>583</v>
      </c>
      <c r="B585" t="s">
        <v>4128</v>
      </c>
    </row>
    <row r="586" spans="1:2" x14ac:dyDescent="0.25">
      <c r="A586">
        <v>584</v>
      </c>
      <c r="B586" t="s">
        <v>3682</v>
      </c>
    </row>
    <row r="587" spans="1:2" x14ac:dyDescent="0.25">
      <c r="A587">
        <v>585</v>
      </c>
      <c r="B587" t="s">
        <v>3042</v>
      </c>
    </row>
    <row r="588" spans="1:2" x14ac:dyDescent="0.25">
      <c r="A588">
        <v>586</v>
      </c>
      <c r="B588" t="s">
        <v>3043</v>
      </c>
    </row>
    <row r="589" spans="1:2" x14ac:dyDescent="0.25">
      <c r="A589">
        <v>587</v>
      </c>
      <c r="B589" t="s">
        <v>3045</v>
      </c>
    </row>
    <row r="590" spans="1:2" x14ac:dyDescent="0.25">
      <c r="A590">
        <v>588</v>
      </c>
      <c r="B590" t="s">
        <v>3046</v>
      </c>
    </row>
    <row r="591" spans="1:2" x14ac:dyDescent="0.25">
      <c r="A591">
        <v>589</v>
      </c>
      <c r="B591" t="s">
        <v>4129</v>
      </c>
    </row>
    <row r="592" spans="1:2" x14ac:dyDescent="0.25">
      <c r="A592">
        <v>590</v>
      </c>
      <c r="B592" t="s">
        <v>3071</v>
      </c>
    </row>
    <row r="593" spans="1:2" x14ac:dyDescent="0.25">
      <c r="A593">
        <v>591</v>
      </c>
      <c r="B593" t="s">
        <v>3072</v>
      </c>
    </row>
    <row r="594" spans="1:2" x14ac:dyDescent="0.25">
      <c r="A594">
        <v>592</v>
      </c>
      <c r="B594" t="s">
        <v>4130</v>
      </c>
    </row>
    <row r="595" spans="1:2" x14ac:dyDescent="0.25">
      <c r="A595">
        <v>593</v>
      </c>
      <c r="B595" t="s">
        <v>4131</v>
      </c>
    </row>
    <row r="596" spans="1:2" x14ac:dyDescent="0.25">
      <c r="A596">
        <v>594</v>
      </c>
      <c r="B596" t="s">
        <v>4132</v>
      </c>
    </row>
    <row r="597" spans="1:2" x14ac:dyDescent="0.25">
      <c r="A597">
        <v>595</v>
      </c>
      <c r="B597" t="s">
        <v>4133</v>
      </c>
    </row>
    <row r="598" spans="1:2" x14ac:dyDescent="0.25">
      <c r="A598">
        <v>596</v>
      </c>
      <c r="B598" t="s">
        <v>4134</v>
      </c>
    </row>
    <row r="599" spans="1:2" x14ac:dyDescent="0.25">
      <c r="A599">
        <v>597</v>
      </c>
      <c r="B599" t="s">
        <v>4135</v>
      </c>
    </row>
    <row r="600" spans="1:2" x14ac:dyDescent="0.25">
      <c r="A600">
        <v>598</v>
      </c>
      <c r="B600" t="s">
        <v>4136</v>
      </c>
    </row>
    <row r="601" spans="1:2" x14ac:dyDescent="0.25">
      <c r="A601">
        <v>599</v>
      </c>
      <c r="B601" t="s">
        <v>3076</v>
      </c>
    </row>
    <row r="602" spans="1:2" x14ac:dyDescent="0.25">
      <c r="A602">
        <v>600</v>
      </c>
      <c r="B602" t="s">
        <v>3074</v>
      </c>
    </row>
    <row r="603" spans="1:2" x14ac:dyDescent="0.25">
      <c r="A603">
        <v>601</v>
      </c>
      <c r="B603" t="s">
        <v>3075</v>
      </c>
    </row>
    <row r="604" spans="1:2" x14ac:dyDescent="0.25">
      <c r="A604">
        <v>602</v>
      </c>
      <c r="B604" t="s">
        <v>4137</v>
      </c>
    </row>
    <row r="605" spans="1:2" x14ac:dyDescent="0.25">
      <c r="A605">
        <v>603</v>
      </c>
      <c r="B605" t="s">
        <v>3078</v>
      </c>
    </row>
    <row r="606" spans="1:2" x14ac:dyDescent="0.25">
      <c r="A606">
        <v>604</v>
      </c>
      <c r="B606" t="s">
        <v>3079</v>
      </c>
    </row>
    <row r="607" spans="1:2" x14ac:dyDescent="0.25">
      <c r="A607">
        <v>605</v>
      </c>
      <c r="B607" t="s">
        <v>4138</v>
      </c>
    </row>
    <row r="608" spans="1:2" x14ac:dyDescent="0.25">
      <c r="A608">
        <v>606</v>
      </c>
      <c r="B608" t="s">
        <v>4139</v>
      </c>
    </row>
    <row r="609" spans="1:2" x14ac:dyDescent="0.25">
      <c r="A609">
        <v>607</v>
      </c>
      <c r="B609" t="s">
        <v>4140</v>
      </c>
    </row>
    <row r="610" spans="1:2" x14ac:dyDescent="0.25">
      <c r="A610">
        <v>608</v>
      </c>
      <c r="B610" t="s">
        <v>4141</v>
      </c>
    </row>
    <row r="611" spans="1:2" x14ac:dyDescent="0.25">
      <c r="A611">
        <v>609</v>
      </c>
      <c r="B611" t="s">
        <v>4142</v>
      </c>
    </row>
    <row r="612" spans="1:2" x14ac:dyDescent="0.25">
      <c r="A612">
        <v>610</v>
      </c>
      <c r="B612" t="s">
        <v>4143</v>
      </c>
    </row>
    <row r="613" spans="1:2" x14ac:dyDescent="0.25">
      <c r="A613">
        <v>611</v>
      </c>
      <c r="B613" t="s">
        <v>4144</v>
      </c>
    </row>
    <row r="614" spans="1:2" x14ac:dyDescent="0.25">
      <c r="A614">
        <v>612</v>
      </c>
      <c r="B614" t="s">
        <v>4145</v>
      </c>
    </row>
    <row r="615" spans="1:2" x14ac:dyDescent="0.25">
      <c r="A615">
        <v>613</v>
      </c>
      <c r="B615" t="s">
        <v>3085</v>
      </c>
    </row>
    <row r="616" spans="1:2" x14ac:dyDescent="0.25">
      <c r="A616">
        <v>614</v>
      </c>
      <c r="B616" t="s">
        <v>3084</v>
      </c>
    </row>
    <row r="617" spans="1:2" x14ac:dyDescent="0.25">
      <c r="A617">
        <v>615</v>
      </c>
      <c r="B617" t="s">
        <v>3702</v>
      </c>
    </row>
    <row r="618" spans="1:2" x14ac:dyDescent="0.25">
      <c r="A618">
        <v>616</v>
      </c>
      <c r="B618" t="s">
        <v>3703</v>
      </c>
    </row>
    <row r="619" spans="1:2" x14ac:dyDescent="0.25">
      <c r="A619">
        <v>617</v>
      </c>
      <c r="B619" t="s">
        <v>3073</v>
      </c>
    </row>
    <row r="620" spans="1:2" x14ac:dyDescent="0.25">
      <c r="A620">
        <v>618</v>
      </c>
      <c r="B620" t="s">
        <v>3086</v>
      </c>
    </row>
    <row r="621" spans="1:2" x14ac:dyDescent="0.25">
      <c r="A621">
        <v>619</v>
      </c>
      <c r="B621" t="s">
        <v>3087</v>
      </c>
    </row>
    <row r="622" spans="1:2" x14ac:dyDescent="0.25">
      <c r="A622">
        <v>620</v>
      </c>
      <c r="B622" t="s">
        <v>4303</v>
      </c>
    </row>
    <row r="623" spans="1:2" x14ac:dyDescent="0.25">
      <c r="A623">
        <v>621</v>
      </c>
      <c r="B623" t="s">
        <v>4304</v>
      </c>
    </row>
    <row r="624" spans="1:2" x14ac:dyDescent="0.25">
      <c r="A624">
        <v>622</v>
      </c>
    </row>
    <row r="625" spans="1:2" x14ac:dyDescent="0.25">
      <c r="A625">
        <v>623</v>
      </c>
    </row>
    <row r="626" spans="1:2" x14ac:dyDescent="0.25">
      <c r="A626">
        <v>624</v>
      </c>
    </row>
    <row r="627" spans="1:2" x14ac:dyDescent="0.25">
      <c r="A627">
        <v>625</v>
      </c>
      <c r="B627" t="s">
        <v>4305</v>
      </c>
    </row>
  </sheetData>
  <autoFilter ref="A2:B621" xr:uid="{00000000-0009-0000-0000-00000F000000}"/>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1" t="s">
        <v>4146</v>
      </c>
      <c r="B1" s="111"/>
      <c r="C1" s="111"/>
      <c r="D1" s="111"/>
      <c r="E1" s="111"/>
      <c r="F1" s="111"/>
      <c r="G1" s="111"/>
      <c r="H1" s="111"/>
      <c r="I1" s="111"/>
    </row>
    <row r="2" spans="1:10" ht="75" x14ac:dyDescent="0.25">
      <c r="A2" s="6" t="s">
        <v>4147</v>
      </c>
      <c r="B2" s="6" t="s">
        <v>4148</v>
      </c>
      <c r="C2" s="6" t="s">
        <v>4149</v>
      </c>
      <c r="D2" s="60" t="s">
        <v>4150</v>
      </c>
      <c r="E2" s="6" t="s">
        <v>4151</v>
      </c>
      <c r="F2" s="6" t="s">
        <v>4152</v>
      </c>
      <c r="G2" s="6" t="s">
        <v>4153</v>
      </c>
      <c r="H2" s="6" t="s">
        <v>4154</v>
      </c>
      <c r="I2" s="6" t="s">
        <v>4155</v>
      </c>
      <c r="J2" s="44" t="s">
        <v>4156</v>
      </c>
    </row>
    <row r="3" spans="1:10" x14ac:dyDescent="0.25">
      <c r="A3">
        <v>124</v>
      </c>
      <c r="B3">
        <v>124</v>
      </c>
      <c r="C3" t="str">
        <f t="shared" ref="C3:C23" si="0">IF(A3=B3,"X","")</f>
        <v>X</v>
      </c>
      <c r="D3" s="61" t="e">
        <f>VLOOKUP(E3,'ESO zones'!$D$5:$H$10005,5,FALSE)</f>
        <v>#N/A</v>
      </c>
      <c r="E3" s="6" t="s">
        <v>4157</v>
      </c>
      <c r="F3" t="s">
        <v>4158</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4159</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4160</v>
      </c>
      <c r="E5" t="s">
        <v>2036</v>
      </c>
      <c r="F5" t="s">
        <v>3683</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4161</v>
      </c>
      <c r="F6" t="s">
        <v>4161</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3129</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3258</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3260</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4162</v>
      </c>
      <c r="F12" t="s">
        <v>4163</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3153</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3115</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3121</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4164</v>
      </c>
      <c r="F18" t="s">
        <v>4165</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3198</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3221</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3159</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3150</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4166</v>
      </c>
      <c r="E25" t="s">
        <v>4167</v>
      </c>
      <c r="F25" t="s">
        <v>4168</v>
      </c>
      <c r="J25" s="2" t="str">
        <f t="shared" si="1"/>
        <v>{ parentCategory=109, category=117, zoneIds={1436}},--All classes</v>
      </c>
    </row>
    <row r="26" spans="1:10" x14ac:dyDescent="0.25">
      <c r="A26">
        <v>4</v>
      </c>
      <c r="B26">
        <v>4</v>
      </c>
      <c r="C26" t="str">
        <f>IF(A26=B26,"X","")</f>
        <v>X</v>
      </c>
      <c r="D26" s="61" t="e">
        <f>VLOOKUP(E26,'ESO zones'!$D$5:$H$10005,5,FALSE)</f>
        <v>#N/A</v>
      </c>
      <c r="E26" s="6" t="s">
        <v>4169</v>
      </c>
      <c r="F26" t="s">
        <v>4170</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3364</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3358</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4171</v>
      </c>
      <c r="F31" t="s">
        <v>4172</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4173</v>
      </c>
      <c r="F32" t="s">
        <v>4174</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3479</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4175</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4176</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4177</v>
      </c>
      <c r="F36" t="s">
        <v>4178</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4179</v>
      </c>
      <c r="F37" t="s">
        <v>4180</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3561</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4181</v>
      </c>
      <c r="E39" t="s">
        <v>4182</v>
      </c>
      <c r="F39" t="s">
        <v>4183</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4184</v>
      </c>
      <c r="E40" t="s">
        <v>86</v>
      </c>
      <c r="F40" t="s">
        <v>3594</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4185</v>
      </c>
      <c r="E42" t="s">
        <v>4186</v>
      </c>
      <c r="F42" t="s">
        <v>4187</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4160</v>
      </c>
      <c r="E43" t="s">
        <v>2036</v>
      </c>
      <c r="F43" t="s">
        <v>3683</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4188</v>
      </c>
      <c r="F44" t="s">
        <v>4189</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4190</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4191</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4192</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4193</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4194</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4195</v>
      </c>
      <c r="E51" t="s">
        <v>582</v>
      </c>
      <c r="F51" t="s">
        <v>4196</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4197</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4198</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4199</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4200</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4201</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4202</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4203</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4204</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4205</v>
      </c>
      <c r="F61" t="s">
        <v>4206</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4207</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4208</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4209</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4210</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4211</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4212</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4213</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4214</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4215</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4216</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4217</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4218</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4219</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4220</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4221</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4222</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4223</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4224</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4225</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4226</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4227</v>
      </c>
      <c r="F82" t="s">
        <v>4227</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4228</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4229</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2149</v>
      </c>
      <c r="F92" t="s">
        <v>2149</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2150</v>
      </c>
      <c r="F93" t="s">
        <v>2150</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4230</v>
      </c>
      <c r="F96" t="s">
        <v>4231</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4232</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4233</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4234</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4235</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4236</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4237</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4238</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4239</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4240</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4241</v>
      </c>
      <c r="F110" t="s">
        <v>4242</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4243</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4244</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4245</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4246</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4247</v>
      </c>
      <c r="F115" t="s">
        <v>4247</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4248</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2201</v>
      </c>
      <c r="F118" t="s">
        <v>4249</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4250</v>
      </c>
      <c r="F119" t="s">
        <v>4251</v>
      </c>
      <c r="G119" t="str">
        <f t="shared" si="21"/>
        <v/>
      </c>
      <c r="H119" t="str">
        <f t="shared" si="18"/>
        <v/>
      </c>
      <c r="I119" t="str">
        <f t="shared" si="22"/>
        <v/>
      </c>
      <c r="J119" s="2" t="str">
        <f t="shared" si="20"/>
        <v>--Miscellaneous</v>
      </c>
    </row>
    <row r="120" spans="1:10" x14ac:dyDescent="0.25">
      <c r="A120">
        <v>10</v>
      </c>
      <c r="B120">
        <v>26</v>
      </c>
      <c r="C120" t="str">
        <f t="shared" si="17"/>
        <v/>
      </c>
      <c r="D120" s="7" t="s">
        <v>4252</v>
      </c>
      <c r="E120" t="s">
        <v>4253</v>
      </c>
      <c r="F120" t="s">
        <v>4254</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3241</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3331</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4255</v>
      </c>
      <c r="F123" t="s">
        <v>4256</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
  <sheetViews>
    <sheetView workbookViewId="0"/>
  </sheetViews>
  <sheetFormatPr defaultColWidth="10.7109375" defaultRowHeight="15" x14ac:dyDescent="0.25"/>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5" t="s">
        <v>4257</v>
      </c>
      <c r="B1" s="105"/>
      <c r="C1" s="105"/>
      <c r="D1" s="20" t="s">
        <v>4258</v>
      </c>
      <c r="G1" s="44" t="s">
        <v>4259</v>
      </c>
    </row>
    <row r="2" spans="1:7" x14ac:dyDescent="0.25">
      <c r="A2" s="8" t="s">
        <v>339</v>
      </c>
      <c r="B2" s="3" t="s">
        <v>2116</v>
      </c>
      <c r="C2" s="3" t="s">
        <v>2117</v>
      </c>
      <c r="D2" s="6" t="s">
        <v>4260</v>
      </c>
      <c r="E2" s="6" t="s">
        <v>4261</v>
      </c>
      <c r="F2" s="6" t="s">
        <v>4262</v>
      </c>
      <c r="G2" s="2" t="s">
        <v>4263</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4264</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4265</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4266</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4267</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4268</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4269</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4270</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4271</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4272</v>
      </c>
      <c r="E193" t="s">
        <v>4273</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4274</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4275</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4276</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4277</v>
      </c>
      <c r="E236" t="s">
        <v>4278</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4279</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4280</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4281</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4282</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4283</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4283</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4284</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4285</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4286</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4287</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4288</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4289</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4290</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4291</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4292</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4293</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4294</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4295</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4296</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4294</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4295</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4296</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2026-09-20T12:42:02Z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