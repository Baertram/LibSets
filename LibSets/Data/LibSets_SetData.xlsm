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live\AddOns\LibSets\Data\"/>
    </mc:Choice>
  </mc:AlternateContent>
  <xr:revisionPtr revIDLastSave="0" documentId="13_ncr:1_{738DE3FB-E1DA-4683-80AD-CA53C67E834F}"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WayshrineInfo'!$A$2:$N$511</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names'!$A$2:$B$560</definedName>
    <definedName name="_xlnm._FilterDatabase" localSheetId="3" hidden="1">'ESO zone constants'!$A$2:$L$987</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data'!$A$2:$BI$648</definedName>
    <definedName name="_xlnm._FilterDatabase" localSheetId="9" hidden="1">Workarea!$A$1:$E$1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4" i="4" l="1"/>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D84" i="20"/>
  <c r="J84" i="20" s="1"/>
  <c r="D85" i="20"/>
  <c r="J85" i="20" s="1"/>
  <c r="I85" i="20"/>
  <c r="H85" i="20"/>
  <c r="G85" i="20"/>
  <c r="I84" i="20"/>
  <c r="H84" i="20"/>
  <c r="G84" i="20"/>
  <c r="AK574" i="4" l="1"/>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3" i="4"/>
  <c r="T644" i="4"/>
  <c r="T645" i="4"/>
  <c r="T646" i="4"/>
  <c r="T647" i="4"/>
  <c r="T648" i="4"/>
  <c r="R644" i="4"/>
  <c r="Z644" i="4"/>
  <c r="AA644" i="4" s="1"/>
  <c r="AF644" i="4"/>
  <c r="AG644" i="4" s="1"/>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Z645" i="4"/>
  <c r="AA645" i="4" s="1"/>
  <c r="AF645" i="4"/>
  <c r="AG645" i="4" s="1"/>
  <c r="AK645" i="4"/>
  <c r="AP645" i="4"/>
  <c r="AU645" i="4"/>
  <c r="T637" i="4"/>
  <c r="Z637" i="4"/>
  <c r="AA637" i="4" s="1"/>
  <c r="AF637" i="4"/>
  <c r="AG637" i="4" s="1"/>
  <c r="AK637" i="4"/>
  <c r="AP637" i="4"/>
  <c r="AU637" i="4"/>
  <c r="T638" i="4"/>
  <c r="Z638" i="4"/>
  <c r="AA638" i="4" s="1"/>
  <c r="AF638" i="4"/>
  <c r="AG638" i="4" s="1"/>
  <c r="AK638" i="4"/>
  <c r="AP638" i="4"/>
  <c r="AU638" i="4"/>
  <c r="T639" i="4"/>
  <c r="Z639" i="4"/>
  <c r="AA639" i="4" s="1"/>
  <c r="AF639" i="4"/>
  <c r="AG639" i="4" s="1"/>
  <c r="AK639" i="4"/>
  <c r="AP639" i="4"/>
  <c r="AU639" i="4"/>
  <c r="T640" i="4"/>
  <c r="Z640" i="4"/>
  <c r="AA640" i="4" s="1"/>
  <c r="AF640" i="4"/>
  <c r="AG640" i="4" s="1"/>
  <c r="AK640" i="4"/>
  <c r="AP640" i="4"/>
  <c r="AU640" i="4"/>
  <c r="T641" i="4"/>
  <c r="Z641" i="4"/>
  <c r="AA641" i="4" s="1"/>
  <c r="AF641" i="4"/>
  <c r="AG641" i="4" s="1"/>
  <c r="AK641" i="4"/>
  <c r="AP641" i="4"/>
  <c r="AU641" i="4"/>
  <c r="T642" i="4"/>
  <c r="Z642" i="4"/>
  <c r="AA642" i="4" s="1"/>
  <c r="AF642" i="4"/>
  <c r="AG642" i="4" s="1"/>
  <c r="AK642" i="4"/>
  <c r="AP642" i="4"/>
  <c r="AU642" i="4"/>
  <c r="R637" i="4"/>
  <c r="R638" i="4"/>
  <c r="R639" i="4"/>
  <c r="R640" i="4"/>
  <c r="R641" i="4"/>
  <c r="R642" i="4"/>
  <c r="R643" i="4"/>
  <c r="Z643" i="4"/>
  <c r="AA643" i="4" s="1"/>
  <c r="AF643" i="4"/>
  <c r="AG643" i="4" s="1"/>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37" i="20"/>
  <c r="G37" i="20"/>
  <c r="H37" i="20"/>
  <c r="I37"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97" i="20"/>
  <c r="F48" i="9"/>
  <c r="F49"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5" i="20"/>
  <c r="J35" i="20" s="1"/>
  <c r="G35" i="20"/>
  <c r="H35" i="20"/>
  <c r="I35"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98" i="20"/>
  <c r="D103"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3" i="20"/>
  <c r="H83" i="20"/>
  <c r="I83" i="20"/>
  <c r="G82" i="20"/>
  <c r="H82" i="20"/>
  <c r="I82"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E47" i="9"/>
  <c r="F47" i="9"/>
  <c r="E3" i="9"/>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I36" i="20"/>
  <c r="H36" i="20"/>
  <c r="G36" i="20"/>
  <c r="C36"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46"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0" i="20"/>
  <c r="I80" i="20"/>
  <c r="H81" i="20"/>
  <c r="I81" i="20"/>
  <c r="G80" i="20"/>
  <c r="G81"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96" i="20"/>
  <c r="F4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76" i="20"/>
  <c r="H76" i="20"/>
  <c r="G76" i="20"/>
  <c r="G77" i="20"/>
  <c r="H77" i="20"/>
  <c r="I77" i="20"/>
  <c r="I33" i="20"/>
  <c r="H33" i="20"/>
  <c r="G33" i="20"/>
  <c r="C33" i="20"/>
  <c r="AD422" i="4"/>
  <c r="AD421" i="4"/>
  <c r="AD420" i="4"/>
  <c r="AC422" i="4"/>
  <c r="BH422" i="4" s="1"/>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BH421" i="4" l="1"/>
  <c r="BH420" i="4"/>
  <c r="BI644" i="4"/>
  <c r="BI643" i="4"/>
  <c r="BI629" i="4"/>
  <c r="BI638" i="4"/>
  <c r="BI607" i="4"/>
  <c r="BI641" i="4"/>
  <c r="BI540" i="4"/>
  <c r="BI524" i="4"/>
  <c r="BI281" i="4"/>
  <c r="BI156" i="4"/>
  <c r="BI71" i="4"/>
  <c r="BI589" i="4"/>
  <c r="BI639" i="4"/>
  <c r="BI422" i="4"/>
  <c r="BI368" i="4"/>
  <c r="BI279" i="4"/>
  <c r="BI211" i="4"/>
  <c r="BI170" i="4"/>
  <c r="BI154" i="4"/>
  <c r="BI45" i="4"/>
  <c r="BI588" i="4"/>
  <c r="BI199" i="4"/>
  <c r="BI161" i="4"/>
  <c r="BI108" i="4"/>
  <c r="BF328" i="4"/>
  <c r="U643" i="4"/>
  <c r="BE643" i="4"/>
  <c r="BI198" i="4"/>
  <c r="BI107" i="4"/>
  <c r="BI91" i="4"/>
  <c r="BI34" i="4"/>
  <c r="BF287" i="4"/>
  <c r="U628" i="4"/>
  <c r="BE628" i="4"/>
  <c r="U639" i="4"/>
  <c r="BE639" i="4"/>
  <c r="BI647" i="4"/>
  <c r="BI197" i="4"/>
  <c r="BI106" i="4"/>
  <c r="BI90" i="4"/>
  <c r="BI74" i="4"/>
  <c r="BI32" i="4"/>
  <c r="BI9" i="4"/>
  <c r="BF282" i="4"/>
  <c r="BI542" i="4"/>
  <c r="BI196" i="4"/>
  <c r="BI49" i="4"/>
  <c r="BF281" i="4"/>
  <c r="Q645" i="4"/>
  <c r="BF645" i="4" s="1"/>
  <c r="BI645" i="4"/>
  <c r="BI541" i="4"/>
  <c r="BI525" i="4"/>
  <c r="BI282" i="4"/>
  <c r="BI173" i="4"/>
  <c r="BI157" i="4"/>
  <c r="BF280" i="4"/>
  <c r="BI642" i="4"/>
  <c r="BI646" i="4"/>
  <c r="BI559" i="4"/>
  <c r="BF279" i="4"/>
  <c r="U641" i="4"/>
  <c r="BE641" i="4"/>
  <c r="BI172" i="4"/>
  <c r="BI558" i="4"/>
  <c r="BI523" i="4"/>
  <c r="BI369" i="4"/>
  <c r="BI280" i="4"/>
  <c r="BI171" i="4"/>
  <c r="BI86" i="4"/>
  <c r="BI23" i="4"/>
  <c r="BF173" i="4"/>
  <c r="BI640" i="4"/>
  <c r="U638" i="4"/>
  <c r="BE638" i="4"/>
  <c r="BI421" i="4"/>
  <c r="BI367" i="4"/>
  <c r="BI329" i="4"/>
  <c r="BI210" i="4"/>
  <c r="BI169" i="4"/>
  <c r="BI153" i="4"/>
  <c r="BI628" i="4"/>
  <c r="BF171" i="4"/>
  <c r="BI420" i="4"/>
  <c r="BI366" i="4"/>
  <c r="BI328" i="4"/>
  <c r="BI209" i="4"/>
  <c r="BI168" i="4"/>
  <c r="BI152" i="4"/>
  <c r="BI83" i="4"/>
  <c r="BI67" i="4"/>
  <c r="BI587" i="4"/>
  <c r="BI627" i="4"/>
  <c r="U576" i="4"/>
  <c r="BE576" i="4"/>
  <c r="BI637" i="4"/>
  <c r="BI554" i="4"/>
  <c r="BI365" i="4"/>
  <c r="BI208" i="4"/>
  <c r="BI167" i="4"/>
  <c r="BI114" i="4"/>
  <c r="BI82" i="4"/>
  <c r="BI66" i="4"/>
  <c r="BI553" i="4"/>
  <c r="BI364" i="4"/>
  <c r="BI113" i="4"/>
  <c r="BI65" i="4"/>
  <c r="BI41" i="4"/>
  <c r="U640" i="4"/>
  <c r="BE640" i="4"/>
  <c r="U648" i="4"/>
  <c r="BE648" i="4"/>
  <c r="BI69" i="4"/>
  <c r="BI552" i="4"/>
  <c r="BI165" i="4"/>
  <c r="BI112" i="4"/>
  <c r="U647" i="4"/>
  <c r="BE647" i="4"/>
  <c r="BI164" i="4"/>
  <c r="BI111" i="4"/>
  <c r="BI95" i="4"/>
  <c r="BI79" i="4"/>
  <c r="BI58" i="4"/>
  <c r="U637" i="4"/>
  <c r="BE637" i="4"/>
  <c r="U646" i="4"/>
  <c r="BE646" i="4"/>
  <c r="BF172" i="4"/>
  <c r="BI201" i="4"/>
  <c r="BI110" i="4"/>
  <c r="BI648" i="4"/>
  <c r="U645" i="4"/>
  <c r="BE645" i="4"/>
  <c r="BI557" i="4"/>
  <c r="BI287" i="4"/>
  <c r="BI200" i="4"/>
  <c r="BI109" i="4"/>
  <c r="BI93" i="4"/>
  <c r="BI77" i="4"/>
  <c r="BF329" i="4"/>
  <c r="U642" i="4"/>
  <c r="BE642" i="4"/>
  <c r="U644" i="4"/>
  <c r="BE644" i="4"/>
  <c r="J37"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36" i="20"/>
  <c r="U587" i="4"/>
  <c r="U595" i="4"/>
  <c r="U589" i="4"/>
  <c r="U594" i="4"/>
  <c r="U593" i="4"/>
  <c r="U588" i="4"/>
  <c r="U574" i="4"/>
  <c r="U575" i="4"/>
  <c r="J76" i="20"/>
  <c r="J77" i="20"/>
  <c r="K171" i="18"/>
  <c r="L171" i="18"/>
  <c r="M171" i="18"/>
  <c r="N171" i="18"/>
  <c r="J171" i="18"/>
  <c r="G79" i="20" l="1"/>
  <c r="H79" i="20"/>
  <c r="I79" i="20"/>
  <c r="G78" i="20"/>
  <c r="H78" i="20"/>
  <c r="I78"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4" i="20"/>
  <c r="H34" i="20"/>
  <c r="I34" i="20"/>
  <c r="C34"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3" i="9"/>
  <c r="F44"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983" i="7"/>
  <c r="L240" i="7"/>
  <c r="L985"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7" i="7"/>
  <c r="L986" i="7"/>
  <c r="L984"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AP593" i="4" s="1"/>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4"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0" i="20" s="1"/>
  <c r="J80" i="20" s="1"/>
  <c r="I912" i="7"/>
  <c r="K912" i="7"/>
  <c r="F911" i="7"/>
  <c r="H911" i="7"/>
  <c r="I911" i="7"/>
  <c r="K911" i="7"/>
  <c r="F910" i="7"/>
  <c r="H910" i="7"/>
  <c r="D96" i="20" s="1"/>
  <c r="J96" i="20" s="1"/>
  <c r="I910" i="7"/>
  <c r="K910" i="7"/>
  <c r="F909" i="7"/>
  <c r="H909" i="7"/>
  <c r="I909" i="7"/>
  <c r="K909" i="7"/>
  <c r="F908" i="7"/>
  <c r="H908" i="7"/>
  <c r="I908" i="7"/>
  <c r="K908" i="7"/>
  <c r="F907" i="7"/>
  <c r="H907" i="7"/>
  <c r="I907" i="7"/>
  <c r="K907" i="7"/>
  <c r="F906" i="7"/>
  <c r="H906" i="7"/>
  <c r="I906" i="7"/>
  <c r="K906" i="7"/>
  <c r="F905" i="7"/>
  <c r="H905" i="7"/>
  <c r="I905" i="7"/>
  <c r="K905" i="7"/>
  <c r="E108" i="5"/>
  <c r="F42"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AK592" i="4" l="1"/>
  <c r="AK591" i="4"/>
  <c r="AP594" i="4"/>
  <c r="AK590" i="4"/>
  <c r="AK594" i="4"/>
  <c r="AP611" i="4"/>
  <c r="D81" i="20"/>
  <c r="J81" i="20" s="1"/>
  <c r="Q332" i="4"/>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4" i="20"/>
  <c r="I75" i="20"/>
  <c r="H74" i="20"/>
  <c r="H75" i="20"/>
  <c r="G74" i="20"/>
  <c r="G75"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Z610" i="4" l="1"/>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BF316" i="4" s="1"/>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F302" i="4" l="1"/>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Q592" i="4"/>
  <c r="BF592"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Q584" i="4"/>
  <c r="BF584" i="4" s="1"/>
  <c r="Q598" i="4"/>
  <c r="BF598"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Q590" i="4"/>
  <c r="BF590"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Q597" i="4"/>
  <c r="BF597"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Q596" i="4"/>
  <c r="BF596"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Q582" i="4"/>
  <c r="BF582" i="4" s="1"/>
  <c r="AA479" i="4"/>
  <c r="BI479" i="4" s="1"/>
  <c r="Q591" i="4"/>
  <c r="BF591"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Q586" i="4"/>
  <c r="BF586"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Q583" i="4"/>
  <c r="BF583"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Q595" i="4"/>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40" i="9"/>
  <c r="F41" i="9"/>
  <c r="F38" i="9"/>
  <c r="F39"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D83" i="20" l="1"/>
  <c r="J83" i="20" s="1"/>
  <c r="Q606" i="4"/>
  <c r="BF606" i="4" s="1"/>
  <c r="Q603" i="4"/>
  <c r="BF603" i="4" s="1"/>
  <c r="Q605" i="4"/>
  <c r="BF605" i="4" s="1"/>
  <c r="AP612" i="4"/>
  <c r="Q604" i="4"/>
  <c r="BF604" i="4" s="1"/>
  <c r="Q601" i="4"/>
  <c r="BF601" i="4" s="1"/>
  <c r="D82" i="20"/>
  <c r="J82" i="20" s="1"/>
  <c r="Q600" i="4"/>
  <c r="BF600" i="4" s="1"/>
  <c r="Q599" i="4"/>
  <c r="BF599" i="4" s="1"/>
  <c r="Q602" i="4"/>
  <c r="BF602" i="4" s="1"/>
  <c r="AP610" i="4"/>
  <c r="Q308" i="4"/>
  <c r="BF308" i="4" s="1"/>
  <c r="Q309" i="4"/>
  <c r="Q307" i="4"/>
  <c r="BF307" i="4" s="1"/>
  <c r="AK309" i="4"/>
  <c r="AK307" i="4"/>
  <c r="AK308" i="4"/>
  <c r="E106" i="5"/>
  <c r="F943" i="7"/>
  <c r="H943" i="7"/>
  <c r="I943" i="7"/>
  <c r="K943" i="7"/>
  <c r="F942" i="7"/>
  <c r="H942" i="7"/>
  <c r="I942" i="7"/>
  <c r="K942" i="7"/>
  <c r="F13" i="5"/>
  <c r="F106" i="5"/>
  <c r="F121" i="5"/>
  <c r="I13" i="5"/>
  <c r="J13" i="5"/>
  <c r="I106" i="5"/>
  <c r="J106" i="5"/>
  <c r="I121" i="5"/>
  <c r="J121" i="5"/>
  <c r="D495" i="4"/>
  <c r="D496" i="4"/>
  <c r="D497" i="4"/>
  <c r="D503" i="4"/>
  <c r="AC503" i="4"/>
  <c r="AD503" i="4"/>
  <c r="D498" i="4"/>
  <c r="D499" i="4"/>
  <c r="D500" i="4"/>
  <c r="D504" i="4"/>
  <c r="AC504" i="4"/>
  <c r="AD504" i="4"/>
  <c r="BH504" i="4" l="1"/>
  <c r="BH503" i="4"/>
  <c r="BF309" i="4"/>
  <c r="Q288" i="4"/>
  <c r="BF288" i="4" s="1"/>
  <c r="Q295" i="4"/>
  <c r="BF295" i="4" s="1"/>
  <c r="Q290" i="4"/>
  <c r="BF290" i="4" s="1"/>
  <c r="Q289" i="4"/>
  <c r="BF289" i="4" s="1"/>
  <c r="Q293" i="4"/>
  <c r="BF293" i="4" s="1"/>
  <c r="Q292" i="4"/>
  <c r="BF292" i="4" s="1"/>
  <c r="Q294" i="4"/>
  <c r="BF294" i="4" s="1"/>
  <c r="Q291" i="4"/>
  <c r="BF291" i="4" s="1"/>
  <c r="AP550"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4" i="20" l="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86" i="20"/>
  <c r="I87" i="20"/>
  <c r="I88" i="20"/>
  <c r="I89" i="20"/>
  <c r="I90" i="20"/>
  <c r="I91" i="20"/>
  <c r="I92" i="20"/>
  <c r="I93" i="20"/>
  <c r="I94" i="20"/>
  <c r="I95" i="20"/>
  <c r="I98" i="20"/>
  <c r="I99" i="20"/>
  <c r="I100" i="20"/>
  <c r="I101" i="20"/>
  <c r="I102" i="20"/>
  <c r="I103" i="20"/>
  <c r="I104" i="20"/>
  <c r="I105" i="20"/>
  <c r="I106" i="20"/>
  <c r="I107" i="20"/>
  <c r="I108" i="20"/>
  <c r="I109" i="20"/>
  <c r="I110" i="20"/>
  <c r="I111" i="20"/>
  <c r="I3" i="20"/>
  <c r="H4" i="20"/>
  <c r="H5" i="20"/>
  <c r="H6" i="20"/>
  <c r="H7" i="20"/>
  <c r="H8" i="20"/>
  <c r="H9" i="20"/>
  <c r="H10" i="20"/>
  <c r="H11" i="20"/>
  <c r="H12" i="20"/>
  <c r="H13" i="20"/>
  <c r="H14" i="20"/>
  <c r="H15" i="20"/>
  <c r="H16" i="20"/>
  <c r="H17" i="20"/>
  <c r="H18" i="20"/>
  <c r="H19" i="20"/>
  <c r="H20" i="20"/>
  <c r="H21" i="20"/>
  <c r="H22" i="20"/>
  <c r="H23" i="20"/>
  <c r="H24" i="20"/>
  <c r="H25" i="20"/>
  <c r="H26" i="20"/>
  <c r="H27" i="20"/>
  <c r="H28" i="20"/>
  <c r="H29" i="20"/>
  <c r="H30" i="20"/>
  <c r="H31" i="20"/>
  <c r="H32"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86" i="20"/>
  <c r="H87" i="20"/>
  <c r="H88" i="20"/>
  <c r="H89" i="20"/>
  <c r="H90" i="20"/>
  <c r="H91" i="20"/>
  <c r="H92" i="20"/>
  <c r="H93" i="20"/>
  <c r="H94" i="20"/>
  <c r="H95" i="20"/>
  <c r="H98" i="20"/>
  <c r="H99" i="20"/>
  <c r="H100" i="20"/>
  <c r="H101" i="20"/>
  <c r="H102" i="20"/>
  <c r="H103" i="20"/>
  <c r="H104" i="20"/>
  <c r="H105" i="20"/>
  <c r="H106" i="20"/>
  <c r="H107" i="20"/>
  <c r="H108" i="20"/>
  <c r="H109" i="20"/>
  <c r="H110" i="20"/>
  <c r="H111" i="20"/>
  <c r="H3" i="20"/>
  <c r="G4" i="20"/>
  <c r="G5" i="20"/>
  <c r="G6" i="20"/>
  <c r="G7" i="20"/>
  <c r="G8" i="20"/>
  <c r="G9" i="20"/>
  <c r="G10" i="20"/>
  <c r="G11" i="20"/>
  <c r="G12" i="20"/>
  <c r="G13" i="20"/>
  <c r="G14" i="20"/>
  <c r="G15" i="20"/>
  <c r="G16" i="20"/>
  <c r="G17" i="20"/>
  <c r="G18" i="20"/>
  <c r="G19" i="20"/>
  <c r="G20" i="20"/>
  <c r="G21" i="20"/>
  <c r="G22" i="20"/>
  <c r="G23" i="20"/>
  <c r="G24" i="20"/>
  <c r="G25" i="20"/>
  <c r="G26" i="20"/>
  <c r="G27" i="20"/>
  <c r="G28" i="20"/>
  <c r="G29" i="20"/>
  <c r="G30" i="20"/>
  <c r="G31" i="20"/>
  <c r="G32" i="20"/>
  <c r="G38" i="20"/>
  <c r="G39" i="20"/>
  <c r="G40" i="20"/>
  <c r="G41"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86" i="20"/>
  <c r="G87" i="20"/>
  <c r="G88" i="20"/>
  <c r="G89" i="20"/>
  <c r="G90" i="20"/>
  <c r="G91" i="20"/>
  <c r="G92" i="20"/>
  <c r="G93" i="20"/>
  <c r="G94" i="20"/>
  <c r="G95" i="20"/>
  <c r="G98" i="20"/>
  <c r="G99" i="20"/>
  <c r="G100" i="20"/>
  <c r="G101" i="20"/>
  <c r="G102" i="20"/>
  <c r="G103" i="20"/>
  <c r="G104" i="20"/>
  <c r="G105" i="20"/>
  <c r="G106" i="20"/>
  <c r="G107" i="20"/>
  <c r="G108" i="20"/>
  <c r="G109" i="20"/>
  <c r="G110" i="20"/>
  <c r="G111" i="20"/>
  <c r="J111" i="20" s="1"/>
  <c r="G3" i="20"/>
  <c r="C43" i="20"/>
  <c r="C50" i="20"/>
  <c r="J50" i="20" s="1"/>
  <c r="C49" i="20"/>
  <c r="C41" i="20"/>
  <c r="C48" i="20"/>
  <c r="C51" i="20"/>
  <c r="C44" i="20"/>
  <c r="C54" i="20"/>
  <c r="C52" i="20"/>
  <c r="C42" i="20"/>
  <c r="C47" i="20"/>
  <c r="C45" i="20"/>
  <c r="C46" i="20"/>
  <c r="C39" i="20"/>
  <c r="C31" i="20"/>
  <c r="C25" i="20"/>
  <c r="C28" i="20"/>
  <c r="C30" i="20"/>
  <c r="C26" i="20"/>
  <c r="C27" i="20"/>
  <c r="C29" i="20"/>
  <c r="C23" i="20"/>
  <c r="C24" i="20"/>
  <c r="C32" i="20"/>
  <c r="C20" i="20"/>
  <c r="C19" i="20"/>
  <c r="C18" i="20"/>
  <c r="C17" i="20"/>
  <c r="C16" i="20"/>
  <c r="C14" i="20"/>
  <c r="C13" i="20"/>
  <c r="C12" i="20"/>
  <c r="C11" i="20"/>
  <c r="C10" i="20"/>
  <c r="C15" i="20"/>
  <c r="J15" i="20" s="1"/>
  <c r="C21" i="20"/>
  <c r="J21" i="20" s="1"/>
  <c r="C38" i="20"/>
  <c r="J38" i="20" s="1"/>
  <c r="C55" i="20"/>
  <c r="J55" i="20" s="1"/>
  <c r="C86" i="20"/>
  <c r="J86" i="20" s="1"/>
  <c r="C98" i="20"/>
  <c r="J98" i="20" s="1"/>
  <c r="C103" i="20"/>
  <c r="J103" i="20" s="1"/>
  <c r="C107" i="20"/>
  <c r="J107" i="20" s="1"/>
  <c r="C4" i="20"/>
  <c r="C5" i="20"/>
  <c r="C6" i="20"/>
  <c r="C7" i="20"/>
  <c r="C8" i="20"/>
  <c r="C9" i="20"/>
  <c r="J9" i="20" s="1"/>
  <c r="C3" i="20"/>
  <c r="J3" i="20" s="1"/>
  <c r="J43" i="20" l="1"/>
  <c r="J47" i="20"/>
  <c r="J45" i="20"/>
  <c r="J106" i="20"/>
  <c r="J54" i="20"/>
  <c r="J44" i="20"/>
  <c r="J108" i="20"/>
  <c r="J40" i="20"/>
  <c r="J48"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K967" i="7"/>
  <c r="F966" i="7"/>
  <c r="G966" i="7"/>
  <c r="H966" i="7"/>
  <c r="I966" i="7"/>
  <c r="K966" i="7"/>
  <c r="F965" i="7"/>
  <c r="H965" i="7"/>
  <c r="I965" i="7"/>
  <c r="K965" i="7"/>
  <c r="F963" i="7"/>
  <c r="H963" i="7"/>
  <c r="I963" i="7"/>
  <c r="K963" i="7"/>
  <c r="F962" i="7"/>
  <c r="H962" i="7"/>
  <c r="I962" i="7"/>
  <c r="K962" i="7"/>
  <c r="F961" i="7"/>
  <c r="H961" i="7"/>
  <c r="I961" i="7"/>
  <c r="K961" i="7"/>
  <c r="F960" i="7"/>
  <c r="H960" i="7"/>
  <c r="I960" i="7"/>
  <c r="K960" i="7"/>
  <c r="F959" i="7"/>
  <c r="H959" i="7"/>
  <c r="I959" i="7"/>
  <c r="K959" i="7"/>
  <c r="F958" i="7"/>
  <c r="H958" i="7"/>
  <c r="I958" i="7"/>
  <c r="K958" i="7"/>
  <c r="F956" i="7"/>
  <c r="H956" i="7"/>
  <c r="I956" i="7"/>
  <c r="K956" i="7"/>
  <c r="F955" i="7"/>
  <c r="H955" i="7"/>
  <c r="I955" i="7"/>
  <c r="K955" i="7"/>
  <c r="F951" i="7"/>
  <c r="H951" i="7"/>
  <c r="I951" i="7"/>
  <c r="K951" i="7"/>
  <c r="F950" i="7"/>
  <c r="H950" i="7"/>
  <c r="I950" i="7"/>
  <c r="K950" i="7"/>
  <c r="F949" i="7"/>
  <c r="H949" i="7"/>
  <c r="I949" i="7"/>
  <c r="K949" i="7"/>
  <c r="F948" i="7"/>
  <c r="H948" i="7"/>
  <c r="I948" i="7"/>
  <c r="K948" i="7"/>
  <c r="F947" i="7"/>
  <c r="H947" i="7"/>
  <c r="I947" i="7"/>
  <c r="K947" i="7"/>
  <c r="F945" i="7"/>
  <c r="H945" i="7"/>
  <c r="I945" i="7"/>
  <c r="K945" i="7"/>
  <c r="F944" i="7"/>
  <c r="H944" i="7"/>
  <c r="I944" i="7"/>
  <c r="K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P616" i="4" l="1"/>
  <c r="AP617" i="4"/>
  <c r="AU617" i="4"/>
  <c r="AP618" i="4"/>
  <c r="AU618" i="4"/>
  <c r="AU616" i="4"/>
  <c r="Q636" i="4"/>
  <c r="BF636" i="4" s="1"/>
  <c r="Q633" i="4"/>
  <c r="BF633" i="4" s="1"/>
  <c r="Q616" i="4"/>
  <c r="Q613" i="4"/>
  <c r="BF613" i="4" s="1"/>
  <c r="Q631" i="4"/>
  <c r="BF631" i="4" s="1"/>
  <c r="Q618" i="4"/>
  <c r="Q632" i="4"/>
  <c r="BF632" i="4" s="1"/>
  <c r="Q635" i="4"/>
  <c r="BF635" i="4" s="1"/>
  <c r="Q615" i="4"/>
  <c r="BF615" i="4" s="1"/>
  <c r="Q617" i="4"/>
  <c r="Q630" i="4"/>
  <c r="BF630" i="4" s="1"/>
  <c r="Q634" i="4"/>
  <c r="BF634" i="4" s="1"/>
  <c r="AK618" i="4"/>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BF617" i="4"/>
  <c r="BF618" i="4"/>
  <c r="BF616" i="4"/>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BH473" i="4" s="1"/>
  <c r="AD473" i="4"/>
  <c r="AC472" i="4"/>
  <c r="BH472" i="4" s="1"/>
  <c r="AD472" i="4"/>
  <c r="I21" i="5"/>
  <c r="J21" i="5"/>
  <c r="I23" i="5"/>
  <c r="J23" i="5"/>
  <c r="I111" i="5"/>
  <c r="J111" i="5"/>
  <c r="I104" i="5"/>
  <c r="J104" i="5"/>
  <c r="F133" i="7"/>
  <c r="H133" i="7"/>
  <c r="I133" i="7"/>
  <c r="K133" i="7"/>
  <c r="F364" i="7"/>
  <c r="H364" i="7"/>
  <c r="I364" i="7"/>
  <c r="K364" i="7"/>
  <c r="F970" i="7"/>
  <c r="G970" i="7"/>
  <c r="H970" i="7"/>
  <c r="I970" i="7"/>
  <c r="K970" i="7"/>
  <c r="F367" i="7"/>
  <c r="H367" i="7"/>
  <c r="I367" i="7"/>
  <c r="K367" i="7"/>
  <c r="F368" i="7"/>
  <c r="G368" i="7"/>
  <c r="H368" i="7"/>
  <c r="I368" i="7"/>
  <c r="K368" i="7"/>
  <c r="F969" i="7"/>
  <c r="H969" i="7"/>
  <c r="I969" i="7"/>
  <c r="K969" i="7"/>
  <c r="F968" i="7"/>
  <c r="H968" i="7"/>
  <c r="I968" i="7"/>
  <c r="K968" i="7"/>
  <c r="F941" i="7"/>
  <c r="H941" i="7"/>
  <c r="I941" i="7"/>
  <c r="K941" i="7"/>
  <c r="K459" i="7"/>
  <c r="Q283" i="4" l="1"/>
  <c r="BF283" i="4" s="1"/>
  <c r="Q285" i="4"/>
  <c r="BF285" i="4" s="1"/>
  <c r="Q286" i="4"/>
  <c r="BF286" i="4" s="1"/>
  <c r="Q284" i="4"/>
  <c r="BF284" i="4" s="1"/>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K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Q141" i="4" s="1"/>
  <c r="BF141" i="4" s="1"/>
  <c r="I351" i="7"/>
  <c r="K351" i="7"/>
  <c r="F971" i="7"/>
  <c r="H971" i="7"/>
  <c r="Q142" i="4" s="1"/>
  <c r="BF142" i="4" s="1"/>
  <c r="I971" i="7"/>
  <c r="K971" i="7"/>
  <c r="F352" i="7"/>
  <c r="H352" i="7"/>
  <c r="Q143" i="4" s="1"/>
  <c r="BF143" i="4" s="1"/>
  <c r="I352" i="7"/>
  <c r="K352" i="7"/>
  <c r="F353" i="7"/>
  <c r="H353" i="7"/>
  <c r="Q140" i="4" s="1"/>
  <c r="BF140" i="4" s="1"/>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K954" i="7"/>
  <c r="F953" i="7"/>
  <c r="H953" i="7"/>
  <c r="I953" i="7"/>
  <c r="K953" i="7"/>
  <c r="F952" i="7"/>
  <c r="H952" i="7"/>
  <c r="I952" i="7"/>
  <c r="K952" i="7"/>
  <c r="G108" i="5"/>
  <c r="N476" i="18"/>
  <c r="G940" i="7"/>
  <c r="N472" i="18"/>
  <c r="AK443" i="4" l="1"/>
  <c r="AP502" i="4"/>
  <c r="AP549" i="4"/>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R411" i="4" s="1"/>
  <c r="BI411" i="4" s="1"/>
  <c r="N390" i="18"/>
  <c r="N384" i="18"/>
  <c r="N398" i="18"/>
  <c r="R431" i="4" s="1"/>
  <c r="BI431" i="4" s="1"/>
  <c r="N385" i="18"/>
  <c r="N220" i="18"/>
  <c r="N221" i="18"/>
  <c r="N223" i="18"/>
  <c r="N150" i="18"/>
  <c r="N166" i="18"/>
  <c r="N151" i="18"/>
  <c r="N152" i="18"/>
  <c r="N205" i="18"/>
  <c r="N153" i="18"/>
  <c r="N352" i="18"/>
  <c r="N154" i="18"/>
  <c r="N155" i="18"/>
  <c r="N156" i="18"/>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1" i="20"/>
  <c r="D86" i="20"/>
  <c r="D107" i="20"/>
  <c r="D9" i="20"/>
  <c r="D55" i="20"/>
  <c r="D15" i="20"/>
  <c r="D38"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R501" i="4" l="1"/>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04" i="4" l="1"/>
  <c r="BF304" i="4" s="1"/>
  <c r="Q335" i="4"/>
  <c r="BF335" i="4" s="1"/>
  <c r="Q305" i="4"/>
  <c r="BF305" i="4" s="1"/>
  <c r="Q576" i="4"/>
  <c r="BF576" i="4" s="1"/>
  <c r="Q306" i="4"/>
  <c r="BF30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7"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39"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946" i="7"/>
  <c r="K177" i="7"/>
  <c r="K178" i="7"/>
  <c r="K179" i="7"/>
  <c r="K180" i="7"/>
  <c r="K181" i="7"/>
  <c r="K182" i="7"/>
  <c r="K183" i="7"/>
  <c r="K184" i="7"/>
  <c r="K185" i="7"/>
  <c r="K186" i="7"/>
  <c r="K957" i="7"/>
  <c r="K187" i="7"/>
  <c r="K188" i="7"/>
  <c r="K189" i="7"/>
  <c r="K190" i="7"/>
  <c r="K191" i="7"/>
  <c r="K192" i="7"/>
  <c r="K964"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983" i="7"/>
  <c r="K240" i="7"/>
  <c r="K985"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987" i="7"/>
  <c r="K986" i="7"/>
  <c r="K984" i="7"/>
  <c r="K982" i="7"/>
  <c r="K981" i="7"/>
  <c r="K980" i="7"/>
  <c r="K302" i="7"/>
  <c r="K303" i="7"/>
  <c r="K304" i="7"/>
  <c r="K979" i="7"/>
  <c r="K305" i="7"/>
  <c r="K306" i="7"/>
  <c r="K307" i="7"/>
  <c r="K308" i="7"/>
  <c r="K309" i="7"/>
  <c r="K310" i="7"/>
  <c r="K311" i="7"/>
  <c r="K978" i="7"/>
  <c r="K312" i="7"/>
  <c r="K977" i="7"/>
  <c r="K409" i="7"/>
  <c r="K859" i="7"/>
  <c r="K398" i="7"/>
  <c r="K865" i="7"/>
  <c r="K314" i="7"/>
  <c r="K322" i="7"/>
  <c r="K975" i="7"/>
  <c r="K323" i="7"/>
  <c r="K324" i="7"/>
  <c r="K325" i="7"/>
  <c r="K974" i="7"/>
  <c r="K973" i="7"/>
  <c r="K774" i="7"/>
  <c r="K313" i="7"/>
  <c r="K976"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3" i="9"/>
  <c r="F7" i="9"/>
  <c r="F6" i="9"/>
  <c r="F4" i="9"/>
  <c r="F8" i="9"/>
  <c r="F11" i="9"/>
  <c r="F10" i="9"/>
  <c r="F14" i="9"/>
  <c r="F17" i="9"/>
  <c r="F13" i="9"/>
  <c r="F24" i="9"/>
  <c r="F12" i="9"/>
  <c r="F9" i="9"/>
  <c r="F18" i="9"/>
  <c r="F22" i="9"/>
  <c r="F5" i="9"/>
  <c r="F20" i="9"/>
  <c r="F25" i="9"/>
  <c r="F26" i="9"/>
  <c r="F34" i="9"/>
  <c r="F27" i="9"/>
  <c r="F28" i="9"/>
  <c r="F29" i="9"/>
  <c r="F30" i="9"/>
  <c r="F31" i="9"/>
  <c r="F32" i="9"/>
  <c r="F33" i="9"/>
  <c r="F35" i="9"/>
  <c r="F36" i="9"/>
  <c r="D97" i="20" l="1"/>
  <c r="J97" i="20" s="1"/>
  <c r="Q621" i="4"/>
  <c r="BF621" i="4" s="1"/>
  <c r="Q626" i="4"/>
  <c r="BF626" i="4" s="1"/>
  <c r="Q620" i="4"/>
  <c r="BF620" i="4" s="1"/>
  <c r="Q625" i="4"/>
  <c r="BF625" i="4" s="1"/>
  <c r="Q624" i="4"/>
  <c r="BF624" i="4" s="1"/>
  <c r="Q623" i="4"/>
  <c r="BF623" i="4" s="1"/>
  <c r="Q622" i="4"/>
  <c r="BF622" i="4" s="1"/>
  <c r="Q619" i="4"/>
  <c r="BF619" i="4" s="1"/>
  <c r="F19" i="9"/>
  <c r="F16" i="9"/>
  <c r="F15" i="9"/>
  <c r="F21" i="9"/>
  <c r="F23"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985" i="7"/>
  <c r="G365" i="7"/>
  <c r="G333" i="7"/>
  <c r="G359" i="7"/>
  <c r="G356" i="7"/>
  <c r="G357" i="7"/>
  <c r="G312" i="7"/>
  <c r="G305" i="7"/>
  <c r="G984"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986" i="7"/>
  <c r="G295" i="7"/>
  <c r="G425" i="7"/>
  <c r="G827" i="7"/>
  <c r="G279" i="7"/>
  <c r="G272" i="7"/>
  <c r="G265" i="7"/>
  <c r="G806" i="7"/>
  <c r="G752" i="7"/>
  <c r="G253" i="7"/>
  <c r="G246" i="7"/>
  <c r="G983"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987"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D20" i="20" s="1"/>
  <c r="J20" i="20" s="1"/>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I11" i="7"/>
  <c r="H657" i="7"/>
  <c r="I657" i="7"/>
  <c r="H658" i="7"/>
  <c r="I658" i="7"/>
  <c r="H818" i="7"/>
  <c r="I818" i="7"/>
  <c r="H659" i="7"/>
  <c r="I659" i="7"/>
  <c r="H660" i="7"/>
  <c r="I660" i="7"/>
  <c r="H816" i="7"/>
  <c r="I816" i="7"/>
  <c r="H12" i="7"/>
  <c r="I12" i="7"/>
  <c r="H812" i="7"/>
  <c r="I812" i="7"/>
  <c r="H662" i="7"/>
  <c r="I662" i="7"/>
  <c r="H807" i="7"/>
  <c r="I807" i="7"/>
  <c r="H663" i="7"/>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AK445" i="4" s="1"/>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AK237" i="4" s="1"/>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88" i="20" s="1"/>
  <c r="J88"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0" i="20" s="1"/>
  <c r="J90"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I930" i="7"/>
  <c r="H931" i="7"/>
  <c r="I931" i="7"/>
  <c r="H932" i="7"/>
  <c r="I932" i="7"/>
  <c r="H933" i="7"/>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983" i="7"/>
  <c r="I983" i="7"/>
  <c r="H240" i="7"/>
  <c r="I240" i="7"/>
  <c r="H985" i="7"/>
  <c r="D60" i="20" s="1"/>
  <c r="J60" i="20" s="1"/>
  <c r="I985" i="7"/>
  <c r="H241" i="7"/>
  <c r="D61" i="20" s="1"/>
  <c r="J61" i="20" s="1"/>
  <c r="I241" i="7"/>
  <c r="H242" i="7"/>
  <c r="D91" i="20" s="1"/>
  <c r="J91" i="20" s="1"/>
  <c r="I242" i="7"/>
  <c r="H243" i="7"/>
  <c r="I243" i="7"/>
  <c r="H244" i="7"/>
  <c r="I244" i="7"/>
  <c r="H245" i="7"/>
  <c r="J26"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2" i="20"/>
  <c r="J92" i="20" s="1"/>
  <c r="H259" i="7"/>
  <c r="I259" i="7"/>
  <c r="D62" i="20"/>
  <c r="J62" i="20" s="1"/>
  <c r="D63" i="20"/>
  <c r="J63" i="20" s="1"/>
  <c r="J27" i="20"/>
  <c r="H384" i="7"/>
  <c r="I384" i="7"/>
  <c r="H386" i="7"/>
  <c r="I386" i="7"/>
  <c r="H387" i="7"/>
  <c r="I387" i="7"/>
  <c r="H752" i="7"/>
  <c r="I752" i="7"/>
  <c r="H451" i="7"/>
  <c r="I451" i="7"/>
  <c r="H446" i="7"/>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H987" i="7"/>
  <c r="I987" i="7"/>
  <c r="H986" i="7"/>
  <c r="I986" i="7"/>
  <c r="H984" i="7"/>
  <c r="I984" i="7"/>
  <c r="H982" i="7"/>
  <c r="I982" i="7"/>
  <c r="H981" i="7"/>
  <c r="I981" i="7"/>
  <c r="H980" i="7"/>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4" i="20" s="1"/>
  <c r="J94"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983" i="7"/>
  <c r="F240" i="7"/>
  <c r="F985"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7" i="7"/>
  <c r="F986" i="7"/>
  <c r="F984" i="7"/>
  <c r="F982" i="7"/>
  <c r="F981" i="7"/>
  <c r="F980" i="7"/>
  <c r="F302" i="7"/>
  <c r="F303" i="7"/>
  <c r="F304" i="7"/>
  <c r="F979" i="7"/>
  <c r="F305" i="7"/>
  <c r="F306" i="7"/>
  <c r="F307" i="7"/>
  <c r="F308" i="7"/>
  <c r="F309" i="7"/>
  <c r="F310" i="7"/>
  <c r="F311" i="7"/>
  <c r="F978" i="7"/>
  <c r="F312" i="7"/>
  <c r="F977" i="7"/>
  <c r="F409" i="7"/>
  <c r="F859" i="7"/>
  <c r="F398" i="7"/>
  <c r="F865" i="7"/>
  <c r="F314" i="7"/>
  <c r="AU593" i="4" l="1"/>
  <c r="Q237" i="4"/>
  <c r="Q507" i="4"/>
  <c r="D33" i="20"/>
  <c r="J33" i="20" s="1"/>
  <c r="Q505" i="4"/>
  <c r="Q506" i="4"/>
  <c r="AK506" i="4"/>
  <c r="AK505" i="4"/>
  <c r="AK507" i="4"/>
  <c r="Q508" i="4"/>
  <c r="BF508" i="4" s="1"/>
  <c r="Q520" i="4"/>
  <c r="Q521" i="4"/>
  <c r="Q509" i="4"/>
  <c r="BF509" i="4" s="1"/>
  <c r="Q519" i="4"/>
  <c r="Q510" i="4"/>
  <c r="BF510" i="4" s="1"/>
  <c r="Q643" i="4"/>
  <c r="BF643" i="4" s="1"/>
  <c r="Q637" i="4"/>
  <c r="BF637" i="4" s="1"/>
  <c r="Q639" i="4"/>
  <c r="BF639" i="4" s="1"/>
  <c r="Q638" i="4"/>
  <c r="BF638" i="4" s="1"/>
  <c r="Q144" i="4"/>
  <c r="BF144" i="4" s="1"/>
  <c r="Q517" i="4"/>
  <c r="BF517" i="4" s="1"/>
  <c r="Q516" i="4"/>
  <c r="BF516" i="4" s="1"/>
  <c r="Q515" i="4"/>
  <c r="BF515" i="4" s="1"/>
  <c r="Q513" i="4"/>
  <c r="BF513" i="4" s="1"/>
  <c r="Q514" i="4"/>
  <c r="BF514" i="4" s="1"/>
  <c r="Q512" i="4"/>
  <c r="BF512" i="4" s="1"/>
  <c r="Q518" i="4"/>
  <c r="BF518" i="4" s="1"/>
  <c r="Q511" i="4"/>
  <c r="BF511" i="4" s="1"/>
  <c r="AP458" i="4"/>
  <c r="AK595" i="4"/>
  <c r="BF595" i="4" s="1"/>
  <c r="Q548" i="4"/>
  <c r="BF548" i="4" s="1"/>
  <c r="Q546" i="4"/>
  <c r="BF546" i="4" s="1"/>
  <c r="Q547" i="4"/>
  <c r="BF547" i="4" s="1"/>
  <c r="D79" i="20"/>
  <c r="J79"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2" i="20"/>
  <c r="J102"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78" i="20"/>
  <c r="J78" i="20" s="1"/>
  <c r="Q544" i="4"/>
  <c r="BF544" i="4" s="1"/>
  <c r="Q555" i="4"/>
  <c r="BF555" i="4" s="1"/>
  <c r="Q543" i="4"/>
  <c r="BF543" i="4" s="1"/>
  <c r="AK550" i="4"/>
  <c r="Q503" i="4"/>
  <c r="BF503" i="4" s="1"/>
  <c r="Q497" i="4"/>
  <c r="BF497" i="4" s="1"/>
  <c r="Q496" i="4"/>
  <c r="BF496" i="4" s="1"/>
  <c r="Q495" i="4"/>
  <c r="BF495" i="4" s="1"/>
  <c r="Q642" i="4"/>
  <c r="BF642" i="4" s="1"/>
  <c r="Q641" i="4"/>
  <c r="BF641" i="4" s="1"/>
  <c r="Q644" i="4"/>
  <c r="BF644" i="4" s="1"/>
  <c r="Q640" i="4"/>
  <c r="BF640" i="4" s="1"/>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BF406" i="4" s="1"/>
  <c r="Q408" i="4"/>
  <c r="BF408" i="4" s="1"/>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BF46" i="4" s="1"/>
  <c r="Q244" i="4"/>
  <c r="Q88" i="4"/>
  <c r="BF88" i="4" s="1"/>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BF445" i="4" s="1"/>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BF116" i="4" s="1"/>
  <c r="Q250" i="4"/>
  <c r="Q81" i="4"/>
  <c r="BF81" i="4" s="1"/>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99" i="20"/>
  <c r="J99" i="20" s="1"/>
  <c r="AU577" i="4"/>
  <c r="AP519" i="4"/>
  <c r="AK457" i="4"/>
  <c r="AK575" i="4"/>
  <c r="AP207" i="4"/>
  <c r="AP575" i="4"/>
  <c r="D105" i="20"/>
  <c r="J105" i="20" s="1"/>
  <c r="AK459" i="4"/>
  <c r="AP574" i="4"/>
  <c r="D100" i="20"/>
  <c r="J100" i="20" s="1"/>
  <c r="AK578" i="4"/>
  <c r="AK520" i="4"/>
  <c r="AP578" i="4"/>
  <c r="D101" i="20"/>
  <c r="J101"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0" i="20"/>
  <c r="J10" i="20" s="1"/>
  <c r="D104" i="20"/>
  <c r="J104" i="20" s="1"/>
  <c r="D13" i="20"/>
  <c r="J13"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5" i="20"/>
  <c r="J5" i="20" s="1"/>
  <c r="D65" i="20"/>
  <c r="J65" i="20" s="1"/>
  <c r="D25" i="20"/>
  <c r="J25" i="20" s="1"/>
  <c r="D12" i="20"/>
  <c r="J12" i="20" s="1"/>
  <c r="D57" i="20"/>
  <c r="J57" i="20" s="1"/>
  <c r="D67" i="20"/>
  <c r="J67" i="20" s="1"/>
  <c r="D23" i="20"/>
  <c r="J23" i="20" s="1"/>
  <c r="D56" i="20"/>
  <c r="J56" i="20" s="1"/>
  <c r="D58" i="20"/>
  <c r="J58" i="20" s="1"/>
  <c r="D39" i="20"/>
  <c r="J39" i="20" s="1"/>
  <c r="D64" i="20"/>
  <c r="J64" i="20" s="1"/>
  <c r="D46" i="20"/>
  <c r="J46" i="20" s="1"/>
  <c r="D8" i="20"/>
  <c r="J8" i="20" s="1"/>
  <c r="D110" i="20"/>
  <c r="J110" i="20" s="1"/>
  <c r="D66" i="20"/>
  <c r="J66" i="20" s="1"/>
  <c r="D93" i="20"/>
  <c r="J93" i="20" s="1"/>
  <c r="J32" i="20"/>
  <c r="D100" i="5"/>
  <c r="D95" i="20"/>
  <c r="J95" i="20" s="1"/>
  <c r="D79" i="5"/>
  <c r="D89" i="20"/>
  <c r="J89" i="20" s="1"/>
  <c r="J31" i="20"/>
  <c r="D30" i="20"/>
  <c r="J30" i="20" s="1"/>
  <c r="D68" i="20"/>
  <c r="J68" i="20" s="1"/>
  <c r="D92" i="5"/>
  <c r="D81" i="5"/>
  <c r="D18" i="20"/>
  <c r="J18" i="20" s="1"/>
  <c r="D41" i="20"/>
  <c r="J41" i="20" s="1"/>
  <c r="D75" i="20"/>
  <c r="J75" i="20" s="1"/>
  <c r="D69" i="20"/>
  <c r="J69" i="20" s="1"/>
  <c r="D89" i="5"/>
  <c r="D94" i="5"/>
  <c r="D51" i="20"/>
  <c r="J51" i="20" s="1"/>
  <c r="D17" i="20"/>
  <c r="J17" i="20" s="1"/>
  <c r="D49" i="20"/>
  <c r="J49" i="20" s="1"/>
  <c r="D87" i="20"/>
  <c r="J87" i="20" s="1"/>
  <c r="D74" i="20"/>
  <c r="J74" i="20" s="1"/>
  <c r="D11" i="20"/>
  <c r="J11" i="20" s="1"/>
  <c r="D53" i="20"/>
  <c r="J53" i="20" s="1"/>
  <c r="D59" i="20"/>
  <c r="J59" i="20" s="1"/>
  <c r="D21" i="5"/>
  <c r="D72" i="20"/>
  <c r="J72" i="20" s="1"/>
  <c r="D23" i="5"/>
  <c r="D42" i="20"/>
  <c r="J42" i="20" s="1"/>
  <c r="D71" i="20"/>
  <c r="J71" i="20" s="1"/>
  <c r="D123" i="5"/>
  <c r="D98" i="5"/>
  <c r="D14" i="20"/>
  <c r="J14" i="20" s="1"/>
  <c r="D96" i="5"/>
  <c r="D75" i="5"/>
  <c r="D70" i="20"/>
  <c r="J70" i="20" s="1"/>
  <c r="D19" i="20"/>
  <c r="J19" i="20" s="1"/>
  <c r="D7" i="20"/>
  <c r="J7" i="20" s="1"/>
  <c r="D52" i="20"/>
  <c r="J52" i="20" s="1"/>
  <c r="D22" i="20"/>
  <c r="J22" i="20" s="1"/>
  <c r="D4" i="20"/>
  <c r="J4" i="20" s="1"/>
  <c r="D109" i="20"/>
  <c r="J109" i="20" s="1"/>
  <c r="D111" i="5"/>
  <c r="D104" i="5"/>
  <c r="D73" i="20"/>
  <c r="J73" i="20" s="1"/>
  <c r="D6" i="20"/>
  <c r="J6" i="20" s="1"/>
  <c r="D29" i="20"/>
  <c r="J29" i="20" s="1"/>
  <c r="D28" i="20"/>
  <c r="J28" i="20" s="1"/>
  <c r="D24" i="20"/>
  <c r="J24" i="20" s="1"/>
  <c r="D16" i="20"/>
  <c r="J16"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BF563" i="4" l="1"/>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97" i="4"/>
  <c r="BE97" i="4" s="1"/>
  <c r="T241" i="4"/>
  <c r="BE241" i="4" s="1"/>
  <c r="T455" i="4"/>
  <c r="BE455" i="4" s="1"/>
  <c r="T235" i="4"/>
  <c r="BE235" i="4" s="1"/>
  <c r="T40" i="4"/>
  <c r="BE40" i="4" s="1"/>
  <c r="T240" i="4"/>
  <c r="BE240" i="4" s="1"/>
  <c r="T125" i="4"/>
  <c r="BE125" i="4" s="1"/>
  <c r="T162" i="4"/>
  <c r="BE162" i="4" s="1"/>
  <c r="T98" i="4"/>
  <c r="BE98"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100" i="4"/>
  <c r="BE10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173" i="4"/>
  <c r="BE173" i="4" s="1"/>
  <c r="T171" i="4"/>
  <c r="BE171" i="4" s="1"/>
  <c r="T602" i="4"/>
  <c r="BE602" i="4" s="1"/>
  <c r="T606" i="4"/>
  <c r="BE606" i="4" s="1"/>
  <c r="T601" i="4"/>
  <c r="BE601" i="4" s="1"/>
  <c r="T605" i="4"/>
  <c r="BE605" i="4" s="1"/>
  <c r="T172" i="4"/>
  <c r="BE172"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99" i="4"/>
  <c r="BE99"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101" i="4"/>
  <c r="BE101"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102" i="4"/>
  <c r="BE10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K85" i="5" l="1"/>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101"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99"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98" i="4"/>
  <c r="U230" i="4"/>
  <c r="U295" i="4"/>
  <c r="U349" i="4"/>
  <c r="U234" i="4"/>
  <c r="U35" i="4"/>
  <c r="U115" i="4"/>
  <c r="U292" i="4"/>
  <c r="U252" i="4"/>
  <c r="U97" i="4"/>
  <c r="U254" i="4"/>
  <c r="U260" i="4"/>
  <c r="U236" i="4"/>
  <c r="U228" i="4"/>
  <c r="U139" i="4"/>
  <c r="U340" i="4"/>
  <c r="U283" i="4"/>
  <c r="U398" i="4"/>
  <c r="U105" i="4"/>
  <c r="U143" i="4"/>
  <c r="U286" i="4"/>
  <c r="U288" i="4"/>
  <c r="U253" i="4"/>
  <c r="U100" i="4"/>
  <c r="U158" i="4"/>
  <c r="U311" i="4"/>
  <c r="U117" i="4"/>
  <c r="U215" i="4"/>
  <c r="U399" i="4"/>
  <c r="U350" i="4"/>
  <c r="U255" i="4"/>
  <c r="U123" i="4"/>
  <c r="U320" i="4"/>
  <c r="U294" i="4"/>
  <c r="U102"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206" i="4" l="1"/>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987" i="7" a="1"/>
  <c r="E987"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983" i="7" a="1"/>
  <c r="E983"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86" i="7" a="1"/>
  <c r="E986"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985" i="7" a="1"/>
  <c r="E985"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984" i="7" a="1"/>
  <c r="E984"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460" i="4" l="1"/>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<sst xmlns="http://schemas.openxmlformats.org/spreadsheetml/2006/main" count="11384" uniqueCount="3961">
  <si>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</si>
  <si>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</si>
  <si>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</si>
  <si>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</si>
  <si>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</si>
  <si>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</si>
  <si>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</si>
  <si>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</si>
  <si>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</si>
  <si>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</si>
  <si>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</si>
  <si>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</si>
  <si>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</si>
  <si>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</si>
  <si>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</si>
  <si>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</si>
  <si>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</si>
  <si>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</si>
  <si>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</si>
  <si>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</si>
  <si>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</si>
  <si>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</si>
  <si>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</si>
  <si>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</si>
  <si>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</si>
  <si>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</si>
  <si>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</si>
  <si>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</si>
  <si>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</si>
  <si>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</si>
  <si>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</si>
  <si>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</si>
  <si>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</si>
  <si>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</si>
  <si>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</si>
  <si>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</si>
  <si>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</si>
  <si>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</si>
  <si>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</si>
  <si>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</si>
  <si>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</si>
  <si>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</si>
  <si>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</si>
  <si>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</si>
  <si>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</si>
  <si>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</si>
  <si>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</si>
  <si>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</si>
  <si>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</si>
  <si>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</si>
  <si>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</si>
  <si>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</si>
  <si>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</si>
  <si>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</si>
  <si>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</si>
  <si>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</si>
  <si>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</si>
  <si>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</si>
  <si>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</si>
  <si>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</si>
  <si>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</si>
  <si>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</si>
  <si>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</si>
  <si>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</si>
  <si>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</si>
  <si>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</si>
  <si>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</si>
  <si>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</si>
  <si>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</si>
  <si>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</si>
  <si>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</si>
  <si>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</si>
  <si>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</si>
  <si>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</si>
  <si>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</si>
  <si>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</si>
  <si>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</si>
  <si>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</si>
  <si>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</si>
  <si>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</si>
  <si>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</si>
  <si>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</si>
  <si>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</si>
  <si>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</si>
  <si>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</si>
  <si>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</si>
  <si>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</si>
  <si>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</si>
  <si>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</si>
  <si>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</si>
  <si>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</si>
  <si>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</si>
  <si>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</si>
  <si>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</si>
  <si>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</si>
  <si>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</si>
  <si>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</si>
  <si>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</si>
  <si>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</si>
  <si>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</si>
  <si>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</si>
  <si>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</si>
  <si>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</si>
  <si>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</si>
  <si>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</si>
  <si>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</si>
  <si>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</si>
  <si>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</si>
  <si>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</si>
  <si>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</si>
  <si>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</si>
  <si>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</si>
  <si>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</si>
  <si>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</si>
  <si>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</si>
  <si>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</si>
  <si>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</si>
  <si>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</si>
  <si>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</si>
  <si>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</si>
  <si>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</si>
  <si>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</si>
  <si>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</si>
  <si>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</si>
  <si>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</si>
  <si>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</si>
  <si>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</si>
  <si>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</si>
  <si>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</si>
  <si>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</si>
  <si>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</si>
  <si>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</si>
  <si>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</si>
  <si>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</si>
  <si>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</si>
  <si>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</si>
  <si>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</si>
  <si>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</si>
  <si>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</si>
  <si>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</si>
  <si>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</si>
  <si>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</si>
  <si>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</si>
  <si>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</si>
  <si>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</si>
  <si>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</si>
  <si>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</si>
  <si>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</si>
  <si>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</si>
  <si>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</si>
  <si>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</si>
  <si>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</si>
  <si>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</si>
  <si>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</si>
  <si>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</si>
  <si>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</si>
  <si>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</si>
  <si>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</si>
  <si>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</si>
  <si>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</si>
  <si>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</si>
  <si>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</si>
  <si>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</si>
  <si>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</si>
  <si>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</si>
  <si>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</si>
  <si>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</si>
  <si>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</si>
  <si>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</si>
  <si>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</si>
  <si>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</si>
  <si>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</si>
  <si>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</si>
  <si>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</si>
  <si>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</si>
  <si>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</si>
  <si>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</si>
  <si>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</si>
  <si>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</si>
  <si>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</si>
  <si>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</si>
  <si>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</si>
  <si>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</si>
  <si>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</si>
  <si>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</si>
  <si>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</si>
  <si>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</si>
  <si>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</si>
  <si>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</si>
  <si>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</si>
  <si>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</si>
  <si>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</si>
  <si>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</si>
  <si>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</si>
  <si>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</si>
  <si>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</si>
  <si>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</si>
  <si>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</si>
  <si>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</si>
  <si>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</si>
  <si>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</si>
  <si>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</si>
  <si>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</si>
  <si>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</si>
  <si>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</si>
  <si>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</si>
  <si>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</si>
  <si>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</si>
  <si>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</si>
  <si>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</si>
  <si>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</si>
  <si>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</si>
  <si>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</si>
  <si>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</si>
  <si>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</si>
  <si>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</si>
  <si>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</si>
  <si>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</si>
  <si>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</si>
  <si>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</si>
  <si>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</si>
  <si>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</si>
  <si>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</si>
  <si>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</si>
  <si>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</si>
  <si>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</si>
  <si>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</si>
  <si>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</si>
  <si>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</si>
  <si>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</si>
  <si>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</si>
  <si>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</si>
  <si>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</si>
  <si>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</si>
  <si>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</si>
  <si>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</si>
  <si>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</si>
  <si>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</si>
  <si>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</si>
  <si>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</si>
  <si>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</si>
  <si>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</si>
  <si>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</si>
  <si>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</si>
  <si>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</si>
  <si>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</si>
  <si>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</si>
  <si>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</si>
  <si>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</si>
  <si>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</si>
  <si>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</si>
  <si>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</si>
  <si>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</si>
  <si>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</si>
  <si>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</si>
  <si>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</si>
  <si>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</si>
  <si>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</si>
  <si>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</si>
  <si>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</si>
  <si>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</si>
  <si>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</si>
  <si>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</si>
  <si>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</si>
  <si>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</si>
  <si>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</si>
  <si>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</si>
  <si>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</si>
  <si>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</si>
  <si>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</si>
  <si>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</si>
  <si>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</si>
  <si>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</si>
  <si>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</si>
  <si>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</si>
  <si>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</si>
  <si>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</si>
  <si>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</si>
  <si>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</si>
  <si>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</si>
  <si>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</si>
  <si>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</si>
  <si>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</si>
  <si>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</si>
  <si>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</si>
  <si>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</si>
  <si>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</si>
  <si>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</si>
  <si>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</si>
  <si>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</si>
  <si>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</si>
  <si>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</si>
  <si>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</si>
  <si>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</si>
  <si>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</si>
  <si>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</si>
  <si>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</si>
  <si>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</si>
  <si>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</si>
  <si>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</si>
  <si>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</si>
  <si>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</si>
  <si>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</si>
  <si>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</si>
  <si>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</si>
  <si>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</si>
  <si>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</si>
  <si>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</si>
  <si>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</si>
  <si>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</si>
  <si>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</si>
  <si>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</si>
  <si>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</si>
  <si>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</si>
  <si>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</si>
  <si>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</si>
  <si>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</si>
  <si>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</si>
  <si>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</si>
  <si>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</si>
  <si>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</si>
  <si>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</si>
  <si>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</si>
  <si>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</si>
  <si>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</si>
  <si>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</si>
  <si>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</si>
  <si>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</si>
  <si>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</si>
  <si>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</si>
  <si>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</si>
  <si>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</si>
  <si>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</si>
  <si>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</si>
  <si>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</si>
  <si>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</si>
  <si>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</si>
  <si>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</si>
  <si>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</si>
  <si>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</si>
  <si>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</si>
  <si>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</si>
  <si>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</si>
  <si>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</si>
  <si>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</si>
  <si>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</si>
  <si>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</si>
  <si>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</si>
  <si>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</si>
  <si>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</si>
  <si>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</si>
  <si>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</si>
  <si>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</si>
  <si>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</si>
  <si>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</si>
  <si>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</si>
  <si>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</si>
  <si>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</si>
  <si>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</si>
  <si>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</si>
  <si>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</si>
  <si>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</si>
  <si>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</si>
  <si>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</si>
  <si>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</si>
  <si>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</si>
  <si>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</si>
  <si>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</si>
  <si>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</si>
  <si>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</si>
  <si>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</si>
  <si>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</si>
  <si>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</si>
  <si>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</si>
  <si>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</si>
  <si>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</si>
  <si>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</si>
  <si>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</si>
  <si>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</si>
  <si>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</si>
  <si>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</si>
  <si>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</si>
  <si>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</si>
  <si>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</si>
  <si>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</si>
  <si>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</si>
  <si>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</si>
  <si>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</si>
  <si>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</si>
  <si>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</si>
  <si>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</si>
  <si>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</si>
  <si>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</si>
  <si>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</si>
  <si>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</si>
  <si>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</si>
  <si>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</si>
  <si>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</si>
  <si>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</si>
  <si>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</si>
  <si>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</si>
  <si>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</si>
  <si>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</si>
  <si>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</si>
  <si>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</si>
  <si>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</si>
  <si>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</si>
  <si>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</si>
  <si>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</si>
  <si>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</si>
  <si>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</si>
  <si>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</si>
  <si>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</si>
  <si>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</si>
  <si>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</si>
  <si>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</si>
  <si>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</si>
  <si>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</si>
  <si>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</si>
  <si>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</si>
  <si>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</si>
  <si>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</si>
  <si>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</si>
  <si>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</si>
  <si>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</si>
  <si>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</si>
  <si>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</si>
  <si>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</si>
  <si>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</si>
  <si>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</si>
  <si>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</si>
  <si>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</si>
  <si>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</si>
  <si>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</si>
  <si>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</si>
  <si>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</si>
  <si>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</si>
  <si>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</si>
  <si>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</si>
  <si>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</si>
  <si>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</si>
  <si>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</si>
  <si>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</si>
  <si>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</si>
  <si>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</si>
  <si>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</si>
  <si>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</si>
  <si>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</si>
  <si>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</si>
  <si>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</si>
  <si>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</si>
  <si>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</si>
  <si>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</si>
  <si>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</si>
  <si>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</si>
  <si>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</si>
  <si>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</si>
  <si>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</si>
  <si>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</si>
  <si>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</si>
  <si>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</si>
  <si>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</si>
  <si>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</si>
  <si>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</si>
  <si>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</si>
  <si>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</si>
  <si>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</si>
  <si>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</si>
  <si>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</si>
  <si>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</si>
  <si>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</si>
  <si>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</si>
  <si>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</si>
  <si>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</si>
  <si>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</si>
  <si>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</si>
  <si>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</si>
  <si>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</si>
  <si>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</si>
  <si>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</si>
  <si>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</si>
  <si>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</si>
  <si>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</si>
  <si>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</si>
  <si>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</si>
  <si>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</si>
  <si>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</si>
  <si>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</si>
  <si>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</si>
  <si>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</si>
  <si>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</si>
  <si>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</si>
  <si>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</si>
  <si>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</si>
  <si>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</si>
  <si>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</si>
  <si>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</si>
  <si>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</si>
  <si>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</si>
  <si>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</si>
  <si>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</si>
  <si>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</si>
  <si>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</si>
  <si>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</si>
  <si>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</si>
  <si>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</si>
  <si>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</si>
  <si>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</si>
  <si>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</si>
  <si>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</si>
  <si>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</si>
  <si>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</si>
  <si>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</si>
  <si>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</si>
  <si>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</si>
  <si>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</si>
  <si>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</si>
  <si>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</si>
  <si>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</si>
  <si>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</si>
  <si>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</si>
  <si>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</si>
  <si>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</si>
  <si>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</si>
  <si>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</si>
  <si>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</si>
  <si>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</si>
  <si>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</si>
  <si>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</si>
  <si>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</si>
  <si>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</si>
  <si>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</si>
  <si>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</si>
  <si>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</si>
  <si>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</si>
  <si>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</si>
  <si>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</si>
  <si>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</si>
  <si>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</si>
  <si>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</si>
  <si>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</si>
  <si>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</si>
  <si>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</si>
  <si>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</si>
  <si>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</si>
  <si>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</si>
  <si>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</si>
  <si>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</si>
  <si>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</si>
  <si>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</si>
  <si>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</si>
  <si>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</si>
  <si>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</si>
  <si>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</si>
  <si>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</si>
  <si>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</si>
  <si>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</si>
  <si>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</si>
  <si>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</si>
  <si>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</si>
  <si>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</si>
  <si>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</si>
  <si>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</si>
  <si>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</si>
  <si>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</si>
  <si>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</si>
  <si>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</si>
  <si>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</si>
  <si>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</si>
  <si>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</si>
  <si>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</si>
  <si>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</si>
  <si>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</si>
  <si>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</si>
  <si>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</si>
  <si>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</si>
  <si>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</si>
  <si>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</si>
  <si>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</si>
  <si>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</si>
  <si>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</si>
  <si>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</si>
  <si>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</si>
  <si>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</si>
  <si>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</si>
  <si>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</si>
  <si>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</si>
  <si>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</si>
  <si>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</si>
  <si>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</si>
  <si>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</si>
  <si>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</si>
  <si>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</si>
  <si>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</si>
  <si>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</si>
  <si>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</si>
  <si>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</si>
  <si>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</si>
  <si>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</si>
  <si>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</si>
  <si>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</si>
  <si>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</si>
  <si>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</si>
  <si>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</si>
  <si>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</si>
  <si>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</si>
  <si>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</si>
  <si>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</si>
  <si>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</si>
  <si>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</si>
  <si>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</si>
  <si>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</si>
  <si>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</si>
  <si>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</si>
  <si>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</si>
  <si>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</si>
  <si>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</si>
  <si>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</si>
  <si>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</si>
  <si>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</si>
  <si>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</si>
  <si>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</si>
  <si>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</si>
  <si>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</si>
  <si>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</si>
  <si>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</si>
  <si>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</si>
  <si>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</si>
  <si>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</si>
  <si>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</si>
  <si>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</si>
  <si>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</si>
  <si>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</si>
  <si>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</si>
  <si>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</si>
  <si>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</si>
  <si>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</si>
  <si>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</si>
  <si>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</si>
  <si>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</si>
  <si>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</si>
  <si>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</si>
  <si>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</si>
  <si>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</si>
  <si>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</si>
  <si>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</si>
  <si>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</si>
  <si>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</si>
  <si>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</si>
  <si>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</si>
  <si>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</si>
  <si>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</si>
  <si>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</si>
  <si>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</si>
  <si>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</si>
  <si>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</si>
  <si>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</si>
  <si>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</si>
  <si>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</si>
  <si>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</si>
  <si>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</si>
  <si>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</si>
  <si>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</si>
  <si>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</si>
  <si>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</si>
  <si>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</si>
  <si>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</si>
  <si>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</si>
  <si>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</si>
  <si>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</si>
  <si>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</si>
  <si>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</si>
  <si>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</si>
  <si>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</si>
  <si>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</si>
  <si>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</si>
  <si>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</si>
  <si>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</si>
  <si>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</si>
  <si>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</si>
  <si>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</si>
  <si>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</si>
  <si>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</si>
  <si>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</si>
  <si>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</si>
  <si>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</si>
  <si>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</si>
  <si>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</si>
  <si>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</si>
  <si>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</si>
  <si>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</si>
  <si>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</si>
  <si>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</si>
  <si>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</si>
  <si>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</si>
  <si>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</si>
  <si>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</si>
  <si>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</si>
  <si>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</si>
  <si>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</si>
  <si>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</si>
  <si>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</si>
  <si>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</si>
  <si>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</si>
  <si>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</si>
  <si>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</si>
  <si>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</si>
  <si>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</si>
  <si>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</si>
  <si>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</si>
  <si>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</si>
  <si>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</si>
  <si>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</si>
  <si>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</si>
  <si>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</si>
  <si>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</si>
  <si>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</si>
  <si>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</si>
  <si>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</si>
  <si>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</si>
  <si>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</si>
  <si>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</si>
  <si>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</si>
  <si>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</si>
  <si>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</si>
  <si>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</si>
  <si>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</si>
  <si>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</si>
  <si>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</si>
  <si>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</si>
  <si>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</si>
  <si>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</si>
  <si>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</si>
  <si>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</si>
  <si>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</si>
  <si>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</si>
  <si>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</si>
  <si>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</si>
  <si>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</si>
  <si>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</si>
  <si>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</si>
  <si>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</si>
  <si>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</si>
  <si>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</si>
  <si>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</si>
  <si>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</si>
  <si>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</si>
  <si>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</si>
  <si>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</si>
  <si>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</si>
  <si>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</si>
  <si>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</si>
  <si>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</si>
  <si>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</si>
  <si>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</si>
  <si>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</si>
  <si>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</si>
  <si>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</si>
  <si>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</si>
  <si>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</si>
  <si>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</si>
  <si>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</si>
  <si>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</si>
  <si>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</si>
  <si>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</si>
  <si>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</si>
  <si>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</si>
  <si>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</si>
  <si>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</si>
  <si>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</si>
  <si>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</si>
  <si>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</si>
  <si>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</si>
  <si>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</si>
  <si>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</si>
  <si>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</si>
  <si>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</si>
  <si>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</si>
  <si>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</si>
  <si>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</si>
  <si>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</si>
  <si>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</si>
  <si>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</si>
  <si>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</si>
  <si>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</si>
  <si>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</si>
  <si>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</si>
  <si>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</si>
  <si>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</si>
  <si>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</si>
  <si>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</si>
  <si>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</si>
  <si>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</si>
  <si>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</si>
  <si>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</si>
  <si>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</si>
  <si>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</si>
  <si>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</si>
  <si>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</si>
  <si>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</si>
  <si>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</si>
  <si>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</si>
  <si>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</si>
  <si>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</si>
  <si>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</si>
  <si>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</si>
  <si>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</si>
  <si>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</si>
  <si>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</si>
  <si>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</si>
  <si>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</si>
  <si>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</si>
  <si>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</si>
  <si>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</si>
  <si>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</si>
  <si>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</si>
  <si>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</si>
  <si>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</si>
  <si>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</si>
  <si>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</si>
  <si>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</si>
  <si>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</si>
  <si>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</si>
  <si>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</si>
  <si>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</si>
  <si>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</si>
  <si>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</si>
  <si>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</si>
  <si>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</si>
  <si>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</si>
  <si>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</si>
  <si>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</si>
  <si>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</si>
  <si>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</si>
  <si>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</si>
  <si>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</si>
  <si>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</si>
  <si>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</si>
  <si>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</si>
  <si>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</si>
  <si>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</si>
  <si>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</si>
  <si>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</si>
  <si>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</si>
  <si>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</si>
  <si>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</si>
  <si>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</si>
  <si>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</si>
  <si>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</si>
  <si>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</si>
  <si>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</si>
  <si>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</si>
  <si>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</si>
  <si>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</si>
  <si>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</si>
  <si>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</si>
  <si>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</si>
  <si>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</si>
  <si>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</si>
  <si>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</si>
  <si>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</si>
  <si>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</si>
  <si>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</si>
  <si>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</si>
  <si>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</si>
  <si>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</si>
  <si>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</si>
  <si>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</si>
  <si>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</si>
  <si>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</si>
  <si>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</si>
  <si>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</si>
  <si>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</si>
  <si>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</si>
  <si>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</si>
  <si>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</si>
  <si>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</si>
  <si>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</si>
  <si>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</si>
  <si>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</si>
  <si>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</si>
  <si>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</si>
  <si>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</si>
  <si>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</si>
  <si>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</si>
  <si>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</si>
  <si>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</si>
  <si>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</si>
  <si>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</si>
  <si>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</si>
  <si>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</si>
  <si>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</si>
  <si>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</si>
  <si>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</si>
  <si>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</si>
  <si>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</si>
  <si>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</si>
  <si>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</si>
  <si>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</si>
  <si>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</si>
  <si>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</si>
  <si>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</si>
  <si>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</si>
  <si>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</si>
  <si>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</si>
  <si>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</si>
  <si>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</si>
  <si>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</si>
  <si>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</si>
  <si>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</si>
  <si>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</si>
  <si>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</si>
  <si>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</si>
  <si>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</si>
  <si>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</si>
  <si>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</si>
  <si>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</si>
  <si>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</si>
  <si>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</si>
  <si>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</si>
  <si>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</si>
  <si>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</si>
  <si>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</si>
  <si>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</si>
  <si>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</si>
  <si>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</si>
  <si>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</si>
  <si>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</si>
  <si>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</si>
  <si>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</si>
  <si>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</si>
  <si>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</si>
  <si>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</si>
  <si>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</si>
  <si>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</si>
  <si>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</si>
  <si>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</si>
  <si>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</si>
  <si>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</si>
  <si>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</si>
  <si>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</si>
  <si>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</si>
  <si>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</si>
  <si>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</si>
  <si>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</si>
  <si>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</si>
  <si>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</si>
  <si>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</si>
  <si>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</si>
  <si>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</si>
  <si>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</si>
  <si>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</si>
  <si>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</si>
  <si>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</si>
  <si>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</si>
  <si>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</si>
  <si>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</si>
  <si>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</si>
  <si>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</si>
  <si>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</si>
  <si>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</si>
  <si>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</si>
  <si>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</si>
  <si>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</si>
  <si>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</si>
  <si>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</si>
  <si>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</si>
  <si>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</si>
  <si>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</si>
  <si>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</si>
  <si>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</si>
  <si>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</si>
  <si>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</si>
  <si>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</si>
  <si>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</si>
  <si>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</si>
  <si>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</si>
  <si>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</si>
  <si>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</si>
  <si>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</si>
  <si>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</si>
  <si>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</si>
  <si>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</si>
  <si>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</si>
  <si>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</si>
  <si>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</si>
  <si>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</si>
  <si>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</si>
  <si>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</si>
  <si>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</si>
  <si>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</si>
  <si>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</si>
  <si>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</si>
  <si>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</si>
  <si>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</si>
  <si>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</si>
  <si>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</si>
  <si>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</si>
  <si>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</si>
  <si>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</si>
  <si>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</si>
  <si>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</si>
  <si>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</si>
  <si>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</si>
  <si>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</si>
  <si>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</si>
  <si>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</si>
  <si>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</si>
  <si>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</si>
  <si>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</si>
  <si>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</si>
  <si>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</si>
  <si>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</si>
  <si>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</si>
  <si>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</si>
  <si>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</si>
  <si>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</si>
  <si>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</si>
  <si>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</si>
  <si>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</si>
  <si>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</si>
  <si>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</si>
  <si>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</si>
  <si>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</si>
  <si>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</si>
  <si>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</si>
  <si>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</si>
  <si>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</si>
  <si>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</si>
  <si>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</si>
  <si>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</si>
  <si>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</si>
  <si>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</si>
  <si>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</si>
  <si>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</si>
  <si>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</si>
  <si>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</si>
  <si>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</si>
  <si>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</si>
  <si>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</si>
  <si>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</si>
  <si>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</si>
  <si>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</si>
  <si>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</si>
  <si>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</si>
  <si>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</si>
  <si>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</si>
  <si>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</si>
  <si>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</si>
  <si>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</si>
  <si>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</si>
  <si>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</si>
  <si>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</si>
  <si>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</si>
  <si>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</si>
  <si>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</si>
  <si>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</si>
  <si>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</si>
  <si>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</si>
  <si>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</si>
  <si>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</si>
  <si>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</si>
  <si>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</si>
  <si>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</si>
  <si>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</si>
  <si>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</si>
  <si>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</si>
  <si>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</si>
  <si>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</si>
  <si>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</si>
  <si>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</si>
  <si>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</si>
  <si>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</si>
  <si>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</si>
  <si>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</si>
  <si>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</si>
  <si>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</si>
  <si>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</si>
  <si>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</si>
  <si>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</si>
  <si>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</si>
  <si>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</si>
  <si>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</si>
  <si>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</si>
  <si>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</si>
  <si>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</si>
  <si>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</si>
  <si>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</si>
  <si>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</si>
  <si>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</si>
  <si>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</si>
  <si>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</si>
  <si>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</si>
  <si>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</si>
  <si>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</si>
  <si>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</si>
  <si>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</si>
  <si>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</si>
  <si>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</si>
  <si>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</si>
  <si>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</si>
  <si>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</si>
  <si>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</si>
  <si>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</si>
  <si>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</si>
  <si>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</si>
  <si>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</si>
  <si>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</si>
  <si>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</si>
  <si>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</si>
  <si>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</si>
  <si>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</si>
  <si>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</si>
  <si>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</si>
  <si>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</si>
  <si>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</si>
  <si>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</si>
  <si>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</si>
  <si>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</si>
  <si>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</si>
  <si>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</si>
  <si>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</si>
  <si>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</si>
  <si>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</si>
  <si>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</si>
  <si>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</si>
  <si>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</si>
  <si>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</si>
  <si>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</si>
  <si>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</si>
  <si>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</si>
  <si>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</si>
  <si>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</si>
  <si>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</si>
  <si>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</si>
  <si>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</si>
  <si>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</si>
  <si>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</si>
  <si>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</si>
  <si>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</si>
  <si>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</si>
  <si>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</si>
  <si>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</si>
  <si>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</si>
  <si>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</si>
  <si>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</si>
  <si>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</si>
  <si>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</si>
  <si>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</si>
  <si>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</si>
  <si>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</si>
  <si>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</si>
  <si>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</si>
  <si>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</si>
  <si>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</si>
  <si>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</si>
  <si>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</si>
  <si>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</si>
  <si>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</si>
  <si>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</si>
  <si>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</si>
  <si>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</si>
  <si>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</si>
  <si>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</si>
  <si>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</si>
  <si>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</si>
  <si>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</si>
  <si>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</si>
  <si>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</si>
  <si>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</si>
  <si>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</si>
  <si>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</si>
  <si>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</si>
  <si>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</si>
  <si>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</si>
  <si>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</si>
  <si>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</si>
  <si>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</si>
  <si>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</si>
  <si>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</si>
  <si>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</si>
  <si>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</si>
  <si>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</si>
  <si>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</si>
  <si>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</si>
  <si>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</si>
  <si>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</si>
  <si>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</si>
  <si>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</si>
  <si>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</si>
  <si>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</si>
  <si>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</si>
  <si>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</si>
  <si>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</si>
  <si>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</si>
  <si>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</si>
  <si>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</si>
  <si>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</si>
  <si>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</si>
  <si>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</si>
  <si>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</si>
  <si>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</si>
  <si>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</si>
  <si>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</si>
  <si>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</si>
  <si>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</si>
  <si>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</si>
  <si>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</si>
  <si>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</si>
  <si>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</si>
  <si>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</si>
  <si>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</si>
  <si>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</si>
  <si>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</si>
  <si>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</si>
  <si>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</si>
  <si>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</si>
  <si>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</si>
  <si>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</si>
  <si>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</si>
  <si>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</si>
  <si>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</si>
  <si>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</si>
  <si>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</si>
  <si>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</si>
  <si>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</si>
  <si>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</si>
  <si>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</si>
  <si>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</si>
  <si>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</si>
  <si>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</si>
  <si>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</si>
  <si>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</si>
  <si>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</si>
  <si>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</si>
  <si>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</si>
  <si>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</si>
  <si>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</si>
  <si>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</si>
  <si>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</si>
  <si>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</si>
  <si>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</si>
  <si>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</si>
  <si>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</si>
  <si>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</si>
  <si>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</si>
  <si>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</si>
  <si>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</si>
  <si>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</si>
  <si>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</si>
  <si>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</si>
  <si>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</si>
  <si>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</si>
  <si>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</si>
  <si>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</si>
  <si>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</si>
  <si>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</si>
  <si>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</si>
  <si>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</si>
  <si>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</si>
  <si>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</si>
  <si>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</si>
  <si>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</si>
  <si>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</si>
  <si>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</si>
  <si>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</si>
  <si>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</si>
  <si>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</si>
  <si>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</si>
  <si>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</si>
  <si>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</si>
  <si>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</si>
  <si>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</si>
  <si>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</si>
  <si>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</si>
  <si>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</si>
  <si>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</si>
  <si>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</si>
  <si>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</si>
  <si>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</si>
  <si>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</si>
  <si>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</si>
  <si>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</si>
  <si>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</si>
  <si>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</si>
  <si>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</si>
  <si>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</si>
  <si>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</si>
  <si>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</si>
  <si>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</si>
  <si>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</si>
  <si>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</si>
  <si>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</si>
  <si>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</si>
  <si>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</si>
  <si>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</si>
  <si>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</si>
  <si>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</si>
  <si>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</si>
  <si>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</si>
  <si>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</si>
  <si>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</si>
  <si>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</si>
  <si>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</si>
  <si>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</si>
  <si>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</si>
  <si>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</si>
  <si>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</si>
  <si>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</si>
  <si>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</si>
  <si>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</si>
  <si>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</si>
  <si>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</si>
  <si>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</si>
  <si>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</si>
  <si>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</si>
  <si>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</si>
  <si>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</si>
  <si>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</si>
  <si>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</si>
  <si>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</si>
  <si>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</si>
  <si>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</si>
  <si>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</si>
  <si>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</si>
  <si>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</si>
  <si>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</si>
  <si>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</si>
  <si>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</si>
  <si>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</si>
  <si>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</si>
  <si>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</si>
  <si>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</si>
  <si>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</si>
  <si>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</si>
  <si>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</si>
  <si>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</si>
  <si>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</si>
  <si>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</si>
  <si>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</si>
  <si>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</si>
  <si>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</si>
  <si>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</si>
  <si>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</si>
  <si>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</si>
  <si>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</si>
  <si>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</si>
  <si>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</si>
  <si>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</si>
  <si>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</si>
  <si>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</si>
  <si>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</si>
  <si>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</si>
  <si>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</si>
  <si>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</si>
  <si>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</si>
  <si>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</si>
  <si>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</si>
  <si>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</si>
  <si>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</si>
  <si>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</si>
  <si>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</si>
  <si>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</si>
  <si>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</si>
  <si>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</si>
  <si>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</si>
  <si>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</si>
  <si>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</si>
  <si>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</si>
  <si>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</si>
  <si>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</si>
  <si>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</si>
  <si>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</si>
  <si>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</si>
  <si>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</si>
  <si>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</si>
  <si>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</si>
  <si>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</si>
  <si>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</si>
  <si>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</si>
  <si>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</si>
  <si>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</si>
  <si>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</si>
  <si>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</si>
  <si>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</si>
  <si>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</si>
  <si>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</si>
  <si>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</si>
  <si>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</si>
  <si>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</si>
  <si>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</si>
  <si>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</si>
  <si>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</si>
  <si>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</si>
  <si>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</si>
  <si>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</si>
  <si>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</si>
  <si>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</si>
  <si>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</si>
  <si>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</si>
  <si>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</si>
  <si>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</si>
  <si>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</si>
  <si>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</si>
  <si>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</si>
  <si>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</si>
  <si>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</si>
  <si>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</si>
  <si>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</si>
  <si>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</si>
  <si>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</si>
  <si>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</si>
  <si>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Cheesemonger Hollow</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</si>
  <si>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</si>
  <si>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</si>
  <si>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</si>
  <si>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</si>
  <si>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</si>
  <si>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</si>
  <si>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</si>
  <si>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</si>
  <si>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</si>
  <si>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</si>
  <si>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</si>
  <si>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</si>
  <si>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</si>
  <si>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</si>
  <si>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</si>
  <si>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</si>
  <si>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</si>
  <si>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</si>
  <si>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</si>
  <si>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</si>
  <si>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</si>
  <si>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</si>
  <si>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</si>
  <si>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</si>
  <si>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</si>
  <si>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</si>
  <si>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</si>
  <si>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</si>
  <si>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</si>
  <si>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</si>
  <si>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</si>
  <si>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</si>
  <si>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</si>
  <si>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</si>
  <si>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</si>
  <si>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</si>
  <si>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</si>
  <si>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</si>
  <si>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</si>
  <si>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</si>
  <si>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</si>
  <si>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</si>
  <si>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</si>
  <si>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</si>
  <si>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</si>
  <si>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</si>
  <si>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</si>
  <si>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</si>
  <si>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</si>
  <si>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</si>
  <si>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</si>
  <si>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</si>
  <si>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</si>
  <si>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</si>
  <si>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</si>
  <si>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</si>
  <si>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</si>
  <si>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</si>
  <si>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</si>
  <si>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</si>
  <si>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</si>
  <si>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</si>
  <si>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</si>
  <si>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</si>
  <si>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</si>
  <si>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</si>
  <si>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</si>
  <si>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</si>
  <si>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</si>
  <si>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</si>
  <si>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</si>
  <si>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</si>
  <si>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</si>
  <si>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</si>
  <si>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</si>
  <si>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</si>
  <si>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</si>
  <si>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</si>
  <si>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</si>
  <si>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</si>
  <si>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</si>
  <si>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</si>
  <si>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</si>
  <si>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</si>
  <si>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</si>
  <si>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</si>
  <si>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</si>
  <si>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</si>
  <si>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</si>
  <si>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</si>
  <si>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</si>
  <si>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</si>
  <si>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</si>
  <si>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</si>
  <si>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</si>
  <si>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</si>
  <si>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</si>
  <si>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</si>
  <si>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</si>
  <si>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</si>
  <si>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</si>
  <si>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</si>
  <si>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</si>
  <si>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</si>
  <si>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</si>
  <si>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</si>
  <si>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</si>
  <si>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</si>
  <si>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</si>
  <si>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</si>
  <si>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</si>
  <si>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</si>
  <si>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</si>
  <si>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</si>
  <si>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</si>
  <si>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</si>
  <si>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</si>
  <si>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</si>
  <si>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</si>
  <si>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</si>
  <si>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</si>
  <si>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</si>
  <si>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</si>
  <si>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</si>
  <si>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</si>
  <si>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</si>
  <si>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</si>
  <si>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</si>
  <si>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</si>
  <si>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</si>
  <si>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</si>
  <si>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</si>
  <si>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</si>
  <si>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</si>
  <si>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</si>
  <si>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</si>
  <si>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</si>
  <si>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</si>
  <si>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</si>
  <si>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</si>
  <si>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</si>
  <si>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</si>
  <si>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</si>
  <si>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</si>
  <si>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</si>
  <si>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</si>
  <si>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</si>
  <si>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</si>
  <si>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</si>
  <si>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</si>
  <si>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</si>
  <si>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</si>
  <si>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</si>
  <si>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</si>
  <si>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</si>
  <si>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</si>
  <si>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</si>
  <si>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</si>
  <si>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</si>
  <si>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</si>
  <si>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</si>
  <si>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</si>
  <si>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</si>
  <si>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</si>
  <si>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</si>
  <si>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</si>
  <si>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</si>
  <si>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</si>
  <si>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</si>
  <si>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</si>
  <si>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</si>
  <si>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</si>
  <si>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</si>
  <si>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</si>
  <si>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</si>
  <si>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</si>
  <si>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</si>
  <si>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</si>
  <si>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</si>
  <si>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</si>
  <si>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</si>
  <si>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</si>
  <si>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</si>
  <si>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</si>
  <si>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</si>
  <si>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</si>
  <si>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</si>
  <si>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</si>
  <si>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</si>
  <si>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</si>
  <si>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</si>
  <si>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</si>
  <si>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</si>
  <si>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</si>
  <si>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</si>
  <si>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</si>
  <si>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</si>
  <si>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</si>
  <si>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</si>
  <si>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</si>
  <si>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</si>
  <si>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</si>
  <si>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</si>
  <si>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</si>
  <si>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</si>
  <si>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</si>
  <si>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</si>
  <si>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</si>
  <si>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</si>
  <si>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</si>
  <si>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</si>
  <si>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</si>
  <si>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</si>
  <si>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</si>
  <si>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</si>
  <si>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</si>
  <si>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</si>
  <si>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</si>
  <si>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</si>
  <si>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</si>
  <si>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</si>
  <si>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</si>
  <si>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</si>
  <si>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</si>
  <si>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</si>
  <si>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</si>
  <si>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</si>
  <si>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</si>
  <si>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</si>
  <si>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</si>
  <si>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</si>
  <si>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</si>
  <si>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</si>
  <si>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</si>
  <si>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</si>
  <si>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</si>
  <si>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</si>
  <si>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</si>
  <si>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</si>
  <si>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</si>
  <si>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</si>
  <si>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</si>
  <si>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</si>
  <si>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</si>
  <si>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</si>
  <si>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</si>
  <si>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</si>
  <si>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</si>
  <si>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</si>
  <si>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</si>
  <si>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</si>
  <si>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</si>
  <si>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</si>
  <si>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</si>
  <si>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</si>
  <si>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</si>
  <si>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</si>
  <si>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</si>
  <si>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</si>
  <si>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</si>
  <si>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</si>
  <si>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</si>
  <si>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</si>
  <si>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</si>
  <si>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</si>
  <si>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</si>
  <si>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</si>
  <si>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</si>
  <si>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</si>
  <si>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</si>
  <si>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</si>
  <si>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</si>
  <si>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</si>
  <si>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</si>
  <si>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</si>
  <si>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</si>
  <si>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</si>
  <si>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</si>
  <si>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</si>
  <si>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</si>
  <si>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</si>
  <si>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</si>
  <si>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</si>
  <si>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</si>
  <si>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</si>
  <si>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</si>
  <si>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</si>
  <si>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</si>
  <si>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</si>
  <si>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</si>
  <si>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</si>
  <si>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</si>
  <si>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</si>
  <si>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</si>
  <si>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</si>
  <si>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</si>
  <si>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</si>
  <si>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</si>
  <si>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</si>
  <si>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</si>
  <si>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</si>
  <si>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</si>
  <si>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</si>
  <si>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</si>
  <si>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</si>
  <si>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</si>
  <si>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</si>
  <si>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</si>
  <si>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</si>
  <si>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</si>
  <si>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</si>
  <si>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</si>
  <si>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</si>
  <si>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</si>
  <si>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</si>
  <si>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</si>
  <si>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</si>
  <si>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</si>
  <si>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</si>
  <si>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</si>
  <si>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</si>
  <si>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</si>
  <si>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</si>
  <si>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</si>
  <si>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</si>
  <si>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</si>
  <si>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</si>
  <si>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</si>
  <si>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</si>
  <si>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</si>
  <si>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</si>
  <si>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</si>
  <si>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</si>
  <si>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</si>
  <si>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</si>
  <si>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</si>
  <si>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</si>
  <si>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</si>
  <si>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</si>
  <si>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</si>
  <si>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</si>
  <si>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</si>
  <si>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</si>
  <si>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</si>
  <si>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</si>
  <si>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</si>
  <si>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</si>
  <si>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</si>
  <si>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</si>
  <si>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</si>
  <si>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</si>
  <si>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</si>
  <si>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</si>
  <si>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</si>
  <si>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</si>
  <si>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</si>
  <si>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</si>
  <si>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</si>
  <si>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</si>
  <si>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</si>
  <si>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</si>
  <si>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</si>
  <si>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</si>
  <si>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</si>
  <si>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</si>
  <si>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</si>
  <si>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</si>
  <si>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</si>
  <si>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</si>
  <si>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</si>
  <si>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</si>
  <si>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</si>
  <si>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</si>
  <si>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</si>
  <si>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</si>
  <si>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</si>
  <si>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</si>
  <si>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</si>
  <si>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</si>
  <si>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</si>
  <si>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</si>
  <si>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</si>
  <si>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</si>
  <si>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</si>
  <si>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</si>
  <si>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</si>
  <si>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</si>
  <si>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</si>
  <si>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</si>
  <si>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</si>
  <si>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</si>
  <si>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</si>
  <si>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</si>
  <si>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</si>
  <si>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</si>
  <si>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</si>
  <si>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</si>
  <si>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</si>
  <si>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</si>
  <si>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</si>
  <si>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</si>
  <si>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</si>
  <si>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</si>
  <si>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</si>
  <si>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</si>
  <si>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</si>
  <si>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</si>
  <si>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</si>
  <si>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</si>
  <si>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</si>
  <si>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</si>
  <si>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</si>
  <si>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</si>
  <si>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</si>
  <si>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</si>
  <si>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</si>
  <si>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</si>
  <si>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</si>
  <si>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</si>
  <si>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</si>
  <si>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</si>
  <si>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</si>
  <si>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</si>
  <si>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</si>
  <si>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</si>
  <si>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</si>
  <si>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</si>
  <si>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</si>
  <si>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</si>
  <si>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</si>
  <si>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</si>
  <si>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</si>
  <si>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</si>
  <si>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</si>
  <si>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</si>
  <si>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</si>
  <si>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</si>
  <si>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</si>
  <si>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</si>
  <si>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</si>
  <si>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</si>
  <si>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</si>
  <si>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</si>
  <si>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</si>
  <si>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</si>
  <si>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</si>
  <si>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</si>
  <si>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</si>
  <si>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</si>
  <si>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</si>
  <si>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</si>
  <si>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</si>
  <si>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</si>
  <si>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</si>
  <si>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</si>
  <si>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</si>
  <si>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</si>
  <si>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</si>
  <si>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</si>
  <si>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</si>
  <si>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</si>
  <si>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</si>
  <si>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</si>
  <si>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</si>
  <si>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</si>
  <si>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</si>
  <si>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</si>
  <si>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</si>
  <si>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</si>
  <si>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</si>
  <si>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</si>
  <si>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</si>
  <si>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</si>
  <si>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</si>
  <si>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</si>
  <si>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</si>
  <si>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</si>
  <si>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</si>
  <si>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</si>
  <si>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</si>
  <si>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</si>
  <si>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</si>
  <si>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</si>
  <si>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</si>
  <si>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</si>
  <si>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</si>
  <si>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</si>
  <si>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</si>
  <si>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</si>
  <si>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</si>
  <si>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</si>
  <si>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</si>
  <si>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</si>
  <si>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</si>
  <si>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</si>
  <si>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</si>
  <si>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</si>
  <si>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</si>
  <si>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</si>
  <si>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</si>
  <si>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</si>
  <si>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</si>
  <si>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</si>
  <si>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</si>
  <si>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</si>
  <si>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</si>
  <si>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</si>
  <si>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</si>
  <si>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</si>
  <si>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</si>
  <si>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</si>
  <si>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</si>
  <si>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</si>
  <si>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</si>
  <si>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</si>
  <si>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</si>
  <si>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</si>
  <si>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</si>
  <si>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</si>
  <si>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</si>
  <si>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</si>
  <si>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</si>
  <si>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</si>
  <si>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</si>
  <si>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</si>
  <si>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</si>
  <si>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</si>
  <si>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</si>
  <si>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</si>
  <si>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</si>
  <si>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</si>
  <si>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</si>
  <si>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</si>
  <si>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</si>
  <si>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</si>
  <si>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</si>
  <si>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</si>
  <si>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</si>
  <si>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</si>
  <si>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</si>
  <si>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</si>
  <si>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</si>
  <si>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</si>
  <si>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</si>
  <si>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</si>
  <si>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</si>
  <si>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</si>
  <si>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</si>
  <si>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</si>
  <si>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</si>
  <si>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</si>
  <si>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</si>
  <si>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</si>
  <si>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</si>
  <si>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</si>
  <si>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</si>
  <si>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</si>
  <si>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</si>
  <si>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</si>
  <si>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</si>
  <si>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</si>
  <si>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</si>
  <si>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</si>
  <si>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</si>
  <si>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</si>
  <si>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</si>
  <si>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</si>
  <si>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</si>
  <si>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</si>
  <si>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</si>
  <si>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</si>
  <si>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</si>
  <si>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</si>
  <si>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</si>
  <si>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</si>
  <si>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</si>
  <si>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</si>
  <si>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</si>
  <si>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</si>
  <si>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</si>
  <si>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</si>
  <si>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</si>
  <si>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</si>
  <si>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</si>
  <si>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</si>
  <si>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</si>
  <si>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</si>
  <si>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</si>
  <si>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</si>
  <si>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</si>
  <si>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</si>
  <si>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</si>
  <si>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</si>
  <si>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</si>
  <si>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</si>
  <si>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</si>
  <si>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</si>
  <si>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</si>
  <si>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</si>
  <si>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</si>
  <si>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</si>
  <si>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</si>
  <si>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</si>
  <si>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</si>
  <si>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</si>
  <si>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</si>
  <si>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</si>
  <si>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</si>
  <si>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</si>
  <si>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</si>
  <si>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</si>
  <si>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</si>
  <si>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</si>
  <si>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</si>
  <si>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</si>
  <si>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</si>
  <si>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</si>
  <si>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</si>
  <si>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</si>
  <si>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</si>
  <si>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</si>
  <si>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</si>
  <si>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</si>
  <si>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</si>
  <si>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</si>
  <si>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</si>
  <si>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</si>
  <si>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</si>
  <si>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</si>
  <si>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</si>
  <si>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</si>
  <si>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</si>
  <si>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</si>
  <si>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</si>
  <si>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</si>
  <si>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</si>
  <si>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</si>
  <si>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</si>
  <si>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</si>
  <si>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</si>
  <si>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</si>
  <si>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</si>
  <si>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</si>
  <si>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</si>
  <si>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</si>
  <si>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</si>
  <si>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</si>
  <si>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</si>
  <si>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</si>
  <si>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</si>
  <si>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</si>
  <si>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</si>
  <si>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</si>
  <si>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</si>
  <si>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</si>
  <si>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</si>
  <si>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</si>
  <si>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</si>
  <si>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</si>
  <si>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</si>
  <si>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</si>
  <si>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</si>
  <si>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</si>
  <si>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</si>
  <si>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</si>
  <si>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</si>
  <si>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</si>
  <si>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</si>
  <si>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</si>
  <si>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</si>
  <si>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</si>
  <si>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</si>
  <si>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</si>
  <si>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</si>
  <si>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</si>
  <si>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</si>
  <si>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</si>
  <si>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</si>
  <si>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</si>
  <si>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</si>
  <si>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</si>
  <si>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</si>
  <si>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</si>
  <si>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</si>
  <si>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</si>
  <si>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</si>
  <si>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</si>
  <si>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</si>
  <si>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</si>
  <si>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</si>
  <si>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</si>
  <si>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</si>
  <si>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</si>
  <si>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</si>
  <si>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</si>
  <si>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</si>
  <si>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</si>
  <si>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</si>
  <si>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</si>
  <si>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</si>
  <si>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</si>
  <si>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</si>
  <si>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</si>
  <si>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</si>
  <si>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</si>
  <si>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</si>
  <si>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</si>
  <si>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</si>
  <si>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</si>
  <si>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</si>
  <si>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</si>
  <si>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</si>
  <si>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</si>
  <si>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</si>
  <si>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</si>
  <si>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</si>
  <si>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</si>
  <si>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</si>
  <si>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</si>
  <si>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</si>
  <si>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</si>
  <si>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</si>
  <si>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</si>
  <si>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</si>
  <si>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</si>
  <si>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</si>
  <si>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</si>
  <si>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</si>
  <si>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</si>
  <si>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</si>
  <si>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</si>
  <si>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</si>
  <si>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</si>
  <si>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</si>
  <si>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</si>
  <si>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</si>
  <si>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</si>
  <si>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</si>
  <si>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</si>
  <si>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</si>
  <si>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</si>
  <si>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</si>
  <si>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</si>
  <si>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</si>
  <si>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</si>
  <si>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</si>
  <si>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</si>
  <si>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</si>
  <si>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</si>
  <si>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</si>
  <si>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</si>
  <si>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</si>
  <si>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</si>
  <si>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</si>
  <si>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</si>
  <si>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</si>
  <si>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</si>
  <si>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</si>
  <si>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</si>
  <si>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</si>
  <si>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</si>
  <si>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</si>
  <si>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</si>
  <si>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</si>
  <si>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</si>
  <si>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</si>
  <si>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</si>
  <si>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</si>
  <si>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</si>
  <si>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</si>
  <si>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</si>
  <si>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</si>
  <si>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</si>
  <si>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</si>
  <si>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</si>
  <si>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</si>
  <si>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</si>
  <si>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</si>
  <si>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</si>
  <si>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</si>
  <si>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</si>
  <si>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</si>
  <si>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</si>
  <si>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</si>
  <si>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</si>
  <si>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</si>
  <si>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</si>
  <si>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</si>
  <si>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</si>
  <si>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</si>
  <si>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</si>
  <si>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</si>
  <si>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</si>
  <si>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</si>
  <si>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</si>
  <si>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</si>
  <si>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</si>
  <si>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</si>
  <si>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</si>
  <si>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</si>
  <si>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</si>
  <si>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</si>
  <si>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</si>
  <si>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</si>
  <si>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</si>
  <si>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</si>
  <si>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</si>
  <si>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</si>
  <si>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</si>
  <si>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</si>
  <si>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</si>
  <si>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</si>
  <si>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</si>
  <si>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</si>
  <si>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</si>
  <si>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</si>
  <si>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</si>
  <si>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</si>
  <si>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</si>
  <si>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</si>
  <si>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</si>
  <si>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</si>
  <si>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</si>
  <si>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</si>
  <si>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</si>
  <si>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</si>
  <si>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</si>
  <si>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</si>
  <si>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</si>
  <si>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</si>
  <si>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</si>
  <si>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</si>
  <si>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</si>
  <si>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</si>
  <si>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</si>
  <si>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</si>
  <si>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</si>
  <si>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</si>
  <si>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</si>
  <si>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</si>
  <si>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</si>
  <si>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</si>
  <si>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</si>
  <si>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</si>
  <si>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</si>
  <si>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</si>
  <si>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</si>
  <si>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</si>
  <si>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</si>
  <si>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</si>
  <si>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</si>
  <si>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</si>
  <si>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</si>
  <si>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</si>
  <si>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</si>
  <si>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</si>
  <si>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</si>
  <si>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</si>
  <si>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</si>
  <si>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</si>
  <si>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</si>
  <si>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</si>
  <si>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</si>
  <si>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</si>
  <si>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</si>
  <si>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</si>
  <si>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</si>
  <si>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</si>
  <si>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</si>
  <si>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</si>
  <si>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</si>
  <si>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</si>
  <si>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</si>
  <si>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</si>
  <si>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</si>
  <si>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</si>
  <si>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</si>
  <si>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</si>
  <si>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</si>
  <si>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</si>
  <si>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</si>
  <si>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</si>
  <si>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</si>
  <si>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</si>
  <si>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</si>
  <si>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</si>
  <si>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</si>
  <si>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</si>
  <si>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</si>
  <si>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</si>
  <si>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</si>
  <si>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</si>
  <si>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</si>
  <si>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</si>
  <si>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</si>
  <si>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</si>
  <si>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</si>
  <si>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</si>
  <si>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</si>
  <si>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</si>
  <si>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</si>
  <si>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</si>
  <si>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</si>
  <si>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</si>
  <si>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</si>
  <si>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</si>
  <si>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</si>
  <si>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</si>
  <si>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</si>
  <si>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</si>
  <si>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</si>
  <si>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</si>
  <si>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</si>
  <si>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</si>
  <si>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</si>
  <si>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</si>
  <si>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</si>
  <si>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</si>
  <si>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</si>
  <si>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</si>
  <si>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</si>
  <si>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</si>
  <si>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</si>
  <si>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</si>
  <si>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</si>
  <si>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</si>
  <si>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</si>
  <si>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</si>
  <si>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</si>
  <si>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</si>
  <si>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</si>
  <si>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</si>
  <si>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</si>
  <si>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</si>
  <si>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</si>
  <si>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</si>
  <si>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</si>
  <si>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</si>
  <si>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</si>
  <si>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</si>
  <si>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</si>
  <si>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</si>
  <si>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</si>
  <si>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</si>
  <si>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</si>
  <si>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</si>
  <si>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</si>
  <si>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</si>
  <si>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</si>
  <si>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</si>
  <si>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</si>
  <si>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</si>
  <si>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</si>
  <si>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</si>
  <si>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</si>
  <si>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</si>
  <si>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</si>
  <si>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</si>
  <si>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</si>
  <si>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</si>
  <si>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</si>
  <si>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</si>
  <si>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</si>
  <si>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</si>
  <si>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</si>
  <si>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</si>
  <si>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</si>
  <si>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</si>
  <si>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</si>
  <si>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</si>
  <si>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</si>
  <si>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</si>
  <si>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</si>
  <si>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</si>
  <si>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</si>
  <si>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</si>
  <si>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</si>
  <si>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</si>
  <si>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</si>
  <si>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</si>
  <si>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</si>
  <si>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</si>
  <si>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</si>
  <si>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</si>
  <si>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</si>
  <si>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</si>
  <si>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</si>
  <si>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</si>
  <si>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</si>
  <si>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</si>
  <si>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</si>
  <si>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</si>
  <si>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</si>
  <si>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</si>
  <si>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</si>
  <si>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</si>
  <si>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</si>
  <si>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</si>
  <si>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</si>
  <si>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</si>
  <si>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</si>
  <si>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</si>
  <si>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</si>
  <si>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</si>
  <si>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</si>
  <si>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</si>
  <si>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</si>
  <si>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</si>
  <si>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</si>
  <si>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</si>
  <si>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</si>
  <si>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</si>
  <si>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</si>
  <si>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</si>
  <si>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</si>
  <si>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</si>
  <si>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</si>
  <si>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</si>
  <si>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</si>
  <si>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</si>
  <si>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</si>
  <si>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</si>
  <si>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</si>
  <si>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</si>
  <si>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</si>
  <si>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</si>
  <si>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</si>
  <si>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</si>
  <si>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</si>
  <si>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</si>
  <si>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</si>
  <si>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</si>
  <si>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</si>
  <si>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</si>
  <si>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</si>
  <si>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</si>
  <si>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</si>
  <si>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</si>
  <si>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</si>
  <si>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</si>
  <si>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</si>
  <si>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</si>
  <si>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</si>
  <si>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</si>
  <si>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</si>
  <si>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</si>
  <si>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</si>
  <si>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</si>
  <si>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</si>
  <si>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</si>
  <si>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</si>
  <si>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</si>
  <si>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</si>
  <si>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</si>
  <si>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</si>
  <si>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</si>
  <si>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</si>
  <si>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</si>
  <si>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</si>
  <si>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</si>
  <si>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</si>
  <si>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</si>
  <si>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</si>
  <si>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</si>
  <si>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</si>
  <si>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</si>
  <si>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</si>
  <si>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</si>
  <si>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</si>
  <si>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</si>
  <si>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</si>
  <si>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</si>
  <si>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</si>
  <si>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</si>
  <si>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</si>
  <si>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</si>
  <si>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</si>
  <si>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</si>
  <si>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</si>
  <si>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</si>
  <si>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</si>
  <si>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</si>
  <si>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</si>
  <si>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</si>
  <si>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</si>
  <si>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</si>
  <si>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</si>
  <si>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</si>
  <si>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</si>
  <si>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</si>
  <si>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</si>
  <si>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</si>
  <si>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</si>
  <si>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</si>
  <si>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</si>
  <si>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</si>
  <si>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</si>
  <si>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</si>
  <si>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</si>
  <si>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</si>
  <si>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</si>
  <si>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</si>
  <si>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</si>
  <si>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</si>
  <si>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</si>
  <si>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</si>
  <si>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</si>
  <si>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</si>
  <si>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</si>
  <si>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</si>
  <si>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</si>
  <si>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</si>
  <si>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</si>
  <si>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</si>
  <si>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</si>
  <si>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</si>
  <si>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</si>
  <si>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</si>
  <si>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</si>
  <si>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</si>
  <si>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</si>
  <si>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</si>
  <si>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</si>
  <si>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</si>
  <si>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</si>
  <si>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</si>
  <si>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</si>
  <si>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</si>
  <si>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</si>
  <si>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</si>
  <si>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</si>
  <si>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</si>
  <si>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</si>
  <si>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</si>
  <si>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</si>
  <si>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</si>
  <si>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</si>
  <si>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</si>
  <si>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</si>
  <si>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</si>
  <si>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</si>
  <si>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</si>
  <si>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</si>
  <si>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</si>
  <si>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</si>
  <si>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</si>
  <si>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</si>
  <si>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</si>
  <si>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</si>
  <si>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</si>
  <si>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</si>
  <si>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</si>
  <si>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</si>
  <si>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</si>
  <si>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</si>
  <si>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</si>
  <si>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</si>
  <si>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</si>
  <si>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</si>
  <si>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</si>
  <si>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</si>
  <si>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</si>
  <si>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</si>
  <si>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</si>
  <si>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</si>
  <si>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</si>
  <si>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</si>
  <si>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</si>
  <si>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</si>
  <si>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</si>
  <si>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</si>
  <si>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</si>
  <si>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</si>
  <si>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</si>
  <si>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</si>
  <si>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</si>
  <si>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</si>
  <si>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</si>
  <si>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</si>
  <si>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</si>
  <si>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</si>
  <si>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</si>
  <si>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</si>
  <si>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</si>
  <si>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</si>
  <si>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</si>
  <si>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</si>
  <si>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</si>
  <si>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</si>
  <si>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</si>
  <si>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</si>
  <si>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</si>
  <si>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</si>
  <si>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</si>
  <si>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</si>
  <si>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</si>
  <si>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</si>
  <si>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</si>
  <si>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</si>
  <si>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</si>
  <si>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</si>
  <si>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</si>
  <si>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</si>
  <si>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</si>
  <si>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</si>
  <si>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</si>
  <si>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</si>
  <si>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</si>
  <si>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</si>
  <si>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</si>
  <si>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</si>
  <si>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</si>
  <si>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</si>
  <si>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</si>
  <si>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</si>
  <si>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</si>
  <si>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</si>
  <si>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</si>
  <si>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</si>
  <si>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</si>
  <si>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</si>
  <si>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</si>
  <si>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</si>
  <si>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</si>
  <si>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</si>
  <si>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</si>
  <si>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</si>
  <si>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</si>
  <si>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</si>
  <si>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</si>
  <si>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</si>
  <si>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</si>
  <si>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</si>
  <si>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</si>
  <si>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</si>
  <si>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</si>
  <si>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</si>
  <si>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</si>
  <si>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</si>
  <si>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</si>
  <si>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</si>
  <si>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</si>
  <si>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</si>
  <si>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</si>
  <si>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</si>
  <si>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</si>
  <si>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</si>
  <si>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</si>
  <si>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</si>
  <si>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</si>
  <si>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</si>
  <si>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</si>
  <si>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</si>
  <si>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</si>
  <si>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</si>
  <si>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</si>
  <si>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</si>
  <si>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</si>
  <si>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</si>
  <si>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</si>
  <si>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</si>
  <si>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</si>
  <si>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</si>
  <si>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</si>
  <si>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</si>
  <si>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</si>
  <si>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</si>
  <si>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</si>
  <si>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</si>
  <si>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</si>
  <si>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</si>
  <si>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</si>
  <si>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</si>
  <si>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</si>
  <si>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</si>
  <si>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</si>
  <si>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</si>
  <si>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</si>
  <si>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</si>
  <si>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</si>
  <si>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</si>
  <si>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</si>
  <si>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</si>
  <si>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</si>
  <si>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</si>
  <si>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</si>
  <si>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</si>
  <si>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</si>
  <si>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</si>
  <si>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</si>
  <si>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</si>
  <si>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</si>
  <si>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</si>
  <si>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</si>
  <si>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</si>
  <si>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</si>
  <si>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</si>
  <si>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</si>
  <si>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</si>
  <si>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</si>
  <si>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</si>
  <si>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</si>
  <si>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</si>
  <si>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</si>
  <si>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</si>
  <si>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</si>
  <si>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</si>
  <si>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</si>
  <si>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</si>
  <si>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</si>
  <si>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</si>
  <si>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</si>
  <si>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</si>
  <si>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</si>
  <si>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</si>
  <si>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</si>
  <si>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</si>
  <si>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</si>
  <si>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</si>
  <si>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</si>
  <si>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</si>
  <si>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</si>
  <si>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</si>
  <si>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</si>
  <si>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</si>
  <si>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</si>
  <si>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</si>
  <si>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</si>
  <si>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</si>
  <si>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</si>
  <si>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</si>
  <si>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</si>
  <si>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</si>
  <si>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</si>
  <si>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</si>
  <si>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</si>
  <si>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</si>
  <si>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</si>
  <si>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</si>
  <si>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</si>
  <si>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</si>
  <si>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</si>
  <si>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</si>
  <si>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</si>
  <si>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</si>
  <si>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</si>
  <si>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</si>
  <si>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</si>
  <si>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</si>
  <si>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</si>
  <si>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</si>
  <si>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</si>
  <si>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</si>
  <si>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</si>
  <si>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</si>
  <si>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</si>
  <si>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</si>
  <si>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</si>
  <si>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</si>
  <si>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</si>
  <si>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</si>
  <si>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</si>
  <si>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</si>
  <si>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</si>
  <si>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</si>
  <si>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</si>
  <si>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</si>
  <si>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</si>
  <si>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</si>
  <si>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</si>
  <si>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</si>
  <si>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</si>
  <si>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</si>
  <si>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</si>
  <si>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</si>
  <si>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</si>
  <si>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</si>
  <si>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</si>
  <si>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</si>
  <si>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</si>
  <si>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</si>
  <si>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</si>
  <si>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</si>
  <si>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</si>
  <si>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</si>
  <si>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</si>
  <si>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</si>
  <si>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</si>
  <si>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</si>
  <si>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</si>
  <si>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</si>
  <si>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</si>
  <si>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</si>
  <si>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</si>
  <si>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</si>
  <si>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</si>
  <si>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</si>
  <si>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</si>
  <si>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</si>
  <si>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</si>
  <si>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</si>
  <si>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</si>
  <si>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</si>
  <si>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</si>
  <si>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</si>
  <si>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</si>
  <si>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</si>
  <si>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</si>
  <si>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</si>
  <si>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</si>
  <si>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</si>
  <si>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</si>
  <si>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</si>
  <si>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</si>
  <si>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</si>
  <si>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</si>
  <si>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</si>
  <si>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</si>
  <si>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</si>
  <si>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</si>
  <si>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</si>
  <si>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</si>
  <si>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</si>
  <si>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</si>
  <si>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</si>
  <si>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</si>
  <si>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</si>
  <si>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</si>
  <si>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</si>
  <si>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</si>
  <si>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</si>
  <si>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</si>
  <si>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</si>
  <si>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</si>
  <si>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</si>
  <si>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</si>
  <si>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</si>
  <si>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</si>
  <si>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</si>
  <si>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</si>
  <si>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</si>
  <si>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</si>
  <si>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</si>
  <si>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</si>
  <si>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</si>
  <si>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</si>
  <si>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</si>
  <si>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</si>
  <si>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</si>
  <si>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</si>
  <si>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</si>
  <si>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</si>
  <si>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</si>
  <si>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</si>
  <si>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</si>
  <si>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</si>
  <si>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</si>
  <si>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</si>
  <si>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</si>
  <si>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</si>
  <si>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</si>
  <si>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</si>
  <si>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</si>
  <si>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</si>
  <si>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</si>
  <si>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</si>
  <si>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</si>
  <si>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</si>
  <si>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</si>
  <si>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</si>
  <si>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</si>
  <si>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</si>
  <si>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</si>
  <si>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</si>
  <si>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</si>
  <si>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</si>
  <si>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</si>
  <si>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</si>
  <si>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</si>
  <si>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</si>
  <si>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</si>
  <si>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</si>
  <si>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</si>
  <si>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</si>
  <si>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</si>
  <si>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</si>
  <si>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</si>
  <si>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</si>
  <si>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</si>
  <si>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</si>
  <si>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</si>
  <si>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</si>
  <si>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</si>
  <si>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</si>
  <si>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</si>
  <si>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</si>
  <si>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</si>
  <si>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</si>
  <si>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</si>
  <si>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</si>
  <si>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</si>
  <si>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</si>
  <si>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</si>
  <si>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</si>
  <si>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</si>
  <si>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</si>
  <si>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</si>
  <si>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</si>
  <si>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</si>
  <si>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</si>
  <si>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</si>
  <si>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</si>
  <si>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</si>
  <si>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</si>
  <si>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</si>
  <si>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</si>
  <si>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</si>
  <si>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</si>
  <si>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</si>
  <si>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</si>
  <si>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</si>
  <si>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</si>
  <si>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</si>
  <si>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</si>
  <si>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</si>
  <si>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</si>
  <si>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</si>
  <si>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</si>
  <si>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</si>
  <si>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</si>
  <si>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</si>
  <si>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</si>
  <si>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</si>
  <si>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</si>
  <si>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</si>
  <si>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</si>
  <si>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</si>
  <si>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</si>
  <si>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</si>
  <si>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</si>
  <si>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</si>
  <si>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</si>
  <si>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</si>
  <si>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</si>
  <si>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</si>
  <si>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</si>
  <si>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</si>
  <si>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</si>
  <si>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</si>
  <si>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</si>
  <si>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</si>
  <si>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</si>
  <si>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</si>
  <si>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</si>
  <si>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</si>
  <si>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</si>
  <si>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</si>
  <si>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</si>
  <si>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</si>
  <si>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</si>
  <si>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</si>
  <si>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</si>
  <si>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</si>
  <si>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</si>
  <si>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</si>
  <si>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</si>
  <si>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</si>
  <si>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</si>
  <si>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</si>
  <si>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</si>
  <si>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</si>
  <si>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</si>
  <si>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</si>
  <si>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</si>
  <si>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</si>
  <si>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</si>
  <si>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</si>
  <si>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</si>
  <si>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</si>
  <si>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</si>
  <si>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</si>
  <si>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</si>
  <si>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</si>
  <si>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</si>
  <si>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</si>
  <si>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</si>
  <si>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</si>
  <si>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</si>
  <si>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</si>
  <si>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</si>
  <si>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</si>
  <si>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</si>
  <si>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</si>
  <si>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</si>
  <si>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</si>
  <si>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</si>
  <si>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</si>
  <si>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</si>
  <si>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</si>
  <si>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</si>
  <si>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</si>
  <si>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</si>
  <si>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</si>
  <si>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</si>
  <si>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</si>
  <si>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</si>
  <si>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</si>
  <si>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</si>
  <si>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</si>
  <si>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</si>
  <si>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</si>
  <si>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</si>
  <si>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</si>
  <si>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</si>
  <si>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</si>
  <si>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</si>
  <si>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</si>
  <si>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</si>
  <si>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</si>
  <si>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</si>
  <si>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</si>
  <si>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</si>
  <si>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</si>
  <si>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</si>
  <si>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</si>
  <si>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</si>
  <si>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</si>
  <si>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</si>
  <si>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</si>
  <si>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</si>
  <si>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</si>
  <si>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</si>
  <si>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</si>
  <si>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</si>
  <si>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</si>
  <si>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</si>
  <si>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</si>
  <si>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</si>
  <si>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</si>
  <si>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</si>
  <si>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</si>
  <si>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</si>
  <si>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</si>
  <si>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</si>
  <si>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</si>
  <si>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</si>
  <si>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</si>
  <si>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</si>
  <si>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</si>
  <si>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</si>
  <si>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</si>
  <si>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</si>
  <si>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</si>
  <si>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</si>
  <si>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</si>
  <si>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</si>
  <si>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</si>
  <si>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</si>
  <si>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</si>
  <si>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</si>
  <si>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</si>
  <si>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</si>
  <si>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</si>
  <si>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</si>
  <si>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</si>
  <si>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</si>
  <si>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</si>
  <si>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</si>
  <si>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</si>
  <si>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</si>
  <si>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</si>
  <si>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</si>
  <si>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</si>
  <si>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</si>
  <si>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</si>
  <si>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</si>
  <si>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</si>
  <si>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</si>
  <si>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</si>
  <si>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</si>
  <si>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</si>
  <si>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</si>
  <si>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</si>
  <si>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</si>
  <si>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</si>
  <si>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</si>
  <si>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</si>
  <si>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</si>
  <si>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</si>
  <si>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</si>
  <si>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</si>
  <si>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</si>
  <si>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</si>
  <si>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</si>
  <si>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</si>
  <si>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</si>
  <si>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</si>
  <si>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</si>
  <si>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</si>
  <si>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</si>
  <si>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</si>
  <si>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</si>
  <si>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</si>
  <si>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</si>
  <si>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</si>
  <si>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</si>
  <si>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</si>
  <si>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</si>
  <si>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</si>
  <si>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</si>
  <si>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</si>
  <si>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</si>
  <si>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</si>
  <si>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</si>
  <si>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</si>
  <si>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</si>
  <si>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</si>
  <si>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</si>
  <si>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</si>
  <si>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</si>
  <si>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</si>
  <si>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</si>
  <si>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</si>
  <si>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</si>
  <si>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</si>
  <si>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</si>
  <si>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</si>
  <si>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</si>
  <si>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</si>
  <si>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</si>
  <si>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</si>
  <si>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</si>
  <si>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</si>
  <si>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</si>
  <si>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</si>
  <si>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</si>
  <si>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</si>
  <si>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</si>
  <si>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</si>
  <si>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</si>
  <si>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</si>
  <si>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</si>
  <si>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</si>
  <si>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</si>
  <si>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</si>
  <si>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</si>
  <si>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</si>
  <si>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</si>
  <si>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</si>
  <si>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</si>
  <si>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</si>
  <si>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</si>
  <si>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</si>
  <si>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</si>
  <si>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</si>
  <si>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</si>
  <si>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</si>
  <si>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</si>
  <si>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</si>
  <si>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</si>
  <si>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</si>
  <si>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</si>
  <si>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</si>
  <si>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</si>
  <si>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</si>
  <si>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</si>
  <si>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</si>
  <si>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</si>
  <si>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</si>
  <si>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</si>
  <si>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</si>
  <si>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</si>
  <si>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</si>
  <si>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</si>
  <si>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</si>
  <si>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</si>
  <si>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</si>
  <si>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</si>
  <si>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</si>
  <si>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</si>
  <si>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</si>
  <si>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</si>
  <si>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</si>
  <si>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</si>
  <si>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</si>
  <si>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</si>
  <si>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</si>
  <si>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</si>
  <si>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</si>
  <si>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</si>
  <si>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</si>
  <si>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</si>
  <si>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</si>
  <si>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</si>
  <si>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</si>
  <si>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</si>
  <si>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</si>
  <si>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</si>
  <si>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</si>
  <si>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</si>
  <si>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</si>
  <si>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</si>
  <si>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</si>
  <si>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</si>
  <si>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</si>
  <si>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</si>
  <si>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</si>
  <si>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</si>
  <si>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</si>
  <si>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</si>
  <si>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</si>
  <si>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</si>
  <si>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</si>
  <si>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</si>
  <si>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</si>
  <si>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</si>
  <si>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</si>
  <si>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</si>
  <si>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</si>
  <si>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</si>
  <si>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</si>
  <si>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</si>
  <si>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</si>
  <si>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</si>
  <si>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</si>
  <si>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</si>
  <si>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</si>
  <si>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</si>
  <si>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</si>
  <si>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</si>
  <si>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</si>
  <si>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</si>
  <si>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</si>
  <si>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</si>
  <si>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</si>
  <si>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</si>
  <si>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</si>
  <si>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</si>
  <si>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</si>
  <si>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</si>
  <si>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</si>
  <si>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</si>
  <si>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</si>
  <si>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</si>
  <si>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</si>
  <si>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</si>
  <si>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</si>
  <si>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</si>
  <si>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</si>
  <si>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</si>
  <si>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</si>
  <si>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</si>
  <si>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</si>
  <si>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</si>
  <si>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</si>
  <si>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</si>
  <si>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</si>
  <si>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</si>
  <si>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</si>
  <si>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</si>
  <si>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</si>
  <si>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</si>
  <si>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</si>
  <si>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</si>
  <si>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</si>
  <si>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</si>
  <si>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</si>
  <si>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</si>
  <si>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</si>
  <si>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</si>
  <si>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</si>
  <si>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</si>
  <si>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</si>
  <si>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</si>
  <si>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</si>
  <si>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</si>
  <si>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</si>
  <si>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</si>
  <si>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</si>
  <si>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</si>
  <si>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</si>
  <si>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</si>
  <si>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</si>
  <si>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</si>
  <si>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</si>
  <si>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</si>
  <si>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</si>
  <si>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</si>
  <si>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</si>
  <si>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</si>
  <si>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</si>
  <si>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</si>
  <si>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</si>
  <si>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</si>
  <si>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</si>
  <si>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</si>
  <si>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</si>
  <si>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</si>
  <si>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</si>
  <si>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</si>
  <si>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</si>
  <si>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</si>
  <si>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</si>
  <si>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</si>
  <si>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</si>
  <si>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</si>
  <si>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</si>
  <si>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</si>
  <si>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</si>
  <si>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</si>
  <si>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</si>
  <si>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</si>
  <si>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</si>
  <si>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</si>
  <si>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</si>
  <si>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</si>
  <si>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</si>
  <si>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</si>
  <si>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</si>
  <si>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</si>
  <si>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</si>
  <si>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</si>
  <si>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</si>
  <si>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</si>
  <si>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</si>
  <si>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</si>
  <si>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</si>
  <si>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</si>
  <si>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</si>
  <si>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</si>
  <si>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</si>
  <si>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</si>
  <si>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</si>
  <si>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</si>
  <si>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</si>
  <si>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</si>
  <si>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</si>
  <si>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</si>
  <si>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</si>
  <si>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</si>
  <si>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</si>
  <si>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</si>
  <si>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</si>
  <si>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</si>
  <si>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</si>
  <si>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</si>
  <si>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</si>
  <si>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</si>
  <si>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</si>
  <si>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</si>
  <si>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</si>
  <si>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</si>
  <si>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</si>
  <si>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</si>
  <si>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</si>
  <si>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</si>
  <si>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</si>
  <si>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</si>
  <si>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</si>
  <si>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</si>
  <si>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</si>
  <si>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</si>
  <si>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</si>
  <si>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</si>
  <si>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</si>
  <si>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</si>
  <si>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</si>
  <si>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</si>
  <si>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</si>
  <si>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</si>
  <si>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</si>
  <si>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</si>
  <si>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</si>
  <si>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</si>
  <si>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</si>
  <si>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</si>
  <si>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</si>
  <si>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</si>
  <si>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</si>
  <si>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</si>
  <si>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</si>
  <si>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</si>
  <si>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</si>
  <si>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</si>
  <si>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</si>
  <si>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</si>
  <si>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</si>
  <si>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</si>
  <si>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</si>
  <si>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</si>
  <si>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</si>
  <si>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</si>
  <si>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</si>
  <si>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</si>
  <si>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</si>
  <si>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</si>
  <si>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</si>
  <si>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</si>
  <si>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</si>
  <si>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</si>
  <si>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</si>
  <si>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</si>
  <si>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</si>
  <si>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</si>
  <si>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</si>
  <si>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</si>
  <si>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</si>
  <si>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</si>
  <si>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</si>
  <si>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</si>
  <si>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</si>
  <si>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</si>
  <si>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</si>
  <si>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</si>
  <si>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</si>
  <si>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</si>
  <si>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</si>
  <si>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</si>
  <si>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</si>
  <si>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</si>
  <si>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</si>
  <si>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</si>
  <si>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</si>
  <si>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</si>
  <si>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</si>
  <si>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</si>
  <si>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</si>
  <si>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</si>
  <si>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</si>
  <si>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</si>
  <si>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</si>
  <si>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</si>
  <si>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</si>
  <si>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</si>
  <si>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</si>
  <si>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</si>
  <si>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</si>
  <si>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</si>
  <si>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</si>
  <si>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</si>
  <si>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</si>
  <si>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</si>
  <si>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</si>
  <si>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</si>
  <si>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</si>
  <si>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</si>
  <si>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</si>
  <si>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</si>
  <si>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</si>
  <si>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</si>
  <si>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</si>
  <si>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</si>
  <si>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</si>
  <si>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</si>
  <si>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</si>
  <si>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</si>
  <si>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</si>
  <si>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</si>
  <si>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</si>
  <si>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</si>
  <si>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</si>
  <si>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</si>
  <si>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</si>
  <si>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</si>
  <si>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</si>
  <si>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</si>
  <si>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</si>
  <si>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</si>
  <si>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</si>
  <si>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</si>
  <si>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</si>
  <si>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</si>
  <si>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</si>
  <si>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</si>
  <si>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</si>
  <si>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</si>
  <si>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</si>
  <si>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</si>
  <si>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</si>
  <si>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</si>
  <si>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</si>
  <si>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</si>
  <si>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</si>
  <si>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</si>
  <si>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</si>
  <si>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</si>
  <si>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</si>
  <si>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</si>
  <si>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</si>
  <si>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</si>
  <si>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</si>
  <si>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</si>
  <si>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</si>
  <si>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</si>
  <si>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</si>
  <si>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</si>
  <si>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</si>
  <si>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</si>
  <si>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</si>
  <si>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</si>
  <si>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</si>
  <si>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</si>
  <si>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</si>
  <si>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</si>
  <si>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</si>
  <si>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</si>
  <si>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</si>
  <si>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</si>
  <si>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</si>
  <si>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</si>
  <si>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</si>
  <si>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</si>
  <si>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</si>
  <si>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</si>
  <si>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</si>
  <si>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</si>
  <si>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</si>
  <si>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</si>
  <si>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</si>
  <si>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</si>
  <si>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</si>
  <si>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</si>
  <si>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</si>
  <si>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</si>
  <si>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</si>
  <si>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</si>
  <si>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</si>
  <si>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</si>
  <si>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</si>
  <si>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</si>
  <si>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</si>
  <si>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</si>
  <si>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</si>
  <si>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</si>
  <si>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</si>
  <si>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</si>
  <si>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</si>
  <si>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</si>
  <si>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</si>
  <si>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</si>
  <si>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</si>
  <si>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</si>
  <si>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</si>
  <si>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</si>
  <si>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</si>
  <si>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</si>
  <si>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</si>
  <si>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</si>
  <si>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</si>
  <si>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</si>
  <si>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</si>
  <si>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</si>
  <si>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</si>
  <si>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</si>
  <si>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</si>
  <si>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</si>
  <si>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</si>
  <si>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</si>
  <si>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</si>
  <si>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</si>
  <si>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</si>
  <si>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</si>
  <si>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</si>
  <si>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</si>
  <si>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</si>
  <si>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</si>
  <si>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</si>
  <si>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</si>
  <si>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</si>
  <si>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</si>
  <si>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</si>
  <si>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</si>
  <si>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</si>
  <si>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</si>
  <si>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</si>
  <si>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</si>
  <si>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</si>
  <si>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</si>
  <si>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</si>
  <si>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</si>
  <si>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</si>
  <si>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</si>
  <si>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</si>
  <si>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</si>
  <si>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</si>
  <si>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</si>
  <si>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</si>
  <si>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</si>
  <si>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</si>
  <si>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</si>
  <si>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</si>
  <si>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</si>
  <si>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</si>
  <si>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</si>
  <si>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</si>
  <si>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</si>
  <si>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</si>
  <si>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</si>
  <si>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</si>
  <si>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</si>
  <si>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</si>
  <si>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</si>
  <si>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</si>
  <si>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</si>
  <si>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</si>
  <si>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</si>
  <si>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</si>
  <si>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</si>
  <si>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</si>
  <si>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</si>
  <si>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</si>
  <si>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</si>
  <si>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</si>
  <si>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</si>
  <si>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</si>
  <si>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</si>
  <si>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</si>
  <si>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</si>
  <si>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</si>
  <si>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</si>
  <si>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</si>
  <si>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</si>
  <si>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</si>
  <si>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</si>
  <si>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</si>
  <si>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</si>
  <si>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</si>
  <si>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</si>
  <si>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</si>
  <si>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</si>
  <si>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</si>
  <si>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</si>
  <si>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</si>
  <si>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</si>
  <si>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</si>
  <si>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</si>
  <si>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</si>
  <si>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</si>
  <si>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</si>
  <si>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</si>
  <si>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</si>
  <si>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</si>
  <si>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</si>
  <si>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</si>
  <si>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</si>
  <si>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</si>
  <si>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</si>
  <si>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</si>
  <si>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</si>
  <si>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</si>
  <si>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</si>
  <si>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</si>
  <si>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</si>
  <si>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</si>
  <si>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</si>
  <si>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</si>
  <si>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</si>
  <si>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</si>
  <si>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</si>
  <si>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</si>
  <si>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</si>
  <si>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</si>
  <si>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</si>
  <si>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</si>
  <si>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</si>
  <si>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</si>
  <si>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</si>
  <si>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</si>
  <si>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</si>
  <si>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</si>
  <si>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</si>
  <si>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</si>
  <si>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</si>
  <si>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</si>
  <si>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</si>
  <si>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</si>
  <si>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</si>
  <si>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</si>
  <si>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</si>
  <si>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</si>
  <si>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</si>
  <si>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</si>
  <si>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</si>
  <si>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</si>
  <si>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</si>
  <si>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</si>
  <si>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</si>
  <si>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</si>
  <si>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</si>
  <si>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</si>
  <si>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</si>
  <si>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</si>
  <si>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</si>
  <si>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</si>
  <si>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</si>
  <si>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</si>
  <si>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</si>
  <si>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</si>
  <si>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</si>
  <si>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</si>
  <si>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</si>
  <si>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</si>
  <si>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</si>
  <si>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</si>
  <si>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</si>
  <si>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</si>
  <si>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</si>
  <si>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</si>
  <si>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</si>
  <si>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</si>
  <si>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</si>
  <si>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</si>
  <si>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</si>
  <si>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</si>
  <si>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</si>
  <si>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</si>
  <si>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</si>
  <si>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</si>
  <si>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</si>
  <si>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</si>
  <si>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</si>
  <si>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</si>
  <si>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</si>
  <si>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</si>
  <si>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</si>
  <si>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</si>
  <si>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</si>
  <si>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</si>
  <si>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</si>
  <si>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</si>
  <si>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</si>
  <si>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</si>
  <si>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</si>
  <si>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</si>
  <si>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</si>
  <si>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</si>
  <si>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</si>
  <si>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</si>
  <si>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</si>
  <si>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</si>
  <si>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</si>
  <si>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</si>
  <si>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</si>
  <si>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</si>
  <si>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</si>
  <si>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</si>
  <si>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</si>
  <si>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</si>
  <si>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</si>
  <si>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</si>
  <si>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</si>
  <si>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</si>
  <si>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</si>
  <si>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</si>
  <si>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</si>
  <si>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</si>
  <si>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</si>
  <si>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</si>
  <si>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</si>
  <si>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</si>
  <si>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</si>
  <si>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</si>
  <si>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</si>
  <si>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</si>
  <si>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</si>
  <si>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</si>
  <si>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</si>
  <si>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</si>
  <si>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</si>
  <si>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</si>
  <si>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</si>
  <si>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</si>
  <si>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</si>
  <si>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</si>
  <si>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</si>
  <si>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</si>
  <si>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</si>
  <si>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</si>
  <si>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</si>
  <si>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</si>
  <si>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</si>
  <si>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</si>
  <si>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</si>
  <si>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</si>
  <si>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</si>
  <si>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</si>
  <si>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</si>
  <si>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</si>
  <si>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</si>
  <si>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</si>
  <si>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</si>
  <si>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</si>
  <si>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</si>
  <si>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</si>
  <si>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</si>
  <si>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</si>
  <si>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</si>
  <si>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</si>
  <si>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</si>
  <si>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</si>
  <si>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</si>
  <si>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</si>
  <si>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</si>
  <si>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</si>
  <si>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</si>
  <si>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</si>
  <si>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</si>
  <si>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</si>
  <si>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</si>
  <si>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</si>
  <si>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</si>
  <si>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</si>
  <si>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</si>
  <si>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</si>
  <si>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</si>
  <si>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</si>
  <si>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</si>
  <si>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</si>
  <si>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</si>
  <si>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</si>
  <si>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</si>
  <si>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</si>
  <si>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</si>
  <si>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</si>
  <si>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</si>
  <si>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</si>
  <si>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</si>
  <si>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</si>
  <si>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</si>
  <si>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</si>
  <si>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</si>
  <si>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</si>
  <si>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</si>
  <si>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</si>
  <si>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</si>
  <si>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</si>
  <si>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</si>
  <si>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</si>
  <si>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</si>
  <si>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</si>
  <si>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</si>
  <si>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</si>
  <si>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</si>
  <si>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</si>
  <si>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</si>
  <si>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</si>
  <si>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</si>
  <si>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</si>
  <si>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</si>
  <si>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</si>
  <si>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</si>
  <si>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</si>
  <si>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</si>
  <si>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</si>
  <si>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</si>
  <si>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</si>
  <si>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</si>
  <si>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</si>
  <si>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</si>
  <si>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</si>
  <si>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</si>
  <si>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</si>
  <si>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</si>
  <si>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</si>
  <si>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</si>
  <si>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</si>
  <si>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</si>
  <si>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</si>
  <si>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</si>
  <si>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</si>
  <si>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</si>
  <si>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</si>
  <si>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</si>
  <si>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</si>
  <si>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</si>
  <si>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</si>
  <si>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</si>
  <si>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</si>
  <si>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</si>
  <si>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</si>
  <si>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</si>
  <si>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</si>
  <si>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</si>
  <si>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</si>
  <si>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</si>
  <si>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</si>
  <si>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</si>
  <si>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</si>
  <si>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</si>
  <si>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</si>
  <si>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</si>
  <si>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</si>
  <si>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</si>
  <si>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</si>
  <si>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</si>
  <si>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</si>
  <si>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</si>
  <si>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</si>
  <si>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</si>
  <si>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</si>
  <si>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</si>
  <si>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</si>
  <si>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</si>
  <si>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</si>
  <si>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</si>
  <si>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dumped: 2024-02-02, PTS 101041</t>
  </si>
  <si>
    <r>
      <rPr>
        <sz val="11"/>
        <color theme="1"/>
        <rFont val="Calibri"/>
        <family val="2"/>
        <scheme val="minor"/>
      </rPr>
      <t>Last dumped: 2024-02-02, PTS 101041</t>
    </r>
    <r>
      <rPr>
        <sz val="11"/>
        <color rgb="FFFF0000"/>
        <rFont val="Calibri"/>
        <family val="2"/>
        <scheme val="minor"/>
      </rPr>
      <t xml:space="preserve">	As you update zoneData copy the excel formulas of all other columns, then enter the correct ESO DLC Id in column J</t>
    </r>
  </si>
  <si>
    <t>Last updated: 2024-02-02, API101041</t>
  </si>
  <si>
    <r>
      <t>[</t>
    </r>
    <r>
      <rPr>
        <sz val="10"/>
        <color rgb="FF1750EB"/>
        <rFont val="Consolas"/>
        <family val="3"/>
      </rPr>
      <t>348</t>
    </r>
    <r>
      <rPr>
        <sz val="10"/>
        <color rgb="FF080808"/>
        <rFont val="Consolas"/>
        <family val="3"/>
      </rPr>
      <t xml:space="preserve">] = </t>
    </r>
    <r>
      <rPr>
        <sz val="10"/>
        <color rgb="FF067D17"/>
        <rFont val="Consolas"/>
        <family val="3"/>
      </rPr>
      <t>"348|27|667|Wrothgar|380|684|Wrothgar|7|Pariah's Pinnacle"</t>
    </r>
    <r>
      <rPr>
        <sz val="10"/>
        <color rgb="FF080808"/>
        <rFont val="Consolas"/>
        <family val="3"/>
      </rPr>
      <t>,</t>
    </r>
  </si>
  <si>
    <r>
      <t>[</t>
    </r>
    <r>
      <rPr>
        <sz val="10"/>
        <color rgb="FF1750EB"/>
        <rFont val="Consolas"/>
        <family val="3"/>
      </rPr>
      <t>565</t>
    </r>
    <r>
      <rPr>
        <sz val="10"/>
        <color rgb="FF080808"/>
        <rFont val="Consolas"/>
        <family val="3"/>
      </rPr>
      <t xml:space="preserve">] = </t>
    </r>
    <r>
      <rPr>
        <sz val="10"/>
        <color rgb="FF067D17"/>
        <rFont val="Consolas"/>
        <family val="3"/>
      </rPr>
      <t>"565|27|667|Wrothgar|380|684|Wrothgar|6|Dungeon: Bedlam Veil"</t>
    </r>
    <r>
      <rPr>
        <sz val="10"/>
        <color rgb="FF080808"/>
        <rFont val="Consolas"/>
        <family val="3"/>
      </rPr>
      <t>,</t>
    </r>
  </si>
  <si>
    <r>
      <t>[</t>
    </r>
    <r>
      <rPr>
        <sz val="10"/>
        <color rgb="FF1750EB"/>
        <rFont val="Consolas"/>
        <family val="3"/>
      </rPr>
      <t>457</t>
    </r>
    <r>
      <rPr>
        <sz val="10"/>
        <color rgb="FF080808"/>
        <rFont val="Consolas"/>
        <family val="3"/>
      </rPr>
      <t xml:space="preserve">] = </t>
    </r>
    <r>
      <rPr>
        <sz val="10"/>
        <color rgb="FF067D17"/>
        <rFont val="Consolas"/>
        <family val="3"/>
      </rPr>
      <t>"457|42|1814|The Reach|784|1207|The Reach|0|Vateshran Hollows"</t>
    </r>
    <r>
      <rPr>
        <sz val="10"/>
        <color rgb="FF080808"/>
        <rFont val="Consolas"/>
        <family val="3"/>
      </rPr>
      <t>,</t>
    </r>
  </si>
  <si>
    <r>
      <t>[</t>
    </r>
    <r>
      <rPr>
        <sz val="10"/>
        <color rgb="FF1750EB"/>
        <rFont val="Consolas"/>
        <family val="3"/>
      </rPr>
      <t>428</t>
    </r>
    <r>
      <rPr>
        <sz val="10"/>
        <color rgb="FF080808"/>
        <rFont val="Consolas"/>
        <family val="3"/>
      </rPr>
      <t xml:space="preserve">] = </t>
    </r>
    <r>
      <rPr>
        <sz val="10"/>
        <color rgb="FF067D17"/>
        <rFont val="Consolas"/>
        <family val="3"/>
      </rPr>
      <t>"428|27|667|Wrothgar|380|684|Wrothgar|7|Forgemaster Falls"</t>
    </r>
    <r>
      <rPr>
        <sz val="10"/>
        <color rgb="FF080808"/>
        <rFont val="Consolas"/>
        <family val="3"/>
      </rPr>
      <t>,</t>
    </r>
  </si>
  <si>
    <r>
      <t>[</t>
    </r>
    <r>
      <rPr>
        <sz val="10"/>
        <color rgb="FF1750EB"/>
        <rFont val="Consolas"/>
        <family val="3"/>
      </rPr>
      <t>449</t>
    </r>
    <r>
      <rPr>
        <sz val="10"/>
        <color rgb="FF080808"/>
        <rFont val="Consolas"/>
        <family val="3"/>
      </rPr>
      <t xml:space="preserve">] = </t>
    </r>
    <r>
      <rPr>
        <sz val="10"/>
        <color rgb="FF067D17"/>
        <rFont val="Consolas"/>
        <family val="3"/>
      </rPr>
      <t>"449|42|1814|The Reach|784|1207|The Reach|1|Markarth Wayshrine"</t>
    </r>
    <r>
      <rPr>
        <sz val="10"/>
        <color rgb="FF080808"/>
        <rFont val="Consolas"/>
        <family val="3"/>
      </rPr>
      <t>,</t>
    </r>
  </si>
  <si>
    <r>
      <t>[</t>
    </r>
    <r>
      <rPr>
        <sz val="10"/>
        <color rgb="FF1750EB"/>
        <rFont val="Consolas"/>
        <family val="3"/>
      </rPr>
      <t>442</t>
    </r>
    <r>
      <rPr>
        <sz val="10"/>
        <color rgb="FF080808"/>
        <rFont val="Consolas"/>
        <family val="3"/>
      </rPr>
      <t xml:space="preserve">] = </t>
    </r>
    <r>
      <rPr>
        <sz val="10"/>
        <color rgb="FF067D17"/>
        <rFont val="Consolas"/>
        <family val="3"/>
      </rPr>
      <t>"442|42|1814|The Reach|784|1207|The Reach|1|Druadach Mountains Wayshrine"</t>
    </r>
    <r>
      <rPr>
        <sz val="10"/>
        <color rgb="FF080808"/>
        <rFont val="Consolas"/>
        <family val="3"/>
      </rPr>
      <t>,</t>
    </r>
  </si>
  <si>
    <r>
      <t>[</t>
    </r>
    <r>
      <rPr>
        <sz val="10"/>
        <color rgb="FF1750EB"/>
        <rFont val="Consolas"/>
        <family val="3"/>
      </rPr>
      <t>424</t>
    </r>
    <r>
      <rPr>
        <sz val="10"/>
        <color rgb="FF080808"/>
        <rFont val="Consolas"/>
        <family val="3"/>
      </rPr>
      <t xml:space="preserve">] = </t>
    </r>
    <r>
      <rPr>
        <sz val="10"/>
        <color rgb="FF067D17"/>
        <rFont val="Consolas"/>
        <family val="3"/>
      </rPr>
      <t>"424|27|667|Wrothgar|380|684|Wrothgar|6|Dungeon: Icereach"</t>
    </r>
    <r>
      <rPr>
        <sz val="10"/>
        <color rgb="FF080808"/>
        <rFont val="Consolas"/>
        <family val="3"/>
      </rPr>
      <t>,</t>
    </r>
  </si>
  <si>
    <r>
      <t>[</t>
    </r>
    <r>
      <rPr>
        <sz val="10"/>
        <color rgb="FF1750EB"/>
        <rFont val="Consolas"/>
        <family val="3"/>
      </rPr>
      <t>441</t>
    </r>
    <r>
      <rPr>
        <sz val="10"/>
        <color rgb="FF080808"/>
        <rFont val="Consolas"/>
        <family val="3"/>
      </rPr>
      <t xml:space="preserve">] = </t>
    </r>
    <r>
      <rPr>
        <sz val="10"/>
        <color rgb="FF067D17"/>
        <rFont val="Consolas"/>
        <family val="3"/>
      </rPr>
      <t>"441|42|1814|The Reach|784|1207|The Reach|1|Briar Rock Wayshrine"</t>
    </r>
    <r>
      <rPr>
        <sz val="10"/>
        <color rgb="FF080808"/>
        <rFont val="Consolas"/>
        <family val="3"/>
      </rPr>
      <t>,</t>
    </r>
  </si>
  <si>
    <r>
      <t>[</t>
    </r>
    <r>
      <rPr>
        <sz val="10"/>
        <color rgb="FF1750EB"/>
        <rFont val="Consolas"/>
        <family val="3"/>
      </rPr>
      <t>237</t>
    </r>
    <r>
      <rPr>
        <sz val="10"/>
        <color rgb="FF080808"/>
        <rFont val="Consolas"/>
        <family val="3"/>
      </rPr>
      <t xml:space="preserve">] = </t>
    </r>
    <r>
      <rPr>
        <sz val="10"/>
        <color rgb="FF067D17"/>
        <rFont val="Consolas"/>
        <family val="3"/>
      </rPr>
      <t>"237|27|667|Wrothgar|380|684|Wrothgar|1|Shatul Wayshrine"</t>
    </r>
    <r>
      <rPr>
        <sz val="10"/>
        <color rgb="FF080808"/>
        <rFont val="Consolas"/>
        <family val="3"/>
      </rPr>
      <t>,</t>
    </r>
  </si>
  <si>
    <r>
      <t>[</t>
    </r>
    <r>
      <rPr>
        <sz val="10"/>
        <color rgb="FF1750EB"/>
        <rFont val="Consolas"/>
        <family val="3"/>
      </rPr>
      <t>238</t>
    </r>
    <r>
      <rPr>
        <sz val="10"/>
        <color rgb="FF080808"/>
        <rFont val="Consolas"/>
        <family val="3"/>
      </rPr>
      <t xml:space="preserve">] = </t>
    </r>
    <r>
      <rPr>
        <sz val="10"/>
        <color rgb="FF067D17"/>
        <rFont val="Consolas"/>
        <family val="3"/>
      </rPr>
      <t>"238|27|667|Wrothgar|380|684|Wrothgar|1|Icy Shore Wayshrine"</t>
    </r>
    <r>
      <rPr>
        <sz val="10"/>
        <color rgb="FF080808"/>
        <rFont val="Consolas"/>
        <family val="3"/>
      </rPr>
      <t>,</t>
    </r>
  </si>
  <si>
    <r>
      <t>[</t>
    </r>
    <r>
      <rPr>
        <sz val="10"/>
        <color rgb="FF1750EB"/>
        <rFont val="Consolas"/>
        <family val="3"/>
      </rPr>
      <t>239</t>
    </r>
    <r>
      <rPr>
        <sz val="10"/>
        <color rgb="FF080808"/>
        <rFont val="Consolas"/>
        <family val="3"/>
      </rPr>
      <t xml:space="preserve">] = </t>
    </r>
    <r>
      <rPr>
        <sz val="10"/>
        <color rgb="FF067D17"/>
        <rFont val="Consolas"/>
        <family val="3"/>
      </rPr>
      <t>"239|27|667|Wrothgar|380|684|Wrothgar|1|Two Rivers Wayshrine"</t>
    </r>
    <r>
      <rPr>
        <sz val="10"/>
        <color rgb="FF080808"/>
        <rFont val="Consolas"/>
        <family val="3"/>
      </rPr>
      <t>,</t>
    </r>
  </si>
  <si>
    <r>
      <t>[</t>
    </r>
    <r>
      <rPr>
        <sz val="10"/>
        <color rgb="FF1750EB"/>
        <rFont val="Consolas"/>
        <family val="3"/>
      </rPr>
      <t>240</t>
    </r>
    <r>
      <rPr>
        <sz val="10"/>
        <color rgb="FF080808"/>
        <rFont val="Consolas"/>
        <family val="3"/>
      </rPr>
      <t xml:space="preserve">] = </t>
    </r>
    <r>
      <rPr>
        <sz val="10"/>
        <color rgb="FF067D17"/>
        <rFont val="Consolas"/>
        <family val="3"/>
      </rPr>
      <t>"240|27|667|Wrothgar|380|684|Wrothgar|1|Morkul Plain Wayshrine"</t>
    </r>
    <r>
      <rPr>
        <sz val="10"/>
        <color rgb="FF080808"/>
        <rFont val="Consolas"/>
        <family val="3"/>
      </rPr>
      <t>,</t>
    </r>
  </si>
  <si>
    <r>
      <t>[</t>
    </r>
    <r>
      <rPr>
        <sz val="10"/>
        <color rgb="FF1750EB"/>
        <rFont val="Consolas"/>
        <family val="3"/>
      </rPr>
      <t>241</t>
    </r>
    <r>
      <rPr>
        <sz val="10"/>
        <color rgb="FF080808"/>
        <rFont val="Consolas"/>
        <family val="3"/>
      </rPr>
      <t xml:space="preserve">] = </t>
    </r>
    <r>
      <rPr>
        <sz val="10"/>
        <color rgb="FF067D17"/>
        <rFont val="Consolas"/>
        <family val="3"/>
      </rPr>
      <t>"241|27|667|Wrothgar|380|684|Wrothgar|1|Great Bay Wayshrine"</t>
    </r>
    <r>
      <rPr>
        <sz val="10"/>
        <color rgb="FF080808"/>
        <rFont val="Consolas"/>
        <family val="3"/>
      </rPr>
      <t>,</t>
    </r>
  </si>
  <si>
    <r>
      <t>[</t>
    </r>
    <r>
      <rPr>
        <sz val="10"/>
        <color rgb="FF1750EB"/>
        <rFont val="Consolas"/>
        <family val="3"/>
      </rPr>
      <t>242</t>
    </r>
    <r>
      <rPr>
        <sz val="10"/>
        <color rgb="FF080808"/>
        <rFont val="Consolas"/>
        <family val="3"/>
      </rPr>
      <t xml:space="preserve">] = </t>
    </r>
    <r>
      <rPr>
        <sz val="10"/>
        <color rgb="FF067D17"/>
        <rFont val="Consolas"/>
        <family val="3"/>
      </rPr>
      <t>"242|27|667|Wrothgar|380|684|Wrothgar|1|Frostbreak Ridge Wayshrine"</t>
    </r>
    <r>
      <rPr>
        <sz val="10"/>
        <color rgb="FF080808"/>
        <rFont val="Consolas"/>
        <family val="3"/>
      </rPr>
      <t>,</t>
    </r>
  </si>
  <si>
    <r>
      <t>[</t>
    </r>
    <r>
      <rPr>
        <sz val="10"/>
        <color rgb="FF1750EB"/>
        <rFont val="Consolas"/>
        <family val="3"/>
      </rPr>
      <t>243</t>
    </r>
    <r>
      <rPr>
        <sz val="10"/>
        <color rgb="FF080808"/>
        <rFont val="Consolas"/>
        <family val="3"/>
      </rPr>
      <t xml:space="preserve">] = </t>
    </r>
    <r>
      <rPr>
        <sz val="10"/>
        <color rgb="FF067D17"/>
        <rFont val="Consolas"/>
        <family val="3"/>
      </rPr>
      <t>"243|27|667|Wrothgar|380|684|Wrothgar|1|Siege Road Wayshrine"</t>
    </r>
    <r>
      <rPr>
        <sz val="10"/>
        <color rgb="FF080808"/>
        <rFont val="Consolas"/>
        <family val="3"/>
      </rPr>
      <t>,</t>
    </r>
  </si>
  <si>
    <r>
      <t>[</t>
    </r>
    <r>
      <rPr>
        <sz val="10"/>
        <color rgb="FF1750EB"/>
        <rFont val="Consolas"/>
        <family val="3"/>
      </rPr>
      <t>244</t>
    </r>
    <r>
      <rPr>
        <sz val="10"/>
        <color rgb="FF080808"/>
        <rFont val="Consolas"/>
        <family val="3"/>
      </rPr>
      <t xml:space="preserve">] = </t>
    </r>
    <r>
      <rPr>
        <sz val="10"/>
        <color rgb="FF067D17"/>
        <rFont val="Consolas"/>
        <family val="3"/>
      </rPr>
      <t>"244|27|667|Wrothgar|380|684|Wrothgar|1|Orsinium Wayshrine"</t>
    </r>
    <r>
      <rPr>
        <sz val="10"/>
        <color rgb="FF080808"/>
        <rFont val="Consolas"/>
        <family val="3"/>
      </rPr>
      <t>,</t>
    </r>
  </si>
  <si>
    <r>
      <t>[</t>
    </r>
    <r>
      <rPr>
        <sz val="10"/>
        <color rgb="FF1750EB"/>
        <rFont val="Consolas"/>
        <family val="3"/>
      </rPr>
      <t>245</t>
    </r>
    <r>
      <rPr>
        <sz val="10"/>
        <color rgb="FF080808"/>
        <rFont val="Consolas"/>
        <family val="3"/>
      </rPr>
      <t xml:space="preserve">] = </t>
    </r>
    <r>
      <rPr>
        <sz val="10"/>
        <color rgb="FF067D17"/>
        <rFont val="Consolas"/>
        <family val="3"/>
      </rPr>
      <t>"245|27|667|Wrothgar|380|684|Wrothgar|1|Trader's Road Wayshrine"</t>
    </r>
    <r>
      <rPr>
        <sz val="10"/>
        <color rgb="FF080808"/>
        <rFont val="Consolas"/>
        <family val="3"/>
      </rPr>
      <t>,</t>
    </r>
  </si>
  <si>
    <r>
      <t>[</t>
    </r>
    <r>
      <rPr>
        <sz val="10"/>
        <color rgb="FF1750EB"/>
        <rFont val="Consolas"/>
        <family val="3"/>
      </rPr>
      <t>246</t>
    </r>
    <r>
      <rPr>
        <sz val="10"/>
        <color rgb="FF080808"/>
        <rFont val="Consolas"/>
        <family val="3"/>
      </rPr>
      <t xml:space="preserve">] = </t>
    </r>
    <r>
      <rPr>
        <sz val="10"/>
        <color rgb="FF067D17"/>
        <rFont val="Consolas"/>
        <family val="3"/>
      </rPr>
      <t>"246|27|667|Wrothgar|380|684|Wrothgar|1|Merchant's Gate Wayshrine"</t>
    </r>
    <r>
      <rPr>
        <sz val="10"/>
        <color rgb="FF080808"/>
        <rFont val="Consolas"/>
        <family val="3"/>
      </rPr>
      <t>,</t>
    </r>
  </si>
  <si>
    <r>
      <t>[</t>
    </r>
    <r>
      <rPr>
        <sz val="10"/>
        <color rgb="FF1750EB"/>
        <rFont val="Consolas"/>
        <family val="3"/>
      </rPr>
      <t>456</t>
    </r>
    <r>
      <rPr>
        <sz val="10"/>
        <color rgb="FF080808"/>
        <rFont val="Consolas"/>
        <family val="3"/>
      </rPr>
      <t xml:space="preserve">] = </t>
    </r>
    <r>
      <rPr>
        <sz val="10"/>
        <color rgb="FF067D17"/>
        <rFont val="Consolas"/>
        <family val="3"/>
      </rPr>
      <t>"456|42|1814|The Reach|784|1207|The Reach|7|Stone Eagle Aerie"</t>
    </r>
    <r>
      <rPr>
        <sz val="10"/>
        <color rgb="FF080808"/>
        <rFont val="Consolas"/>
        <family val="3"/>
      </rPr>
      <t>,</t>
    </r>
  </si>
  <si>
    <r>
      <t>[</t>
    </r>
    <r>
      <rPr>
        <sz val="10"/>
        <color rgb="FF1750EB"/>
        <rFont val="Consolas"/>
        <family val="3"/>
      </rPr>
      <t>556</t>
    </r>
    <r>
      <rPr>
        <sz val="10"/>
        <color rgb="FF080808"/>
        <rFont val="Consolas"/>
        <family val="3"/>
      </rPr>
      <t xml:space="preserve">] = </t>
    </r>
    <r>
      <rPr>
        <sz val="10"/>
        <color rgb="FF067D17"/>
        <rFont val="Consolas"/>
        <family val="3"/>
      </rPr>
      <t>"556|42|1814|The Reach|784|1207|The Reach|6|Dungeon: Oathsworn Pit"</t>
    </r>
    <r>
      <rPr>
        <sz val="10"/>
        <color rgb="FF080808"/>
        <rFont val="Consolas"/>
        <family val="3"/>
      </rPr>
      <t>,</t>
    </r>
  </si>
  <si>
    <r>
      <t>[</t>
    </r>
    <r>
      <rPr>
        <sz val="10"/>
        <color rgb="FF1750EB"/>
        <rFont val="Consolas"/>
        <family val="3"/>
      </rPr>
      <t>249</t>
    </r>
    <r>
      <rPr>
        <sz val="10"/>
        <color rgb="FF080808"/>
        <rFont val="Consolas"/>
        <family val="3"/>
      </rPr>
      <t xml:space="preserve">] = </t>
    </r>
    <r>
      <rPr>
        <sz val="10"/>
        <color rgb="FF067D17"/>
        <rFont val="Consolas"/>
        <family val="3"/>
      </rPr>
      <t>"249|27|667|Wrothgar|380|684|Wrothgar|0|Maelstrom Arena"</t>
    </r>
    <r>
      <rPr>
        <sz val="10"/>
        <color rgb="FF080808"/>
        <rFont val="Consolas"/>
        <family val="3"/>
      </rPr>
      <t>,</t>
    </r>
  </si>
  <si>
    <r>
      <t>[</t>
    </r>
    <r>
      <rPr>
        <sz val="10"/>
        <color rgb="FF1750EB"/>
        <rFont val="Consolas"/>
        <family val="3"/>
      </rPr>
      <t>250</t>
    </r>
    <r>
      <rPr>
        <sz val="10"/>
        <color rgb="FF080808"/>
        <rFont val="Consolas"/>
        <family val="3"/>
      </rPr>
      <t xml:space="preserve">] = </t>
    </r>
    <r>
      <rPr>
        <sz val="10"/>
        <color rgb="FF067D17"/>
        <rFont val="Consolas"/>
        <family val="3"/>
      </rPr>
      <t>"250|27|667|Wrothgar|380|684|Wrothgar|0|Maelstrom Arena"</t>
    </r>
    <r>
      <rPr>
        <sz val="10"/>
        <color rgb="FF080808"/>
        <rFont val="Consolas"/>
        <family val="3"/>
      </rPr>
      <t>,</t>
    </r>
  </si>
  <si>
    <r>
      <t>[</t>
    </r>
    <r>
      <rPr>
        <sz val="10"/>
        <color rgb="FF1750EB"/>
        <rFont val="Consolas"/>
        <family val="3"/>
      </rPr>
      <t>443</t>
    </r>
    <r>
      <rPr>
        <sz val="10"/>
        <color rgb="FF080808"/>
        <rFont val="Consolas"/>
        <family val="3"/>
      </rPr>
      <t xml:space="preserve">] = </t>
    </r>
    <r>
      <rPr>
        <sz val="10"/>
        <color rgb="FF067D17"/>
        <rFont val="Consolas"/>
        <family val="3"/>
      </rPr>
      <t>"443|42|1814|The Reach|784|1207|The Reach|1|North Markarth Wayshrine"</t>
    </r>
    <r>
      <rPr>
        <sz val="10"/>
        <color rgb="FF080808"/>
        <rFont val="Consolas"/>
        <family val="3"/>
      </rPr>
      <t>,</t>
    </r>
  </si>
  <si>
    <r>
      <t>[</t>
    </r>
    <r>
      <rPr>
        <sz val="10"/>
        <color rgb="FF1750EB"/>
        <rFont val="Consolas"/>
        <family val="3"/>
      </rPr>
      <t>444</t>
    </r>
    <r>
      <rPr>
        <sz val="10"/>
        <color rgb="FF080808"/>
        <rFont val="Consolas"/>
        <family val="3"/>
      </rPr>
      <t xml:space="preserve">] = </t>
    </r>
    <r>
      <rPr>
        <sz val="10"/>
        <color rgb="FF067D17"/>
        <rFont val="Consolas"/>
        <family val="3"/>
      </rPr>
      <t>"444|42|1814|The Reach|784|1207|The Reach|1|Lost Valley Wayshrine"</t>
    </r>
    <r>
      <rPr>
        <sz val="10"/>
        <color rgb="FF080808"/>
        <rFont val="Consolas"/>
        <family val="3"/>
      </rPr>
      <t>,</t>
    </r>
  </si>
  <si>
    <r>
      <t>[</t>
    </r>
    <r>
      <rPr>
        <sz val="10"/>
        <color rgb="FF1750EB"/>
        <rFont val="Consolas"/>
        <family val="3"/>
      </rPr>
      <t>445</t>
    </r>
    <r>
      <rPr>
        <sz val="10"/>
        <color rgb="FF080808"/>
        <rFont val="Consolas"/>
        <family val="3"/>
      </rPr>
      <t xml:space="preserve">] = </t>
    </r>
    <r>
      <rPr>
        <sz val="10"/>
        <color rgb="FF067D17"/>
        <rFont val="Consolas"/>
        <family val="3"/>
      </rPr>
      <t>"445|42|1814|The Reach|784|1207|The Reach|1|Karthwasten Wayshrine"</t>
    </r>
    <r>
      <rPr>
        <sz val="10"/>
        <color rgb="FF080808"/>
        <rFont val="Consolas"/>
        <family val="3"/>
      </rPr>
      <t>,</t>
    </r>
  </si>
  <si>
    <r>
      <t>[</t>
    </r>
    <r>
      <rPr>
        <sz val="10"/>
        <color rgb="FF1750EB"/>
        <rFont val="Consolas"/>
        <family val="3"/>
      </rPr>
      <t>447</t>
    </r>
    <r>
      <rPr>
        <sz val="10"/>
        <color rgb="FF080808"/>
        <rFont val="Consolas"/>
        <family val="3"/>
      </rPr>
      <t xml:space="preserve">] = </t>
    </r>
    <r>
      <rPr>
        <sz val="10"/>
        <color rgb="FF067D17"/>
        <rFont val="Consolas"/>
        <family val="3"/>
      </rPr>
      <t>"447|42|1814|The Reach|784|1207|The Reach|1|Rebel's Retreat Wayshrine"</t>
    </r>
    <r>
      <rPr>
        <sz val="10"/>
        <color rgb="FF080808"/>
        <rFont val="Consolas"/>
        <family val="3"/>
      </rPr>
      <t>,</t>
    </r>
  </si>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</sst>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6">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rgb="FF00B0F0"/>
        <bgColor indexed="64"/>
      </patternFill>
    </fill>
    <fill>
      <patternFill patternType="solid">
        <fgColor theme="6" tint="0.79998168889431442"/>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3">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23" fillId="14" borderId="0" xfId="0" applyFont="1" applyFill="1" applyAlignment="1">
      <alignment vertical="center"/>
    </xf>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5"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48"/>
  <sheetViews>
    <sheetView tabSelected="1" zoomScale="70" zoomScaleNormal="70" workbookViewId="0">
      <pane xSplit="7" ySplit="2" topLeftCell="H3" activePane="bottomRight" state="frozen"/>
      <selection pane="topRight" activeCell="H1" sqref="H1"/>
      <selection pane="bottomLeft" activeCell="A3" sqref="A3"/>
      <selection pane="bottomRight" activeCell="G15" sqref="G15"/>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2" t="s">
        <v>3774</v>
      </c>
      <c r="B1" s="112"/>
      <c r="C1" s="112"/>
      <c r="D1" s="57" t="s">
        <v>3953</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1436</v>
      </c>
      <c r="E2" s="1" t="s">
        <v>1336</v>
      </c>
      <c r="F2" s="1" t="s">
        <v>1338</v>
      </c>
      <c r="G2" s="3" t="s">
        <v>1415</v>
      </c>
      <c r="H2" s="11" t="s">
        <v>1377</v>
      </c>
      <c r="I2" s="11" t="s">
        <v>1788</v>
      </c>
      <c r="J2" s="11" t="s">
        <v>1376</v>
      </c>
      <c r="K2" s="11" t="s">
        <v>1438</v>
      </c>
      <c r="L2" s="11" t="s">
        <v>1374</v>
      </c>
      <c r="M2" s="11" t="s">
        <v>1375</v>
      </c>
      <c r="N2" s="11" t="s">
        <v>1373</v>
      </c>
      <c r="O2" s="60" t="s">
        <v>1787</v>
      </c>
      <c r="P2" s="60" t="s">
        <v>3273</v>
      </c>
      <c r="Q2" s="13" t="s">
        <v>1333</v>
      </c>
      <c r="R2" s="23" t="s">
        <v>1378</v>
      </c>
      <c r="S2" s="60" t="s">
        <v>1782</v>
      </c>
      <c r="T2" s="22" t="s">
        <v>1416</v>
      </c>
      <c r="U2" s="3" t="s">
        <v>75</v>
      </c>
      <c r="V2" s="32" t="s">
        <v>1522</v>
      </c>
      <c r="W2" s="13" t="s">
        <v>1510</v>
      </c>
      <c r="X2" s="13" t="s">
        <v>1511</v>
      </c>
      <c r="Y2" s="60" t="s">
        <v>2705</v>
      </c>
      <c r="Z2" s="13" t="s">
        <v>1334</v>
      </c>
      <c r="AA2" s="23" t="s">
        <v>1379</v>
      </c>
      <c r="AB2" s="32" t="s">
        <v>1526</v>
      </c>
      <c r="AC2" s="13" t="s">
        <v>1512</v>
      </c>
      <c r="AD2" s="13" t="s">
        <v>1513</v>
      </c>
      <c r="AE2" s="13" t="s">
        <v>3271</v>
      </c>
      <c r="AF2" s="13" t="s">
        <v>1335</v>
      </c>
      <c r="AG2" s="23" t="s">
        <v>1380</v>
      </c>
      <c r="AH2" s="33" t="s">
        <v>2760</v>
      </c>
      <c r="AI2" s="13" t="s">
        <v>1514</v>
      </c>
      <c r="AJ2" s="13" t="s">
        <v>1515</v>
      </c>
      <c r="AK2" s="13" t="s">
        <v>1421</v>
      </c>
      <c r="AL2" s="23" t="s">
        <v>1422</v>
      </c>
      <c r="AM2" s="32" t="s">
        <v>1566</v>
      </c>
      <c r="AN2" s="13" t="s">
        <v>1516</v>
      </c>
      <c r="AO2" s="13" t="s">
        <v>1517</v>
      </c>
      <c r="AP2" s="13" t="s">
        <v>1423</v>
      </c>
      <c r="AQ2" s="23" t="s">
        <v>1424</v>
      </c>
      <c r="AR2" s="32" t="s">
        <v>1567</v>
      </c>
      <c r="AS2" s="13" t="s">
        <v>1518</v>
      </c>
      <c r="AT2" s="13" t="s">
        <v>1519</v>
      </c>
      <c r="AU2" s="13" t="s">
        <v>1434</v>
      </c>
      <c r="AV2" s="23" t="s">
        <v>1435</v>
      </c>
      <c r="AW2" s="32" t="s">
        <v>1568</v>
      </c>
      <c r="AX2" s="13" t="s">
        <v>1520</v>
      </c>
      <c r="AY2" s="13" t="s">
        <v>1521</v>
      </c>
      <c r="AZ2" s="76" t="s">
        <v>2651</v>
      </c>
      <c r="BA2" s="76" t="s">
        <v>3267</v>
      </c>
      <c r="BB2" s="76" t="s">
        <v>3268</v>
      </c>
      <c r="BC2" s="76" t="s">
        <v>3769</v>
      </c>
      <c r="BD2" s="76" t="s">
        <v>3949</v>
      </c>
      <c r="BE2" s="20" t="s">
        <v>3276</v>
      </c>
      <c r="BF2" s="20" t="s">
        <v>3277</v>
      </c>
      <c r="BG2" s="20" t="s">
        <v>3278</v>
      </c>
      <c r="BH2" s="20" t="s">
        <v>3274</v>
      </c>
      <c r="BI2" s="20" t="s">
        <v>3275</v>
      </c>
    </row>
    <row r="3" spans="1:61" x14ac:dyDescent="0.25">
      <c r="A3" s="12">
        <v>19</v>
      </c>
      <c r="B3" t="s">
        <v>729</v>
      </c>
      <c r="C3" t="s">
        <v>730</v>
      </c>
      <c r="D3" s="3">
        <f t="shared" ref="D3:D66" si="0">A3</f>
        <v>19</v>
      </c>
      <c r="G3" s="8" t="s">
        <v>1473</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constants'!$B$4:$C$1012,2,FALSE),"")</f>
        <v>Included in base game</v>
      </c>
      <c r="V3" s="89" t="s">
        <v>3280</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2649</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731</v>
      </c>
      <c r="C4" t="s">
        <v>732</v>
      </c>
      <c r="D4" s="3">
        <f t="shared" si="0"/>
        <v>20</v>
      </c>
      <c r="G4" s="8" t="s">
        <v>1476</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constants'!$B$4:$C$1012,2,FALSE),"")</f>
        <v>Included in base game</v>
      </c>
      <c r="V4" s="89" t="s">
        <v>1554</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1555</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1556</v>
      </c>
      <c r="AI4" s="41"/>
      <c r="AJ4" s="41"/>
      <c r="AK4" s="3">
        <f>IF(AND(G4&lt;&gt;"LIBSETS_SETTYPE_BATTLEGROUND",G4&lt;&gt;"LIBSETS_SETTYPE_SPECIAL"),IF(AL4&lt;&gt;"",VLOOKUP(AL4,'ESO zone constants'!$D$5:$H$4955,5,FALSE),""),"")</f>
        <v>103</v>
      </c>
      <c r="AL4" t="s">
        <v>111</v>
      </c>
      <c r="AM4" s="42" t="s">
        <v>1557</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2649</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733</v>
      </c>
      <c r="C5" t="s">
        <v>734</v>
      </c>
      <c r="D5" s="3">
        <f t="shared" si="0"/>
        <v>21</v>
      </c>
      <c r="G5" s="8" t="s">
        <v>1476</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constants'!$B$4:$C$1012,2,FALSE),"")</f>
        <v>Included in base game</v>
      </c>
      <c r="V5" s="89" t="s">
        <v>1554</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1555</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1556</v>
      </c>
      <c r="AI5" s="41"/>
      <c r="AJ5" s="41"/>
      <c r="AK5" s="3">
        <f>IF(AND(G5&lt;&gt;"LIBSETS_SETTYPE_BATTLEGROUND",G5&lt;&gt;"LIBSETS_SETTYPE_SPECIAL"),IF(AL5&lt;&gt;"",VLOOKUP(AL5,'ESO zone constants'!$D$5:$H$4955,5,FALSE),""),"")</f>
        <v>101</v>
      </c>
      <c r="AL5" t="s">
        <v>110</v>
      </c>
      <c r="AM5" s="42" t="s">
        <v>1557</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2650</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735</v>
      </c>
      <c r="C6" t="s">
        <v>2528</v>
      </c>
      <c r="D6" s="3">
        <f t="shared" si="0"/>
        <v>22</v>
      </c>
      <c r="G6" s="8" t="s">
        <v>1476</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constants'!$B$4:$C$1012,2,FALSE),"")</f>
        <v>Included in base game</v>
      </c>
      <c r="V6" s="89" t="s">
        <v>1554</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1555</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1556</v>
      </c>
      <c r="AI6" s="41"/>
      <c r="AJ6" s="41"/>
      <c r="AK6" s="3">
        <f>IF(AND(G6&lt;&gt;"LIBSETS_SETTYPE_BATTLEGROUND",G6&lt;&gt;"LIBSETS_SETTYPE_SPECIAL"),IF(AL6&lt;&gt;"",VLOOKUP(AL6,'ESO zone constants'!$D$5:$H$4955,5,FALSE),""),"")</f>
        <v>19</v>
      </c>
      <c r="AL6" t="s">
        <v>104</v>
      </c>
      <c r="AM6" s="42" t="s">
        <v>1557</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2649</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736</v>
      </c>
      <c r="C7" t="s">
        <v>2529</v>
      </c>
      <c r="D7" s="3">
        <f t="shared" si="0"/>
        <v>23</v>
      </c>
      <c r="G7" s="8" t="s">
        <v>1468</v>
      </c>
      <c r="I7" t="s">
        <v>91</v>
      </c>
      <c r="J7" t="s">
        <v>91</v>
      </c>
      <c r="K7">
        <v>270</v>
      </c>
      <c r="L7">
        <v>270</v>
      </c>
      <c r="M7">
        <v>270</v>
      </c>
      <c r="O7" s="61" t="s">
        <v>439</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constants'!$B$4:$C$1012,2,FALSE),"")</f>
        <v>Clockwork City</v>
      </c>
      <c r="V7" s="89" t="s">
        <v>1550</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1550</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2650</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737</v>
      </c>
      <c r="C8" t="s">
        <v>2530</v>
      </c>
      <c r="D8" s="3">
        <f t="shared" si="0"/>
        <v>24</v>
      </c>
      <c r="G8" s="8" t="s">
        <v>1468</v>
      </c>
      <c r="I8" t="s">
        <v>91</v>
      </c>
      <c r="J8" t="s">
        <v>91</v>
      </c>
      <c r="K8">
        <v>270</v>
      </c>
      <c r="L8">
        <v>270</v>
      </c>
      <c r="M8">
        <v>270</v>
      </c>
      <c r="O8" s="61" t="s">
        <v>439</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constants'!$B$4:$C$1012,2,FALSE),"")</f>
        <v>Clockwork City</v>
      </c>
      <c r="V8" s="89" t="s">
        <v>1550</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1550</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2649</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738</v>
      </c>
      <c r="C9" t="s">
        <v>739</v>
      </c>
      <c r="D9" s="3">
        <f t="shared" si="0"/>
        <v>25</v>
      </c>
      <c r="E9" s="40"/>
      <c r="G9" s="8" t="s">
        <v>1471</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constants'!$B$4:$C$1012,2,FALSE),"")</f>
        <v>Included in base game</v>
      </c>
      <c r="V9" s="89" t="s">
        <v>2765</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3728</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2760</v>
      </c>
      <c r="AK9" s="3">
        <f>IF(AND(G9&lt;&gt;"LIBSETS_SETTYPE_BATTLEGROUND",G9&lt;&gt;"LIBSETS_SETTYPE_SPECIAL"),IF(AL9&lt;&gt;"",VLOOKUP(AL9,'ESO zone constants'!$D$5:$H$4955,5,FALSE),""),"")</f>
        <v>181</v>
      </c>
      <c r="AL9" t="s">
        <v>125</v>
      </c>
      <c r="AM9" s="33" t="s">
        <v>3731</v>
      </c>
      <c r="AP9" s="3">
        <f>IF(AND(G9&lt;&gt;"LIBSETS_SETTYPE_BATTLEGROUND",G9&lt;&gt;"LIBSETS_SETTYPE_SPECIAL"),IF(AQ9&lt;&gt;"",VLOOKUP(AQ9,'ESO zone constants'!$D$5:$H$4955,5,FALSE),""),"")</f>
        <v>181</v>
      </c>
      <c r="AQ9" t="s">
        <v>125</v>
      </c>
      <c r="AR9" s="33" t="s">
        <v>1554</v>
      </c>
      <c r="AU9" s="3">
        <f>IF(AND(G9&lt;&gt;"LIBSETS_SETTYPE_BATTLEGROUND",G9&lt;&gt;"LIBSETS_SETTYPE_SPECIAL"),IF(AV9&lt;&gt;"",VLOOKUP(AV9,'ESO zone constants'!$D$5:$H$4955,5,FALSE),""),"")</f>
        <v>181</v>
      </c>
      <c r="AV9" t="s">
        <v>125</v>
      </c>
      <c r="AW9" s="33" t="s">
        <v>3231</v>
      </c>
      <c r="AZ9" s="78" t="s">
        <v>2649</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740</v>
      </c>
      <c r="C10" t="s">
        <v>2531</v>
      </c>
      <c r="D10" s="3">
        <f t="shared" si="0"/>
        <v>26</v>
      </c>
      <c r="E10" s="40"/>
      <c r="G10" s="8" t="s">
        <v>1476</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constants'!$B$4:$C$1012,2,FALSE),"")</f>
        <v>Included in base game</v>
      </c>
      <c r="V10" s="89" t="s">
        <v>1554</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1555</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1556</v>
      </c>
      <c r="AI10" s="41"/>
      <c r="AJ10" s="41"/>
      <c r="AK10" s="3">
        <f>IF(AND(G10&lt;&gt;"LIBSETS_SETTYPE_BATTLEGROUND",G10&lt;&gt;"LIBSETS_SETTYPE_SPECIAL"),IF(AL10&lt;&gt;"",VLOOKUP(AL10,'ESO zone constants'!$D$5:$H$4955,5,FALSE),""),"")</f>
        <v>347</v>
      </c>
      <c r="AL10" t="s">
        <v>239</v>
      </c>
      <c r="AM10" s="33" t="s">
        <v>1557</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2649</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741</v>
      </c>
      <c r="C11" t="s">
        <v>2532</v>
      </c>
      <c r="D11" s="3">
        <f t="shared" si="0"/>
        <v>27</v>
      </c>
      <c r="E11" s="40"/>
      <c r="G11" s="8" t="s">
        <v>1476</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constants'!$B$4:$C$1012,2,FALSE),"")</f>
        <v>Included in base game</v>
      </c>
      <c r="V11" s="89" t="s">
        <v>1554</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1555</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1556</v>
      </c>
      <c r="AI11" s="41"/>
      <c r="AJ11" s="41"/>
      <c r="AK11" s="3">
        <f>IF(AND(G11&lt;&gt;"LIBSETS_SETTYPE_BATTLEGROUND",G11&lt;&gt;"LIBSETS_SETTYPE_SPECIAL"),IF(AL11&lt;&gt;"",VLOOKUP(AL11,'ESO zone constants'!$D$5:$H$4955,5,FALSE),""),"")</f>
        <v>101</v>
      </c>
      <c r="AL11" t="s">
        <v>110</v>
      </c>
      <c r="AM11" s="33" t="s">
        <v>1557</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2649</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742</v>
      </c>
      <c r="C12" t="s">
        <v>743</v>
      </c>
      <c r="D12" s="3">
        <f t="shared" si="0"/>
        <v>28</v>
      </c>
      <c r="G12" s="8" t="s">
        <v>1473</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constants'!$B$4:$C$1012,2,FALSE),"")</f>
        <v>Included in base game</v>
      </c>
      <c r="V12" s="89" t="s">
        <v>3280</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3280</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2649</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744</v>
      </c>
      <c r="C13" t="s">
        <v>2533</v>
      </c>
      <c r="D13" s="3">
        <f t="shared" si="0"/>
        <v>29</v>
      </c>
      <c r="G13" s="8" t="s">
        <v>1473</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constants'!$B$4:$C$1012,2,FALSE),"")</f>
        <v>Included in base game</v>
      </c>
      <c r="V13" s="89" t="s">
        <v>3280</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3280</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2650</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745</v>
      </c>
      <c r="C14" t="s">
        <v>2534</v>
      </c>
      <c r="D14" s="3">
        <f t="shared" si="0"/>
        <v>30</v>
      </c>
      <c r="E14" s="40"/>
      <c r="F14"/>
      <c r="G14" s="8" t="s">
        <v>1476</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constants'!$B$4:$C$1012,2,FALSE),"")</f>
        <v>Included in base game</v>
      </c>
      <c r="V14" s="89" t="s">
        <v>1554</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1555</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1556</v>
      </c>
      <c r="AI14" s="41"/>
      <c r="AJ14" s="41"/>
      <c r="AK14" s="3">
        <f>IF(AND(G14&lt;&gt;"LIBSETS_SETTYPE_BATTLEGROUND",G14&lt;&gt;"LIBSETS_SETTYPE_SPECIAL"),IF(AL14&lt;&gt;"",VLOOKUP(AL14,'ESO zone constants'!$D$5:$H$4955,5,FALSE),""),"")</f>
        <v>58</v>
      </c>
      <c r="AL14" t="s">
        <v>108</v>
      </c>
      <c r="AM14" s="33" t="s">
        <v>1557</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2649</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746</v>
      </c>
      <c r="C15" t="s">
        <v>747</v>
      </c>
      <c r="D15" s="3">
        <f t="shared" si="0"/>
        <v>31</v>
      </c>
      <c r="E15" s="40"/>
      <c r="G15" s="8" t="s">
        <v>1476</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constants'!$B$4:$C$1012,2,FALSE),"")</f>
        <v>Included in base game</v>
      </c>
      <c r="V15" s="89" t="s">
        <v>1554</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1555</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1556</v>
      </c>
      <c r="AI15" s="41"/>
      <c r="AJ15" s="41"/>
      <c r="AK15" s="3">
        <f>IF(AND(G15&lt;&gt;"LIBSETS_SETTYPE_BATTLEGROUND",G15&lt;&gt;"LIBSETS_SETTYPE_SPECIAL"),IF(AL15&lt;&gt;"",VLOOKUP(AL15,'ESO zone constants'!$D$5:$H$4955,5,FALSE),""),"")</f>
        <v>41</v>
      </c>
      <c r="AL15" t="s">
        <v>106</v>
      </c>
      <c r="AM15" s="33" t="s">
        <v>1557</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2650</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748</v>
      </c>
      <c r="C16" t="s">
        <v>2535</v>
      </c>
      <c r="D16" s="3">
        <f t="shared" si="0"/>
        <v>32</v>
      </c>
      <c r="G16" s="8" t="s">
        <v>1468</v>
      </c>
      <c r="I16" t="s">
        <v>91</v>
      </c>
      <c r="J16" t="s">
        <v>91</v>
      </c>
      <c r="K16">
        <v>270</v>
      </c>
      <c r="L16">
        <v>270</v>
      </c>
      <c r="M16">
        <v>270</v>
      </c>
      <c r="O16" s="61" t="s">
        <v>439</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constants'!$B$4:$C$1012,2,FALSE),"")</f>
        <v>Clockwork City</v>
      </c>
      <c r="V16" s="89" t="s">
        <v>1550</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1550</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2649</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749</v>
      </c>
      <c r="C17" t="s">
        <v>2536</v>
      </c>
      <c r="D17" s="3">
        <f t="shared" si="0"/>
        <v>33</v>
      </c>
      <c r="G17" s="8" t="s">
        <v>1473</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constants'!$B$4:$C$1012,2,FALSE),"")</f>
        <v>Included in base game</v>
      </c>
      <c r="V17" s="89" t="s">
        <v>3280</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3280</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2649</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750</v>
      </c>
      <c r="C18" t="s">
        <v>2537</v>
      </c>
      <c r="D18" s="3">
        <f t="shared" si="0"/>
        <v>34</v>
      </c>
      <c r="E18" s="40"/>
      <c r="G18" s="8" t="s">
        <v>1476</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constants'!$B$4:$C$1012,2,FALSE),"")</f>
        <v>Included in base game</v>
      </c>
      <c r="V18" s="89" t="s">
        <v>1554</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1555</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1556</v>
      </c>
      <c r="AI18" s="41"/>
      <c r="AJ18" s="41"/>
      <c r="AK18" s="3">
        <f>IF(AND(G18&lt;&gt;"LIBSETS_SETTYPE_BATTLEGROUND",G18&lt;&gt;"LIBSETS_SETTYPE_SPECIAL"),IF(AL18&lt;&gt;"",VLOOKUP(AL18,'ESO zone constants'!$D$5:$H$4955,5,FALSE),""),"")</f>
        <v>57</v>
      </c>
      <c r="AL18" t="s">
        <v>107</v>
      </c>
      <c r="AM18" s="33" t="s">
        <v>1557</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2650</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751</v>
      </c>
      <c r="C19" t="s">
        <v>752</v>
      </c>
      <c r="D19" s="3">
        <f t="shared" si="0"/>
        <v>35</v>
      </c>
      <c r="G19" s="8" t="s">
        <v>1473</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constants'!$B$4:$C$1012,2,FALSE),"")</f>
        <v>Included in base game</v>
      </c>
      <c r="V19" s="89" t="s">
        <v>3280</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3280</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2649</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753</v>
      </c>
      <c r="C20" t="s">
        <v>754</v>
      </c>
      <c r="D20" s="3">
        <f t="shared" si="0"/>
        <v>36</v>
      </c>
      <c r="E20" s="40"/>
      <c r="G20" s="8" t="s">
        <v>1476</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constants'!$B$4:$C$1012,2,FALSE),"")</f>
        <v>Included in base game</v>
      </c>
      <c r="V20" s="89" t="s">
        <v>1554</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1555</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1556</v>
      </c>
      <c r="AI20" s="41"/>
      <c r="AJ20" s="41"/>
      <c r="AK20" s="3">
        <f>IF(AND(G20&lt;&gt;"LIBSETS_SETTYPE_BATTLEGROUND",G20&lt;&gt;"LIBSETS_SETTYPE_SPECIAL"),IF(AL20&lt;&gt;"",VLOOKUP(AL20,'ESO zone constants'!$D$5:$H$4955,5,FALSE),""),"")</f>
        <v>381</v>
      </c>
      <c r="AL20" t="s">
        <v>262</v>
      </c>
      <c r="AM20" s="33" t="s">
        <v>1557</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2649</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2768</v>
      </c>
      <c r="C21" t="s">
        <v>2538</v>
      </c>
      <c r="D21" s="3">
        <f t="shared" si="0"/>
        <v>37</v>
      </c>
      <c r="G21" s="8" t="s">
        <v>1470</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constants'!$B$4:$C$1012,2,FALSE),"")</f>
        <v>Included in base game</v>
      </c>
      <c r="V21" s="33" t="s">
        <v>3283</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3283</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3283</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2649</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2769</v>
      </c>
      <c r="C22" t="s">
        <v>2539</v>
      </c>
      <c r="D22" s="3">
        <f t="shared" si="0"/>
        <v>38</v>
      </c>
      <c r="G22" s="8" t="s">
        <v>1470</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constants'!$B$4:$C$1012,2,FALSE),"")</f>
        <v>Included in base game</v>
      </c>
      <c r="V22" s="33" t="s">
        <v>3283</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3283</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3283</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2650</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755</v>
      </c>
      <c r="C23" t="s">
        <v>756</v>
      </c>
      <c r="D23" s="3">
        <f t="shared" si="0"/>
        <v>39</v>
      </c>
      <c r="E23" s="40"/>
      <c r="G23" s="8" t="s">
        <v>1471</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constants'!$B$4:$C$1012,2,FALSE),"")</f>
        <v>Included in base game</v>
      </c>
      <c r="V23" s="33" t="s">
        <v>1529</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3728</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2760</v>
      </c>
      <c r="AK23" s="3">
        <f>IF(AND(G23&lt;&gt;"LIBSETS_SETTYPE_BATTLEGROUND",G23&lt;&gt;"LIBSETS_SETTYPE_SPECIAL"),IF(AL23&lt;&gt;"",VLOOKUP(AL23,'ESO zone constants'!$D$5:$H$4955,5,FALSE),""),"")</f>
        <v>181</v>
      </c>
      <c r="AL23" t="s">
        <v>125</v>
      </c>
      <c r="AM23" s="33" t="s">
        <v>3731</v>
      </c>
      <c r="AP23" s="3">
        <f>IF(AND(G23&lt;&gt;"LIBSETS_SETTYPE_BATTLEGROUND",G23&lt;&gt;"LIBSETS_SETTYPE_SPECIAL"),IF(AQ23&lt;&gt;"",VLOOKUP(AQ23,'ESO zone constants'!$D$5:$H$4955,5,FALSE),""),"")</f>
        <v>181</v>
      </c>
      <c r="AQ23" t="s">
        <v>125</v>
      </c>
      <c r="AR23" s="33" t="s">
        <v>1554</v>
      </c>
      <c r="AU23" s="3">
        <f>IF(AND(G23&lt;&gt;"LIBSETS_SETTYPE_BATTLEGROUND",G23&lt;&gt;"LIBSETS_SETTYPE_SPECIAL"),IF(AV23&lt;&gt;"",VLOOKUP(AV23,'ESO zone constants'!$D$5:$H$4955,5,FALSE),""),"")</f>
        <v>181</v>
      </c>
      <c r="AV23" t="s">
        <v>125</v>
      </c>
      <c r="AW23" s="33" t="s">
        <v>3231</v>
      </c>
      <c r="AZ23" s="78" t="s">
        <v>2649</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2770</v>
      </c>
      <c r="C24" t="s">
        <v>2540</v>
      </c>
      <c r="D24" s="3">
        <f t="shared" si="0"/>
        <v>40</v>
      </c>
      <c r="G24" s="8" t="s">
        <v>1470</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constants'!$B$4:$C$1012,2,FALSE),"")</f>
        <v>Included in base game</v>
      </c>
      <c r="V24" s="33" t="s">
        <v>3283</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3283</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3283</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2649</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2771</v>
      </c>
      <c r="C25" t="s">
        <v>2541</v>
      </c>
      <c r="D25" s="3">
        <f t="shared" si="0"/>
        <v>41</v>
      </c>
      <c r="G25" s="8" t="s">
        <v>1470</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constants'!$B$4:$C$1012,2,FALSE),"")</f>
        <v>Included in base game</v>
      </c>
      <c r="V25" s="33" t="s">
        <v>3283</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3283</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3283</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2649</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2772</v>
      </c>
      <c r="C26" t="s">
        <v>757</v>
      </c>
      <c r="D26" s="3">
        <f t="shared" si="0"/>
        <v>43</v>
      </c>
      <c r="G26" s="8" t="s">
        <v>1470</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constants'!$B$4:$C$1012,2,FALSE),"")</f>
        <v>Included in base game</v>
      </c>
      <c r="V26" s="33" t="s">
        <v>3283</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3283</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3283</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2650</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2773</v>
      </c>
      <c r="C27" t="s">
        <v>2542</v>
      </c>
      <c r="D27" s="3">
        <f t="shared" si="0"/>
        <v>44</v>
      </c>
      <c r="G27" s="8" t="s">
        <v>1470</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constants'!$B$4:$C$1012,2,FALSE),"")</f>
        <v>Included in base game</v>
      </c>
      <c r="V27" s="33" t="s">
        <v>3283</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3283</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3283</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2649</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758</v>
      </c>
      <c r="C28" t="s">
        <v>2543</v>
      </c>
      <c r="D28" s="3">
        <f t="shared" si="0"/>
        <v>46</v>
      </c>
      <c r="E28" s="40"/>
      <c r="G28" s="8" t="s">
        <v>1473</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constants'!$B$4:$C$1012,2,FALSE),"")</f>
        <v>Included in base game</v>
      </c>
      <c r="V28" s="33" t="s">
        <v>3280</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2649</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759</v>
      </c>
      <c r="C29" t="s">
        <v>760</v>
      </c>
      <c r="D29" s="3">
        <f t="shared" si="0"/>
        <v>47</v>
      </c>
      <c r="E29" s="40"/>
      <c r="G29" s="8" t="s">
        <v>1476</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constants'!$B$4:$C$1012,2,FALSE),"")</f>
        <v>Included in base game</v>
      </c>
      <c r="V29" s="33" t="s">
        <v>1554</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1555</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1556</v>
      </c>
      <c r="AI29" s="41"/>
      <c r="AJ29" s="41"/>
      <c r="AK29" s="3">
        <f>IF(AND(G29&lt;&gt;"LIBSETS_SETTYPE_BATTLEGROUND",G29&lt;&gt;"LIBSETS_SETTYPE_SPECIAL"),IF(AL29&lt;&gt;"",VLOOKUP(AL29,'ESO zone constants'!$D$5:$H$4955,5,FALSE),""),"")</f>
        <v>104</v>
      </c>
      <c r="AL29" t="s">
        <v>112</v>
      </c>
      <c r="AM29" s="33" t="s">
        <v>1557</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2649</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761</v>
      </c>
      <c r="C30" t="s">
        <v>2544</v>
      </c>
      <c r="D30" s="3">
        <f t="shared" si="0"/>
        <v>48</v>
      </c>
      <c r="G30" s="8" t="s">
        <v>1470</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constants'!$B$4:$C$1012,2,FALSE),"")</f>
        <v>Included in base game</v>
      </c>
      <c r="V30" s="33" t="s">
        <v>3283</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3283</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3283</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2649</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762</v>
      </c>
      <c r="C31" t="s">
        <v>763</v>
      </c>
      <c r="D31" s="3">
        <f t="shared" si="0"/>
        <v>49</v>
      </c>
      <c r="G31" s="8" t="s">
        <v>1476</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constants'!$B$4:$C$1012,2,FALSE),"")</f>
        <v>Included in base game</v>
      </c>
      <c r="V31" s="33" t="s">
        <v>1554</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1555</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1556</v>
      </c>
      <c r="AI31" s="41"/>
      <c r="AJ31" s="41"/>
      <c r="AK31" s="3">
        <f>IF(AND(G31&lt;&gt;"LIBSETS_SETTYPE_BATTLEGROUND",G31&lt;&gt;"LIBSETS_SETTYPE_SPECIAL"),IF(AL31&lt;&gt;"",VLOOKUP(AL31,'ESO zone constants'!$D$5:$H$4955,5,FALSE),""),"")</f>
        <v>41</v>
      </c>
      <c r="AL31" t="s">
        <v>106</v>
      </c>
      <c r="AM31" s="33" t="s">
        <v>1557</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2649</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764</v>
      </c>
      <c r="C32" t="s">
        <v>765</v>
      </c>
      <c r="D32" s="3">
        <f t="shared" si="0"/>
        <v>50</v>
      </c>
      <c r="E32" s="40"/>
      <c r="G32" s="8" t="s">
        <v>1471</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constants'!$B$4:$C$1012,2,FALSE),"")</f>
        <v>Included in base game</v>
      </c>
      <c r="V32" s="33" t="s">
        <v>1527</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3728</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2760</v>
      </c>
      <c r="AK32" s="3">
        <f>IF(AND(G32&lt;&gt;"LIBSETS_SETTYPE_BATTLEGROUND",G32&lt;&gt;"LIBSETS_SETTYPE_SPECIAL"),IF(AL32&lt;&gt;"",VLOOKUP(AL32,'ESO zone constants'!$D$5:$H$4955,5,FALSE),""),"")</f>
        <v>181</v>
      </c>
      <c r="AL32" t="s">
        <v>125</v>
      </c>
      <c r="AM32" s="33" t="s">
        <v>3731</v>
      </c>
      <c r="AP32" s="3">
        <f>IF(AND(G32&lt;&gt;"LIBSETS_SETTYPE_BATTLEGROUND",G32&lt;&gt;"LIBSETS_SETTYPE_SPECIAL"),IF(AQ32&lt;&gt;"",VLOOKUP(AQ32,'ESO zone constants'!$D$5:$H$4955,5,FALSE),""),"")</f>
        <v>181</v>
      </c>
      <c r="AQ32" t="s">
        <v>125</v>
      </c>
      <c r="AR32" s="33" t="s">
        <v>1554</v>
      </c>
      <c r="AU32" s="3">
        <f>IF(AND(G32&lt;&gt;"LIBSETS_SETTYPE_BATTLEGROUND",G32&lt;&gt;"LIBSETS_SETTYPE_SPECIAL"),IF(AV32&lt;&gt;"",VLOOKUP(AV32,'ESO zone constants'!$D$5:$H$4955,5,FALSE),""),"")</f>
        <v>181</v>
      </c>
      <c r="AV32" t="s">
        <v>125</v>
      </c>
      <c r="AW32" s="33" t="s">
        <v>3231</v>
      </c>
      <c r="AZ32" s="78" t="s">
        <v>2649</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766</v>
      </c>
      <c r="C33" t="s">
        <v>2545</v>
      </c>
      <c r="D33" s="3">
        <f t="shared" si="0"/>
        <v>51</v>
      </c>
      <c r="G33" s="8" t="s">
        <v>1470</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constants'!$B$4:$C$1012,2,FALSE),"")</f>
        <v>Included in base game</v>
      </c>
      <c r="V33" s="33" t="s">
        <v>3283</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3283</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3283</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2649</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767</v>
      </c>
      <c r="C34" t="s">
        <v>768</v>
      </c>
      <c r="D34" s="3">
        <f t="shared" si="0"/>
        <v>52</v>
      </c>
      <c r="E34" s="40"/>
      <c r="G34" s="8" t="s">
        <v>1471</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constants'!$B$4:$C$1012,2,FALSE),"")</f>
        <v>Included in base game</v>
      </c>
      <c r="V34" s="33" t="s">
        <v>1529</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3728</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2760</v>
      </c>
      <c r="AK34" s="3">
        <f>IF(AND(G34&lt;&gt;"LIBSETS_SETTYPE_BATTLEGROUND",G34&lt;&gt;"LIBSETS_SETTYPE_SPECIAL"),IF(AL34&lt;&gt;"",VLOOKUP(AL34,'ESO zone constants'!$D$5:$H$4955,5,FALSE),""),"")</f>
        <v>181</v>
      </c>
      <c r="AL34" t="s">
        <v>125</v>
      </c>
      <c r="AM34" s="33" t="s">
        <v>3731</v>
      </c>
      <c r="AP34" s="3">
        <f>IF(AND(G34&lt;&gt;"LIBSETS_SETTYPE_BATTLEGROUND",G34&lt;&gt;"LIBSETS_SETTYPE_SPECIAL"),IF(AQ34&lt;&gt;"",VLOOKUP(AQ34,'ESO zone constants'!$D$5:$H$4955,5,FALSE),""),"")</f>
        <v>181</v>
      </c>
      <c r="AQ34" t="s">
        <v>125</v>
      </c>
      <c r="AR34" s="33" t="s">
        <v>1554</v>
      </c>
      <c r="AU34" s="3">
        <f>IF(AND(G34&lt;&gt;"LIBSETS_SETTYPE_BATTLEGROUND",G34&lt;&gt;"LIBSETS_SETTYPE_SPECIAL"),IF(AV34&lt;&gt;"",VLOOKUP(AV34,'ESO zone constants'!$D$5:$H$4955,5,FALSE),""),"")</f>
        <v>181</v>
      </c>
      <c r="AV34" t="s">
        <v>125</v>
      </c>
      <c r="AW34" s="33" t="s">
        <v>3231</v>
      </c>
      <c r="AZ34" s="78" t="s">
        <v>2649</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769</v>
      </c>
      <c r="C35" t="s">
        <v>770</v>
      </c>
      <c r="D35" s="3">
        <f t="shared" si="0"/>
        <v>53</v>
      </c>
      <c r="G35" s="8" t="s">
        <v>1473</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constants'!$B$4:$C$1012,2,FALSE),"")</f>
        <v>Included in base game</v>
      </c>
      <c r="V35" s="33" t="s">
        <v>3280</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2649</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771</v>
      </c>
      <c r="C36" t="s">
        <v>772</v>
      </c>
      <c r="D36" s="3">
        <f t="shared" si="0"/>
        <v>54</v>
      </c>
      <c r="G36" s="8" t="s">
        <v>1470</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constants'!$B$4:$C$1012,2,FALSE),"")</f>
        <v>Included in base game</v>
      </c>
      <c r="V36" s="33" t="s">
        <v>3283</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3283</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3283</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2649</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773</v>
      </c>
      <c r="C37" t="s">
        <v>774</v>
      </c>
      <c r="D37" s="3">
        <f t="shared" si="0"/>
        <v>55</v>
      </c>
      <c r="E37" s="56"/>
      <c r="G37" s="8" t="s">
        <v>1473</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constants'!$B$4:$C$1012,2,FALSE),"")</f>
        <v>Included in base game</v>
      </c>
      <c r="V37" s="33" t="s">
        <v>3280</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3280</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2649</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775</v>
      </c>
      <c r="C38" t="s">
        <v>2546</v>
      </c>
      <c r="D38" s="3">
        <f t="shared" si="0"/>
        <v>56</v>
      </c>
      <c r="E38" s="56"/>
      <c r="G38" s="8" t="s">
        <v>1476</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constants'!$B$4:$C$1012,2,FALSE),"")</f>
        <v>Included in base game</v>
      </c>
      <c r="V38" s="33" t="s">
        <v>1554</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1555</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1556</v>
      </c>
      <c r="AI38" s="41"/>
      <c r="AJ38" s="41"/>
      <c r="AK38" s="3">
        <f>IF(AND(G38&lt;&gt;"LIBSETS_SETTYPE_BATTLEGROUND",G38&lt;&gt;"LIBSETS_SETTYPE_SPECIAL"),IF(AL38&lt;&gt;"",VLOOKUP(AL38,'ESO zone constants'!$D$5:$H$4955,5,FALSE),""),"")</f>
        <v>101</v>
      </c>
      <c r="AL38" t="s">
        <v>110</v>
      </c>
      <c r="AM38" s="33" t="s">
        <v>1557</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2649</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776</v>
      </c>
      <c r="C39" t="s">
        <v>2547</v>
      </c>
      <c r="D39" s="3">
        <f t="shared" si="0"/>
        <v>57</v>
      </c>
      <c r="E39" s="56"/>
      <c r="G39" s="8" t="s">
        <v>1476</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constants'!$B$4:$C$1012,2,FALSE),"")</f>
        <v>Included in base game</v>
      </c>
      <c r="V39" s="33" t="s">
        <v>1554</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1555</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1556</v>
      </c>
      <c r="AI39" s="41"/>
      <c r="AJ39" s="41"/>
      <c r="AK39" s="3">
        <f>IF(AND(G39&lt;&gt;"LIBSETS_SETTYPE_BATTLEGROUND",G39&lt;&gt;"LIBSETS_SETTYPE_SPECIAL"),IF(AL39&lt;&gt;"",VLOOKUP(AL39,'ESO zone constants'!$D$5:$H$4955,5,FALSE),""),"")</f>
        <v>383</v>
      </c>
      <c r="AL39" t="s">
        <v>264</v>
      </c>
      <c r="AM39" s="33" t="s">
        <v>1557</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2649</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777</v>
      </c>
      <c r="C40" t="s">
        <v>778</v>
      </c>
      <c r="D40" s="3">
        <f t="shared" si="0"/>
        <v>58</v>
      </c>
      <c r="E40" s="56"/>
      <c r="G40" s="8" t="s">
        <v>1476</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constants'!$B$4:$C$1012,2,FALSE),"")</f>
        <v>Included in base game</v>
      </c>
      <c r="V40" s="33" t="s">
        <v>1554</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1555</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1556</v>
      </c>
      <c r="AI40" s="41"/>
      <c r="AJ40" s="41"/>
      <c r="AK40" s="3">
        <f>IF(AND(G40&lt;&gt;"LIBSETS_SETTYPE_BATTLEGROUND",G40&lt;&gt;"LIBSETS_SETTYPE_SPECIAL"),IF(AL40&lt;&gt;"",VLOOKUP(AL40,'ESO zone constants'!$D$5:$H$4955,5,FALSE),""),"")</f>
        <v>3</v>
      </c>
      <c r="AL40" t="s">
        <v>103</v>
      </c>
      <c r="AM40" s="33" t="s">
        <v>1557</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2649</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779</v>
      </c>
      <c r="C41" t="s">
        <v>2548</v>
      </c>
      <c r="D41" s="3">
        <f t="shared" si="0"/>
        <v>59</v>
      </c>
      <c r="E41" s="56"/>
      <c r="G41" s="8" t="s">
        <v>1471</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constants'!$B$4:$C$1012,2,FALSE),"")</f>
        <v>Included in base game</v>
      </c>
      <c r="V41" s="33" t="s">
        <v>1527</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3728</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2760</v>
      </c>
      <c r="AK41" s="3">
        <f>IF(AND(G41&lt;&gt;"LIBSETS_SETTYPE_BATTLEGROUND",G41&lt;&gt;"LIBSETS_SETTYPE_SPECIAL"),IF(AL41&lt;&gt;"",VLOOKUP(AL41,'ESO zone constants'!$D$5:$H$4955,5,FALSE),""),"")</f>
        <v>181</v>
      </c>
      <c r="AL41" t="s">
        <v>125</v>
      </c>
      <c r="AM41" s="33" t="s">
        <v>3731</v>
      </c>
      <c r="AP41" s="3">
        <f>IF(AND(G41&lt;&gt;"LIBSETS_SETTYPE_BATTLEGROUND",G41&lt;&gt;"LIBSETS_SETTYPE_SPECIAL"),IF(AQ41&lt;&gt;"",VLOOKUP(AQ41,'ESO zone constants'!$D$5:$H$4955,5,FALSE),""),"")</f>
        <v>181</v>
      </c>
      <c r="AQ41" t="s">
        <v>125</v>
      </c>
      <c r="AR41" s="33" t="s">
        <v>1554</v>
      </c>
      <c r="AU41" s="3">
        <f>IF(AND(G41&lt;&gt;"LIBSETS_SETTYPE_BATTLEGROUND",G41&lt;&gt;"LIBSETS_SETTYPE_SPECIAL"),IF(AV41&lt;&gt;"",VLOOKUP(AV41,'ESO zone constants'!$D$5:$H$4955,5,FALSE),""),"")</f>
        <v>181</v>
      </c>
      <c r="AV41" t="s">
        <v>125</v>
      </c>
      <c r="AW41" s="33" t="s">
        <v>3231</v>
      </c>
      <c r="AZ41" s="78" t="s">
        <v>2649</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780</v>
      </c>
      <c r="C42" t="s">
        <v>781</v>
      </c>
      <c r="D42" s="3">
        <f t="shared" si="0"/>
        <v>60</v>
      </c>
      <c r="E42" s="56"/>
      <c r="G42" s="8" t="s">
        <v>1476</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constants'!$B$4:$C$1012,2,FALSE),"")</f>
        <v>Included in base game</v>
      </c>
      <c r="V42" s="33" t="s">
        <v>1554</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1555</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1556</v>
      </c>
      <c r="AI42" s="41"/>
      <c r="AJ42" s="41"/>
      <c r="AK42" s="3">
        <f>IF(AND(G42&lt;&gt;"LIBSETS_SETTYPE_BATTLEGROUND",G42&lt;&gt;"LIBSETS_SETTYPE_SPECIAL"),IF(AL42&lt;&gt;"",VLOOKUP(AL42,'ESO zone constants'!$D$5:$H$4955,5,FALSE),""),"")</f>
        <v>20</v>
      </c>
      <c r="AL42" t="s">
        <v>105</v>
      </c>
      <c r="AM42" s="33" t="s">
        <v>1557</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2650</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782</v>
      </c>
      <c r="C43" t="s">
        <v>783</v>
      </c>
      <c r="D43" s="3">
        <f t="shared" si="0"/>
        <v>61</v>
      </c>
      <c r="E43" s="56"/>
      <c r="G43" s="8" t="s">
        <v>1473</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constants'!$B$4:$C$1012,2,FALSE),"")</f>
        <v>Included in base game</v>
      </c>
      <c r="V43" s="33" t="s">
        <v>3280</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3280</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2649</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784</v>
      </c>
      <c r="C44" t="s">
        <v>2549</v>
      </c>
      <c r="D44" s="3">
        <f t="shared" si="0"/>
        <v>62</v>
      </c>
      <c r="E44" s="56"/>
      <c r="G44" s="8" t="s">
        <v>1476</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constants'!$B$4:$C$1012,2,FALSE),"")</f>
        <v>Included in base game</v>
      </c>
      <c r="V44" s="33" t="s">
        <v>1554</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1555</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1556</v>
      </c>
      <c r="AI44" s="41"/>
      <c r="AJ44" s="41"/>
      <c r="AK44" s="3">
        <f>IF(AND(G44&lt;&gt;"LIBSETS_SETTYPE_BATTLEGROUND",G44&lt;&gt;"LIBSETS_SETTYPE_SPECIAL"),IF(AL44&lt;&gt;"",VLOOKUP(AL44,'ESO zone constants'!$D$5:$H$4955,5,FALSE),""),"")</f>
        <v>117</v>
      </c>
      <c r="AL44" t="s">
        <v>114</v>
      </c>
      <c r="AM44" s="33" t="s">
        <v>1557</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2649</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785</v>
      </c>
      <c r="C45" t="s">
        <v>786</v>
      </c>
      <c r="D45" s="3">
        <f t="shared" si="0"/>
        <v>63</v>
      </c>
      <c r="E45" s="56"/>
      <c r="G45" s="8" t="s">
        <v>1471</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constants'!$B$4:$C$1012,2,FALSE),"")</f>
        <v>Included in base game</v>
      </c>
      <c r="V45" s="33" t="s">
        <v>1529</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3728</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2760</v>
      </c>
      <c r="AK45" s="3">
        <f>IF(AND(G45&lt;&gt;"LIBSETS_SETTYPE_BATTLEGROUND",G45&lt;&gt;"LIBSETS_SETTYPE_SPECIAL"),IF(AL45&lt;&gt;"",VLOOKUP(AL45,'ESO zone constants'!$D$5:$H$4955,5,FALSE),""),"")</f>
        <v>181</v>
      </c>
      <c r="AL45" t="s">
        <v>125</v>
      </c>
      <c r="AM45" s="33" t="s">
        <v>3731</v>
      </c>
      <c r="AP45" s="3">
        <f>IF(AND(G45&lt;&gt;"LIBSETS_SETTYPE_BATTLEGROUND",G45&lt;&gt;"LIBSETS_SETTYPE_SPECIAL"),IF(AQ45&lt;&gt;"",VLOOKUP(AQ45,'ESO zone constants'!$D$5:$H$4955,5,FALSE),""),"")</f>
        <v>181</v>
      </c>
      <c r="AQ45" t="s">
        <v>125</v>
      </c>
      <c r="AR45" s="33" t="s">
        <v>1554</v>
      </c>
      <c r="AU45" s="3">
        <f>IF(AND(G45&lt;&gt;"LIBSETS_SETTYPE_BATTLEGROUND",G45&lt;&gt;"LIBSETS_SETTYPE_SPECIAL"),IF(AV45&lt;&gt;"",VLOOKUP(AV45,'ESO zone constants'!$D$5:$H$4955,5,FALSE),""),"")</f>
        <v>181</v>
      </c>
      <c r="AV45" t="s">
        <v>125</v>
      </c>
      <c r="AW45" s="33" t="s">
        <v>3231</v>
      </c>
      <c r="AZ45" s="78" t="s">
        <v>2649</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787</v>
      </c>
      <c r="C46" t="s">
        <v>2550</v>
      </c>
      <c r="D46" s="3">
        <f t="shared" si="0"/>
        <v>64</v>
      </c>
      <c r="E46" s="56"/>
      <c r="G46" s="8" t="s">
        <v>1476</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constants'!$B$4:$C$1012,2,FALSE),"")</f>
        <v>Included in base game</v>
      </c>
      <c r="V46" s="33" t="s">
        <v>1554</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1555</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1556</v>
      </c>
      <c r="AI46" s="41"/>
      <c r="AJ46" s="41"/>
      <c r="AK46" s="3">
        <f>IF(AND(G46&lt;&gt;"LIBSETS_SETTYPE_BATTLEGROUND",G46&lt;&gt;"LIBSETS_SETTYPE_SPECIAL"),IF(AL46&lt;&gt;"",VLOOKUP(AL46,'ESO zone constants'!$D$5:$H$4955,5,FALSE),""),"")</f>
        <v>108</v>
      </c>
      <c r="AL46" t="s">
        <v>113</v>
      </c>
      <c r="AM46" s="33" t="s">
        <v>1557</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2649</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788</v>
      </c>
      <c r="C47" t="s">
        <v>2551</v>
      </c>
      <c r="D47" s="3">
        <f t="shared" si="0"/>
        <v>65</v>
      </c>
      <c r="E47" s="56"/>
      <c r="G47" s="8" t="s">
        <v>1476</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constants'!$B$4:$C$1012,2,FALSE),"")</f>
        <v>Included in base game</v>
      </c>
      <c r="V47" s="33" t="s">
        <v>1554</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1555</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1556</v>
      </c>
      <c r="AI47" s="41"/>
      <c r="AJ47" s="41"/>
      <c r="AK47" s="3">
        <f>IF(AND(G47&lt;&gt;"LIBSETS_SETTYPE_BATTLEGROUND",G47&lt;&gt;"LIBSETS_SETTYPE_SPECIAL"),IF(AL47&lt;&gt;"",VLOOKUP(AL47,'ESO zone constants'!$D$5:$H$4955,5,FALSE),""),"")</f>
        <v>3</v>
      </c>
      <c r="AL47" t="s">
        <v>103</v>
      </c>
      <c r="AM47" s="33" t="s">
        <v>1557</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2649</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789</v>
      </c>
      <c r="C48" t="s">
        <v>790</v>
      </c>
      <c r="D48" s="3">
        <f t="shared" si="0"/>
        <v>66</v>
      </c>
      <c r="E48" s="56"/>
      <c r="G48" s="8" t="s">
        <v>1476</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constants'!$B$4:$C$1012,2,FALSE),"")</f>
        <v>Included in base game</v>
      </c>
      <c r="V48" s="33" t="s">
        <v>1554</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1555</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1556</v>
      </c>
      <c r="AI48" s="41"/>
      <c r="AJ48" s="41"/>
      <c r="AK48" s="3">
        <f>IF(AND(G48&lt;&gt;"LIBSETS_SETTYPE_BATTLEGROUND",G48&lt;&gt;"LIBSETS_SETTYPE_SPECIAL"),IF(AL48&lt;&gt;"",VLOOKUP(AL48,'ESO zone constants'!$D$5:$H$4955,5,FALSE),""),"")</f>
        <v>117</v>
      </c>
      <c r="AL48" t="s">
        <v>114</v>
      </c>
      <c r="AM48" s="33" t="s">
        <v>1557</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2649</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791</v>
      </c>
      <c r="C49" t="s">
        <v>792</v>
      </c>
      <c r="D49" s="3">
        <f t="shared" si="0"/>
        <v>67</v>
      </c>
      <c r="E49" s="56"/>
      <c r="G49" s="8" t="s">
        <v>1471</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constants'!$B$4:$C$1012,2,FALSE),"")</f>
        <v>Included in base game</v>
      </c>
      <c r="V49" s="33" t="s">
        <v>1527</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3728</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2760</v>
      </c>
      <c r="AK49" s="3">
        <f>IF(AND(G49&lt;&gt;"LIBSETS_SETTYPE_BATTLEGROUND",G49&lt;&gt;"LIBSETS_SETTYPE_SPECIAL"),IF(AL49&lt;&gt;"",VLOOKUP(AL49,'ESO zone constants'!$D$5:$H$4955,5,FALSE),""),"")</f>
        <v>181</v>
      </c>
      <c r="AL49" t="s">
        <v>125</v>
      </c>
      <c r="AM49" s="33" t="s">
        <v>3731</v>
      </c>
      <c r="AP49" s="3">
        <f>IF(AND(G49&lt;&gt;"LIBSETS_SETTYPE_BATTLEGROUND",G49&lt;&gt;"LIBSETS_SETTYPE_SPECIAL"),IF(AQ49&lt;&gt;"",VLOOKUP(AQ49,'ESO zone constants'!$D$5:$H$4955,5,FALSE),""),"")</f>
        <v>181</v>
      </c>
      <c r="AQ49" t="s">
        <v>125</v>
      </c>
      <c r="AR49" s="33" t="s">
        <v>1554</v>
      </c>
      <c r="AU49" s="3">
        <f>IF(AND(G49&lt;&gt;"LIBSETS_SETTYPE_BATTLEGROUND",G49&lt;&gt;"LIBSETS_SETTYPE_SPECIAL"),IF(AV49&lt;&gt;"",VLOOKUP(AV49,'ESO zone constants'!$D$5:$H$4955,5,FALSE),""),"")</f>
        <v>181</v>
      </c>
      <c r="AV49" t="s">
        <v>125</v>
      </c>
      <c r="AW49" s="33" t="s">
        <v>3231</v>
      </c>
      <c r="AZ49" s="78" t="s">
        <v>2649</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793</v>
      </c>
      <c r="C50" t="s">
        <v>794</v>
      </c>
      <c r="D50" s="3">
        <f t="shared" si="0"/>
        <v>68</v>
      </c>
      <c r="E50" s="56"/>
      <c r="G50" s="8" t="s">
        <v>1476</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constants'!$B$4:$C$1012,2,FALSE),"")</f>
        <v>Included in base game</v>
      </c>
      <c r="V50" s="33" t="s">
        <v>1554</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1555</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1556</v>
      </c>
      <c r="AI50" s="41"/>
      <c r="AJ50" s="41"/>
      <c r="AK50" s="3">
        <f>IF(AND(G50&lt;&gt;"LIBSETS_SETTYPE_BATTLEGROUND",G50&lt;&gt;"LIBSETS_SETTYPE_SPECIAL"),IF(AL50&lt;&gt;"",VLOOKUP(AL50,'ESO zone constants'!$D$5:$H$4955,5,FALSE),""),"")</f>
        <v>347</v>
      </c>
      <c r="AL50" t="s">
        <v>239</v>
      </c>
      <c r="AM50" s="33" t="s">
        <v>1557</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2649</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795</v>
      </c>
      <c r="C51" t="s">
        <v>2552</v>
      </c>
      <c r="D51" s="3">
        <f t="shared" si="0"/>
        <v>69</v>
      </c>
      <c r="E51" s="56"/>
      <c r="G51" s="8" t="s">
        <v>1476</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constants'!$B$4:$C$1012,2,FALSE),"")</f>
        <v>Included in base game</v>
      </c>
      <c r="V51" s="33" t="s">
        <v>1554</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1555</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1556</v>
      </c>
      <c r="AI51" s="41"/>
      <c r="AJ51" s="41"/>
      <c r="AK51" s="3">
        <f>IF(AND(G51&lt;&gt;"LIBSETS_SETTYPE_BATTLEGROUND",G51&lt;&gt;"LIBSETS_SETTYPE_SPECIAL"),IF(AL51&lt;&gt;"",VLOOKUP(AL51,'ESO zone constants'!$D$5:$H$4955,5,FALSE),""),"")</f>
        <v>383</v>
      </c>
      <c r="AL51" t="s">
        <v>264</v>
      </c>
      <c r="AM51" s="33" t="s">
        <v>1557</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2650</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796</v>
      </c>
      <c r="C52" t="s">
        <v>797</v>
      </c>
      <c r="D52" s="3">
        <f t="shared" si="0"/>
        <v>70</v>
      </c>
      <c r="E52" s="56"/>
      <c r="G52" s="8" t="s">
        <v>1476</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constants'!$B$4:$C$1012,2,FALSE),"")</f>
        <v>Included in base game</v>
      </c>
      <c r="V52" s="33" t="s">
        <v>1554</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1555</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1556</v>
      </c>
      <c r="AI52" s="41"/>
      <c r="AJ52" s="41"/>
      <c r="AK52" s="3">
        <f>IF(AND(G52&lt;&gt;"LIBSETS_SETTYPE_BATTLEGROUND",G52&lt;&gt;"LIBSETS_SETTYPE_SPECIAL"),IF(AL52&lt;&gt;"",VLOOKUP(AL52,'ESO zone constants'!$D$5:$H$4955,5,FALSE),""),"")</f>
        <v>92</v>
      </c>
      <c r="AL52" t="s">
        <v>109</v>
      </c>
      <c r="AM52" s="33" t="s">
        <v>1557</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2649</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798</v>
      </c>
      <c r="C53" t="s">
        <v>2553</v>
      </c>
      <c r="D53" s="3">
        <f t="shared" si="0"/>
        <v>71</v>
      </c>
      <c r="E53" s="56"/>
      <c r="G53" s="8" t="s">
        <v>1473</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constants'!$B$4:$C$1012,2,FALSE),"")</f>
        <v>Included in base game</v>
      </c>
      <c r="V53" s="33" t="s">
        <v>3280</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2649</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799</v>
      </c>
      <c r="C54" t="s">
        <v>2554</v>
      </c>
      <c r="D54" s="3">
        <f t="shared" si="0"/>
        <v>72</v>
      </c>
      <c r="E54" s="56"/>
      <c r="G54" s="8" t="s">
        <v>1473</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constants'!$B$4:$C$1012,2,FALSE),"")</f>
        <v>Included in base game</v>
      </c>
      <c r="V54" s="33" t="s">
        <v>3280</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2649</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800</v>
      </c>
      <c r="C55" t="s">
        <v>2555</v>
      </c>
      <c r="D55" s="3">
        <f t="shared" si="0"/>
        <v>73</v>
      </c>
      <c r="E55" s="56"/>
      <c r="G55" s="8" t="s">
        <v>1470</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constants'!$B$4:$C$1012,2,FALSE),"")</f>
        <v>Included in base game</v>
      </c>
      <c r="V55" s="33" t="s">
        <v>3283</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3283</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2649</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801</v>
      </c>
      <c r="C56" t="s">
        <v>2556</v>
      </c>
      <c r="D56" s="3">
        <f t="shared" si="0"/>
        <v>74</v>
      </c>
      <c r="E56" s="56"/>
      <c r="G56" s="8" t="s">
        <v>1470</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constants'!$B$4:$C$1012,2,FALSE),"")</f>
        <v>Included in base game</v>
      </c>
      <c r="V56" s="33" t="s">
        <v>3283</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3283</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2649</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802</v>
      </c>
      <c r="C57" t="s">
        <v>2557</v>
      </c>
      <c r="D57" s="3">
        <f t="shared" si="0"/>
        <v>75</v>
      </c>
      <c r="E57" s="56"/>
      <c r="G57" s="8" t="s">
        <v>1470</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constants'!$B$4:$C$1012,2,FALSE),"")</f>
        <v>Included in base game</v>
      </c>
      <c r="V57" s="33" t="s">
        <v>3283</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3283</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3283</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2650</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803</v>
      </c>
      <c r="C58" t="s">
        <v>804</v>
      </c>
      <c r="D58" s="3">
        <f t="shared" si="0"/>
        <v>76</v>
      </c>
      <c r="E58" s="56"/>
      <c r="G58" s="8" t="s">
        <v>1471</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constants'!$B$4:$C$1012,2,FALSE),"")</f>
        <v>Included in base game</v>
      </c>
      <c r="V58" s="33" t="s">
        <v>2765</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3728</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2760</v>
      </c>
      <c r="AK58" s="3">
        <f>IF(AND(G58&lt;&gt;"LIBSETS_SETTYPE_BATTLEGROUND",G58&lt;&gt;"LIBSETS_SETTYPE_SPECIAL"),IF(AL58&lt;&gt;"",VLOOKUP(AL58,'ESO zone constants'!$D$5:$H$4955,5,FALSE),""),"")</f>
        <v>181</v>
      </c>
      <c r="AL58" t="s">
        <v>125</v>
      </c>
      <c r="AM58" s="33" t="s">
        <v>3731</v>
      </c>
      <c r="AP58" s="3">
        <f>IF(AND(G58&lt;&gt;"LIBSETS_SETTYPE_BATTLEGROUND",G58&lt;&gt;"LIBSETS_SETTYPE_SPECIAL"),IF(AQ58&lt;&gt;"",VLOOKUP(AQ58,'ESO zone constants'!$D$5:$H$4955,5,FALSE),""),"")</f>
        <v>181</v>
      </c>
      <c r="AQ58" t="s">
        <v>125</v>
      </c>
      <c r="AR58" s="33" t="s">
        <v>1554</v>
      </c>
      <c r="AU58" s="3">
        <f>IF(AND(G58&lt;&gt;"LIBSETS_SETTYPE_BATTLEGROUND",G58&lt;&gt;"LIBSETS_SETTYPE_SPECIAL"),IF(AV58&lt;&gt;"",VLOOKUP(AV58,'ESO zone constants'!$D$5:$H$4955,5,FALSE),""),"")</f>
        <v>181</v>
      </c>
      <c r="AV58" t="s">
        <v>125</v>
      </c>
      <c r="AW58" s="33" t="s">
        <v>3231</v>
      </c>
      <c r="AZ58" s="78" t="s">
        <v>2650</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805</v>
      </c>
      <c r="C59" t="s">
        <v>806</v>
      </c>
      <c r="D59" s="3">
        <f t="shared" si="0"/>
        <v>77</v>
      </c>
      <c r="E59" s="56"/>
      <c r="G59" s="8" t="s">
        <v>1473</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constants'!$B$4:$C$1012,2,FALSE),"")</f>
        <v>Included in base game</v>
      </c>
      <c r="V59" s="33" t="s">
        <v>3280</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2649</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807</v>
      </c>
      <c r="C60" t="s">
        <v>808</v>
      </c>
      <c r="D60" s="3">
        <f t="shared" si="0"/>
        <v>78</v>
      </c>
      <c r="E60" s="56"/>
      <c r="G60" s="8" t="s">
        <v>1470</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constants'!$B$4:$C$1012,2,FALSE),"")</f>
        <v>Included in base game</v>
      </c>
      <c r="V60" s="33" t="s">
        <v>3283</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3283</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3283</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2649</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809</v>
      </c>
      <c r="C61" t="s">
        <v>2558</v>
      </c>
      <c r="D61" s="3">
        <f t="shared" si="0"/>
        <v>79</v>
      </c>
      <c r="E61" s="56"/>
      <c r="G61" s="8" t="s">
        <v>1470</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constants'!$B$4:$C$1012,2,FALSE),"")</f>
        <v>Included in base game</v>
      </c>
      <c r="V61" s="33" t="s">
        <v>3283</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3283</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3283</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2650</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810</v>
      </c>
      <c r="C62" t="s">
        <v>2559</v>
      </c>
      <c r="D62" s="3">
        <f t="shared" si="0"/>
        <v>80</v>
      </c>
      <c r="E62" s="56"/>
      <c r="G62" s="8" t="s">
        <v>1470</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constants'!$B$4:$C$1012,2,FALSE),"")</f>
        <v>Included in base game</v>
      </c>
      <c r="V62" s="33" t="s">
        <v>3283</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3283</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3283</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2649</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811</v>
      </c>
      <c r="C63" t="s">
        <v>812</v>
      </c>
      <c r="D63" s="3">
        <f t="shared" si="0"/>
        <v>81</v>
      </c>
      <c r="G63" s="8" t="s">
        <v>1470</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constants'!$B$4:$C$1012,2,FALSE),"")</f>
        <v>Included in base game</v>
      </c>
      <c r="V63" s="33" t="s">
        <v>3283</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3283</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3283</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2649</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813</v>
      </c>
      <c r="C64" t="s">
        <v>2560</v>
      </c>
      <c r="D64" s="3">
        <f t="shared" si="0"/>
        <v>82</v>
      </c>
      <c r="G64" s="8" t="s">
        <v>1470</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constants'!$B$4:$C$1012,2,FALSE),"")</f>
        <v>Included in base game</v>
      </c>
      <c r="V64" s="33" t="s">
        <v>3283</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3283</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3283</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2649</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814</v>
      </c>
      <c r="C65" t="s">
        <v>815</v>
      </c>
      <c r="D65" s="3">
        <f t="shared" si="0"/>
        <v>83</v>
      </c>
      <c r="E65" s="40"/>
      <c r="G65" s="8" t="s">
        <v>1471</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constants'!$B$4:$C$1012,2,FALSE),"")</f>
        <v>Included in base game</v>
      </c>
      <c r="V65" s="33" t="s">
        <v>1529</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3728</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2760</v>
      </c>
      <c r="AK65" s="3">
        <f>IF(AND(G65&lt;&gt;"LIBSETS_SETTYPE_BATTLEGROUND",G65&lt;&gt;"LIBSETS_SETTYPE_SPECIAL"),IF(AL65&lt;&gt;"",VLOOKUP(AL65,'ESO zone constants'!$D$5:$H$4955,5,FALSE),""),"")</f>
        <v>181</v>
      </c>
      <c r="AL65" t="s">
        <v>125</v>
      </c>
      <c r="AM65" s="33" t="s">
        <v>3731</v>
      </c>
      <c r="AP65" s="3">
        <f>IF(AND(G65&lt;&gt;"LIBSETS_SETTYPE_BATTLEGROUND",G65&lt;&gt;"LIBSETS_SETTYPE_SPECIAL"),IF(AQ65&lt;&gt;"",VLOOKUP(AQ65,'ESO zone constants'!$D$5:$H$4955,5,FALSE),""),"")</f>
        <v>181</v>
      </c>
      <c r="AQ65" t="s">
        <v>125</v>
      </c>
      <c r="AR65" s="33" t="s">
        <v>1554</v>
      </c>
      <c r="AU65" s="3">
        <f>IF(AND(G65&lt;&gt;"LIBSETS_SETTYPE_BATTLEGROUND",G65&lt;&gt;"LIBSETS_SETTYPE_SPECIAL"),IF(AV65&lt;&gt;"",VLOOKUP(AV65,'ESO zone constants'!$D$5:$H$4955,5,FALSE),""),"")</f>
        <v>181</v>
      </c>
      <c r="AV65" t="s">
        <v>125</v>
      </c>
      <c r="AW65" s="33" t="s">
        <v>3231</v>
      </c>
      <c r="AZ65" s="78" t="s">
        <v>2650</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816</v>
      </c>
      <c r="C66" t="s">
        <v>2561</v>
      </c>
      <c r="D66" s="3">
        <f t="shared" si="0"/>
        <v>84</v>
      </c>
      <c r="G66" s="8" t="s">
        <v>1470</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constants'!$B$4:$C$1012,2,FALSE),"")</f>
        <v>Included in base game</v>
      </c>
      <c r="V66" s="33" t="s">
        <v>3283</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3283</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2650</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817</v>
      </c>
      <c r="C67" t="s">
        <v>2562</v>
      </c>
      <c r="D67" s="3">
        <f t="shared" ref="D67:D130" si="10">A67</f>
        <v>85</v>
      </c>
      <c r="G67" s="8" t="s">
        <v>1471</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constants'!$B$4:$C$1012,2,FALSE),"")</f>
        <v>Included in base game</v>
      </c>
      <c r="V67" s="33" t="s">
        <v>2765</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3728</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2760</v>
      </c>
      <c r="AK67" s="3">
        <f>IF(AND(G67&lt;&gt;"LIBSETS_SETTYPE_BATTLEGROUND",G67&lt;&gt;"LIBSETS_SETTYPE_SPECIAL"),IF(AL67&lt;&gt;"",VLOOKUP(AL67,'ESO zone constants'!$D$5:$H$4955,5,FALSE),""),"")</f>
        <v>181</v>
      </c>
      <c r="AL67" t="s">
        <v>125</v>
      </c>
      <c r="AM67" s="33" t="s">
        <v>3731</v>
      </c>
      <c r="AP67" s="3">
        <f>IF(AND(G67&lt;&gt;"LIBSETS_SETTYPE_BATTLEGROUND",G67&lt;&gt;"LIBSETS_SETTYPE_SPECIAL"),IF(AQ67&lt;&gt;"",VLOOKUP(AQ67,'ESO zone constants'!$D$5:$H$4955,5,FALSE),""),"")</f>
        <v>181</v>
      </c>
      <c r="AQ67" t="s">
        <v>125</v>
      </c>
      <c r="AR67" s="33" t="s">
        <v>1554</v>
      </c>
      <c r="AU67" s="3">
        <f>IF(AND(G67&lt;&gt;"LIBSETS_SETTYPE_BATTLEGROUND",G67&lt;&gt;"LIBSETS_SETTYPE_SPECIAL"),IF(AV67&lt;&gt;"",VLOOKUP(AV67,'ESO zone constants'!$D$5:$H$4955,5,FALSE),""),"")</f>
        <v>181</v>
      </c>
      <c r="AV67" t="s">
        <v>125</v>
      </c>
      <c r="AW67" s="33" t="s">
        <v>3231</v>
      </c>
      <c r="AZ67" s="78" t="s">
        <v>2649</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818</v>
      </c>
      <c r="C68" t="s">
        <v>2563</v>
      </c>
      <c r="D68" s="3">
        <f t="shared" si="10"/>
        <v>86</v>
      </c>
      <c r="G68" s="8" t="s">
        <v>1476</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constants'!$B$4:$C$1012,2,FALSE),"")</f>
        <v>Included in base game</v>
      </c>
      <c r="V68" s="33" t="s">
        <v>1554</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1555</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1556</v>
      </c>
      <c r="AI68" s="41"/>
      <c r="AJ68" s="41"/>
      <c r="AK68" s="3">
        <f>IF(AND(G68&lt;&gt;"LIBSETS_SETTYPE_BATTLEGROUND",G68&lt;&gt;"LIBSETS_SETTYPE_SPECIAL"),IF(AL68&lt;&gt;"",VLOOKUP(AL68,'ESO zone constants'!$D$5:$H$4955,5,FALSE),""),"")</f>
        <v>381</v>
      </c>
      <c r="AL68" t="s">
        <v>262</v>
      </c>
      <c r="AM68" s="33" t="s">
        <v>1557</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2649</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819</v>
      </c>
      <c r="C69" t="s">
        <v>820</v>
      </c>
      <c r="D69" s="3">
        <f t="shared" si="10"/>
        <v>87</v>
      </c>
      <c r="G69" s="8" t="s">
        <v>1470</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constants'!$B$4:$C$1012,2,FALSE),"")</f>
        <v>Included in base game</v>
      </c>
      <c r="V69" s="33" t="s">
        <v>3283</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3283</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2650</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821</v>
      </c>
      <c r="C70" t="s">
        <v>822</v>
      </c>
      <c r="D70" s="3">
        <f t="shared" si="10"/>
        <v>88</v>
      </c>
      <c r="G70" s="8" t="s">
        <v>1468</v>
      </c>
      <c r="I70" t="s">
        <v>91</v>
      </c>
      <c r="J70" t="s">
        <v>91</v>
      </c>
      <c r="K70">
        <v>270</v>
      </c>
      <c r="L70">
        <v>270</v>
      </c>
      <c r="M70">
        <v>270</v>
      </c>
      <c r="O70" s="61" t="s">
        <v>439</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constants'!$B$4:$C$1012,2,FALSE),"")</f>
        <v>Clockwork City</v>
      </c>
      <c r="V70" s="33" t="s">
        <v>1550</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1550</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2650</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823</v>
      </c>
      <c r="C71" t="s">
        <v>824</v>
      </c>
      <c r="D71" s="3">
        <f t="shared" si="10"/>
        <v>89</v>
      </c>
      <c r="G71" s="8" t="s">
        <v>1471</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constants'!$B$4:$C$1012,2,FALSE),"")</f>
        <v>Included in base game</v>
      </c>
      <c r="V71" s="33" t="s">
        <v>1527</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3728</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2760</v>
      </c>
      <c r="AK71" s="3">
        <f>IF(AND(G71&lt;&gt;"LIBSETS_SETTYPE_BATTLEGROUND",G71&lt;&gt;"LIBSETS_SETTYPE_SPECIAL"),IF(AL71&lt;&gt;"",VLOOKUP(AL71,'ESO zone constants'!$D$5:$H$4955,5,FALSE),""),"")</f>
        <v>181</v>
      </c>
      <c r="AL71" t="s">
        <v>125</v>
      </c>
      <c r="AM71" s="33" t="s">
        <v>3731</v>
      </c>
      <c r="AP71" s="3">
        <f>IF(AND(G71&lt;&gt;"LIBSETS_SETTYPE_BATTLEGROUND",G71&lt;&gt;"LIBSETS_SETTYPE_SPECIAL"),IF(AQ71&lt;&gt;"",VLOOKUP(AQ71,'ESO zone constants'!$D$5:$H$4955,5,FALSE),""),"")</f>
        <v>181</v>
      </c>
      <c r="AQ71" t="s">
        <v>125</v>
      </c>
      <c r="AR71" s="33" t="s">
        <v>1554</v>
      </c>
      <c r="AU71" s="3">
        <f>IF(AND(G71&lt;&gt;"LIBSETS_SETTYPE_BATTLEGROUND",G71&lt;&gt;"LIBSETS_SETTYPE_SPECIAL"),IF(AV71&lt;&gt;"",VLOOKUP(AV71,'ESO zone constants'!$D$5:$H$4955,5,FALSE),""),"")</f>
        <v>181</v>
      </c>
      <c r="AV71" t="s">
        <v>125</v>
      </c>
      <c r="AW71" s="33" t="s">
        <v>3231</v>
      </c>
      <c r="AZ71" s="78" t="s">
        <v>2649</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825</v>
      </c>
      <c r="C72" t="s">
        <v>2564</v>
      </c>
      <c r="D72" s="3">
        <f t="shared" si="10"/>
        <v>90</v>
      </c>
      <c r="G72" s="8" t="s">
        <v>1476</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constants'!$B$4:$C$1012,2,FALSE),"")</f>
        <v>Included in base game</v>
      </c>
      <c r="V72" s="33" t="s">
        <v>1554</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1555</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1556</v>
      </c>
      <c r="AI72" s="41"/>
      <c r="AJ72" s="41"/>
      <c r="AK72" s="3">
        <f>IF(AND(G72&lt;&gt;"LIBSETS_SETTYPE_BATTLEGROUND",G72&lt;&gt;"LIBSETS_SETTYPE_SPECIAL"),IF(AL72&lt;&gt;"",VLOOKUP(AL72,'ESO zone constants'!$D$5:$H$4955,5,FALSE),""),"")</f>
        <v>382</v>
      </c>
      <c r="AL72" t="s">
        <v>263</v>
      </c>
      <c r="AM72" s="33" t="s">
        <v>1557</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2649</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826</v>
      </c>
      <c r="C73" t="s">
        <v>2565</v>
      </c>
      <c r="D73" s="3">
        <f t="shared" si="10"/>
        <v>91</v>
      </c>
      <c r="G73" s="8" t="s">
        <v>1473</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constants'!$B$4:$C$1012,2,FALSE),"")</f>
        <v>Included in base game</v>
      </c>
      <c r="V73" s="33" t="s">
        <v>3280</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2649</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827</v>
      </c>
      <c r="C74" t="s">
        <v>2566</v>
      </c>
      <c r="D74" s="3">
        <f t="shared" si="10"/>
        <v>92</v>
      </c>
      <c r="G74" s="8" t="s">
        <v>1470</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constants'!$B$4:$C$1012,2,FALSE),"")</f>
        <v>Included in base game</v>
      </c>
      <c r="V74" s="33" t="s">
        <v>3283</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3283</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2649</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828</v>
      </c>
      <c r="C75" t="s">
        <v>2567</v>
      </c>
      <c r="D75" s="3">
        <f t="shared" si="10"/>
        <v>93</v>
      </c>
      <c r="G75" s="8" t="s">
        <v>1476</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constants'!$B$4:$C$1012,2,FALSE),"")</f>
        <v>Included in base game</v>
      </c>
      <c r="V75" s="33" t="s">
        <v>1554</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1555</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1556</v>
      </c>
      <c r="AI75" s="41"/>
      <c r="AJ75" s="41"/>
      <c r="AK75" s="3">
        <f>IF(AND(G75&lt;&gt;"LIBSETS_SETTYPE_BATTLEGROUND",G75&lt;&gt;"LIBSETS_SETTYPE_SPECIAL"),IF(AL75&lt;&gt;"",VLOOKUP(AL75,'ESO zone constants'!$D$5:$H$4955,5,FALSE),""),"")</f>
        <v>19</v>
      </c>
      <c r="AL75" t="s">
        <v>104</v>
      </c>
      <c r="AM75" s="33" t="s">
        <v>1557</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2649</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829</v>
      </c>
      <c r="C76" t="s">
        <v>2568</v>
      </c>
      <c r="D76" s="3">
        <f t="shared" si="10"/>
        <v>94</v>
      </c>
      <c r="E76" s="40"/>
      <c r="G76" s="8" t="s">
        <v>1476</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constants'!$B$4:$C$1012,2,FALSE),"")</f>
        <v>Included in base game</v>
      </c>
      <c r="V76" s="33" t="s">
        <v>1554</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1555</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1556</v>
      </c>
      <c r="AI76" s="41"/>
      <c r="AJ76" s="41"/>
      <c r="AK76" s="3">
        <f>IF(AND(G76&lt;&gt;"LIBSETS_SETTYPE_BATTLEGROUND",G76&lt;&gt;"LIBSETS_SETTYPE_SPECIAL"),IF(AL76&lt;&gt;"",VLOOKUP(AL76,'ESO zone constants'!$D$5:$H$4955,5,FALSE),""),"")</f>
        <v>347</v>
      </c>
      <c r="AL76" t="s">
        <v>239</v>
      </c>
      <c r="AM76" s="33" t="s">
        <v>1557</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2649</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830</v>
      </c>
      <c r="C77" t="s">
        <v>2569</v>
      </c>
      <c r="D77" s="3">
        <f t="shared" si="10"/>
        <v>95</v>
      </c>
      <c r="G77" s="8" t="s">
        <v>1470</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constants'!$B$4:$C$1012,2,FALSE),"")</f>
        <v>Included in base game</v>
      </c>
      <c r="V77" s="33" t="s">
        <v>3283</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3283</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2649</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831</v>
      </c>
      <c r="C78" t="s">
        <v>832</v>
      </c>
      <c r="D78" s="3">
        <f t="shared" si="10"/>
        <v>96</v>
      </c>
      <c r="G78" s="8" t="s">
        <v>1473</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constants'!$B$4:$C$1012,2,FALSE),"")</f>
        <v>Included in base game</v>
      </c>
      <c r="V78" s="33" t="s">
        <v>3280</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3280</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2649</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833</v>
      </c>
      <c r="C79" t="s">
        <v>834</v>
      </c>
      <c r="D79" s="3">
        <f t="shared" si="10"/>
        <v>97</v>
      </c>
      <c r="G79" s="8" t="s">
        <v>1471</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constants'!$B$4:$C$1012,2,FALSE),"")</f>
        <v>Included in base game</v>
      </c>
      <c r="V79" s="33" t="s">
        <v>2765</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3728</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2760</v>
      </c>
      <c r="AK79" s="3">
        <f>IF(AND(G79&lt;&gt;"LIBSETS_SETTYPE_BATTLEGROUND",G79&lt;&gt;"LIBSETS_SETTYPE_SPECIAL"),IF(AL79&lt;&gt;"",VLOOKUP(AL79,'ESO zone constants'!$D$5:$H$4955,5,FALSE),""),"")</f>
        <v>181</v>
      </c>
      <c r="AL79" t="s">
        <v>125</v>
      </c>
      <c r="AM79" s="33" t="s">
        <v>3731</v>
      </c>
      <c r="AP79" s="3">
        <f>IF(AND(G79&lt;&gt;"LIBSETS_SETTYPE_BATTLEGROUND",G79&lt;&gt;"LIBSETS_SETTYPE_SPECIAL"),IF(AQ79&lt;&gt;"",VLOOKUP(AQ79,'ESO zone constants'!$D$5:$H$4955,5,FALSE),""),"")</f>
        <v>181</v>
      </c>
      <c r="AQ79" t="s">
        <v>125</v>
      </c>
      <c r="AR79" s="33" t="s">
        <v>1554</v>
      </c>
      <c r="AU79" s="3">
        <f>IF(AND(G79&lt;&gt;"LIBSETS_SETTYPE_BATTLEGROUND",G79&lt;&gt;"LIBSETS_SETTYPE_SPECIAL"),IF(AV79&lt;&gt;"",VLOOKUP(AV79,'ESO zone constants'!$D$5:$H$4955,5,FALSE),""),"")</f>
        <v>181</v>
      </c>
      <c r="AV79" t="s">
        <v>125</v>
      </c>
      <c r="AW79" s="33" t="s">
        <v>3231</v>
      </c>
      <c r="AZ79" s="78" t="s">
        <v>2649</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835</v>
      </c>
      <c r="C80" t="s">
        <v>836</v>
      </c>
      <c r="D80" s="3">
        <f t="shared" si="10"/>
        <v>98</v>
      </c>
      <c r="G80" s="8" t="s">
        <v>1476</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constants'!$B$4:$C$1012,2,FALSE),"")</f>
        <v>Included in base game</v>
      </c>
      <c r="V80" s="33" t="s">
        <v>1554</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1555</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1556</v>
      </c>
      <c r="AI80" s="41"/>
      <c r="AJ80" s="41"/>
      <c r="AK80" s="3">
        <f>IF(AND(G80&lt;&gt;"LIBSETS_SETTYPE_BATTLEGROUND",G80&lt;&gt;"LIBSETS_SETTYPE_SPECIAL"),IF(AL80&lt;&gt;"",VLOOKUP(AL80,'ESO zone constants'!$D$5:$H$4955,5,FALSE),""),"")</f>
        <v>20</v>
      </c>
      <c r="AL80" t="s">
        <v>105</v>
      </c>
      <c r="AM80" s="33" t="s">
        <v>1557</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2649</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837</v>
      </c>
      <c r="C81" t="s">
        <v>838</v>
      </c>
      <c r="D81" s="3">
        <f t="shared" si="10"/>
        <v>99</v>
      </c>
      <c r="G81" s="8" t="s">
        <v>1476</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constants'!$B$4:$C$1012,2,FALSE),"")</f>
        <v>Included in base game</v>
      </c>
      <c r="V81" s="33" t="s">
        <v>1554</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1555</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1556</v>
      </c>
      <c r="AI81" s="41"/>
      <c r="AJ81" s="41"/>
      <c r="AK81" s="3">
        <f>IF(AND(G81&lt;&gt;"LIBSETS_SETTYPE_BATTLEGROUND",G81&lt;&gt;"LIBSETS_SETTYPE_SPECIAL"),IF(AL81&lt;&gt;"",VLOOKUP(AL81,'ESO zone constants'!$D$5:$H$4955,5,FALSE),""),"")</f>
        <v>58</v>
      </c>
      <c r="AL81" t="s">
        <v>108</v>
      </c>
      <c r="AM81" s="33" t="s">
        <v>1557</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2650</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839</v>
      </c>
      <c r="C82" t="s">
        <v>2570</v>
      </c>
      <c r="D82" s="3">
        <f t="shared" si="10"/>
        <v>100</v>
      </c>
      <c r="G82" s="8" t="s">
        <v>1471</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constants'!$B$4:$C$1012,2,FALSE),"")</f>
        <v>Included in base game</v>
      </c>
      <c r="V82" s="33" t="s">
        <v>1527</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3728</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2760</v>
      </c>
      <c r="AK82" s="3">
        <f>IF(AND(G82&lt;&gt;"LIBSETS_SETTYPE_BATTLEGROUND",G82&lt;&gt;"LIBSETS_SETTYPE_SPECIAL"),IF(AL82&lt;&gt;"",VLOOKUP(AL82,'ESO zone constants'!$D$5:$H$4955,5,FALSE),""),"")</f>
        <v>181</v>
      </c>
      <c r="AL82" t="s">
        <v>125</v>
      </c>
      <c r="AM82" s="33" t="s">
        <v>3731</v>
      </c>
      <c r="AP82" s="3">
        <f>IF(AND(G82&lt;&gt;"LIBSETS_SETTYPE_BATTLEGROUND",G82&lt;&gt;"LIBSETS_SETTYPE_SPECIAL"),IF(AQ82&lt;&gt;"",VLOOKUP(AQ82,'ESO zone constants'!$D$5:$H$4955,5,FALSE),""),"")</f>
        <v>181</v>
      </c>
      <c r="AQ82" t="s">
        <v>125</v>
      </c>
      <c r="AR82" s="33" t="s">
        <v>1554</v>
      </c>
      <c r="AU82" s="3">
        <f>IF(AND(G82&lt;&gt;"LIBSETS_SETTYPE_BATTLEGROUND",G82&lt;&gt;"LIBSETS_SETTYPE_SPECIAL"),IF(AV82&lt;&gt;"",VLOOKUP(AV82,'ESO zone constants'!$D$5:$H$4955,5,FALSE),""),"")</f>
        <v>181</v>
      </c>
      <c r="AV82" t="s">
        <v>125</v>
      </c>
      <c r="AW82" s="33" t="s">
        <v>3231</v>
      </c>
      <c r="AZ82" s="78" t="s">
        <v>2650</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2764</v>
      </c>
      <c r="C83" t="s">
        <v>840</v>
      </c>
      <c r="D83" s="3">
        <f t="shared" si="10"/>
        <v>101</v>
      </c>
      <c r="E83" s="40"/>
      <c r="G83" s="8" t="s">
        <v>1471</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constants'!$B$4:$C$1012,2,FALSE),"")</f>
        <v>Included in base game</v>
      </c>
      <c r="V83" s="33" t="s">
        <v>1529</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3728</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2760</v>
      </c>
      <c r="AK83" s="3">
        <f>IF(AND(G83&lt;&gt;"LIBSETS_SETTYPE_BATTLEGROUND",G83&lt;&gt;"LIBSETS_SETTYPE_SPECIAL"),IF(AL83&lt;&gt;"",VLOOKUP(AL83,'ESO zone constants'!$D$5:$H$4955,5,FALSE),""),"")</f>
        <v>181</v>
      </c>
      <c r="AL83" t="s">
        <v>125</v>
      </c>
      <c r="AM83" s="33" t="s">
        <v>3731</v>
      </c>
      <c r="AP83" s="3">
        <f>IF(AND(G83&lt;&gt;"LIBSETS_SETTYPE_BATTLEGROUND",G83&lt;&gt;"LIBSETS_SETTYPE_SPECIAL"),IF(AQ83&lt;&gt;"",VLOOKUP(AQ83,'ESO zone constants'!$D$5:$H$4955,5,FALSE),""),"")</f>
        <v>181</v>
      </c>
      <c r="AQ83" t="s">
        <v>125</v>
      </c>
      <c r="AR83" s="33" t="s">
        <v>1554</v>
      </c>
      <c r="AU83" s="3">
        <f>IF(AND(G83&lt;&gt;"LIBSETS_SETTYPE_BATTLEGROUND",G83&lt;&gt;"LIBSETS_SETTYPE_SPECIAL"),IF(AV83&lt;&gt;"",VLOOKUP(AV83,'ESO zone constants'!$D$5:$H$4955,5,FALSE),""),"")</f>
        <v>181</v>
      </c>
      <c r="AV83" t="s">
        <v>125</v>
      </c>
      <c r="AW83" s="33" t="s">
        <v>3231</v>
      </c>
      <c r="AZ83" s="78" t="s">
        <v>2649</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841</v>
      </c>
      <c r="C84" t="s">
        <v>2571</v>
      </c>
      <c r="D84" s="3">
        <f t="shared" si="10"/>
        <v>102</v>
      </c>
      <c r="G84" s="8" t="s">
        <v>1473</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constants'!$B$4:$C$1012,2,FALSE),"")</f>
        <v>Included in base game</v>
      </c>
      <c r="V84" s="33" t="s">
        <v>3280</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2650</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842</v>
      </c>
      <c r="C85" t="s">
        <v>843</v>
      </c>
      <c r="D85" s="3">
        <f t="shared" si="10"/>
        <v>103</v>
      </c>
      <c r="G85" s="8" t="s">
        <v>1473</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constants'!$B$4:$C$1012,2,FALSE),"")</f>
        <v>Included in base game</v>
      </c>
      <c r="V85" s="33" t="s">
        <v>3280</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2649</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844</v>
      </c>
      <c r="C86" t="s">
        <v>845</v>
      </c>
      <c r="D86" s="3">
        <f t="shared" si="10"/>
        <v>104</v>
      </c>
      <c r="G86" s="8" t="s">
        <v>1471</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constants'!$B$4:$C$1012,2,FALSE),"")</f>
        <v>Included in base game</v>
      </c>
      <c r="V86" s="33" t="s">
        <v>2765</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3728</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2760</v>
      </c>
      <c r="AK86" s="3">
        <f>IF(AND(G86&lt;&gt;"LIBSETS_SETTYPE_BATTLEGROUND",G86&lt;&gt;"LIBSETS_SETTYPE_SPECIAL"),IF(AL86&lt;&gt;"",VLOOKUP(AL86,'ESO zone constants'!$D$5:$H$4955,5,FALSE),""),"")</f>
        <v>181</v>
      </c>
      <c r="AL86" t="s">
        <v>125</v>
      </c>
      <c r="AM86" s="33" t="s">
        <v>3731</v>
      </c>
      <c r="AP86" s="3">
        <f>IF(AND(G86&lt;&gt;"LIBSETS_SETTYPE_BATTLEGROUND",G86&lt;&gt;"LIBSETS_SETTYPE_SPECIAL"),IF(AQ86&lt;&gt;"",VLOOKUP(AQ86,'ESO zone constants'!$D$5:$H$4955,5,FALSE),""),"")</f>
        <v>181</v>
      </c>
      <c r="AQ86" t="s">
        <v>125</v>
      </c>
      <c r="AR86" s="33" t="s">
        <v>1554</v>
      </c>
      <c r="AU86" s="3">
        <f>IF(AND(G86&lt;&gt;"LIBSETS_SETTYPE_BATTLEGROUND",G86&lt;&gt;"LIBSETS_SETTYPE_SPECIAL"),IF(AV86&lt;&gt;"",VLOOKUP(AV86,'ESO zone constants'!$D$5:$H$4955,5,FALSE),""),"")</f>
        <v>181</v>
      </c>
      <c r="AV86" t="s">
        <v>125</v>
      </c>
      <c r="AW86" s="33" t="s">
        <v>3231</v>
      </c>
      <c r="AZ86" s="78" t="s">
        <v>2649</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846</v>
      </c>
      <c r="C87" t="s">
        <v>847</v>
      </c>
      <c r="D87" s="3">
        <f t="shared" si="10"/>
        <v>105</v>
      </c>
      <c r="G87" s="8" t="s">
        <v>1476</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constants'!$B$4:$C$1012,2,FALSE),"")</f>
        <v>Included in base game</v>
      </c>
      <c r="V87" s="33" t="s">
        <v>1554</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1555</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1556</v>
      </c>
      <c r="AI87" s="41"/>
      <c r="AJ87" s="41"/>
      <c r="AK87" s="3">
        <f>IF(AND(G87&lt;&gt;"LIBSETS_SETTYPE_BATTLEGROUND",G87&lt;&gt;"LIBSETS_SETTYPE_SPECIAL"),IF(AL87&lt;&gt;"",VLOOKUP(AL87,'ESO zone constants'!$D$5:$H$4955,5,FALSE),""),"")</f>
        <v>381</v>
      </c>
      <c r="AL87" t="s">
        <v>262</v>
      </c>
      <c r="AM87" s="33" t="s">
        <v>1557</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2649</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848</v>
      </c>
      <c r="C88" t="s">
        <v>2572</v>
      </c>
      <c r="D88" s="3">
        <f t="shared" si="10"/>
        <v>106</v>
      </c>
      <c r="G88" s="8" t="s">
        <v>1476</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constants'!$B$4:$C$1012,2,FALSE),"")</f>
        <v>Included in base game</v>
      </c>
      <c r="V88" s="33" t="s">
        <v>1554</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1555</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1556</v>
      </c>
      <c r="AI88" s="41"/>
      <c r="AJ88" s="41"/>
      <c r="AK88" s="3">
        <f>IF(AND(G88&lt;&gt;"LIBSETS_SETTYPE_BATTLEGROUND",G88&lt;&gt;"LIBSETS_SETTYPE_SPECIAL"),IF(AL88&lt;&gt;"",VLOOKUP(AL88,'ESO zone constants'!$D$5:$H$4955,5,FALSE),""),"")</f>
        <v>108</v>
      </c>
      <c r="AL88" t="s">
        <v>113</v>
      </c>
      <c r="AM88" s="33" t="s">
        <v>1557</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2649</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849</v>
      </c>
      <c r="C89" t="s">
        <v>2573</v>
      </c>
      <c r="D89" s="3">
        <f t="shared" si="10"/>
        <v>107</v>
      </c>
      <c r="G89" s="8" t="s">
        <v>1476</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constants'!$B$4:$C$1012,2,FALSE),"")</f>
        <v>Included in base game</v>
      </c>
      <c r="V89" s="33" t="s">
        <v>1554</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1555</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1556</v>
      </c>
      <c r="AI89" s="41"/>
      <c r="AJ89" s="41"/>
      <c r="AK89" s="3">
        <f>IF(AND(G89&lt;&gt;"LIBSETS_SETTYPE_BATTLEGROUND",G89&lt;&gt;"LIBSETS_SETTYPE_SPECIAL"),IF(AL89&lt;&gt;"",VLOOKUP(AL89,'ESO zone constants'!$D$5:$H$4955,5,FALSE),""),"")</f>
        <v>3</v>
      </c>
      <c r="AL89" t="s">
        <v>103</v>
      </c>
      <c r="AM89" s="33" t="s">
        <v>1557</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2649</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850</v>
      </c>
      <c r="C90" t="s">
        <v>851</v>
      </c>
      <c r="D90" s="3">
        <f t="shared" si="10"/>
        <v>108</v>
      </c>
      <c r="G90" s="8" t="s">
        <v>1471</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constants'!$B$4:$C$1012,2,FALSE),"")</f>
        <v>Included in base game</v>
      </c>
      <c r="V90" s="33" t="s">
        <v>1529</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3728</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2760</v>
      </c>
      <c r="AK90" s="3">
        <f>IF(AND(G90&lt;&gt;"LIBSETS_SETTYPE_BATTLEGROUND",G90&lt;&gt;"LIBSETS_SETTYPE_SPECIAL"),IF(AL90&lt;&gt;"",VLOOKUP(AL90,'ESO zone constants'!$D$5:$H$4955,5,FALSE),""),"")</f>
        <v>181</v>
      </c>
      <c r="AL90" t="s">
        <v>125</v>
      </c>
      <c r="AM90" s="33" t="s">
        <v>3731</v>
      </c>
      <c r="AP90" s="3">
        <f>IF(AND(G90&lt;&gt;"LIBSETS_SETTYPE_BATTLEGROUND",G90&lt;&gt;"LIBSETS_SETTYPE_SPECIAL"),IF(AQ90&lt;&gt;"",VLOOKUP(AQ90,'ESO zone constants'!$D$5:$H$4955,5,FALSE),""),"")</f>
        <v>181</v>
      </c>
      <c r="AQ90" t="s">
        <v>125</v>
      </c>
      <c r="AR90" s="33" t="s">
        <v>1554</v>
      </c>
      <c r="AU90" s="3">
        <f>IF(AND(G90&lt;&gt;"LIBSETS_SETTYPE_BATTLEGROUND",G90&lt;&gt;"LIBSETS_SETTYPE_SPECIAL"),IF(AV90&lt;&gt;"",VLOOKUP(AV90,'ESO zone constants'!$D$5:$H$4955,5,FALSE),""),"")</f>
        <v>181</v>
      </c>
      <c r="AV90" t="s">
        <v>125</v>
      </c>
      <c r="AW90" s="33" t="s">
        <v>3231</v>
      </c>
      <c r="AZ90" s="78" t="s">
        <v>2649</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852</v>
      </c>
      <c r="C91" t="s">
        <v>853</v>
      </c>
      <c r="D91" s="3">
        <f t="shared" si="10"/>
        <v>109</v>
      </c>
      <c r="E91"/>
      <c r="F91"/>
      <c r="G91" s="8" t="s">
        <v>1471</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constants'!$B$4:$C$1012,2,FALSE),"")</f>
        <v>Included in base game</v>
      </c>
      <c r="V91" s="33" t="s">
        <v>2765</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3728</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2760</v>
      </c>
      <c r="AI91" s="3"/>
      <c r="AJ91" s="3"/>
      <c r="AK91" s="3">
        <f>IF(AND(G91&lt;&gt;"LIBSETS_SETTYPE_BATTLEGROUND",G91&lt;&gt;"LIBSETS_SETTYPE_SPECIAL"),IF(AL91&lt;&gt;"",VLOOKUP(AL91,'ESO zone constants'!$D$5:$H$4955,5,FALSE),""),"")</f>
        <v>181</v>
      </c>
      <c r="AL91" t="s">
        <v>125</v>
      </c>
      <c r="AM91" s="33" t="s">
        <v>3731</v>
      </c>
      <c r="AN91" s="3"/>
      <c r="AO91" s="3"/>
      <c r="AP91" s="3">
        <f>IF(AND(G91&lt;&gt;"LIBSETS_SETTYPE_BATTLEGROUND",G91&lt;&gt;"LIBSETS_SETTYPE_SPECIAL"),IF(AQ91&lt;&gt;"",VLOOKUP(AQ91,'ESO zone constants'!$D$5:$H$4955,5,FALSE),""),"")</f>
        <v>181</v>
      </c>
      <c r="AQ91" t="s">
        <v>125</v>
      </c>
      <c r="AR91" s="33" t="s">
        <v>1554</v>
      </c>
      <c r="AS91" s="3"/>
      <c r="AT91" s="3"/>
      <c r="AU91" s="3">
        <f>IF(AND(G91&lt;&gt;"LIBSETS_SETTYPE_BATTLEGROUND",G91&lt;&gt;"LIBSETS_SETTYPE_SPECIAL"),IF(AV91&lt;&gt;"",VLOOKUP(AV91,'ESO zone constants'!$D$5:$H$4955,5,FALSE),""),"")</f>
        <v>181</v>
      </c>
      <c r="AV91" t="s">
        <v>125</v>
      </c>
      <c r="AW91" s="33" t="s">
        <v>3231</v>
      </c>
      <c r="AX91" s="3"/>
      <c r="AY91" s="3"/>
      <c r="AZ91" s="78" t="s">
        <v>2649</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854</v>
      </c>
      <c r="C92" t="s">
        <v>855</v>
      </c>
      <c r="D92" s="3">
        <f t="shared" si="10"/>
        <v>110</v>
      </c>
      <c r="G92" s="8" t="s">
        <v>1473</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constants'!$B$4:$C$1012,2,FALSE),"")</f>
        <v>Included in base game</v>
      </c>
      <c r="V92" s="33" t="s">
        <v>3280</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3280</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2649</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856</v>
      </c>
      <c r="C93" t="s">
        <v>857</v>
      </c>
      <c r="D93" s="3">
        <f t="shared" si="10"/>
        <v>111</v>
      </c>
      <c r="G93" s="8" t="s">
        <v>1471</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constants'!$B$4:$C$1012,2,FALSE),"")</f>
        <v>Included in base game</v>
      </c>
      <c r="V93" s="33" t="s">
        <v>1527</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3728</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2760</v>
      </c>
      <c r="AK93" s="3">
        <f>IF(AND(G93&lt;&gt;"LIBSETS_SETTYPE_BATTLEGROUND",G93&lt;&gt;"LIBSETS_SETTYPE_SPECIAL"),IF(AL93&lt;&gt;"",VLOOKUP(AL93,'ESO zone constants'!$D$5:$H$4955,5,FALSE),""),"")</f>
        <v>181</v>
      </c>
      <c r="AL93" t="s">
        <v>125</v>
      </c>
      <c r="AM93" s="33" t="s">
        <v>3731</v>
      </c>
      <c r="AP93" s="3">
        <f>IF(AND(G93&lt;&gt;"LIBSETS_SETTYPE_BATTLEGROUND",G93&lt;&gt;"LIBSETS_SETTYPE_SPECIAL"),IF(AQ93&lt;&gt;"",VLOOKUP(AQ93,'ESO zone constants'!$D$5:$H$4955,5,FALSE),""),"")</f>
        <v>181</v>
      </c>
      <c r="AQ93" t="s">
        <v>125</v>
      </c>
      <c r="AR93" s="33" t="s">
        <v>1554</v>
      </c>
      <c r="AU93" s="3">
        <f>IF(AND(G93&lt;&gt;"LIBSETS_SETTYPE_BATTLEGROUND",G93&lt;&gt;"LIBSETS_SETTYPE_SPECIAL"),IF(AV93&lt;&gt;"",VLOOKUP(AV93,'ESO zone constants'!$D$5:$H$4955,5,FALSE),""),"")</f>
        <v>181</v>
      </c>
      <c r="AV93" t="s">
        <v>125</v>
      </c>
      <c r="AW93" s="33" t="s">
        <v>3231</v>
      </c>
      <c r="AZ93" s="78" t="s">
        <v>2649</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858</v>
      </c>
      <c r="C94" t="s">
        <v>859</v>
      </c>
      <c r="D94" s="3">
        <f t="shared" si="10"/>
        <v>112</v>
      </c>
      <c r="G94" s="8" t="s">
        <v>1476</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constants'!$B$4:$C$1012,2,FALSE),"")</f>
        <v>Included in base game</v>
      </c>
      <c r="V94" s="33" t="s">
        <v>1554</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1555</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1556</v>
      </c>
      <c r="AI94" s="41"/>
      <c r="AJ94" s="41"/>
      <c r="AK94" s="3">
        <f>IF(AND(G94&lt;&gt;"LIBSETS_SETTYPE_BATTLEGROUND",G94&lt;&gt;"LIBSETS_SETTYPE_SPECIAL"),IF(AL94&lt;&gt;"",VLOOKUP(AL94,'ESO zone constants'!$D$5:$H$4955,5,FALSE),""),"")</f>
        <v>19</v>
      </c>
      <c r="AL94" t="s">
        <v>104</v>
      </c>
      <c r="AM94" s="33" t="s">
        <v>1557</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2650</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860</v>
      </c>
      <c r="C95" t="s">
        <v>861</v>
      </c>
      <c r="D95" s="3">
        <f t="shared" si="10"/>
        <v>113</v>
      </c>
      <c r="G95" s="8" t="s">
        <v>1471</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constants'!$B$4:$C$1012,2,FALSE),"")</f>
        <v>Included in base game</v>
      </c>
      <c r="V95" s="33" t="s">
        <v>1529</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3728</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2760</v>
      </c>
      <c r="AK95" s="3">
        <f>IF(AND(G95&lt;&gt;"LIBSETS_SETTYPE_BATTLEGROUND",G95&lt;&gt;"LIBSETS_SETTYPE_SPECIAL"),IF(AL95&lt;&gt;"",VLOOKUP(AL95,'ESO zone constants'!$D$5:$H$4955,5,FALSE),""),"")</f>
        <v>181</v>
      </c>
      <c r="AL95" t="s">
        <v>125</v>
      </c>
      <c r="AM95" s="33" t="s">
        <v>3731</v>
      </c>
      <c r="AP95" s="3">
        <f>IF(AND(G95&lt;&gt;"LIBSETS_SETTYPE_BATTLEGROUND",G95&lt;&gt;"LIBSETS_SETTYPE_SPECIAL"),IF(AQ95&lt;&gt;"",VLOOKUP(AQ95,'ESO zone constants'!$D$5:$H$4955,5,FALSE),""),"")</f>
        <v>181</v>
      </c>
      <c r="AQ95" t="s">
        <v>125</v>
      </c>
      <c r="AR95" s="33" t="s">
        <v>1554</v>
      </c>
      <c r="AU95" s="3">
        <f>IF(AND(G95&lt;&gt;"LIBSETS_SETTYPE_BATTLEGROUND",G95&lt;&gt;"LIBSETS_SETTYPE_SPECIAL"),IF(AV95&lt;&gt;"",VLOOKUP(AV95,'ESO zone constants'!$D$5:$H$4955,5,FALSE),""),"")</f>
        <v>181</v>
      </c>
      <c r="AV95" t="s">
        <v>125</v>
      </c>
      <c r="AW95" s="33" t="s">
        <v>3231</v>
      </c>
      <c r="AZ95" s="78" t="s">
        <v>2649</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862</v>
      </c>
      <c r="C96" t="s">
        <v>863</v>
      </c>
      <c r="D96" s="3">
        <f t="shared" si="10"/>
        <v>114</v>
      </c>
      <c r="G96" s="8" t="s">
        <v>1476</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constants'!$B$4:$C$1012,2,FALSE),"")</f>
        <v>Included in base game</v>
      </c>
      <c r="V96" s="33" t="s">
        <v>1554</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1555</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1556</v>
      </c>
      <c r="AI96" s="41"/>
      <c r="AJ96" s="41"/>
      <c r="AK96" s="3">
        <f>IF(AND(G96&lt;&gt;"LIBSETS_SETTYPE_BATTLEGROUND",G96&lt;&gt;"LIBSETS_SETTYPE_SPECIAL"),IF(AL96&lt;&gt;"",VLOOKUP(AL96,'ESO zone constants'!$D$5:$H$4955,5,FALSE),""),"")</f>
        <v>382</v>
      </c>
      <c r="AL96" t="s">
        <v>263</v>
      </c>
      <c r="AM96" s="33" t="s">
        <v>1557</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2649</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864</v>
      </c>
      <c r="C97" t="s">
        <v>865</v>
      </c>
      <c r="D97" s="3">
        <f t="shared" si="10"/>
        <v>116</v>
      </c>
      <c r="G97" s="8" t="s">
        <v>1473</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constants'!$B$4:$C$1012,2,FALSE),"")</f>
        <v>Included in base game</v>
      </c>
      <c r="V97" s="33" t="s">
        <v>3280</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3280</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3280</v>
      </c>
      <c r="AI97" s="41"/>
      <c r="AJ97" s="41"/>
      <c r="AK97" s="3">
        <f>IF(AND(G97&lt;&gt;"LIBSETS_SETTYPE_BATTLEGROUND",G97&lt;&gt;"LIBSETS_SETTYPE_SPECIAL"),IF(AL97&lt;&gt;"",VLOOKUP(AL97,'ESO zone constants'!$D$5:$H$4955,5,FALSE),""),"")</f>
        <v>63</v>
      </c>
      <c r="AL97" t="s">
        <v>61</v>
      </c>
      <c r="AM97" s="33" t="s">
        <v>3280</v>
      </c>
      <c r="AN97" s="41"/>
      <c r="AO97" s="41"/>
      <c r="AP97" s="3">
        <f>IF(AND(G97&lt;&gt;"LIBSETS_SETTYPE_BATTLEGROUND",G97&lt;&gt;"LIBSETS_SETTYPE_SPECIAL"),IF(AQ97&lt;&gt;"",VLOOKUP(AQ97,'ESO zone constants'!$D$5:$H$4955,5,FALSE),""),"")</f>
        <v>283</v>
      </c>
      <c r="AQ97" t="s">
        <v>51</v>
      </c>
      <c r="AR97" s="33" t="s">
        <v>3280</v>
      </c>
      <c r="AS97" s="41"/>
      <c r="AT97" s="41"/>
      <c r="AU97" s="3" t="str">
        <f>IF(AND(G97&lt;&gt;"LIBSETS_SETTYPE_BATTLEGROUND",G97&lt;&gt;"LIBSETS_SETTYPE_SPECIAL"),IF(AV97&lt;&gt;"",VLOOKUP(AV97,'ESO zone constants'!$D$5:$H$4955,5,FALSE),""),"")</f>
        <v/>
      </c>
      <c r="AX97" s="41"/>
      <c r="AY97" s="41"/>
      <c r="AZ97" s="78" t="s">
        <v>2649</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866</v>
      </c>
      <c r="C98" t="s">
        <v>1437</v>
      </c>
      <c r="D98" s="3">
        <f t="shared" si="10"/>
        <v>117</v>
      </c>
      <c r="G98" s="8" t="s">
        <v>1473</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constants'!$B$4:$C$1012,2,FALSE),"")</f>
        <v>Included in base game</v>
      </c>
      <c r="V98" s="33" t="s">
        <v>3280</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3280</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3280</v>
      </c>
      <c r="AI98" s="41"/>
      <c r="AJ98" s="41"/>
      <c r="AK98" s="3">
        <f>IF(AND(G98&lt;&gt;"LIBSETS_SETTYPE_BATTLEGROUND",G98&lt;&gt;"LIBSETS_SETTYPE_SPECIAL"),IF(AL98&lt;&gt;"",VLOOKUP(AL98,'ESO zone constants'!$D$5:$H$4955,5,FALSE),""),"")</f>
        <v>63</v>
      </c>
      <c r="AL98" t="s">
        <v>61</v>
      </c>
      <c r="AM98" s="33" t="s">
        <v>3280</v>
      </c>
      <c r="AN98" s="41"/>
      <c r="AO98" s="41"/>
      <c r="AP98" s="3">
        <f>IF(AND(G98&lt;&gt;"LIBSETS_SETTYPE_BATTLEGROUND",G98&lt;&gt;"LIBSETS_SETTYPE_SPECIAL"),IF(AQ98&lt;&gt;"",VLOOKUP(AQ98,'ESO zone constants'!$D$5:$H$4955,5,FALSE),""),"")</f>
        <v>283</v>
      </c>
      <c r="AQ98" t="s">
        <v>51</v>
      </c>
      <c r="AR98" s="33" t="s">
        <v>3280</v>
      </c>
      <c r="AS98" s="41"/>
      <c r="AT98" s="41"/>
      <c r="AU98" s="3" t="str">
        <f>IF(AND(G98&lt;&gt;"LIBSETS_SETTYPE_BATTLEGROUND",G98&lt;&gt;"LIBSETS_SETTYPE_SPECIAL"),IF(AV98&lt;&gt;"",VLOOKUP(AV98,'ESO zone constants'!$D$5:$H$4955,5,FALSE),""),"")</f>
        <v/>
      </c>
      <c r="AX98" s="41"/>
      <c r="AY98" s="41"/>
      <c r="AZ98" s="78" t="s">
        <v>2650</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867</v>
      </c>
      <c r="C99" t="s">
        <v>868</v>
      </c>
      <c r="D99" s="3">
        <f t="shared" si="10"/>
        <v>118</v>
      </c>
      <c r="G99" s="8" t="s">
        <v>1473</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constants'!$B$4:$C$1012,2,FALSE),"")</f>
        <v>Included in base game</v>
      </c>
      <c r="V99" s="33" t="s">
        <v>3280</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3280</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3280</v>
      </c>
      <c r="AI99" s="41"/>
      <c r="AJ99" s="41"/>
      <c r="AK99" s="3">
        <f>IF(AND(G99&lt;&gt;"LIBSETS_SETTYPE_BATTLEGROUND",G99&lt;&gt;"LIBSETS_SETTYPE_SPECIAL"),IF(AL99&lt;&gt;"",VLOOKUP(AL99,'ESO zone constants'!$D$5:$H$4955,5,FALSE),""),"")</f>
        <v>63</v>
      </c>
      <c r="AL99" t="s">
        <v>61</v>
      </c>
      <c r="AM99" s="33" t="s">
        <v>3280</v>
      </c>
      <c r="AN99" s="41"/>
      <c r="AO99" s="41"/>
      <c r="AP99" s="3">
        <f>IF(AND(G99&lt;&gt;"LIBSETS_SETTYPE_BATTLEGROUND",G99&lt;&gt;"LIBSETS_SETTYPE_SPECIAL"),IF(AQ99&lt;&gt;"",VLOOKUP(AQ99,'ESO zone constants'!$D$5:$H$4955,5,FALSE),""),"")</f>
        <v>283</v>
      </c>
      <c r="AQ99" t="s">
        <v>51</v>
      </c>
      <c r="AR99" s="33" t="s">
        <v>3280</v>
      </c>
      <c r="AS99" s="41"/>
      <c r="AT99" s="41"/>
      <c r="AU99" s="3" t="str">
        <f>IF(AND(G99&lt;&gt;"LIBSETS_SETTYPE_BATTLEGROUND",G99&lt;&gt;"LIBSETS_SETTYPE_SPECIAL"),IF(AV99&lt;&gt;"",VLOOKUP(AV99,'ESO zone constants'!$D$5:$H$4955,5,FALSE),""),"")</f>
        <v/>
      </c>
      <c r="AX99" s="41"/>
      <c r="AY99" s="41"/>
      <c r="AZ99" s="78" t="s">
        <v>2649</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869</v>
      </c>
      <c r="C100" t="s">
        <v>870</v>
      </c>
      <c r="D100" s="3">
        <f t="shared" si="10"/>
        <v>119</v>
      </c>
      <c r="G100" s="8" t="s">
        <v>1473</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constants'!$B$4:$C$1012,2,FALSE),"")</f>
        <v>Included in base game</v>
      </c>
      <c r="V100" s="33" t="s">
        <v>3280</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3280</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3280</v>
      </c>
      <c r="AI100" s="41"/>
      <c r="AJ100" s="41"/>
      <c r="AK100" s="3">
        <f>IF(AND(G100&lt;&gt;"LIBSETS_SETTYPE_BATTLEGROUND",G100&lt;&gt;"LIBSETS_SETTYPE_SPECIAL"),IF(AL100&lt;&gt;"",VLOOKUP(AL100,'ESO zone constants'!$D$5:$H$4955,5,FALSE),""),"")</f>
        <v>63</v>
      </c>
      <c r="AL100" t="s">
        <v>61</v>
      </c>
      <c r="AM100" s="33" t="s">
        <v>3280</v>
      </c>
      <c r="AN100" s="41"/>
      <c r="AO100" s="41"/>
      <c r="AP100" s="3">
        <f>IF(AND(G100&lt;&gt;"LIBSETS_SETTYPE_BATTLEGROUND",G100&lt;&gt;"LIBSETS_SETTYPE_SPECIAL"),IF(AQ100&lt;&gt;"",VLOOKUP(AQ100,'ESO zone constants'!$D$5:$H$4955,5,FALSE),""),"")</f>
        <v>283</v>
      </c>
      <c r="AQ100" t="s">
        <v>51</v>
      </c>
      <c r="AR100" s="33" t="s">
        <v>3280</v>
      </c>
      <c r="AS100" s="41"/>
      <c r="AT100" s="41"/>
      <c r="AU100" s="3" t="str">
        <f>IF(AND(G100&lt;&gt;"LIBSETS_SETTYPE_BATTLEGROUND",G100&lt;&gt;"LIBSETS_SETTYPE_SPECIAL"),IF(AV100&lt;&gt;"",VLOOKUP(AV100,'ESO zone constants'!$D$5:$H$4955,5,FALSE),""),"")</f>
        <v/>
      </c>
      <c r="AX100" s="41"/>
      <c r="AY100" s="41"/>
      <c r="AZ100" s="78" t="s">
        <v>2649</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871</v>
      </c>
      <c r="C101" t="s">
        <v>872</v>
      </c>
      <c r="D101" s="3">
        <f t="shared" si="10"/>
        <v>120</v>
      </c>
      <c r="G101" s="8" t="s">
        <v>1473</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constants'!$B$4:$C$1012,2,FALSE),"")</f>
        <v>Included in base game</v>
      </c>
      <c r="V101" s="33" t="s">
        <v>3280</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3280</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3280</v>
      </c>
      <c r="AI101" s="41"/>
      <c r="AJ101" s="41"/>
      <c r="AK101" s="3">
        <f>IF(AND(G101&lt;&gt;"LIBSETS_SETTYPE_BATTLEGROUND",G101&lt;&gt;"LIBSETS_SETTYPE_SPECIAL"),IF(AL101&lt;&gt;"",VLOOKUP(AL101,'ESO zone constants'!$D$5:$H$4955,5,FALSE),""),"")</f>
        <v>63</v>
      </c>
      <c r="AL101" t="s">
        <v>61</v>
      </c>
      <c r="AM101" s="33" t="s">
        <v>3280</v>
      </c>
      <c r="AN101" s="41"/>
      <c r="AO101" s="41"/>
      <c r="AP101" s="3">
        <f>IF(AND(G101&lt;&gt;"LIBSETS_SETTYPE_BATTLEGROUND",G101&lt;&gt;"LIBSETS_SETTYPE_SPECIAL"),IF(AQ101&lt;&gt;"",VLOOKUP(AQ101,'ESO zone constants'!$D$5:$H$4955,5,FALSE),""),"")</f>
        <v>283</v>
      </c>
      <c r="AQ101" t="s">
        <v>51</v>
      </c>
      <c r="AR101" s="33" t="s">
        <v>3280</v>
      </c>
      <c r="AS101" s="41"/>
      <c r="AT101" s="41"/>
      <c r="AU101" s="3" t="str">
        <f>IF(AND(G101&lt;&gt;"LIBSETS_SETTYPE_BATTLEGROUND",G101&lt;&gt;"LIBSETS_SETTYPE_SPECIAL"),IF(AV101&lt;&gt;"",VLOOKUP(AV101,'ESO zone constants'!$D$5:$H$4955,5,FALSE),""),"")</f>
        <v/>
      </c>
      <c r="AX101" s="41"/>
      <c r="AY101" s="41"/>
      <c r="AZ101" s="78" t="s">
        <v>2649</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873</v>
      </c>
      <c r="C102" t="s">
        <v>874</v>
      </c>
      <c r="D102" s="3">
        <f t="shared" si="10"/>
        <v>121</v>
      </c>
      <c r="G102" s="8" t="s">
        <v>1473</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constants'!$B$4:$C$1012,2,FALSE),"")</f>
        <v>Included in base game</v>
      </c>
      <c r="V102" s="33" t="s">
        <v>3280</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3280</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3280</v>
      </c>
      <c r="AI102" s="41"/>
      <c r="AJ102" s="41"/>
      <c r="AK102" s="3">
        <f>IF(AND(G102&lt;&gt;"LIBSETS_SETTYPE_BATTLEGROUND",G102&lt;&gt;"LIBSETS_SETTYPE_SPECIAL"),IF(AL102&lt;&gt;"",VLOOKUP(AL102,'ESO zone constants'!$D$5:$H$4955,5,FALSE),""),"")</f>
        <v>63</v>
      </c>
      <c r="AL102" t="s">
        <v>61</v>
      </c>
      <c r="AM102" s="33" t="s">
        <v>3280</v>
      </c>
      <c r="AN102" s="41"/>
      <c r="AO102" s="41"/>
      <c r="AP102" s="3">
        <f>IF(AND(G102&lt;&gt;"LIBSETS_SETTYPE_BATTLEGROUND",G102&lt;&gt;"LIBSETS_SETTYPE_SPECIAL"),IF(AQ102&lt;&gt;"",VLOOKUP(AQ102,'ESO zone constants'!$D$5:$H$4955,5,FALSE),""),"")</f>
        <v>283</v>
      </c>
      <c r="AQ102" t="s">
        <v>51</v>
      </c>
      <c r="AR102" s="33" t="s">
        <v>3280</v>
      </c>
      <c r="AS102" s="41"/>
      <c r="AT102" s="41"/>
      <c r="AU102" s="3" t="str">
        <f>IF(AND(G102&lt;&gt;"LIBSETS_SETTYPE_BATTLEGROUND",G102&lt;&gt;"LIBSETS_SETTYPE_SPECIAL"),IF(AV102&lt;&gt;"",VLOOKUP(AV102,'ESO zone constants'!$D$5:$H$4955,5,FALSE),""),"")</f>
        <v/>
      </c>
      <c r="AX102" s="41"/>
      <c r="AY102" s="41"/>
      <c r="AZ102" s="78" t="s">
        <v>2649</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875</v>
      </c>
      <c r="C103" t="s">
        <v>876</v>
      </c>
      <c r="D103" s="3">
        <f t="shared" si="10"/>
        <v>122</v>
      </c>
      <c r="G103" s="8" t="s">
        <v>1473</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constants'!$B$4:$C$1012,2,FALSE),"")</f>
        <v>Included in base game</v>
      </c>
      <c r="V103" s="33" t="s">
        <v>3280</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3280</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2649</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877</v>
      </c>
      <c r="C104" t="s">
        <v>2574</v>
      </c>
      <c r="D104" s="3">
        <f t="shared" si="10"/>
        <v>123</v>
      </c>
      <c r="G104" s="8" t="s">
        <v>1473</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constants'!$B$4:$C$1012,2,FALSE),"")</f>
        <v>Included in base game</v>
      </c>
      <c r="V104" s="33" t="s">
        <v>3280</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2649</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878</v>
      </c>
      <c r="C105" t="s">
        <v>2575</v>
      </c>
      <c r="D105" s="3">
        <f t="shared" si="10"/>
        <v>124</v>
      </c>
      <c r="G105" s="8" t="s">
        <v>1473</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constants'!$B$4:$C$1012,2,FALSE),"")</f>
        <v>Included in base game</v>
      </c>
      <c r="V105" s="33" t="s">
        <v>3280</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2649</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879</v>
      </c>
      <c r="C106" t="s">
        <v>880</v>
      </c>
      <c r="D106" s="3">
        <f t="shared" si="10"/>
        <v>125</v>
      </c>
      <c r="G106" s="8" t="s">
        <v>1471</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constants'!$B$4:$C$1012,2,FALSE),"")</f>
        <v>Included in base game</v>
      </c>
      <c r="V106" s="33" t="s">
        <v>2765</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3728</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2760</v>
      </c>
      <c r="AK106" s="3">
        <f>IF(AND(G106&lt;&gt;"LIBSETS_SETTYPE_BATTLEGROUND",G106&lt;&gt;"LIBSETS_SETTYPE_SPECIAL"),IF(AL106&lt;&gt;"",VLOOKUP(AL106,'ESO zone constants'!$D$5:$H$4955,5,FALSE),""),"")</f>
        <v>181</v>
      </c>
      <c r="AL106" t="s">
        <v>125</v>
      </c>
      <c r="AM106" s="33" t="s">
        <v>3731</v>
      </c>
      <c r="AP106" s="3">
        <f>IF(AND(G106&lt;&gt;"LIBSETS_SETTYPE_BATTLEGROUND",G106&lt;&gt;"LIBSETS_SETTYPE_SPECIAL"),IF(AQ106&lt;&gt;"",VLOOKUP(AQ106,'ESO zone constants'!$D$5:$H$4955,5,FALSE),""),"")</f>
        <v>181</v>
      </c>
      <c r="AQ106" t="s">
        <v>125</v>
      </c>
      <c r="AR106" s="33" t="s">
        <v>1554</v>
      </c>
      <c r="AU106" s="3">
        <f>IF(AND(G106&lt;&gt;"LIBSETS_SETTYPE_BATTLEGROUND",G106&lt;&gt;"LIBSETS_SETTYPE_SPECIAL"),IF(AV106&lt;&gt;"",VLOOKUP(AV106,'ESO zone constants'!$D$5:$H$4955,5,FALSE),""),"")</f>
        <v>181</v>
      </c>
      <c r="AV106" t="s">
        <v>125</v>
      </c>
      <c r="AW106" s="33" t="s">
        <v>3231</v>
      </c>
      <c r="AZ106" s="78" t="s">
        <v>2650</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2763</v>
      </c>
      <c r="C107" t="s">
        <v>881</v>
      </c>
      <c r="D107" s="3">
        <f t="shared" si="10"/>
        <v>126</v>
      </c>
      <c r="E107" s="40"/>
      <c r="G107" s="8" t="s">
        <v>1471</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constants'!$B$4:$C$1012,2,FALSE),"")</f>
        <v>Included in base game</v>
      </c>
      <c r="V107" s="33" t="s">
        <v>2765</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3728</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2760</v>
      </c>
      <c r="AK107" s="3">
        <f>IF(AND(G107&lt;&gt;"LIBSETS_SETTYPE_BATTLEGROUND",G107&lt;&gt;"LIBSETS_SETTYPE_SPECIAL"),IF(AL107&lt;&gt;"",VLOOKUP(AL107,'ESO zone constants'!$D$5:$H$4955,5,FALSE),""),"")</f>
        <v>181</v>
      </c>
      <c r="AL107" t="s">
        <v>125</v>
      </c>
      <c r="AM107" s="33" t="s">
        <v>3731</v>
      </c>
      <c r="AP107" s="3">
        <f>IF(AND(G107&lt;&gt;"LIBSETS_SETTYPE_BATTLEGROUND",G107&lt;&gt;"LIBSETS_SETTYPE_SPECIAL"),IF(AQ107&lt;&gt;"",VLOOKUP(AQ107,'ESO zone constants'!$D$5:$H$4955,5,FALSE),""),"")</f>
        <v>181</v>
      </c>
      <c r="AQ107" t="s">
        <v>125</v>
      </c>
      <c r="AR107" s="33" t="s">
        <v>1554</v>
      </c>
      <c r="AU107" s="3">
        <f>IF(AND(G107&lt;&gt;"LIBSETS_SETTYPE_BATTLEGROUND",G107&lt;&gt;"LIBSETS_SETTYPE_SPECIAL"),IF(AV107&lt;&gt;"",VLOOKUP(AV107,'ESO zone constants'!$D$5:$H$4955,5,FALSE),""),"")</f>
        <v>181</v>
      </c>
      <c r="AV107" t="s">
        <v>125</v>
      </c>
      <c r="AW107" s="33" t="s">
        <v>3231</v>
      </c>
      <c r="AZ107" s="78" t="s">
        <v>2650</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882</v>
      </c>
      <c r="C108" t="s">
        <v>883</v>
      </c>
      <c r="D108" s="3">
        <f t="shared" si="10"/>
        <v>127</v>
      </c>
      <c r="G108" s="8" t="s">
        <v>1471</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constants'!$B$4:$C$1012,2,FALSE),"")</f>
        <v>Included in base game</v>
      </c>
      <c r="V108" s="33" t="s">
        <v>1527</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3728</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2760</v>
      </c>
      <c r="AK108" s="3">
        <f>IF(AND(G108&lt;&gt;"LIBSETS_SETTYPE_BATTLEGROUND",G108&lt;&gt;"LIBSETS_SETTYPE_SPECIAL"),IF(AL108&lt;&gt;"",VLOOKUP(AL108,'ESO zone constants'!$D$5:$H$4955,5,FALSE),""),"")</f>
        <v>181</v>
      </c>
      <c r="AL108" t="s">
        <v>125</v>
      </c>
      <c r="AM108" s="33" t="s">
        <v>3731</v>
      </c>
      <c r="AP108" s="3">
        <f>IF(AND(G108&lt;&gt;"LIBSETS_SETTYPE_BATTLEGROUND",G108&lt;&gt;"LIBSETS_SETTYPE_SPECIAL"),IF(AQ108&lt;&gt;"",VLOOKUP(AQ108,'ESO zone constants'!$D$5:$H$4955,5,FALSE),""),"")</f>
        <v>181</v>
      </c>
      <c r="AQ108" t="s">
        <v>125</v>
      </c>
      <c r="AR108" s="33" t="s">
        <v>1554</v>
      </c>
      <c r="AU108" s="3">
        <f>IF(AND(G108&lt;&gt;"LIBSETS_SETTYPE_BATTLEGROUND",G108&lt;&gt;"LIBSETS_SETTYPE_SPECIAL"),IF(AV108&lt;&gt;"",VLOOKUP(AV108,'ESO zone constants'!$D$5:$H$4955,5,FALSE),""),"")</f>
        <v>181</v>
      </c>
      <c r="AV108" t="s">
        <v>125</v>
      </c>
      <c r="AW108" s="33" t="s">
        <v>3231</v>
      </c>
      <c r="AZ108" s="78" t="s">
        <v>2650</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884</v>
      </c>
      <c r="C109" t="s">
        <v>885</v>
      </c>
      <c r="D109" s="3">
        <f t="shared" si="10"/>
        <v>128</v>
      </c>
      <c r="E109" s="40"/>
      <c r="G109" s="8" t="s">
        <v>1471</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constants'!$B$4:$C$1012,2,FALSE),"")</f>
        <v>Included in base game</v>
      </c>
      <c r="V109" s="33" t="s">
        <v>1529</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3728</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2760</v>
      </c>
      <c r="AK109" s="3">
        <f>IF(AND(G109&lt;&gt;"LIBSETS_SETTYPE_BATTLEGROUND",G109&lt;&gt;"LIBSETS_SETTYPE_SPECIAL"),IF(AL109&lt;&gt;"",VLOOKUP(AL109,'ESO zone constants'!$D$5:$H$4955,5,FALSE),""),"")</f>
        <v>181</v>
      </c>
      <c r="AL109" t="s">
        <v>125</v>
      </c>
      <c r="AM109" s="33" t="s">
        <v>3731</v>
      </c>
      <c r="AP109" s="3">
        <f>IF(AND(G109&lt;&gt;"LIBSETS_SETTYPE_BATTLEGROUND",G109&lt;&gt;"LIBSETS_SETTYPE_SPECIAL"),IF(AQ109&lt;&gt;"",VLOOKUP(AQ109,'ESO zone constants'!$D$5:$H$4955,5,FALSE),""),"")</f>
        <v>181</v>
      </c>
      <c r="AQ109" t="s">
        <v>125</v>
      </c>
      <c r="AR109" s="33" t="s">
        <v>1554</v>
      </c>
      <c r="AU109" s="3">
        <f>IF(AND(G109&lt;&gt;"LIBSETS_SETTYPE_BATTLEGROUND",G109&lt;&gt;"LIBSETS_SETTYPE_SPECIAL"),IF(AV109&lt;&gt;"",VLOOKUP(AV109,'ESO zone constants'!$D$5:$H$4955,5,FALSE),""),"")</f>
        <v>181</v>
      </c>
      <c r="AV109" t="s">
        <v>125</v>
      </c>
      <c r="AW109" s="33" t="s">
        <v>3231</v>
      </c>
      <c r="AZ109" s="78" t="s">
        <v>2650</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886</v>
      </c>
      <c r="C110" t="s">
        <v>887</v>
      </c>
      <c r="D110" s="3">
        <f t="shared" si="10"/>
        <v>129</v>
      </c>
      <c r="G110" s="8" t="s">
        <v>1471</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constants'!$B$4:$C$1012,2,FALSE),"")</f>
        <v>Included in base game</v>
      </c>
      <c r="V110" s="33" t="s">
        <v>1527</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3728</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2760</v>
      </c>
      <c r="AK110" s="3">
        <f>IF(AND(G110&lt;&gt;"LIBSETS_SETTYPE_BATTLEGROUND",G110&lt;&gt;"LIBSETS_SETTYPE_SPECIAL"),IF(AL110&lt;&gt;"",VLOOKUP(AL110,'ESO zone constants'!$D$5:$H$4955,5,FALSE),""),"")</f>
        <v>181</v>
      </c>
      <c r="AL110" t="s">
        <v>125</v>
      </c>
      <c r="AM110" s="33" t="s">
        <v>3731</v>
      </c>
      <c r="AP110" s="3">
        <f>IF(AND(G110&lt;&gt;"LIBSETS_SETTYPE_BATTLEGROUND",G110&lt;&gt;"LIBSETS_SETTYPE_SPECIAL"),IF(AQ110&lt;&gt;"",VLOOKUP(AQ110,'ESO zone constants'!$D$5:$H$4955,5,FALSE),""),"")</f>
        <v>181</v>
      </c>
      <c r="AQ110" t="s">
        <v>125</v>
      </c>
      <c r="AR110" s="33" t="s">
        <v>1554</v>
      </c>
      <c r="AU110" s="3">
        <f>IF(AND(G110&lt;&gt;"LIBSETS_SETTYPE_BATTLEGROUND",G110&lt;&gt;"LIBSETS_SETTYPE_SPECIAL"),IF(AV110&lt;&gt;"",VLOOKUP(AV110,'ESO zone constants'!$D$5:$H$4955,5,FALSE),""),"")</f>
        <v>181</v>
      </c>
      <c r="AV110" t="s">
        <v>125</v>
      </c>
      <c r="AW110" s="33" t="s">
        <v>3231</v>
      </c>
      <c r="AZ110" s="78" t="s">
        <v>2649</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888</v>
      </c>
      <c r="C111" t="s">
        <v>889</v>
      </c>
      <c r="D111" s="3">
        <f t="shared" si="10"/>
        <v>130</v>
      </c>
      <c r="G111" s="8" t="s">
        <v>1471</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constants'!$B$4:$C$1012,2,FALSE),"")</f>
        <v>Included in base game</v>
      </c>
      <c r="V111" s="33" t="s">
        <v>1527</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3728</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2760</v>
      </c>
      <c r="AK111" s="3">
        <f>IF(AND(G111&lt;&gt;"LIBSETS_SETTYPE_BATTLEGROUND",G111&lt;&gt;"LIBSETS_SETTYPE_SPECIAL"),IF(AL111&lt;&gt;"",VLOOKUP(AL111,'ESO zone constants'!$D$5:$H$4955,5,FALSE),""),"")</f>
        <v>181</v>
      </c>
      <c r="AL111" t="s">
        <v>125</v>
      </c>
      <c r="AM111" s="33" t="s">
        <v>3731</v>
      </c>
      <c r="AP111" s="3">
        <f>IF(AND(G111&lt;&gt;"LIBSETS_SETTYPE_BATTLEGROUND",G111&lt;&gt;"LIBSETS_SETTYPE_SPECIAL"),IF(AQ111&lt;&gt;"",VLOOKUP(AQ111,'ESO zone constants'!$D$5:$H$4955,5,FALSE),""),"")</f>
        <v>181</v>
      </c>
      <c r="AQ111" t="s">
        <v>125</v>
      </c>
      <c r="AR111" s="33" t="s">
        <v>1554</v>
      </c>
      <c r="AU111" s="3">
        <f>IF(AND(G111&lt;&gt;"LIBSETS_SETTYPE_BATTLEGROUND",G111&lt;&gt;"LIBSETS_SETTYPE_SPECIAL"),IF(AV111&lt;&gt;"",VLOOKUP(AV111,'ESO zone constants'!$D$5:$H$4955,5,FALSE),""),"")</f>
        <v>181</v>
      </c>
      <c r="AV111" t="s">
        <v>125</v>
      </c>
      <c r="AW111" s="33" t="s">
        <v>3231</v>
      </c>
      <c r="AZ111" s="78" t="s">
        <v>2650</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890</v>
      </c>
      <c r="C112" t="s">
        <v>891</v>
      </c>
      <c r="D112" s="3">
        <f t="shared" si="10"/>
        <v>131</v>
      </c>
      <c r="E112" s="40"/>
      <c r="G112" s="8" t="s">
        <v>1471</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constants'!$B$4:$C$1012,2,FALSE),"")</f>
        <v>Included in base game</v>
      </c>
      <c r="V112" s="33" t="s">
        <v>1529</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3728</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2760</v>
      </c>
      <c r="AK112" s="3">
        <f>IF(AND(G112&lt;&gt;"LIBSETS_SETTYPE_BATTLEGROUND",G112&lt;&gt;"LIBSETS_SETTYPE_SPECIAL"),IF(AL112&lt;&gt;"",VLOOKUP(AL112,'ESO zone constants'!$D$5:$H$4955,5,FALSE),""),"")</f>
        <v>181</v>
      </c>
      <c r="AL112" t="s">
        <v>125</v>
      </c>
      <c r="AM112" s="33" t="s">
        <v>3731</v>
      </c>
      <c r="AP112" s="3">
        <f>IF(AND(G112&lt;&gt;"LIBSETS_SETTYPE_BATTLEGROUND",G112&lt;&gt;"LIBSETS_SETTYPE_SPECIAL"),IF(AQ112&lt;&gt;"",VLOOKUP(AQ112,'ESO zone constants'!$D$5:$H$4955,5,FALSE),""),"")</f>
        <v>181</v>
      </c>
      <c r="AQ112" t="s">
        <v>125</v>
      </c>
      <c r="AR112" s="33" t="s">
        <v>1554</v>
      </c>
      <c r="AU112" s="3">
        <f>IF(AND(G112&lt;&gt;"LIBSETS_SETTYPE_BATTLEGROUND",G112&lt;&gt;"LIBSETS_SETTYPE_SPECIAL"),IF(AV112&lt;&gt;"",VLOOKUP(AV112,'ESO zone constants'!$D$5:$H$4955,5,FALSE),""),"")</f>
        <v>181</v>
      </c>
      <c r="AV112" t="s">
        <v>125</v>
      </c>
      <c r="AW112" s="33" t="s">
        <v>3231</v>
      </c>
      <c r="AZ112" s="78" t="s">
        <v>2650</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892</v>
      </c>
      <c r="C113" t="s">
        <v>893</v>
      </c>
      <c r="D113" s="3">
        <f t="shared" si="10"/>
        <v>132</v>
      </c>
      <c r="G113" s="8" t="s">
        <v>1471</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constants'!$B$4:$C$1012,2,FALSE),"")</f>
        <v>Included in base game</v>
      </c>
      <c r="V113" s="33" t="s">
        <v>1527</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3728</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2760</v>
      </c>
      <c r="AK113" s="3">
        <f>IF(AND(G113&lt;&gt;"LIBSETS_SETTYPE_BATTLEGROUND",G113&lt;&gt;"LIBSETS_SETTYPE_SPECIAL"),IF(AL113&lt;&gt;"",VLOOKUP(AL113,'ESO zone constants'!$D$5:$H$4955,5,FALSE),""),"")</f>
        <v>181</v>
      </c>
      <c r="AL113" t="s">
        <v>125</v>
      </c>
      <c r="AM113" s="33" t="s">
        <v>3731</v>
      </c>
      <c r="AP113" s="3">
        <f>IF(AND(G113&lt;&gt;"LIBSETS_SETTYPE_BATTLEGROUND",G113&lt;&gt;"LIBSETS_SETTYPE_SPECIAL"),IF(AQ113&lt;&gt;"",VLOOKUP(AQ113,'ESO zone constants'!$D$5:$H$4955,5,FALSE),""),"")</f>
        <v>181</v>
      </c>
      <c r="AQ113" t="s">
        <v>125</v>
      </c>
      <c r="AR113" s="33" t="s">
        <v>1554</v>
      </c>
      <c r="AU113" s="3">
        <f>IF(AND(G113&lt;&gt;"LIBSETS_SETTYPE_BATTLEGROUND",G113&lt;&gt;"LIBSETS_SETTYPE_SPECIAL"),IF(AV113&lt;&gt;"",VLOOKUP(AV113,'ESO zone constants'!$D$5:$H$4955,5,FALSE),""),"")</f>
        <v>181</v>
      </c>
      <c r="AV113" t="s">
        <v>125</v>
      </c>
      <c r="AW113" s="33" t="s">
        <v>3231</v>
      </c>
      <c r="AZ113" s="78" t="s">
        <v>2650</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894</v>
      </c>
      <c r="C114" t="s">
        <v>895</v>
      </c>
      <c r="D114" s="3">
        <f t="shared" si="10"/>
        <v>133</v>
      </c>
      <c r="E114" s="40"/>
      <c r="G114" s="8" t="s">
        <v>1471</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constants'!$B$4:$C$1012,2,FALSE),"")</f>
        <v>Included in base game</v>
      </c>
      <c r="V114" s="33" t="s">
        <v>2765</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3728</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2760</v>
      </c>
      <c r="AK114" s="3">
        <f>IF(AND(G114&lt;&gt;"LIBSETS_SETTYPE_BATTLEGROUND",G114&lt;&gt;"LIBSETS_SETTYPE_SPECIAL"),IF(AL114&lt;&gt;"",VLOOKUP(AL114,'ESO zone constants'!$D$5:$H$4955,5,FALSE),""),"")</f>
        <v>181</v>
      </c>
      <c r="AL114" t="s">
        <v>125</v>
      </c>
      <c r="AM114" s="33" t="s">
        <v>3731</v>
      </c>
      <c r="AP114" s="3">
        <f>IF(AND(G114&lt;&gt;"LIBSETS_SETTYPE_BATTLEGROUND",G114&lt;&gt;"LIBSETS_SETTYPE_SPECIAL"),IF(AQ114&lt;&gt;"",VLOOKUP(AQ114,'ESO zone constants'!$D$5:$H$4955,5,FALSE),""),"")</f>
        <v>181</v>
      </c>
      <c r="AQ114" t="s">
        <v>125</v>
      </c>
      <c r="AR114" s="33" t="s">
        <v>1554</v>
      </c>
      <c r="AU114" s="3">
        <f>IF(AND(G114&lt;&gt;"LIBSETS_SETTYPE_BATTLEGROUND",G114&lt;&gt;"LIBSETS_SETTYPE_SPECIAL"),IF(AV114&lt;&gt;"",VLOOKUP(AV114,'ESO zone constants'!$D$5:$H$4955,5,FALSE),""),"")</f>
        <v>181</v>
      </c>
      <c r="AV114" t="s">
        <v>125</v>
      </c>
      <c r="AW114" s="33" t="s">
        <v>3231</v>
      </c>
      <c r="AZ114" s="78" t="s">
        <v>2650</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896</v>
      </c>
      <c r="C115" t="s">
        <v>897</v>
      </c>
      <c r="D115" s="3">
        <f t="shared" si="10"/>
        <v>134</v>
      </c>
      <c r="G115" s="8" t="s">
        <v>1473</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constants'!$B$4:$C$1012,2,FALSE),"")</f>
        <v>Included in base game</v>
      </c>
      <c r="V115" s="33" t="s">
        <v>3280</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3280</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2649</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898</v>
      </c>
      <c r="C116" t="s">
        <v>2576</v>
      </c>
      <c r="D116" s="3">
        <f t="shared" si="10"/>
        <v>135</v>
      </c>
      <c r="E116"/>
      <c r="F116"/>
      <c r="G116" s="8" t="s">
        <v>1476</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constants'!$B$4:$C$1012,2,FALSE),"")</f>
        <v>Included in base game</v>
      </c>
      <c r="V116" s="33" t="s">
        <v>1554</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1555</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1556</v>
      </c>
      <c r="AI116" s="41"/>
      <c r="AJ116" s="41"/>
      <c r="AK116" s="3">
        <f>IF(AND(G116&lt;&gt;"LIBSETS_SETTYPE_BATTLEGROUND",G116&lt;&gt;"LIBSETS_SETTYPE_SPECIAL"),IF(AL116&lt;&gt;"",VLOOKUP(AL116,'ESO zone constants'!$D$5:$H$4955,5,FALSE),""),"")</f>
        <v>103</v>
      </c>
      <c r="AL116" t="s">
        <v>111</v>
      </c>
      <c r="AM116" s="33" t="s">
        <v>1557</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2649</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899</v>
      </c>
      <c r="C117" t="s">
        <v>900</v>
      </c>
      <c r="D117" s="3">
        <f t="shared" si="10"/>
        <v>136</v>
      </c>
      <c r="G117" s="8" t="s">
        <v>1477</v>
      </c>
      <c r="I117" t="s">
        <v>91</v>
      </c>
      <c r="J117" t="s">
        <v>91</v>
      </c>
      <c r="K117">
        <v>232</v>
      </c>
      <c r="L117">
        <v>232</v>
      </c>
      <c r="M117">
        <v>232</v>
      </c>
      <c r="O117" s="61" t="s">
        <v>443</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constants'!$B$4:$C$1012,2,FALSE),"")</f>
        <v>Included in base game</v>
      </c>
      <c r="V117" s="33" t="s">
        <v>3261</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3261</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3261</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2649</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901</v>
      </c>
      <c r="C118" t="s">
        <v>902</v>
      </c>
      <c r="D118" s="3">
        <f t="shared" si="10"/>
        <v>137</v>
      </c>
      <c r="E118" s="40"/>
      <c r="G118" s="8" t="s">
        <v>1477</v>
      </c>
      <c r="I118" t="s">
        <v>91</v>
      </c>
      <c r="J118" t="s">
        <v>91</v>
      </c>
      <c r="K118">
        <v>230</v>
      </c>
      <c r="L118">
        <v>230</v>
      </c>
      <c r="M118">
        <v>230</v>
      </c>
      <c r="O118" s="61" t="s">
        <v>440</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constants'!$B$4:$C$1012,2,FALSE),"")</f>
        <v>Included in base game</v>
      </c>
      <c r="V118" s="33" t="s">
        <v>3261</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3261</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3261</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2649</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903</v>
      </c>
      <c r="C119" t="s">
        <v>904</v>
      </c>
      <c r="D119" s="3">
        <f t="shared" si="10"/>
        <v>138</v>
      </c>
      <c r="G119" s="8" t="s">
        <v>1477</v>
      </c>
      <c r="I119" t="s">
        <v>91</v>
      </c>
      <c r="J119" t="s">
        <v>91</v>
      </c>
      <c r="K119">
        <v>231</v>
      </c>
      <c r="L119">
        <v>231</v>
      </c>
      <c r="M119">
        <v>231</v>
      </c>
      <c r="O119" s="61" t="s">
        <v>442</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constants'!$B$4:$C$1012,2,FALSE),"")</f>
        <v>Included in base game</v>
      </c>
      <c r="V119" s="33" t="s">
        <v>3261</v>
      </c>
      <c r="W119" s="100" t="s">
        <v>3736</v>
      </c>
      <c r="X119" s="100" t="s">
        <v>3737</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3261</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3261</v>
      </c>
      <c r="AI119" s="38"/>
      <c r="AJ119" s="38"/>
      <c r="AK119" s="3" t="str">
        <f>IF(AND(G119&lt;&gt;"LIBSETS_SETTYPE_BATTLEGROUND",G119&lt;&gt;"LIBSETS_SETTYPE_SPECIAL"),IF(AL119&lt;&gt;"",VLOOKUP(AL119,'ESO zone constants'!$D$5:$H$4955,5,FALSE),""),"")</f>
        <v/>
      </c>
      <c r="AN119" s="100"/>
      <c r="AO119" s="100"/>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2649</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905</v>
      </c>
      <c r="C120" t="s">
        <v>906</v>
      </c>
      <c r="D120" s="3">
        <f t="shared" si="10"/>
        <v>139</v>
      </c>
      <c r="G120" s="8" t="s">
        <v>1477</v>
      </c>
      <c r="I120" t="s">
        <v>91</v>
      </c>
      <c r="J120" t="s">
        <v>91</v>
      </c>
      <c r="K120">
        <v>232</v>
      </c>
      <c r="L120">
        <v>232</v>
      </c>
      <c r="M120">
        <v>232</v>
      </c>
      <c r="O120" s="61" t="s">
        <v>443</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constants'!$B$4:$C$1012,2,FALSE),"")</f>
        <v>Included in base game</v>
      </c>
      <c r="V120" s="33" t="s">
        <v>3261</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3261</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3261</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2649</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907</v>
      </c>
      <c r="C121" t="s">
        <v>908</v>
      </c>
      <c r="D121" s="3">
        <f t="shared" si="10"/>
        <v>140</v>
      </c>
      <c r="G121" s="8" t="s">
        <v>1477</v>
      </c>
      <c r="I121" t="s">
        <v>91</v>
      </c>
      <c r="J121" t="s">
        <v>91</v>
      </c>
      <c r="K121">
        <v>230</v>
      </c>
      <c r="L121">
        <v>230</v>
      </c>
      <c r="M121">
        <v>230</v>
      </c>
      <c r="O121" s="61" t="s">
        <v>440</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constants'!$B$4:$C$1012,2,FALSE),"")</f>
        <v>Included in base game</v>
      </c>
      <c r="V121" s="33" t="s">
        <v>3261</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3261</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3261</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2649</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909</v>
      </c>
      <c r="C122" t="s">
        <v>910</v>
      </c>
      <c r="D122" s="3">
        <f t="shared" si="10"/>
        <v>141</v>
      </c>
      <c r="G122" s="8" t="s">
        <v>1477</v>
      </c>
      <c r="I122" t="s">
        <v>91</v>
      </c>
      <c r="J122" t="s">
        <v>91</v>
      </c>
      <c r="K122">
        <v>231</v>
      </c>
      <c r="L122">
        <v>231</v>
      </c>
      <c r="M122">
        <v>231</v>
      </c>
      <c r="O122" s="61" t="s">
        <v>442</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constants'!$B$4:$C$1012,2,FALSE),"")</f>
        <v>Included in base game</v>
      </c>
      <c r="V122" s="33" t="s">
        <v>3261</v>
      </c>
      <c r="W122" s="100" t="s">
        <v>3736</v>
      </c>
      <c r="X122" s="100" t="s">
        <v>3737</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3261</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3261</v>
      </c>
      <c r="AI122" s="38"/>
      <c r="AJ122" s="38"/>
      <c r="AK122" s="3" t="str">
        <f>IF(AND(G122&lt;&gt;"LIBSETS_SETTYPE_BATTLEGROUND",G122&lt;&gt;"LIBSETS_SETTYPE_SPECIAL"),IF(AL122&lt;&gt;"",VLOOKUP(AL122,'ESO zone constants'!$D$5:$H$4955,5,FALSE),""),"")</f>
        <v/>
      </c>
      <c r="AN122" s="100"/>
      <c r="AO122" s="100"/>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2649</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911</v>
      </c>
      <c r="C123" t="s">
        <v>912</v>
      </c>
      <c r="D123" s="3">
        <f t="shared" si="10"/>
        <v>142</v>
      </c>
      <c r="G123" s="8" t="s">
        <v>1477</v>
      </c>
      <c r="I123" t="s">
        <v>91</v>
      </c>
      <c r="J123" t="s">
        <v>91</v>
      </c>
      <c r="K123">
        <v>231</v>
      </c>
      <c r="L123">
        <v>231</v>
      </c>
      <c r="M123">
        <v>231</v>
      </c>
      <c r="O123" s="61" t="s">
        <v>442</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constants'!$B$4:$C$1012,2,FALSE),"")</f>
        <v>Included in base game</v>
      </c>
      <c r="V123" s="33" t="s">
        <v>3261</v>
      </c>
      <c r="W123" s="100" t="s">
        <v>3736</v>
      </c>
      <c r="X123" s="100" t="s">
        <v>3737</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3261</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3261</v>
      </c>
      <c r="AI123" s="38"/>
      <c r="AJ123" s="38"/>
      <c r="AK123" s="3" t="str">
        <f>IF(AND(G123&lt;&gt;"LIBSETS_SETTYPE_BATTLEGROUND",G123&lt;&gt;"LIBSETS_SETTYPE_SPECIAL"),IF(AL123&lt;&gt;"",VLOOKUP(AL123,'ESO zone constants'!$D$5:$H$4955,5,FALSE),""),"")</f>
        <v/>
      </c>
      <c r="AN123" s="100"/>
      <c r="AO123" s="100"/>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2649</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913</v>
      </c>
      <c r="C124" t="s">
        <v>914</v>
      </c>
      <c r="D124" s="3">
        <f t="shared" si="10"/>
        <v>143</v>
      </c>
      <c r="G124" s="8" t="s">
        <v>1477</v>
      </c>
      <c r="I124" t="s">
        <v>91</v>
      </c>
      <c r="J124" t="s">
        <v>91</v>
      </c>
      <c r="K124">
        <v>230</v>
      </c>
      <c r="L124">
        <v>230</v>
      </c>
      <c r="M124">
        <v>230</v>
      </c>
      <c r="O124" s="61" t="s">
        <v>440</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constants'!$B$4:$C$1012,2,FALSE),"")</f>
        <v>Included in base game</v>
      </c>
      <c r="V124" s="33" t="s">
        <v>3261</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3261</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3261</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2649</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915</v>
      </c>
      <c r="C125" t="s">
        <v>916</v>
      </c>
      <c r="D125" s="3">
        <f t="shared" si="10"/>
        <v>144</v>
      </c>
      <c r="G125" s="8" t="s">
        <v>1477</v>
      </c>
      <c r="I125" t="s">
        <v>91</v>
      </c>
      <c r="J125" t="s">
        <v>91</v>
      </c>
      <c r="K125">
        <v>232</v>
      </c>
      <c r="L125">
        <v>232</v>
      </c>
      <c r="M125">
        <v>232</v>
      </c>
      <c r="O125" s="61" t="s">
        <v>443</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constants'!$B$4:$C$1012,2,FALSE),"")</f>
        <v>Included in base game</v>
      </c>
      <c r="V125" s="33" t="s">
        <v>3261</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3261</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3261</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2649</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917</v>
      </c>
      <c r="C126" t="s">
        <v>918</v>
      </c>
      <c r="D126" s="3">
        <f t="shared" si="10"/>
        <v>145</v>
      </c>
      <c r="E126" s="40"/>
      <c r="G126" s="8" t="s">
        <v>1476</v>
      </c>
      <c r="I126" t="s">
        <v>91</v>
      </c>
      <c r="J126" t="s">
        <v>91</v>
      </c>
      <c r="K126">
        <v>220</v>
      </c>
      <c r="L126">
        <v>220</v>
      </c>
      <c r="M126">
        <v>220</v>
      </c>
      <c r="O126" s="61" t="s">
        <v>563</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constants'!$B$4:$C$1012,2,FALSE),"")</f>
        <v>Blackwood</v>
      </c>
      <c r="V126" s="33" t="s">
        <v>1554</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1555</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1557</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2649</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919</v>
      </c>
      <c r="C127" t="s">
        <v>920</v>
      </c>
      <c r="D127" s="3">
        <f t="shared" si="10"/>
        <v>146</v>
      </c>
      <c r="E127" s="40"/>
      <c r="G127" s="8" t="s">
        <v>1476</v>
      </c>
      <c r="I127" t="s">
        <v>91</v>
      </c>
      <c r="J127" t="s">
        <v>91</v>
      </c>
      <c r="K127">
        <v>220</v>
      </c>
      <c r="L127">
        <v>220</v>
      </c>
      <c r="M127">
        <v>220</v>
      </c>
      <c r="O127" s="61" t="s">
        <v>563</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constants'!$B$4:$C$1012,2,FALSE),"")</f>
        <v>Blackwood</v>
      </c>
      <c r="V127" s="33" t="s">
        <v>1554</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1555</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1557</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2650</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921</v>
      </c>
      <c r="C128" t="s">
        <v>922</v>
      </c>
      <c r="D128" s="3">
        <f t="shared" si="10"/>
        <v>147</v>
      </c>
      <c r="E128" s="40"/>
      <c r="G128" s="8" t="s">
        <v>1476</v>
      </c>
      <c r="I128" t="s">
        <v>91</v>
      </c>
      <c r="J128" t="s">
        <v>91</v>
      </c>
      <c r="K128">
        <v>220</v>
      </c>
      <c r="L128">
        <v>220</v>
      </c>
      <c r="M128">
        <v>220</v>
      </c>
      <c r="O128" s="61" t="s">
        <v>563</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constants'!$B$4:$C$1012,2,FALSE),"")</f>
        <v>Blackwood</v>
      </c>
      <c r="V128" s="33" t="s">
        <v>1554</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1555</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1557</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2649</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923</v>
      </c>
      <c r="C129" t="s">
        <v>924</v>
      </c>
      <c r="D129" s="3">
        <f t="shared" si="10"/>
        <v>148</v>
      </c>
      <c r="G129" s="8" t="s">
        <v>1470</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constants'!$B$4:$C$1012,2,FALSE),"")</f>
        <v>Blackwood</v>
      </c>
      <c r="V129" s="33" t="s">
        <v>3283</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3283</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2650</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925</v>
      </c>
      <c r="C130" t="s">
        <v>926</v>
      </c>
      <c r="D130" s="3">
        <f t="shared" si="10"/>
        <v>155</v>
      </c>
      <c r="G130" s="8" t="s">
        <v>1473</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constants'!$B$4:$C$1012,2,FALSE),"")</f>
        <v>Included in base game</v>
      </c>
      <c r="V130" s="33" t="s">
        <v>3280</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3280</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2649</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927</v>
      </c>
      <c r="C131" t="s">
        <v>928</v>
      </c>
      <c r="D131" s="3">
        <f t="shared" ref="D131:D194" si="16">A131</f>
        <v>156</v>
      </c>
      <c r="G131" s="8" t="s">
        <v>1473</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constants'!$B$4:$C$1012,2,FALSE),"")</f>
        <v>Included in base game</v>
      </c>
      <c r="V131" s="33" t="s">
        <v>3280</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2649</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929</v>
      </c>
      <c r="C132" t="s">
        <v>930</v>
      </c>
      <c r="D132" s="3">
        <f t="shared" si="16"/>
        <v>157</v>
      </c>
      <c r="E132" s="40"/>
      <c r="G132" s="8" t="s">
        <v>1473</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constants'!$B$4:$C$1012,2,FALSE),"")</f>
        <v>Included in base game</v>
      </c>
      <c r="V132" s="33" t="s">
        <v>3280</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2649</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931</v>
      </c>
      <c r="C133" t="s">
        <v>932</v>
      </c>
      <c r="D133" s="3">
        <f t="shared" si="16"/>
        <v>158</v>
      </c>
      <c r="G133" s="8" t="s">
        <v>1473</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constants'!$B$4:$C$1012,2,FALSE),"")</f>
        <v>Included in base game</v>
      </c>
      <c r="V133" s="33" t="s">
        <v>3280</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3280</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2649</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933</v>
      </c>
      <c r="C134" t="s">
        <v>934</v>
      </c>
      <c r="D134" s="3">
        <f t="shared" si="16"/>
        <v>159</v>
      </c>
      <c r="G134" s="8" t="s">
        <v>1473</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constants'!$B$4:$C$1012,2,FALSE),"")</f>
        <v>Included in base game</v>
      </c>
      <c r="V134" s="33" t="s">
        <v>3280</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3280</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2649</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935</v>
      </c>
      <c r="C135" t="s">
        <v>936</v>
      </c>
      <c r="D135" s="3">
        <f t="shared" si="16"/>
        <v>160</v>
      </c>
      <c r="E135" s="40"/>
      <c r="G135" s="8" t="s">
        <v>1473</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constants'!$B$4:$C$1012,2,FALSE),"")</f>
        <v>Included in base game</v>
      </c>
      <c r="V135" s="33" t="s">
        <v>3280</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3280</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2649</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937</v>
      </c>
      <c r="C136" t="s">
        <v>938</v>
      </c>
      <c r="D136" s="3">
        <f t="shared" si="16"/>
        <v>161</v>
      </c>
      <c r="G136" s="8" t="s">
        <v>1470</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constants'!$B$4:$C$1012,2,FALSE),"")</f>
        <v>Blackwood</v>
      </c>
      <c r="V136" s="33" t="s">
        <v>3283</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3283</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2649</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939</v>
      </c>
      <c r="C137" t="s">
        <v>24</v>
      </c>
      <c r="D137" s="3">
        <f t="shared" si="16"/>
        <v>162</v>
      </c>
      <c r="G137" s="8" t="s">
        <v>1475</v>
      </c>
      <c r="H137" s="86">
        <v>2</v>
      </c>
      <c r="I137" t="s">
        <v>1462</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constants'!$B$4:$C$1012,2,FALSE),"")</f>
        <v>Included in base game</v>
      </c>
      <c r="V137" s="33" t="s">
        <v>1538</v>
      </c>
      <c r="W137" s="3" t="s">
        <v>1625</v>
      </c>
      <c r="X137" s="3" t="s">
        <v>1625</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2649</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940</v>
      </c>
      <c r="C138" t="s">
        <v>1</v>
      </c>
      <c r="D138" s="3">
        <f t="shared" si="16"/>
        <v>163</v>
      </c>
      <c r="E138" s="40"/>
      <c r="G138" s="8" t="s">
        <v>1475</v>
      </c>
      <c r="H138" s="86">
        <v>2</v>
      </c>
      <c r="I138" t="s">
        <v>1462</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constants'!$B$4:$C$1012,2,FALSE),"")</f>
        <v>Included in base game</v>
      </c>
      <c r="V138" s="33" t="s">
        <v>1538</v>
      </c>
      <c r="W138" s="3" t="s">
        <v>1357</v>
      </c>
      <c r="X138" s="3" t="s">
        <v>1629</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2649</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941</v>
      </c>
      <c r="C139" t="s">
        <v>11</v>
      </c>
      <c r="D139" s="3">
        <f t="shared" si="16"/>
        <v>164</v>
      </c>
      <c r="E139" s="40"/>
      <c r="G139" s="8" t="s">
        <v>1475</v>
      </c>
      <c r="H139" s="86">
        <v>3</v>
      </c>
      <c r="I139" t="s">
        <v>1462</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constants'!$B$4:$C$1012,2,FALSE),"")</f>
        <v>Imperial City</v>
      </c>
      <c r="V139" s="33" t="s">
        <v>1538</v>
      </c>
      <c r="W139" s="3" t="s">
        <v>1539</v>
      </c>
      <c r="X139" s="3" t="s">
        <v>1614</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2649</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942</v>
      </c>
      <c r="C140" t="s">
        <v>18</v>
      </c>
      <c r="D140" s="3">
        <f t="shared" si="16"/>
        <v>165</v>
      </c>
      <c r="G140" s="8" t="s">
        <v>1475</v>
      </c>
      <c r="H140" s="86">
        <v>2</v>
      </c>
      <c r="I140" t="s">
        <v>1462</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constants'!$B$4:$C$1012,2,FALSE),"")</f>
        <v>Included in base game</v>
      </c>
      <c r="V140" s="33" t="s">
        <v>1538</v>
      </c>
      <c r="W140" s="3" t="s">
        <v>1637</v>
      </c>
      <c r="X140" s="3" t="s">
        <v>1638</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2649</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943</v>
      </c>
      <c r="C141" t="s">
        <v>5</v>
      </c>
      <c r="D141" s="3">
        <f t="shared" si="16"/>
        <v>166</v>
      </c>
      <c r="G141" s="8" t="s">
        <v>1475</v>
      </c>
      <c r="H141" s="86">
        <v>2</v>
      </c>
      <c r="I141" t="s">
        <v>1462</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constants'!$B$4:$C$1012,2,FALSE),"")</f>
        <v>Included in base game</v>
      </c>
      <c r="V141" s="33" t="s">
        <v>1538</v>
      </c>
      <c r="W141" s="3" t="s">
        <v>1359</v>
      </c>
      <c r="X141" s="3" t="s">
        <v>1619</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2649</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944</v>
      </c>
      <c r="C142" t="s">
        <v>16</v>
      </c>
      <c r="D142" s="3">
        <f t="shared" si="16"/>
        <v>167</v>
      </c>
      <c r="G142" s="8" t="s">
        <v>1475</v>
      </c>
      <c r="H142" s="86">
        <v>2</v>
      </c>
      <c r="I142" t="s">
        <v>1462</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constants'!$B$4:$C$1012,2,FALSE),"")</f>
        <v>Included in base game</v>
      </c>
      <c r="V142" s="33" t="s">
        <v>1538</v>
      </c>
      <c r="W142" s="3" t="s">
        <v>1540</v>
      </c>
      <c r="X142" s="3" t="s">
        <v>1620</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2649</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1553</v>
      </c>
      <c r="D143" s="3">
        <f t="shared" si="16"/>
        <v>168</v>
      </c>
      <c r="G143" s="8" t="s">
        <v>1475</v>
      </c>
      <c r="H143" s="86">
        <v>1</v>
      </c>
      <c r="I143" t="s">
        <v>1462</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constants'!$B$4:$C$1012,2,FALSE),"")</f>
        <v>Included in base game</v>
      </c>
      <c r="V143" s="33" t="s">
        <v>1538</v>
      </c>
      <c r="W143" s="3" t="s">
        <v>1553</v>
      </c>
      <c r="X143" s="3" t="s">
        <v>1553</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2649</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1475</v>
      </c>
      <c r="H144" s="86">
        <v>1</v>
      </c>
      <c r="I144" t="s">
        <v>1462</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constants'!$B$4:$C$1012,2,FALSE),"")</f>
        <v>Included in base game</v>
      </c>
      <c r="V144" s="33" t="s">
        <v>1538</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2649</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945</v>
      </c>
      <c r="C145" t="s">
        <v>12</v>
      </c>
      <c r="D145" s="3">
        <f t="shared" si="16"/>
        <v>170</v>
      </c>
      <c r="G145" s="8" t="s">
        <v>1475</v>
      </c>
      <c r="H145" s="86">
        <v>2</v>
      </c>
      <c r="I145" t="s">
        <v>1462</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constants'!$B$4:$C$1012,2,FALSE),"")</f>
        <v>Included in base game</v>
      </c>
      <c r="V145" s="33" t="s">
        <v>1538</v>
      </c>
      <c r="W145" s="3" t="s">
        <v>1360</v>
      </c>
      <c r="X145" s="3" t="s">
        <v>1631</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2649</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946</v>
      </c>
      <c r="C146" t="s">
        <v>947</v>
      </c>
      <c r="D146" s="3">
        <f t="shared" si="16"/>
        <v>171</v>
      </c>
      <c r="G146" s="8" t="s">
        <v>1477</v>
      </c>
      <c r="I146" t="s">
        <v>91</v>
      </c>
      <c r="J146" t="s">
        <v>91</v>
      </c>
      <c r="K146">
        <v>230</v>
      </c>
      <c r="L146">
        <v>230</v>
      </c>
      <c r="M146">
        <v>230</v>
      </c>
      <c r="O146" s="61" t="s">
        <v>440</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constants'!$B$4:$C$1012,2,FALSE),"")</f>
        <v>Included in base game</v>
      </c>
      <c r="V146" s="33" t="s">
        <v>3261</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3261</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3261</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2649</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948</v>
      </c>
      <c r="C147" t="s">
        <v>949</v>
      </c>
      <c r="D147" s="3">
        <f t="shared" si="16"/>
        <v>172</v>
      </c>
      <c r="G147" s="8" t="s">
        <v>1477</v>
      </c>
      <c r="I147" t="s">
        <v>91</v>
      </c>
      <c r="J147" t="s">
        <v>91</v>
      </c>
      <c r="K147">
        <v>230</v>
      </c>
      <c r="L147">
        <v>230</v>
      </c>
      <c r="M147">
        <v>230</v>
      </c>
      <c r="O147" s="61" t="s">
        <v>442</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constants'!$B$4:$C$1012,2,FALSE),"")</f>
        <v>Included in base game</v>
      </c>
      <c r="V147" s="33" t="s">
        <v>3261</v>
      </c>
      <c r="W147" s="100" t="s">
        <v>3736</v>
      </c>
      <c r="X147" s="100" t="s">
        <v>3737</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3261</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3261</v>
      </c>
      <c r="AI147" s="38"/>
      <c r="AJ147" s="38"/>
      <c r="AK147" s="3" t="str">
        <f>IF(AND(G147&lt;&gt;"LIBSETS_SETTYPE_BATTLEGROUND",G147&lt;&gt;"LIBSETS_SETTYPE_SPECIAL"),IF(AL147&lt;&gt;"",VLOOKUP(AL147,'ESO zone constants'!$D$5:$H$4955,5,FALSE),""),"")</f>
        <v/>
      </c>
      <c r="AN147" s="100"/>
      <c r="AO147" s="100"/>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2649</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950</v>
      </c>
      <c r="C148" t="s">
        <v>951</v>
      </c>
      <c r="D148" s="3">
        <f t="shared" si="16"/>
        <v>173</v>
      </c>
      <c r="G148" s="8" t="s">
        <v>1477</v>
      </c>
      <c r="I148" t="s">
        <v>91</v>
      </c>
      <c r="J148" t="s">
        <v>91</v>
      </c>
      <c r="K148">
        <v>230</v>
      </c>
      <c r="L148">
        <v>230</v>
      </c>
      <c r="M148">
        <v>230</v>
      </c>
      <c r="O148" s="61" t="s">
        <v>443</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constants'!$B$4:$C$1012,2,FALSE),"")</f>
        <v>Included in base game</v>
      </c>
      <c r="V148" s="33" t="s">
        <v>3261</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3261</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3261</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2649</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952</v>
      </c>
      <c r="C149" t="s">
        <v>2577</v>
      </c>
      <c r="D149" s="3">
        <f t="shared" si="16"/>
        <v>176</v>
      </c>
      <c r="G149" s="8" t="s">
        <v>1470</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constants'!$B$4:$C$1012,2,FALSE),"")</f>
        <v>Included in base game</v>
      </c>
      <c r="V149" s="33" t="s">
        <v>3283</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2649</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953</v>
      </c>
      <c r="C150" t="s">
        <v>954</v>
      </c>
      <c r="D150" s="3">
        <f t="shared" si="16"/>
        <v>177</v>
      </c>
      <c r="G150" s="8" t="s">
        <v>1470</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constants'!$B$4:$C$1012,2,FALSE),"")</f>
        <v>Included in base game</v>
      </c>
      <c r="V150" s="33" t="s">
        <v>3283</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2649</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955</v>
      </c>
      <c r="C151" t="s">
        <v>956</v>
      </c>
      <c r="D151" s="3">
        <f t="shared" si="16"/>
        <v>178</v>
      </c>
      <c r="G151" s="8" t="s">
        <v>1470</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constants'!$B$4:$C$1012,2,FALSE),"")</f>
        <v>Included in base game</v>
      </c>
      <c r="V151" s="33" t="s">
        <v>3283</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2649</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957</v>
      </c>
      <c r="C152" t="s">
        <v>958</v>
      </c>
      <c r="D152" s="3">
        <f t="shared" si="16"/>
        <v>179</v>
      </c>
      <c r="E152" s="40"/>
      <c r="G152" s="8" t="s">
        <v>1474</v>
      </c>
      <c r="I152" t="s">
        <v>91</v>
      </c>
      <c r="J152" t="s">
        <v>91</v>
      </c>
      <c r="K152">
        <v>-1</v>
      </c>
      <c r="L152">
        <v>-1</v>
      </c>
      <c r="M152">
        <v>-1</v>
      </c>
      <c r="O152" s="61" t="s">
        <v>446</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constants'!$B$4:$C$1012,2,FALSE),"")</f>
        <v>Morrowind</v>
      </c>
      <c r="V152" s="33" t="s">
        <v>2756</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3733</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2650</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959</v>
      </c>
      <c r="C153" t="s">
        <v>960</v>
      </c>
      <c r="D153" s="3">
        <f t="shared" si="16"/>
        <v>180</v>
      </c>
      <c r="G153" s="8" t="s">
        <v>1474</v>
      </c>
      <c r="I153" t="s">
        <v>91</v>
      </c>
      <c r="J153" t="s">
        <v>91</v>
      </c>
      <c r="K153">
        <v>-1</v>
      </c>
      <c r="L153">
        <v>-1</v>
      </c>
      <c r="M153">
        <v>-1</v>
      </c>
      <c r="O153" s="61" t="s">
        <v>446</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constants'!$B$4:$C$1012,2,FALSE),"")</f>
        <v>Morrowind</v>
      </c>
      <c r="V153" s="33" t="s">
        <v>2756</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3733</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2649</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961</v>
      </c>
      <c r="C154" t="s">
        <v>962</v>
      </c>
      <c r="D154" s="3">
        <f t="shared" si="16"/>
        <v>181</v>
      </c>
      <c r="G154" s="8" t="s">
        <v>1474</v>
      </c>
      <c r="I154" t="s">
        <v>91</v>
      </c>
      <c r="J154" t="s">
        <v>91</v>
      </c>
      <c r="K154">
        <v>-1</v>
      </c>
      <c r="L154">
        <v>-1</v>
      </c>
      <c r="M154">
        <v>-1</v>
      </c>
      <c r="O154" s="61" t="s">
        <v>446</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constants'!$B$4:$C$1012,2,FALSE),"")</f>
        <v>Morrowind</v>
      </c>
      <c r="V154" s="33" t="s">
        <v>2756</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3733</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2649</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1475</v>
      </c>
      <c r="H155" s="86">
        <v>3</v>
      </c>
      <c r="I155" t="s">
        <v>1462</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constants'!$B$4:$C$1012,2,FALSE),"")</f>
        <v>Imperial City</v>
      </c>
      <c r="V155" s="33" t="s">
        <v>1538</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2649</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963</v>
      </c>
      <c r="C156" t="s">
        <v>964</v>
      </c>
      <c r="D156" s="3">
        <f t="shared" si="16"/>
        <v>184</v>
      </c>
      <c r="E156" s="40"/>
      <c r="G156" s="8" t="s">
        <v>1473</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constants'!$B$4:$C$1012,2,FALSE),"")</f>
        <v>Imperial City</v>
      </c>
      <c r="V156" s="33" t="s">
        <v>3280</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1574</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2649</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965</v>
      </c>
      <c r="C157" t="s">
        <v>966</v>
      </c>
      <c r="D157" s="3">
        <f t="shared" si="16"/>
        <v>185</v>
      </c>
      <c r="G157" s="8" t="s">
        <v>1473</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constants'!$B$4:$C$1012,2,FALSE),"")</f>
        <v>Imperial City</v>
      </c>
      <c r="V157" s="33" t="s">
        <v>3280</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1574</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2649</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967</v>
      </c>
      <c r="C158" t="s">
        <v>968</v>
      </c>
      <c r="D158" s="3">
        <f t="shared" si="16"/>
        <v>186</v>
      </c>
      <c r="G158" s="8" t="s">
        <v>1473</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constants'!$B$4:$C$1012,2,FALSE),"")</f>
        <v>Included in base game</v>
      </c>
      <c r="V158" s="33" t="s">
        <v>3280</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2649</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969</v>
      </c>
      <c r="C159" t="s">
        <v>970</v>
      </c>
      <c r="D159" s="3">
        <f t="shared" si="16"/>
        <v>187</v>
      </c>
      <c r="G159" s="8" t="s">
        <v>1476</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constants'!$B$4:$C$1012,2,FALSE),"")</f>
        <v>Included in base game</v>
      </c>
      <c r="V159" s="33" t="s">
        <v>1554</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1555</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1556</v>
      </c>
      <c r="AI159" s="41"/>
      <c r="AJ159" s="41"/>
      <c r="AK159" s="3">
        <f>IF(AND(G159&lt;&gt;"LIBSETS_SETTYPE_BATTLEGROUND",G159&lt;&gt;"LIBSETS_SETTYPE_SPECIAL"),IF(AL159&lt;&gt;"",VLOOKUP(AL159,'ESO zone constants'!$D$5:$H$4955,5,FALSE),""),"")</f>
        <v>117</v>
      </c>
      <c r="AL159" t="s">
        <v>114</v>
      </c>
      <c r="AM159" s="33" t="s">
        <v>1557</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2650</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971</v>
      </c>
      <c r="C160" t="s">
        <v>972</v>
      </c>
      <c r="D160" s="3">
        <f t="shared" si="16"/>
        <v>188</v>
      </c>
      <c r="G160" s="8" t="s">
        <v>1473</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constants'!$B$4:$C$1012,2,FALSE),"")</f>
        <v>Included in base game</v>
      </c>
      <c r="V160" s="33" t="s">
        <v>3280</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2649</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973</v>
      </c>
      <c r="C161" t="s">
        <v>974</v>
      </c>
      <c r="D161" s="3">
        <f t="shared" si="16"/>
        <v>190</v>
      </c>
      <c r="G161" s="8" t="s">
        <v>1473</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constants'!$B$4:$C$1012,2,FALSE),"")</f>
        <v>Imperial City</v>
      </c>
      <c r="V161" s="33" t="s">
        <v>3280</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1574</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2649</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975</v>
      </c>
      <c r="C162" t="s">
        <v>976</v>
      </c>
      <c r="D162" s="3">
        <f t="shared" si="16"/>
        <v>193</v>
      </c>
      <c r="G162" s="8" t="s">
        <v>1473</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constants'!$B$4:$C$1012,2,FALSE),"")</f>
        <v>Included in base game</v>
      </c>
      <c r="V162" s="33" t="s">
        <v>3280</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2649</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977</v>
      </c>
      <c r="C163" t="s">
        <v>978</v>
      </c>
      <c r="D163" s="3">
        <f t="shared" si="16"/>
        <v>194</v>
      </c>
      <c r="G163" s="8" t="s">
        <v>1473</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constants'!$B$4:$C$1012,2,FALSE),"")</f>
        <v>Included in base game</v>
      </c>
      <c r="V163" s="33" t="s">
        <v>3280</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3280</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2649</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979</v>
      </c>
      <c r="C164" t="s">
        <v>980</v>
      </c>
      <c r="D164" s="3">
        <f t="shared" si="16"/>
        <v>195</v>
      </c>
      <c r="G164" s="8" t="s">
        <v>1473</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constants'!$B$4:$C$1012,2,FALSE),"")</f>
        <v>Imperial City</v>
      </c>
      <c r="V164" s="33" t="s">
        <v>3280</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1574</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2649</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981</v>
      </c>
      <c r="C165" t="s">
        <v>982</v>
      </c>
      <c r="D165" s="3">
        <f t="shared" si="16"/>
        <v>196</v>
      </c>
      <c r="G165" s="8" t="s">
        <v>1473</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constants'!$B$4:$C$1012,2,FALSE),"")</f>
        <v>Imperial City</v>
      </c>
      <c r="V165" s="33" t="s">
        <v>3280</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1574</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2649</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983</v>
      </c>
      <c r="C166" t="s">
        <v>984</v>
      </c>
      <c r="D166" s="3">
        <f t="shared" si="16"/>
        <v>197</v>
      </c>
      <c r="G166" s="8" t="s">
        <v>1473</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constants'!$B$4:$C$1012,2,FALSE),"")</f>
        <v>Included in base game</v>
      </c>
      <c r="V166" s="33" t="s">
        <v>3280</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3280</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2649</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985</v>
      </c>
      <c r="C167" t="s">
        <v>986</v>
      </c>
      <c r="D167" s="3">
        <f t="shared" si="16"/>
        <v>198</v>
      </c>
      <c r="G167" s="8" t="s">
        <v>1473</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constants'!$B$4:$C$1012,2,FALSE),"")</f>
        <v>Imperial City</v>
      </c>
      <c r="V167" s="33" t="s">
        <v>3280</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1574</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2649</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987</v>
      </c>
      <c r="C168" t="s">
        <v>988</v>
      </c>
      <c r="D168" s="3">
        <f t="shared" si="16"/>
        <v>199</v>
      </c>
      <c r="G168" s="8" t="s">
        <v>1474</v>
      </c>
      <c r="I168" t="s">
        <v>91</v>
      </c>
      <c r="J168" t="s">
        <v>91</v>
      </c>
      <c r="K168">
        <v>-1</v>
      </c>
      <c r="L168">
        <v>-1</v>
      </c>
      <c r="M168">
        <v>-1</v>
      </c>
      <c r="O168" s="61" t="s">
        <v>446</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constants'!$B$4:$C$1012,2,FALSE),"")</f>
        <v>Morrowind</v>
      </c>
      <c r="V168" s="33" t="s">
        <v>2756</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3733</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2650</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989</v>
      </c>
      <c r="C169" t="s">
        <v>990</v>
      </c>
      <c r="D169" s="3">
        <f t="shared" si="16"/>
        <v>200</v>
      </c>
      <c r="G169" s="8" t="s">
        <v>1474</v>
      </c>
      <c r="I169" t="s">
        <v>91</v>
      </c>
      <c r="J169" t="s">
        <v>91</v>
      </c>
      <c r="K169">
        <v>-1</v>
      </c>
      <c r="L169">
        <v>-1</v>
      </c>
      <c r="M169">
        <v>-1</v>
      </c>
      <c r="O169" s="61" t="s">
        <v>446</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constants'!$B$4:$C$1012,2,FALSE),"")</f>
        <v>Morrowind</v>
      </c>
      <c r="V169" s="33" t="s">
        <v>2756</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3733</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2649</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991</v>
      </c>
      <c r="C170" t="s">
        <v>992</v>
      </c>
      <c r="D170" s="3">
        <f t="shared" si="16"/>
        <v>201</v>
      </c>
      <c r="G170" s="8" t="s">
        <v>1474</v>
      </c>
      <c r="I170" t="s">
        <v>91</v>
      </c>
      <c r="J170" t="s">
        <v>91</v>
      </c>
      <c r="K170">
        <v>-1</v>
      </c>
      <c r="L170">
        <v>-1</v>
      </c>
      <c r="M170">
        <v>-1</v>
      </c>
      <c r="O170" s="61" t="s">
        <v>446</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constants'!$B$4:$C$1012,2,FALSE),"")</f>
        <v>Morrowind</v>
      </c>
      <c r="V170" s="33" t="s">
        <v>2756</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3733</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2649</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993</v>
      </c>
      <c r="C171" t="s">
        <v>994</v>
      </c>
      <c r="D171" s="3">
        <f t="shared" si="16"/>
        <v>204</v>
      </c>
      <c r="G171" s="8" t="s">
        <v>1472</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constants'!$B$4:$C$1012,2,FALSE),"")</f>
        <v>Included in base game</v>
      </c>
      <c r="V171" s="33" t="s">
        <v>1574</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1571</v>
      </c>
      <c r="AC171" s="3" t="s">
        <v>3285</v>
      </c>
      <c r="AD171" s="3" t="s">
        <v>3286</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2650</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995</v>
      </c>
      <c r="C172" t="s">
        <v>996</v>
      </c>
      <c r="D172" s="3">
        <f t="shared" si="16"/>
        <v>205</v>
      </c>
      <c r="G172" s="8" t="s">
        <v>1472</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constants'!$B$4:$C$1012,2,FALSE),"")</f>
        <v>Included in base game</v>
      </c>
      <c r="V172" s="33" t="s">
        <v>1574</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1571</v>
      </c>
      <c r="AC172" s="3" t="s">
        <v>3285</v>
      </c>
      <c r="AD172" s="3" t="s">
        <v>3286</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2650</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997</v>
      </c>
      <c r="C173" t="s">
        <v>998</v>
      </c>
      <c r="D173" s="3">
        <f t="shared" si="16"/>
        <v>206</v>
      </c>
      <c r="G173" s="8" t="s">
        <v>1472</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constants'!$B$4:$C$1012,2,FALSE),"")</f>
        <v>Included in base game</v>
      </c>
      <c r="V173" s="33" t="s">
        <v>1574</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1571</v>
      </c>
      <c r="AC173" s="3" t="s">
        <v>3285</v>
      </c>
      <c r="AD173" s="3" t="s">
        <v>3286</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2650</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999</v>
      </c>
      <c r="C174" t="s">
        <v>1000</v>
      </c>
      <c r="D174" s="3">
        <f t="shared" si="16"/>
        <v>207</v>
      </c>
      <c r="G174" s="8" t="s">
        <v>1470</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constants'!$B$4:$C$1012,2,FALSE),"")</f>
        <v>Summerset</v>
      </c>
      <c r="V174" s="33" t="s">
        <v>3283</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3283</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2650</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1001</v>
      </c>
      <c r="C175" t="s">
        <v>1002</v>
      </c>
      <c r="D175" s="3">
        <f t="shared" si="16"/>
        <v>208</v>
      </c>
      <c r="G175" s="8" t="s">
        <v>1470</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constants'!$B$4:$C$1012,2,FALSE),"")</f>
        <v>Summerset</v>
      </c>
      <c r="V175" s="33" t="s">
        <v>3283</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3283</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2650</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1003</v>
      </c>
      <c r="C176" t="s">
        <v>1003</v>
      </c>
      <c r="D176" s="25">
        <f t="shared" si="16"/>
        <v>209</v>
      </c>
      <c r="E176" s="90" t="s">
        <v>1460</v>
      </c>
      <c r="F176" s="14" t="s">
        <v>1460</v>
      </c>
      <c r="G176" s="27" t="s">
        <v>1470</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constants'!$B$4:$C$1012,2,FALSE),"")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2649</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1004</v>
      </c>
      <c r="C177" t="s">
        <v>1005</v>
      </c>
      <c r="D177" s="3">
        <f t="shared" si="16"/>
        <v>210</v>
      </c>
      <c r="G177" s="8" t="s">
        <v>1476</v>
      </c>
      <c r="I177" t="s">
        <v>91</v>
      </c>
      <c r="J177" t="s">
        <v>91</v>
      </c>
      <c r="K177">
        <v>244</v>
      </c>
      <c r="L177">
        <v>244</v>
      </c>
      <c r="M177">
        <v>244</v>
      </c>
      <c r="O177" s="61" t="s">
        <v>450</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constants'!$B$4:$C$1012,2,FALSE),"")</f>
        <v>Summerset</v>
      </c>
      <c r="V177" s="33" t="s">
        <v>1554</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1555</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1556</v>
      </c>
      <c r="AI177" s="41"/>
      <c r="AJ177" s="41"/>
      <c r="AK177" s="3">
        <f>IF(AND(G177&lt;&gt;"LIBSETS_SETTYPE_BATTLEGROUND",G177&lt;&gt;"LIBSETS_SETTYPE_SPECIAL"),IF(AL177&lt;&gt;"",VLOOKUP(AL177,'ESO zone constants'!$D$5:$H$4955,5,FALSE),""),"")</f>
        <v>684</v>
      </c>
      <c r="AL177" t="s">
        <v>450</v>
      </c>
      <c r="AM177" s="33" t="s">
        <v>1557</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2650</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1006</v>
      </c>
      <c r="C178" t="s">
        <v>1006</v>
      </c>
      <c r="D178" s="3">
        <f t="shared" si="16"/>
        <v>211</v>
      </c>
      <c r="G178" s="8" t="s">
        <v>1468</v>
      </c>
      <c r="I178" t="s">
        <v>91</v>
      </c>
      <c r="J178" t="s">
        <v>91</v>
      </c>
      <c r="K178">
        <v>249</v>
      </c>
      <c r="L178">
        <v>249</v>
      </c>
      <c r="M178">
        <v>249</v>
      </c>
      <c r="O178" s="61" t="s">
        <v>449</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constants'!$B$4:$C$1012,2,FALSE),"")</f>
        <v>Summerset</v>
      </c>
      <c r="V178" s="33" t="s">
        <v>1550</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1550</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2650</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1007</v>
      </c>
      <c r="C179" t="s">
        <v>1008</v>
      </c>
      <c r="D179" s="3">
        <f t="shared" si="16"/>
        <v>212</v>
      </c>
      <c r="E179" s="40"/>
      <c r="G179" s="8" t="s">
        <v>1476</v>
      </c>
      <c r="I179" t="s">
        <v>91</v>
      </c>
      <c r="J179" t="s">
        <v>91</v>
      </c>
      <c r="K179">
        <v>244</v>
      </c>
      <c r="L179">
        <v>244</v>
      </c>
      <c r="M179">
        <v>244</v>
      </c>
      <c r="O179" s="61" t="s">
        <v>450</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constants'!$B$4:$C$1012,2,FALSE),"")</f>
        <v>Summerset</v>
      </c>
      <c r="V179" s="33" t="s">
        <v>1554</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1555</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1556</v>
      </c>
      <c r="AI179" s="41"/>
      <c r="AJ179" s="41"/>
      <c r="AK179" s="3">
        <f>IF(AND(G179&lt;&gt;"LIBSETS_SETTYPE_BATTLEGROUND",G179&lt;&gt;"LIBSETS_SETTYPE_SPECIAL"),IF(AL179&lt;&gt;"",VLOOKUP(AL179,'ESO zone constants'!$D$5:$H$4955,5,FALSE),""),"")</f>
        <v>684</v>
      </c>
      <c r="AL179" t="s">
        <v>450</v>
      </c>
      <c r="AM179" s="33" t="s">
        <v>1557</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2649</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1009</v>
      </c>
      <c r="C180" t="s">
        <v>1010</v>
      </c>
      <c r="D180" s="3">
        <f t="shared" si="16"/>
        <v>213</v>
      </c>
      <c r="G180" s="8" t="s">
        <v>1468</v>
      </c>
      <c r="I180" t="s">
        <v>91</v>
      </c>
      <c r="J180" t="s">
        <v>91</v>
      </c>
      <c r="K180">
        <v>249</v>
      </c>
      <c r="L180">
        <v>249</v>
      </c>
      <c r="M180">
        <v>249</v>
      </c>
      <c r="O180" s="61" t="s">
        <v>449</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constants'!$B$4:$C$1012,2,FALSE),"")</f>
        <v>Summerset</v>
      </c>
      <c r="V180" s="33" t="s">
        <v>1550</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1550</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2649</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1011</v>
      </c>
      <c r="C181" t="s">
        <v>1011</v>
      </c>
      <c r="D181" s="3">
        <f t="shared" si="16"/>
        <v>214</v>
      </c>
      <c r="G181" s="8" t="s">
        <v>1468</v>
      </c>
      <c r="I181" t="s">
        <v>91</v>
      </c>
      <c r="J181" t="s">
        <v>91</v>
      </c>
      <c r="K181">
        <v>249</v>
      </c>
      <c r="L181">
        <v>249</v>
      </c>
      <c r="M181">
        <v>249</v>
      </c>
      <c r="O181" s="61" t="s">
        <v>449</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constants'!$B$4:$C$1012,2,FALSE),"")</f>
        <v>Summerset</v>
      </c>
      <c r="V181" s="33" t="s">
        <v>1550</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1550</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2649</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1012</v>
      </c>
      <c r="C182" t="s">
        <v>1013</v>
      </c>
      <c r="D182" s="3">
        <f t="shared" si="16"/>
        <v>215</v>
      </c>
      <c r="G182" s="8" t="s">
        <v>1468</v>
      </c>
      <c r="I182" t="s">
        <v>91</v>
      </c>
      <c r="J182" t="s">
        <v>91</v>
      </c>
      <c r="K182">
        <v>249</v>
      </c>
      <c r="L182">
        <v>249</v>
      </c>
      <c r="M182">
        <v>249</v>
      </c>
      <c r="O182" s="61" t="s">
        <v>449</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constants'!$B$4:$C$1012,2,FALSE),"")</f>
        <v>Summerset</v>
      </c>
      <c r="V182" s="33" t="s">
        <v>1550</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1550</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2649</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1014</v>
      </c>
      <c r="C183" t="s">
        <v>1015</v>
      </c>
      <c r="D183" s="3">
        <f t="shared" si="16"/>
        <v>216</v>
      </c>
      <c r="G183" s="8" t="s">
        <v>1468</v>
      </c>
      <c r="I183" t="s">
        <v>91</v>
      </c>
      <c r="J183" t="s">
        <v>91</v>
      </c>
      <c r="K183">
        <v>249</v>
      </c>
      <c r="L183">
        <v>249</v>
      </c>
      <c r="M183">
        <v>249</v>
      </c>
      <c r="O183" s="61" t="s">
        <v>449</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constants'!$B$4:$C$1012,2,FALSE),"")</f>
        <v>Summerset</v>
      </c>
      <c r="V183" s="33" t="s">
        <v>1550</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1550</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2649</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1016</v>
      </c>
      <c r="C184" t="s">
        <v>1017</v>
      </c>
      <c r="D184" s="3">
        <f t="shared" si="16"/>
        <v>217</v>
      </c>
      <c r="G184" s="8" t="s">
        <v>1468</v>
      </c>
      <c r="I184" t="s">
        <v>91</v>
      </c>
      <c r="J184" t="s">
        <v>91</v>
      </c>
      <c r="K184">
        <v>249</v>
      </c>
      <c r="L184">
        <v>249</v>
      </c>
      <c r="M184">
        <v>249</v>
      </c>
      <c r="O184" s="61" t="s">
        <v>449</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constants'!$B$4:$C$1012,2,FALSE),"")</f>
        <v>Summerset</v>
      </c>
      <c r="V184" s="33" t="s">
        <v>1550</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1550</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2649</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1018</v>
      </c>
      <c r="C185" t="s">
        <v>2578</v>
      </c>
      <c r="D185" s="3">
        <f t="shared" si="16"/>
        <v>218</v>
      </c>
      <c r="G185" s="8" t="s">
        <v>1476</v>
      </c>
      <c r="I185" t="s">
        <v>91</v>
      </c>
      <c r="J185" t="s">
        <v>91</v>
      </c>
      <c r="K185">
        <v>244</v>
      </c>
      <c r="L185">
        <v>244</v>
      </c>
      <c r="M185">
        <v>244</v>
      </c>
      <c r="O185" s="61" t="s">
        <v>450</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constants'!$B$4:$C$1012,2,FALSE),"")</f>
        <v>Summerset</v>
      </c>
      <c r="V185" s="33" t="s">
        <v>1554</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1555</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1556</v>
      </c>
      <c r="AI185" s="41"/>
      <c r="AJ185" s="41"/>
      <c r="AK185" s="3">
        <f>IF(AND(G185&lt;&gt;"LIBSETS_SETTYPE_BATTLEGROUND",G185&lt;&gt;"LIBSETS_SETTYPE_SPECIAL"),IF(AL185&lt;&gt;"",VLOOKUP(AL185,'ESO zone constants'!$D$5:$H$4955,5,FALSE),""),"")</f>
        <v>684</v>
      </c>
      <c r="AL185" t="s">
        <v>450</v>
      </c>
      <c r="AM185" s="33" t="s">
        <v>1557</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2649</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1019</v>
      </c>
      <c r="C186" t="s">
        <v>1019</v>
      </c>
      <c r="D186" s="3">
        <f t="shared" si="16"/>
        <v>219</v>
      </c>
      <c r="G186" s="8" t="s">
        <v>1470</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constants'!$B$4:$C$1012,2,FALSE),"")</f>
        <v>Summerset</v>
      </c>
      <c r="V186" s="33" t="s">
        <v>3283</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3283</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2649</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1020</v>
      </c>
      <c r="C187" t="s">
        <v>2579</v>
      </c>
      <c r="D187" s="3">
        <f t="shared" si="16"/>
        <v>224</v>
      </c>
      <c r="G187" s="8" t="s">
        <v>1470</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constants'!$B$4:$C$1012,2,FALSE),"")</f>
        <v>Greymoor</v>
      </c>
      <c r="V187" s="33" t="s">
        <v>3283</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3283</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2649</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1021</v>
      </c>
      <c r="C188" t="s">
        <v>1022</v>
      </c>
      <c r="D188" s="3">
        <f t="shared" si="16"/>
        <v>225</v>
      </c>
      <c r="E188" s="40"/>
      <c r="G188" s="8" t="s">
        <v>1470</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constants'!$B$4:$C$1012,2,FALSE),"")</f>
        <v>Greymoor</v>
      </c>
      <c r="V188" s="33" t="s">
        <v>3283</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3283</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2649</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1023</v>
      </c>
      <c r="C189" t="s">
        <v>1024</v>
      </c>
      <c r="D189" s="3">
        <f t="shared" si="16"/>
        <v>226</v>
      </c>
      <c r="G189" s="8" t="s">
        <v>1470</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constants'!$B$4:$C$1012,2,FALSE),"")</f>
        <v>Greymoor</v>
      </c>
      <c r="V189" s="33" t="s">
        <v>3283</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3283</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2649</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1025</v>
      </c>
      <c r="C190" t="s">
        <v>2580</v>
      </c>
      <c r="D190" s="3">
        <f t="shared" si="16"/>
        <v>227</v>
      </c>
      <c r="G190" s="8" t="s">
        <v>1476</v>
      </c>
      <c r="I190" t="s">
        <v>91</v>
      </c>
      <c r="J190" t="s">
        <v>91</v>
      </c>
      <c r="K190">
        <v>255</v>
      </c>
      <c r="L190">
        <v>255</v>
      </c>
      <c r="M190">
        <v>255</v>
      </c>
      <c r="O190" s="61" t="s">
        <v>507</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constants'!$B$4:$C$1012,2,FALSE),"")</f>
        <v>Greymoor</v>
      </c>
      <c r="V190" s="33" t="s">
        <v>1554</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1555</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1557</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2650</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1026</v>
      </c>
      <c r="C191" t="s">
        <v>2581</v>
      </c>
      <c r="D191" s="3">
        <f t="shared" si="16"/>
        <v>228</v>
      </c>
      <c r="G191" s="8" t="s">
        <v>1476</v>
      </c>
      <c r="I191" t="s">
        <v>91</v>
      </c>
      <c r="J191" t="s">
        <v>91</v>
      </c>
      <c r="K191">
        <v>255</v>
      </c>
      <c r="L191">
        <v>255</v>
      </c>
      <c r="M191">
        <v>255</v>
      </c>
      <c r="O191" s="61" t="s">
        <v>507</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constants'!$B$4:$C$1012,2,FALSE),"")</f>
        <v>Greymoor</v>
      </c>
      <c r="V191" s="33" t="s">
        <v>1554</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1555</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1557</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2650</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1027</v>
      </c>
      <c r="C192" t="s">
        <v>1028</v>
      </c>
      <c r="D192" s="3">
        <f t="shared" si="16"/>
        <v>229</v>
      </c>
      <c r="G192" s="8" t="s">
        <v>1477</v>
      </c>
      <c r="I192" t="s">
        <v>91</v>
      </c>
      <c r="J192" t="s">
        <v>91</v>
      </c>
      <c r="K192">
        <v>258</v>
      </c>
      <c r="L192">
        <v>258</v>
      </c>
      <c r="M192">
        <v>258</v>
      </c>
      <c r="O192" s="61" t="s">
        <v>475</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constants'!$B$4:$C$1012,2,FALSE),"")</f>
        <v>Thieves Guild</v>
      </c>
      <c r="V192" s="33" t="s">
        <v>3261</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3261</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3261</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2649</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1029</v>
      </c>
      <c r="C193" t="s">
        <v>1030</v>
      </c>
      <c r="D193" s="3">
        <f t="shared" si="16"/>
        <v>230</v>
      </c>
      <c r="G193" s="8" t="s">
        <v>1477</v>
      </c>
      <c r="I193" t="s">
        <v>91</v>
      </c>
      <c r="J193" t="s">
        <v>91</v>
      </c>
      <c r="K193">
        <v>258</v>
      </c>
      <c r="L193">
        <v>258</v>
      </c>
      <c r="M193">
        <v>258</v>
      </c>
      <c r="O193" s="61" t="s">
        <v>475</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constants'!$B$4:$C$1012,2,FALSE),"")</f>
        <v>Thieves Guild</v>
      </c>
      <c r="V193" s="33" t="s">
        <v>3261</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3261</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3261</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2649</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1031</v>
      </c>
      <c r="C194" t="s">
        <v>1032</v>
      </c>
      <c r="D194" s="3">
        <f t="shared" si="16"/>
        <v>231</v>
      </c>
      <c r="G194" s="8" t="s">
        <v>1477</v>
      </c>
      <c r="I194" t="s">
        <v>91</v>
      </c>
      <c r="J194" t="s">
        <v>91</v>
      </c>
      <c r="K194">
        <v>258</v>
      </c>
      <c r="L194">
        <v>258</v>
      </c>
      <c r="M194">
        <v>258</v>
      </c>
      <c r="O194" s="61" t="s">
        <v>475</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constants'!$B$4:$C$1012,2,FALSE),"")</f>
        <v>Thieves Guild</v>
      </c>
      <c r="V194" s="33" t="s">
        <v>3261</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3261</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3261</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2649</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1033</v>
      </c>
      <c r="C195" t="s">
        <v>1034</v>
      </c>
      <c r="D195" s="3">
        <f t="shared" ref="D195:D258" si="22">A195</f>
        <v>232</v>
      </c>
      <c r="G195" s="8" t="s">
        <v>1477</v>
      </c>
      <c r="I195" t="s">
        <v>91</v>
      </c>
      <c r="J195" t="s">
        <v>91</v>
      </c>
      <c r="K195">
        <v>258</v>
      </c>
      <c r="L195">
        <v>258</v>
      </c>
      <c r="M195">
        <v>258</v>
      </c>
      <c r="O195" s="61" t="s">
        <v>475</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constants'!$B$4:$C$1012,2,FALSE),"")</f>
        <v>Thieves Guild</v>
      </c>
      <c r="V195" s="33" t="s">
        <v>3261</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3261</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3261</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2649</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1035</v>
      </c>
      <c r="C196" t="s">
        <v>2582</v>
      </c>
      <c r="D196" s="3">
        <f t="shared" si="22"/>
        <v>234</v>
      </c>
      <c r="G196" s="8" t="s">
        <v>1471</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constants'!$B$4:$C$1012,2,FALSE),"")</f>
        <v>Included in base game</v>
      </c>
      <c r="V196" s="33" t="s">
        <v>1535</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3728</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9" t="s">
        <v>2760</v>
      </c>
      <c r="AK196" s="3">
        <f>IF(AND(G196&lt;&gt;"LIBSETS_SETTYPE_BATTLEGROUND",G196&lt;&gt;"LIBSETS_SETTYPE_SPECIAL"),IF(AL196&lt;&gt;"",VLOOKUP(AL196,'ESO zone constants'!$D$5:$H$4955,5,FALSE),""),"")</f>
        <v>181</v>
      </c>
      <c r="AL196" t="s">
        <v>125</v>
      </c>
      <c r="AM196" s="33" t="s">
        <v>3731</v>
      </c>
      <c r="AP196" s="3">
        <f>IF(AND(G196&lt;&gt;"LIBSETS_SETTYPE_BATTLEGROUND",G196&lt;&gt;"LIBSETS_SETTYPE_SPECIAL"),IF(AQ196&lt;&gt;"",VLOOKUP(AQ196,'ESO zone constants'!$D$5:$H$4955,5,FALSE),""),"")</f>
        <v>181</v>
      </c>
      <c r="AQ196" t="s">
        <v>125</v>
      </c>
      <c r="AR196" s="33" t="s">
        <v>1554</v>
      </c>
      <c r="AU196" s="3">
        <f>IF(AND(G196&lt;&gt;"LIBSETS_SETTYPE_BATTLEGROUND",G196&lt;&gt;"LIBSETS_SETTYPE_SPECIAL"),IF(AV196&lt;&gt;"",VLOOKUP(AV196,'ESO zone constants'!$D$5:$H$4955,5,FALSE),""),"")</f>
        <v>181</v>
      </c>
      <c r="AV196" t="s">
        <v>125</v>
      </c>
      <c r="AW196" s="33" t="s">
        <v>3231</v>
      </c>
      <c r="AZ196" s="78" t="s">
        <v>2650</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1036</v>
      </c>
      <c r="C197" t="s">
        <v>1037</v>
      </c>
      <c r="D197" s="3">
        <f t="shared" si="22"/>
        <v>235</v>
      </c>
      <c r="G197" s="8" t="s">
        <v>1471</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constants'!$B$4:$C$1012,2,FALSE),"")</f>
        <v>Included in base game</v>
      </c>
      <c r="V197" s="33" t="s">
        <v>1535</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3728</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9" t="s">
        <v>2760</v>
      </c>
      <c r="AK197" s="3">
        <f>IF(AND(G197&lt;&gt;"LIBSETS_SETTYPE_BATTLEGROUND",G197&lt;&gt;"LIBSETS_SETTYPE_SPECIAL"),IF(AL197&lt;&gt;"",VLOOKUP(AL197,'ESO zone constants'!$D$5:$H$4955,5,FALSE),""),"")</f>
        <v>181</v>
      </c>
      <c r="AL197" t="s">
        <v>125</v>
      </c>
      <c r="AM197" s="33" t="s">
        <v>3731</v>
      </c>
      <c r="AP197" s="3">
        <f>IF(AND(G197&lt;&gt;"LIBSETS_SETTYPE_BATTLEGROUND",G197&lt;&gt;"LIBSETS_SETTYPE_SPECIAL"),IF(AQ197&lt;&gt;"",VLOOKUP(AQ197,'ESO zone constants'!$D$5:$H$4955,5,FALSE),""),"")</f>
        <v>181</v>
      </c>
      <c r="AQ197" t="s">
        <v>125</v>
      </c>
      <c r="AR197" s="33" t="s">
        <v>1554</v>
      </c>
      <c r="AU197" s="3">
        <f>IF(AND(G197&lt;&gt;"LIBSETS_SETTYPE_BATTLEGROUND",G197&lt;&gt;"LIBSETS_SETTYPE_SPECIAL"),IF(AV197&lt;&gt;"",VLOOKUP(AV197,'ESO zone constants'!$D$5:$H$4955,5,FALSE),""),"")</f>
        <v>181</v>
      </c>
      <c r="AV197" t="s">
        <v>125</v>
      </c>
      <c r="AW197" s="33" t="s">
        <v>3231</v>
      </c>
      <c r="AZ197" s="78" t="s">
        <v>2649</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1038</v>
      </c>
      <c r="C198" t="s">
        <v>1039</v>
      </c>
      <c r="D198" s="3">
        <f t="shared" si="22"/>
        <v>236</v>
      </c>
      <c r="G198" s="8" t="s">
        <v>1471</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constants'!$B$4:$C$1012,2,FALSE),"")</f>
        <v>Included in base game</v>
      </c>
      <c r="V198" s="33" t="s">
        <v>2760</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3728</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2760</v>
      </c>
      <c r="AK198" s="3">
        <f>IF(AND(G198&lt;&gt;"LIBSETS_SETTYPE_BATTLEGROUND",G198&lt;&gt;"LIBSETS_SETTYPE_SPECIAL"),IF(AL198&lt;&gt;"",VLOOKUP(AL198,'ESO zone constants'!$D$5:$H$4955,5,FALSE),""),"")</f>
        <v>181</v>
      </c>
      <c r="AL198" t="s">
        <v>125</v>
      </c>
      <c r="AM198" s="33" t="s">
        <v>3731</v>
      </c>
      <c r="AP198" s="3">
        <f>IF(AND(G198&lt;&gt;"LIBSETS_SETTYPE_BATTLEGROUND",G198&lt;&gt;"LIBSETS_SETTYPE_SPECIAL"),IF(AQ198&lt;&gt;"",VLOOKUP(AQ198,'ESO zone constants'!$D$5:$H$4955,5,FALSE),""),"")</f>
        <v>181</v>
      </c>
      <c r="AQ198" t="s">
        <v>125</v>
      </c>
      <c r="AR198" s="33" t="s">
        <v>1554</v>
      </c>
      <c r="AU198" s="3">
        <f>IF(AND(G198&lt;&gt;"LIBSETS_SETTYPE_BATTLEGROUND",G198&lt;&gt;"LIBSETS_SETTYPE_SPECIAL"),IF(AV198&lt;&gt;"",VLOOKUP(AV198,'ESO zone constants'!$D$5:$H$4955,5,FALSE),""),"")</f>
        <v>181</v>
      </c>
      <c r="AV198" t="s">
        <v>125</v>
      </c>
      <c r="AW198" s="33" t="s">
        <v>3231</v>
      </c>
      <c r="AZ198" s="78" t="s">
        <v>2649</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1040</v>
      </c>
      <c r="C199" t="s">
        <v>2583</v>
      </c>
      <c r="D199" s="3">
        <f t="shared" si="22"/>
        <v>237</v>
      </c>
      <c r="G199" s="8" t="s">
        <v>1471</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constants'!$B$4:$C$1012,2,FALSE),"")</f>
        <v>Included in base game</v>
      </c>
      <c r="V199" s="33" t="s">
        <v>1535</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3728</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9" t="s">
        <v>2760</v>
      </c>
      <c r="AK199" s="3">
        <f>IF(AND(G199&lt;&gt;"LIBSETS_SETTYPE_BATTLEGROUND",G199&lt;&gt;"LIBSETS_SETTYPE_SPECIAL"),IF(AL199&lt;&gt;"",VLOOKUP(AL199,'ESO zone constants'!$D$5:$H$4955,5,FALSE),""),"")</f>
        <v>181</v>
      </c>
      <c r="AL199" t="s">
        <v>125</v>
      </c>
      <c r="AM199" s="33" t="s">
        <v>3731</v>
      </c>
      <c r="AP199" s="3">
        <f>IF(AND(G199&lt;&gt;"LIBSETS_SETTYPE_BATTLEGROUND",G199&lt;&gt;"LIBSETS_SETTYPE_SPECIAL"),IF(AQ199&lt;&gt;"",VLOOKUP(AQ199,'ESO zone constants'!$D$5:$H$4955,5,FALSE),""),"")</f>
        <v>181</v>
      </c>
      <c r="AQ199" t="s">
        <v>125</v>
      </c>
      <c r="AR199" s="33" t="s">
        <v>1554</v>
      </c>
      <c r="AU199" s="3">
        <f>IF(AND(G199&lt;&gt;"LIBSETS_SETTYPE_BATTLEGROUND",G199&lt;&gt;"LIBSETS_SETTYPE_SPECIAL"),IF(AV199&lt;&gt;"",VLOOKUP(AV199,'ESO zone constants'!$D$5:$H$4955,5,FALSE),""),"")</f>
        <v>181</v>
      </c>
      <c r="AV199" t="s">
        <v>125</v>
      </c>
      <c r="AW199" s="33" t="s">
        <v>3231</v>
      </c>
      <c r="AZ199" s="78" t="s">
        <v>2650</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1041</v>
      </c>
      <c r="C200" t="s">
        <v>2584</v>
      </c>
      <c r="D200" s="3">
        <f t="shared" si="22"/>
        <v>238</v>
      </c>
      <c r="G200" s="8" t="s">
        <v>1471</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constants'!$B$4:$C$1012,2,FALSE),"")</f>
        <v>Included in base game</v>
      </c>
      <c r="V200" s="33" t="s">
        <v>1535</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3728</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9" t="s">
        <v>2760</v>
      </c>
      <c r="AK200" s="3">
        <f>IF(AND(G200&lt;&gt;"LIBSETS_SETTYPE_BATTLEGROUND",G200&lt;&gt;"LIBSETS_SETTYPE_SPECIAL"),IF(AL200&lt;&gt;"",VLOOKUP(AL200,'ESO zone constants'!$D$5:$H$4955,5,FALSE),""),"")</f>
        <v>181</v>
      </c>
      <c r="AL200" t="s">
        <v>125</v>
      </c>
      <c r="AM200" s="33" t="s">
        <v>3731</v>
      </c>
      <c r="AP200" s="3">
        <f>IF(AND(G200&lt;&gt;"LIBSETS_SETTYPE_BATTLEGROUND",G200&lt;&gt;"LIBSETS_SETTYPE_SPECIAL"),IF(AQ200&lt;&gt;"",VLOOKUP(AQ200,'ESO zone constants'!$D$5:$H$4955,5,FALSE),""),"")</f>
        <v>181</v>
      </c>
      <c r="AQ200" t="s">
        <v>125</v>
      </c>
      <c r="AR200" s="33" t="s">
        <v>1554</v>
      </c>
      <c r="AU200" s="3">
        <f>IF(AND(G200&lt;&gt;"LIBSETS_SETTYPE_BATTLEGROUND",G200&lt;&gt;"LIBSETS_SETTYPE_SPECIAL"),IF(AV200&lt;&gt;"",VLOOKUP(AV200,'ESO zone constants'!$D$5:$H$4955,5,FALSE),""),"")</f>
        <v>181</v>
      </c>
      <c r="AV200" t="s">
        <v>125</v>
      </c>
      <c r="AW200" s="33" t="s">
        <v>3231</v>
      </c>
      <c r="AZ200" s="78" t="s">
        <v>2649</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1042</v>
      </c>
      <c r="C201" t="s">
        <v>2585</v>
      </c>
      <c r="D201" s="3">
        <f t="shared" si="22"/>
        <v>239</v>
      </c>
      <c r="G201" s="8" t="s">
        <v>1471</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constants'!$B$4:$C$1012,2,FALSE),"")</f>
        <v>Included in base game</v>
      </c>
      <c r="V201" s="33" t="s">
        <v>1535</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3728</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9" t="s">
        <v>2760</v>
      </c>
      <c r="AK201" s="3">
        <f>IF(AND(G201&lt;&gt;"LIBSETS_SETTYPE_BATTLEGROUND",G201&lt;&gt;"LIBSETS_SETTYPE_SPECIAL"),IF(AL201&lt;&gt;"",VLOOKUP(AL201,'ESO zone constants'!$D$5:$H$4955,5,FALSE),""),"")</f>
        <v>181</v>
      </c>
      <c r="AL201" t="s">
        <v>125</v>
      </c>
      <c r="AM201" s="33" t="s">
        <v>3731</v>
      </c>
      <c r="AP201" s="3">
        <f>IF(AND(G201&lt;&gt;"LIBSETS_SETTYPE_BATTLEGROUND",G201&lt;&gt;"LIBSETS_SETTYPE_SPECIAL"),IF(AQ201&lt;&gt;"",VLOOKUP(AQ201,'ESO zone constants'!$D$5:$H$4955,5,FALSE),""),"")</f>
        <v>181</v>
      </c>
      <c r="AQ201" t="s">
        <v>125</v>
      </c>
      <c r="AR201" s="33" t="s">
        <v>1554</v>
      </c>
      <c r="AU201" s="3">
        <f>IF(AND(G201&lt;&gt;"LIBSETS_SETTYPE_BATTLEGROUND",G201&lt;&gt;"LIBSETS_SETTYPE_SPECIAL"),IF(AV201&lt;&gt;"",VLOOKUP(AV201,'ESO zone constants'!$D$5:$H$4955,5,FALSE),""),"")</f>
        <v>181</v>
      </c>
      <c r="AV201" t="s">
        <v>125</v>
      </c>
      <c r="AW201" s="33" t="s">
        <v>3231</v>
      </c>
      <c r="AZ201" s="78" t="s">
        <v>2649</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1043</v>
      </c>
      <c r="C202" t="s">
        <v>1044</v>
      </c>
      <c r="D202" s="3">
        <f t="shared" si="22"/>
        <v>240</v>
      </c>
      <c r="G202" s="8" t="s">
        <v>1470</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constants'!$B$4:$C$1012,2,FALSE),"")</f>
        <v>Included in base game</v>
      </c>
      <c r="V202" s="33" t="s">
        <v>3283</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3283</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2650</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1045</v>
      </c>
      <c r="C203" t="s">
        <v>2586</v>
      </c>
      <c r="D203" s="3">
        <f t="shared" si="22"/>
        <v>241</v>
      </c>
      <c r="G203" s="8" t="s">
        <v>1470</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constants'!$B$4:$C$1012,2,FALSE),"")</f>
        <v>Included in base game</v>
      </c>
      <c r="V203" s="33" t="s">
        <v>3283</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3283</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2649</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1046</v>
      </c>
      <c r="C204" t="s">
        <v>2587</v>
      </c>
      <c r="D204" s="3">
        <f t="shared" si="22"/>
        <v>242</v>
      </c>
      <c r="G204" s="8" t="s">
        <v>1470</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constants'!$B$4:$C$1012,2,FALSE),"")</f>
        <v>Included in base game</v>
      </c>
      <c r="V204" s="33" t="s">
        <v>3283</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3283</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2649</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1047</v>
      </c>
      <c r="C205" t="s">
        <v>1048</v>
      </c>
      <c r="D205" s="3">
        <f t="shared" si="22"/>
        <v>243</v>
      </c>
      <c r="G205" s="8" t="s">
        <v>1476</v>
      </c>
      <c r="I205" t="s">
        <v>91</v>
      </c>
      <c r="J205" t="s">
        <v>91</v>
      </c>
      <c r="K205">
        <v>254</v>
      </c>
      <c r="L205">
        <v>254</v>
      </c>
      <c r="M205">
        <v>254</v>
      </c>
      <c r="O205" s="61" t="s">
        <v>513</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constants'!$B$4:$C$1012,2,FALSE),"")</f>
        <v>Included in base game</v>
      </c>
      <c r="V205" s="33" t="s">
        <v>1554</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1555</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1557</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2649</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1049</v>
      </c>
      <c r="C206" t="s">
        <v>1050</v>
      </c>
      <c r="D206" s="3">
        <f t="shared" si="22"/>
        <v>244</v>
      </c>
      <c r="G206" s="8" t="s">
        <v>1476</v>
      </c>
      <c r="I206" t="s">
        <v>91</v>
      </c>
      <c r="J206" t="s">
        <v>91</v>
      </c>
      <c r="K206">
        <v>254</v>
      </c>
      <c r="L206">
        <v>254</v>
      </c>
      <c r="M206">
        <v>254</v>
      </c>
      <c r="O206" s="61" t="s">
        <v>513</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constants'!$B$4:$C$1012,2,FALSE),"")</f>
        <v>Included in base game</v>
      </c>
      <c r="V206" s="33" t="s">
        <v>1554</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1555</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1557</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2650</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1051</v>
      </c>
      <c r="C207" t="s">
        <v>2588</v>
      </c>
      <c r="D207" s="3">
        <f t="shared" si="22"/>
        <v>245</v>
      </c>
      <c r="G207" s="8" t="s">
        <v>1476</v>
      </c>
      <c r="I207" t="s">
        <v>91</v>
      </c>
      <c r="J207" t="s">
        <v>91</v>
      </c>
      <c r="K207">
        <v>254</v>
      </c>
      <c r="L207">
        <v>254</v>
      </c>
      <c r="M207">
        <v>254</v>
      </c>
      <c r="O207" s="61" t="s">
        <v>513</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constants'!$B$4:$C$1012,2,FALSE),"")</f>
        <v>Included in base game</v>
      </c>
      <c r="V207" s="33" t="s">
        <v>1554</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1555</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1557</v>
      </c>
      <c r="AI207" s="39"/>
      <c r="AJ207" s="39"/>
      <c r="AK207" s="3">
        <f>IF(AND(G207&lt;&gt;"LIBSETS_SETTYPE_BATTLEGROUND",G207&lt;&gt;"LIBSETS_SETTYPE_SPECIAL"),IF(AL207&lt;&gt;"",VLOOKUP(AL207,'ESO zone constants'!$D$5:$H$4955,5,FALSE),""),"")</f>
        <v>823</v>
      </c>
      <c r="AL207" t="s">
        <v>513</v>
      </c>
      <c r="AM207" s="3" t="s">
        <v>3207</v>
      </c>
      <c r="AN207" s="39" t="s">
        <v>3738</v>
      </c>
      <c r="AO207" s="39" t="s">
        <v>3739</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2649</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1052</v>
      </c>
      <c r="C208" t="s">
        <v>2589</v>
      </c>
      <c r="D208" s="3">
        <f t="shared" si="22"/>
        <v>246</v>
      </c>
      <c r="G208" s="8" t="s">
        <v>1474</v>
      </c>
      <c r="I208" t="s">
        <v>91</v>
      </c>
      <c r="J208" t="s">
        <v>91</v>
      </c>
      <c r="K208">
        <v>-1</v>
      </c>
      <c r="L208">
        <v>-1</v>
      </c>
      <c r="M208">
        <v>-1</v>
      </c>
      <c r="O208" s="61" t="s">
        <v>446</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constants'!$B$4:$C$1012,2,FALSE),"")</f>
        <v>Morrowind</v>
      </c>
      <c r="V208" s="33" t="s">
        <v>2756</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3733</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2649</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1053</v>
      </c>
      <c r="C209" t="s">
        <v>1054</v>
      </c>
      <c r="D209" s="3">
        <f t="shared" si="22"/>
        <v>247</v>
      </c>
      <c r="G209" s="8" t="s">
        <v>1474</v>
      </c>
      <c r="I209" t="s">
        <v>91</v>
      </c>
      <c r="J209" t="s">
        <v>91</v>
      </c>
      <c r="K209">
        <v>-1</v>
      </c>
      <c r="L209">
        <v>-1</v>
      </c>
      <c r="M209">
        <v>-1</v>
      </c>
      <c r="O209" s="61" t="s">
        <v>446</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constants'!$B$4:$C$1012,2,FALSE),"")</f>
        <v>Morrowind</v>
      </c>
      <c r="V209" s="33" t="s">
        <v>2756</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3733</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2649</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1055</v>
      </c>
      <c r="C210" t="s">
        <v>1056</v>
      </c>
      <c r="D210" s="3">
        <f t="shared" si="22"/>
        <v>248</v>
      </c>
      <c r="G210" s="8" t="s">
        <v>1474</v>
      </c>
      <c r="I210" t="s">
        <v>91</v>
      </c>
      <c r="J210" t="s">
        <v>91</v>
      </c>
      <c r="K210">
        <v>-1</v>
      </c>
      <c r="L210">
        <v>-1</v>
      </c>
      <c r="M210">
        <v>-1</v>
      </c>
      <c r="O210" s="61" t="s">
        <v>446</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constants'!$B$4:$C$1012,2,FALSE),"")</f>
        <v>Morrowind</v>
      </c>
      <c r="V210" s="33" t="s">
        <v>2756</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3733</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2649</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1057</v>
      </c>
      <c r="C211" t="s">
        <v>1058</v>
      </c>
      <c r="D211" s="3">
        <f t="shared" si="22"/>
        <v>253</v>
      </c>
      <c r="G211" s="8" t="s">
        <v>1474</v>
      </c>
      <c r="I211" t="s">
        <v>91</v>
      </c>
      <c r="J211" t="s">
        <v>91</v>
      </c>
      <c r="K211">
        <v>-1</v>
      </c>
      <c r="L211">
        <v>-1</v>
      </c>
      <c r="M211">
        <v>-1</v>
      </c>
      <c r="O211" s="61" t="s">
        <v>446</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constants'!$B$4:$C$1012,2,FALSE),"")</f>
        <v>Morrowind</v>
      </c>
      <c r="V211" s="33" t="s">
        <v>2756</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3733</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2649</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1059</v>
      </c>
      <c r="C212" t="s">
        <v>13</v>
      </c>
      <c r="D212" s="3">
        <f t="shared" si="22"/>
        <v>256</v>
      </c>
      <c r="G212" s="8" t="s">
        <v>1475</v>
      </c>
      <c r="H212" s="86">
        <v>3</v>
      </c>
      <c r="I212" t="s">
        <v>1462</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constants'!$B$4:$C$1012,2,FALSE),"")</f>
        <v>Shadows of the Hist</v>
      </c>
      <c r="V212" s="33" t="s">
        <v>1538</v>
      </c>
      <c r="W212" s="3" t="s">
        <v>1361</v>
      </c>
      <c r="X212" s="3" t="s">
        <v>1626</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2649</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1475</v>
      </c>
      <c r="H213" s="86">
        <v>3</v>
      </c>
      <c r="I213" t="s">
        <v>1462</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constants'!$B$4:$C$1012,2,FALSE),"")</f>
        <v>Shadows of the Hist</v>
      </c>
      <c r="V213" s="33" t="s">
        <v>1538</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2649</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1060</v>
      </c>
      <c r="C214" t="s">
        <v>1061</v>
      </c>
      <c r="D214" s="3">
        <f t="shared" si="22"/>
        <v>258</v>
      </c>
      <c r="G214" s="8" t="s">
        <v>1473</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constants'!$B$4:$C$1012,2,FALSE),"")</f>
        <v>Shadows of the Hist</v>
      </c>
      <c r="V214" s="33" t="s">
        <v>3280</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2650</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1062</v>
      </c>
      <c r="C215" t="s">
        <v>2590</v>
      </c>
      <c r="D215" s="3">
        <f t="shared" si="22"/>
        <v>259</v>
      </c>
      <c r="G215" s="8" t="s">
        <v>1473</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constants'!$B$4:$C$1012,2,FALSE),"")</f>
        <v>Shadows of the Hist</v>
      </c>
      <c r="V215" s="33" t="s">
        <v>3280</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2649</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1063</v>
      </c>
      <c r="C216" t="s">
        <v>1064</v>
      </c>
      <c r="D216" s="3">
        <f t="shared" si="22"/>
        <v>260</v>
      </c>
      <c r="G216" s="8" t="s">
        <v>1473</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constants'!$B$4:$C$1012,2,FALSE),"")</f>
        <v>Shadows of the Hist</v>
      </c>
      <c r="V216" s="33" t="s">
        <v>3280</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2649</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1065</v>
      </c>
      <c r="C217" t="s">
        <v>1066</v>
      </c>
      <c r="D217" s="3">
        <f t="shared" si="22"/>
        <v>261</v>
      </c>
      <c r="G217" s="8" t="s">
        <v>1473</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constants'!$B$4:$C$1012,2,FALSE),"")</f>
        <v>Shadows of the Hist</v>
      </c>
      <c r="V217" s="33" t="s">
        <v>3280</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2649</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1067</v>
      </c>
      <c r="C218" t="s">
        <v>1068</v>
      </c>
      <c r="D218" s="3">
        <f t="shared" si="22"/>
        <v>262</v>
      </c>
      <c r="G218" s="8" t="s">
        <v>1473</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constants'!$B$4:$C$1012,2,FALSE),"")</f>
        <v>Shadows of the Hist</v>
      </c>
      <c r="V218" s="33" t="s">
        <v>3280</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2649</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1069</v>
      </c>
      <c r="C219" t="s">
        <v>1070</v>
      </c>
      <c r="D219" s="3">
        <f t="shared" si="22"/>
        <v>263</v>
      </c>
      <c r="E219"/>
      <c r="F219"/>
      <c r="G219" s="8" t="s">
        <v>1473</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constants'!$B$4:$C$1012,2,FALSE),"")</f>
        <v>Shadows of the Hist</v>
      </c>
      <c r="V219" s="33" t="s">
        <v>3280</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2649</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1071</v>
      </c>
      <c r="C220" t="s">
        <v>1072</v>
      </c>
      <c r="D220" s="25">
        <f t="shared" si="22"/>
        <v>264</v>
      </c>
      <c r="E220" s="14" t="s">
        <v>1463</v>
      </c>
      <c r="F220" s="14" t="s">
        <v>1460</v>
      </c>
      <c r="G220" s="27" t="s">
        <v>1475</v>
      </c>
      <c r="I220" s="14" t="s">
        <v>1462</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constants'!$B$4:$C$1012,2,FALSE),"")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constants'!$I$4:$L$1012,3,FALSE),""),"")</f>
        <v/>
      </c>
      <c r="AD220" s="39" t="str">
        <f>IF(AB220&lt;&gt;"",IF(AB220&lt;&gt;"LIBSETS_DROP_MECHANIC_MONSTER_NAME",VLOOKUP(AB220,'LibSets constants'!$I$4:$L$1012,4,FALSE),""),"")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2649</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1073</v>
      </c>
      <c r="C221" t="s">
        <v>22</v>
      </c>
      <c r="D221" s="3">
        <f t="shared" si="22"/>
        <v>265</v>
      </c>
      <c r="G221" s="8" t="s">
        <v>1475</v>
      </c>
      <c r="H221" s="86">
        <v>2</v>
      </c>
      <c r="I221" t="s">
        <v>1462</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constants'!$B$4:$C$1012,2,FALSE),"")</f>
        <v>Included in base game</v>
      </c>
      <c r="V221" s="33" t="s">
        <v>1538</v>
      </c>
      <c r="W221" s="3" t="s">
        <v>1360</v>
      </c>
      <c r="X221" s="3" t="s">
        <v>1631</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2649</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2591</v>
      </c>
      <c r="D222" s="3">
        <f t="shared" si="22"/>
        <v>266</v>
      </c>
      <c r="G222" s="8" t="s">
        <v>1475</v>
      </c>
      <c r="H222" s="86">
        <v>2</v>
      </c>
      <c r="I222" t="s">
        <v>1462</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constants'!$B$4:$C$1012,2,FALSE),"")</f>
        <v>Included in base game</v>
      </c>
      <c r="V222" s="33" t="s">
        <v>1538</v>
      </c>
      <c r="W222" s="3" t="s">
        <v>1552</v>
      </c>
      <c r="X222" s="3" t="s">
        <v>1624</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2649</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1074</v>
      </c>
      <c r="C223" t="s">
        <v>27</v>
      </c>
      <c r="D223" s="3">
        <f t="shared" si="22"/>
        <v>267</v>
      </c>
      <c r="G223" s="8" t="s">
        <v>1475</v>
      </c>
      <c r="H223" s="86">
        <v>2</v>
      </c>
      <c r="I223" t="s">
        <v>1462</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constants'!$B$4:$C$1012,2,FALSE),"")</f>
        <v>Included in base game</v>
      </c>
      <c r="V223" s="33" t="s">
        <v>1538</v>
      </c>
      <c r="W223" s="3" t="s">
        <v>1541</v>
      </c>
      <c r="X223" s="3" t="s">
        <v>1628</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2649</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1075</v>
      </c>
      <c r="C224" t="s">
        <v>21</v>
      </c>
      <c r="D224" s="3">
        <f t="shared" si="22"/>
        <v>268</v>
      </c>
      <c r="G224" s="8" t="s">
        <v>1475</v>
      </c>
      <c r="H224" s="86">
        <v>2</v>
      </c>
      <c r="I224" t="s">
        <v>1462</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constants'!$B$4:$C$1012,2,FALSE),"")</f>
        <v>Included in base game</v>
      </c>
      <c r="V224" s="33" t="s">
        <v>1538</v>
      </c>
      <c r="W224" s="3" t="s">
        <v>21</v>
      </c>
      <c r="X224" s="3" t="s">
        <v>1075</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2649</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1076</v>
      </c>
      <c r="C225" t="s">
        <v>2</v>
      </c>
      <c r="D225" s="3">
        <f t="shared" si="22"/>
        <v>269</v>
      </c>
      <c r="G225" s="8" t="s">
        <v>1475</v>
      </c>
      <c r="H225" s="86">
        <v>2</v>
      </c>
      <c r="I225" t="s">
        <v>1462</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constants'!$B$4:$C$1012,2,FALSE),"")</f>
        <v>Included in base game</v>
      </c>
      <c r="V225" s="33" t="s">
        <v>1538</v>
      </c>
      <c r="W225" s="3" t="s">
        <v>1542</v>
      </c>
      <c r="X225" s="3" t="s">
        <v>1634</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2649</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1077</v>
      </c>
      <c r="C226" t="s">
        <v>23</v>
      </c>
      <c r="D226" s="3">
        <f t="shared" si="22"/>
        <v>270</v>
      </c>
      <c r="G226" s="8" t="s">
        <v>1475</v>
      </c>
      <c r="H226" s="86">
        <v>2</v>
      </c>
      <c r="I226" t="s">
        <v>1462</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constants'!$B$4:$C$1012,2,FALSE),"")</f>
        <v>Included in base game</v>
      </c>
      <c r="V226" s="33" t="s">
        <v>1538</v>
      </c>
      <c r="W226" s="3" t="s">
        <v>1637</v>
      </c>
      <c r="X226" s="3" t="s">
        <v>1638</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2649</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1475</v>
      </c>
      <c r="H227" s="86">
        <v>1</v>
      </c>
      <c r="I227" t="s">
        <v>1462</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constants'!$B$4:$C$1012,2,FALSE),"")</f>
        <v>Included in base game</v>
      </c>
      <c r="V227" s="33" t="s">
        <v>1538</v>
      </c>
      <c r="W227" s="3" t="s">
        <v>1543</v>
      </c>
      <c r="X227" s="3" t="s">
        <v>1617</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2649</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1078</v>
      </c>
      <c r="C228" t="s">
        <v>9</v>
      </c>
      <c r="D228" s="3">
        <f t="shared" si="22"/>
        <v>272</v>
      </c>
      <c r="G228" s="8" t="s">
        <v>1475</v>
      </c>
      <c r="H228" s="86">
        <v>1</v>
      </c>
      <c r="I228" t="s">
        <v>1462</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constants'!$B$4:$C$1012,2,FALSE),"")</f>
        <v>Included in base game</v>
      </c>
      <c r="V228" s="33" t="s">
        <v>1538</v>
      </c>
      <c r="W228" s="3" t="s">
        <v>1544</v>
      </c>
      <c r="X228" s="3" t="s">
        <v>1630</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2649</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1475</v>
      </c>
      <c r="H229" s="86">
        <v>1</v>
      </c>
      <c r="I229" t="s">
        <v>1462</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constants'!$B$4:$C$1012,2,FALSE),"")</f>
        <v>Included in base game</v>
      </c>
      <c r="V229" s="33" t="s">
        <v>1538</v>
      </c>
      <c r="W229" s="3" t="s">
        <v>2767</v>
      </c>
      <c r="X229" s="3" t="s">
        <v>1623</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2649</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x14ac:dyDescent="0.25">
      <c r="A230" s="5">
        <v>274</v>
      </c>
      <c r="B230" t="s">
        <v>1079</v>
      </c>
      <c r="C230" t="s">
        <v>7</v>
      </c>
      <c r="D230" s="3">
        <f t="shared" si="22"/>
        <v>274</v>
      </c>
      <c r="G230" s="8" t="s">
        <v>1475</v>
      </c>
      <c r="H230" s="86">
        <v>1</v>
      </c>
      <c r="I230" t="s">
        <v>1462</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constants'!$B$4:$C$1012,2,FALSE),"")</f>
        <v>Included in base game</v>
      </c>
      <c r="V230" s="33" t="s">
        <v>1538</v>
      </c>
      <c r="W230" s="3" t="s">
        <v>1545</v>
      </c>
      <c r="X230" s="3" t="s">
        <v>1618</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2649</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1080</v>
      </c>
      <c r="C231" t="s">
        <v>26</v>
      </c>
      <c r="D231" s="3">
        <f t="shared" si="22"/>
        <v>275</v>
      </c>
      <c r="G231" s="8" t="s">
        <v>1475</v>
      </c>
      <c r="H231" s="86">
        <v>1</v>
      </c>
      <c r="I231" t="s">
        <v>1462</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constants'!$B$4:$C$1012,2,FALSE),"")</f>
        <v>Included in base game</v>
      </c>
      <c r="V231" s="33" t="s">
        <v>1538</v>
      </c>
      <c r="W231" s="41" t="s">
        <v>1546</v>
      </c>
      <c r="X231" s="41" t="s">
        <v>1636</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2649</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1081</v>
      </c>
      <c r="C232" t="s">
        <v>29</v>
      </c>
      <c r="D232" s="3">
        <f t="shared" si="22"/>
        <v>276</v>
      </c>
      <c r="G232" s="8" t="s">
        <v>1475</v>
      </c>
      <c r="H232" s="86">
        <v>1</v>
      </c>
      <c r="I232" t="s">
        <v>1462</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constants'!$B$4:$C$1012,2,FALSE),"")</f>
        <v>Included in base game</v>
      </c>
      <c r="V232" s="33" t="s">
        <v>1538</v>
      </c>
      <c r="W232" s="3" t="s">
        <v>1363</v>
      </c>
      <c r="X232" s="3" t="s">
        <v>1613</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2649</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1082</v>
      </c>
      <c r="C233" t="s">
        <v>17</v>
      </c>
      <c r="D233" s="3">
        <f t="shared" si="22"/>
        <v>277</v>
      </c>
      <c r="G233" s="8" t="s">
        <v>1475</v>
      </c>
      <c r="H233" s="86">
        <v>1</v>
      </c>
      <c r="I233" t="s">
        <v>1462</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constants'!$B$4:$C$1012,2,FALSE),"")</f>
        <v>Included in base game</v>
      </c>
      <c r="V233" s="33" t="s">
        <v>1538</v>
      </c>
      <c r="W233" s="3" t="s">
        <v>1362</v>
      </c>
      <c r="X233" s="3" t="s">
        <v>1627</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2649</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1083</v>
      </c>
      <c r="C234" t="s">
        <v>1084</v>
      </c>
      <c r="D234" s="3">
        <f t="shared" si="22"/>
        <v>278</v>
      </c>
      <c r="G234" s="8" t="s">
        <v>1475</v>
      </c>
      <c r="H234" s="86">
        <v>1</v>
      </c>
      <c r="I234" t="s">
        <v>1462</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constants'!$B$4:$C$1012,2,FALSE),"")</f>
        <v>Included in base game</v>
      </c>
      <c r="V234" s="33" t="s">
        <v>1538</v>
      </c>
      <c r="W234" s="3" t="s">
        <v>1615</v>
      </c>
      <c r="X234" s="3" t="s">
        <v>1616</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2649</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1475</v>
      </c>
      <c r="H235" s="86">
        <v>1</v>
      </c>
      <c r="I235" t="s">
        <v>1462</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constants'!$B$4:$C$1012,2,FALSE),"")</f>
        <v>Included in base game</v>
      </c>
      <c r="V235" s="33" t="s">
        <v>1538</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2649</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1475</v>
      </c>
      <c r="H236" s="86">
        <v>1</v>
      </c>
      <c r="I236" t="s">
        <v>1462</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constants'!$B$4:$C$1012,2,FALSE),"")</f>
        <v>Included in base game</v>
      </c>
      <c r="V236" s="33" t="s">
        <v>1538</v>
      </c>
      <c r="W236" s="3" t="s">
        <v>1547</v>
      </c>
      <c r="X236" s="3" t="s">
        <v>1622</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2649</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1085</v>
      </c>
      <c r="C237" t="s">
        <v>1086</v>
      </c>
      <c r="D237" s="3">
        <f t="shared" si="22"/>
        <v>281</v>
      </c>
      <c r="G237" s="8" t="s">
        <v>1476</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constants'!$B$4:$C$1012,2,FALSE),"")</f>
        <v>Included in base game</v>
      </c>
      <c r="V237" s="42" t="s">
        <v>1557</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1557</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1557</v>
      </c>
      <c r="AI237" s="39"/>
      <c r="AJ237" s="39"/>
      <c r="AK237" s="3">
        <f>IF(AND(G237&lt;&gt;"LIBSETS_SETTYPE_BATTLEGROUND",G237&lt;&gt;"LIBSETS_SETTYPE_SPECIAL"),IF(AL237&lt;&gt;"",VLOOKUP(AL237,'ESO zone constants'!$D$5:$H$4955,5,FALSE),""),"")</f>
        <v>280</v>
      </c>
      <c r="AL237" s="4" t="s">
        <v>196</v>
      </c>
      <c r="AM237" s="33" t="s">
        <v>1557</v>
      </c>
      <c r="AN237" s="39"/>
      <c r="AO237" s="39"/>
      <c r="AP237" s="3">
        <f>IF(AND(G237&lt;&gt;"LIBSETS_SETTYPE_BATTLEGROUND",G237&lt;&gt;"LIBSETS_SETTYPE_SPECIAL"),IF(AQ237&lt;&gt;"",VLOOKUP(AQ237,'ESO zone constants'!$D$5:$H$4955,5,FALSE),""),"")</f>
        <v>281</v>
      </c>
      <c r="AQ237" t="s">
        <v>197</v>
      </c>
      <c r="AR237" s="33" t="s">
        <v>1557</v>
      </c>
      <c r="AS237" s="39"/>
      <c r="AT237" s="39"/>
      <c r="AU237" s="3" t="str">
        <f>IF(AND(G237&lt;&gt;"LIBSETS_SETTYPE_BATTLEGROUND",G237&lt;&gt;"LIBSETS_SETTYPE_SPECIAL"),IF(AV237&lt;&gt;"",VLOOKUP(AV237,'ESO zone constants'!$D$5:$H$4955,5,FALSE),""),"")</f>
        <v/>
      </c>
      <c r="AV237" s="4"/>
      <c r="AX237" s="39"/>
      <c r="AY237" s="39"/>
      <c r="AZ237" s="78" t="s">
        <v>2650</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1087</v>
      </c>
      <c r="C238" t="s">
        <v>1088</v>
      </c>
      <c r="D238" s="3">
        <f t="shared" si="22"/>
        <v>282</v>
      </c>
      <c r="G238" s="8" t="s">
        <v>1476</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constants'!$B$4:$C$1012,2,FALSE),"")</f>
        <v>Included in base game</v>
      </c>
      <c r="V238" s="33" t="s">
        <v>1554</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1555</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1556</v>
      </c>
      <c r="AI238" s="39"/>
      <c r="AJ238" s="39"/>
      <c r="AK238" s="3">
        <f>IF(AND(G238&lt;&gt;"LIBSETS_SETTYPE_BATTLEGROUND",G238&lt;&gt;"LIBSETS_SETTYPE_SPECIAL"),IF(AL238&lt;&gt;"",VLOOKUP(AL238,'ESO zone constants'!$D$5:$H$4955,5,FALSE),""),"")</f>
        <v>20</v>
      </c>
      <c r="AL238" t="s">
        <v>105</v>
      </c>
      <c r="AM238" s="33" t="s">
        <v>1557</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2649</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1089</v>
      </c>
      <c r="C239" t="s">
        <v>1090</v>
      </c>
      <c r="D239" s="3">
        <f t="shared" si="22"/>
        <v>283</v>
      </c>
      <c r="G239" s="8" t="s">
        <v>1476</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constants'!$B$4:$C$1012,2,FALSE),"")</f>
        <v>Included in base game</v>
      </c>
      <c r="V239" s="33" t="s">
        <v>1554</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1555</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1556</v>
      </c>
      <c r="AI239" s="39"/>
      <c r="AJ239" s="39"/>
      <c r="AK239" s="3">
        <f>IF(AND(G239&lt;&gt;"LIBSETS_SETTYPE_BATTLEGROUND",G239&lt;&gt;"LIBSETS_SETTYPE_SPECIAL"),IF(AL239&lt;&gt;"",VLOOKUP(AL239,'ESO zone constants'!$D$5:$H$4955,5,FALSE),""),"")</f>
        <v>104</v>
      </c>
      <c r="AL239" t="s">
        <v>112</v>
      </c>
      <c r="AM239" s="33" t="s">
        <v>1557</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2650</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1091</v>
      </c>
      <c r="C240" t="s">
        <v>1092</v>
      </c>
      <c r="D240" s="3">
        <f t="shared" si="22"/>
        <v>284</v>
      </c>
      <c r="G240" s="8" t="s">
        <v>1476</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constants'!$B$4:$C$1012,2,FALSE),"")</f>
        <v>Included in base game</v>
      </c>
      <c r="V240" s="33" t="s">
        <v>1554</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1555</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1556</v>
      </c>
      <c r="AI240" s="39"/>
      <c r="AJ240" s="39"/>
      <c r="AK240" s="3">
        <f>IF(AND(G240&lt;&gt;"LIBSETS_SETTYPE_BATTLEGROUND",G240&lt;&gt;"LIBSETS_SETTYPE_SPECIAL"),IF(AL240&lt;&gt;"",VLOOKUP(AL240,'ESO zone constants'!$D$5:$H$4955,5,FALSE),""),"")</f>
        <v>104</v>
      </c>
      <c r="AL240" t="s">
        <v>112</v>
      </c>
      <c r="AM240" s="33" t="s">
        <v>1557</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2649</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1093</v>
      </c>
      <c r="C241" t="s">
        <v>1094</v>
      </c>
      <c r="D241" s="3">
        <f t="shared" si="22"/>
        <v>285</v>
      </c>
      <c r="G241" s="8" t="s">
        <v>1476</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constants'!$B$4:$C$1012,2,FALSE),"")</f>
        <v>Included in base game</v>
      </c>
      <c r="V241" s="33" t="s">
        <v>1554</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1555</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1556</v>
      </c>
      <c r="AI241" s="39"/>
      <c r="AJ241" s="39"/>
      <c r="AK241" s="3">
        <f>IF(AND(G241&lt;&gt;"LIBSETS_SETTYPE_BATTLEGROUND",G241&lt;&gt;"LIBSETS_SETTYPE_SPECIAL"),IF(AL241&lt;&gt;"",VLOOKUP(AL241,'ESO zone constants'!$D$5:$H$4955,5,FALSE),""),"")</f>
        <v>92</v>
      </c>
      <c r="AL241" t="s">
        <v>109</v>
      </c>
      <c r="AM241" s="33" t="s">
        <v>1557</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2649</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1095</v>
      </c>
      <c r="C242" t="s">
        <v>2527</v>
      </c>
      <c r="D242" s="3">
        <f t="shared" si="22"/>
        <v>286</v>
      </c>
      <c r="E242" s="40"/>
      <c r="G242" s="8" t="s">
        <v>1476</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constants'!$B$4:$C$1012,2,FALSE),"")</f>
        <v>Included in base game</v>
      </c>
      <c r="V242" s="33" t="s">
        <v>1554</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1555</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1556</v>
      </c>
      <c r="AI242" s="39"/>
      <c r="AJ242" s="39"/>
      <c r="AK242" s="3">
        <f>IF(AND(G242&lt;&gt;"LIBSETS_SETTYPE_BATTLEGROUND",G242&lt;&gt;"LIBSETS_SETTYPE_SPECIAL"),IF(AL242&lt;&gt;"",VLOOKUP(AL242,'ESO zone constants'!$D$5:$H$4955,5,FALSE),""),"")</f>
        <v>92</v>
      </c>
      <c r="AL242" t="s">
        <v>109</v>
      </c>
      <c r="AM242" s="33" t="s">
        <v>1557</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2650</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1096</v>
      </c>
      <c r="C243" t="s">
        <v>1097</v>
      </c>
      <c r="D243" s="3">
        <f t="shared" si="22"/>
        <v>287</v>
      </c>
      <c r="G243" s="8" t="s">
        <v>1476</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constants'!$B$4:$C$1012,2,FALSE),"")</f>
        <v>Included in base game</v>
      </c>
      <c r="V243" s="33" t="s">
        <v>1554</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1555</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1556</v>
      </c>
      <c r="AI243" s="39"/>
      <c r="AJ243" s="39"/>
      <c r="AK243" s="3">
        <f>IF(AND(G243&lt;&gt;"LIBSETS_SETTYPE_BATTLEGROUND",G243&lt;&gt;"LIBSETS_SETTYPE_SPECIAL"),IF(AL243&lt;&gt;"",VLOOKUP(AL243,'ESO zone constants'!$D$5:$H$4955,5,FALSE),""),"")</f>
        <v>383</v>
      </c>
      <c r="AL243" t="s">
        <v>264</v>
      </c>
      <c r="AM243" s="33" t="s">
        <v>1557</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2649</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1098</v>
      </c>
      <c r="C244" t="s">
        <v>2592</v>
      </c>
      <c r="D244" s="3">
        <f t="shared" si="22"/>
        <v>288</v>
      </c>
      <c r="E244" s="40"/>
      <c r="F244"/>
      <c r="G244" s="8" t="s">
        <v>1476</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constants'!$B$4:$C$1012,2,FALSE),"")</f>
        <v>Included in base game</v>
      </c>
      <c r="V244" s="33" t="s">
        <v>1554</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1555</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1556</v>
      </c>
      <c r="AI244" s="41"/>
      <c r="AJ244" s="41"/>
      <c r="AK244" s="3">
        <f>IF(AND(G244&lt;&gt;"LIBSETS_SETTYPE_BATTLEGROUND",G244&lt;&gt;"LIBSETS_SETTYPE_SPECIAL"),IF(AL244&lt;&gt;"",VLOOKUP(AL244,'ESO zone constants'!$D$5:$H$4955,5,FALSE),""),"")</f>
        <v>108</v>
      </c>
      <c r="AL244" t="s">
        <v>113</v>
      </c>
      <c r="AM244" s="33" t="s">
        <v>1557</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2650</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1099</v>
      </c>
      <c r="C245" t="s">
        <v>2526</v>
      </c>
      <c r="D245" s="3">
        <f t="shared" si="22"/>
        <v>289</v>
      </c>
      <c r="G245" s="8" t="s">
        <v>1476</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constants'!$B$4:$C$1012,2,FALSE),"")</f>
        <v>Included in base game</v>
      </c>
      <c r="V245" s="33" t="s">
        <v>1554</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1555</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1556</v>
      </c>
      <c r="AI245" s="41"/>
      <c r="AJ245" s="41"/>
      <c r="AK245" s="3">
        <f>IF(AND(G245&lt;&gt;"LIBSETS_SETTYPE_BATTLEGROUND",G245&lt;&gt;"LIBSETS_SETTYPE_SPECIAL"),IF(AL245&lt;&gt;"",VLOOKUP(AL245,'ESO zone constants'!$D$5:$H$4955,5,FALSE),""),"")</f>
        <v>58</v>
      </c>
      <c r="AL245" t="s">
        <v>108</v>
      </c>
      <c r="AM245" s="33" t="s">
        <v>1557</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2650</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1100</v>
      </c>
      <c r="C246" t="s">
        <v>1101</v>
      </c>
      <c r="D246" s="3">
        <f t="shared" si="22"/>
        <v>290</v>
      </c>
      <c r="G246" s="8" t="s">
        <v>1476</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constants'!$B$4:$C$1012,2,FALSE),"")</f>
        <v>Included in base game</v>
      </c>
      <c r="V246" s="33" t="s">
        <v>1554</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1555</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1556</v>
      </c>
      <c r="AI246" s="41"/>
      <c r="AJ246" s="41"/>
      <c r="AK246" s="3">
        <f>IF(AND(G246&lt;&gt;"LIBSETS_SETTYPE_BATTLEGROUND",G246&lt;&gt;"LIBSETS_SETTYPE_SPECIAL"),IF(AL246&lt;&gt;"",VLOOKUP(AL246,'ESO zone constants'!$D$5:$H$4955,5,FALSE),""),"")</f>
        <v>382</v>
      </c>
      <c r="AL246" t="s">
        <v>263</v>
      </c>
      <c r="AM246" s="33" t="s">
        <v>1557</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2649</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1102</v>
      </c>
      <c r="C247" t="s">
        <v>1103</v>
      </c>
      <c r="D247" s="3">
        <f t="shared" si="22"/>
        <v>291</v>
      </c>
      <c r="G247" s="8" t="s">
        <v>1476</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constants'!$B$4:$C$1012,2,FALSE),"")</f>
        <v>Included in base game</v>
      </c>
      <c r="V247" s="33" t="s">
        <v>1554</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1555</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1556</v>
      </c>
      <c r="AI247" s="41"/>
      <c r="AJ247" s="41"/>
      <c r="AK247" s="3">
        <f>IF(AND(G247&lt;&gt;"LIBSETS_SETTYPE_BATTLEGROUND",G247&lt;&gt;"LIBSETS_SETTYPE_SPECIAL"),IF(AL247&lt;&gt;"",VLOOKUP(AL247,'ESO zone constants'!$D$5:$H$4955,5,FALSE),""),"")</f>
        <v>41</v>
      </c>
      <c r="AL247" t="s">
        <v>106</v>
      </c>
      <c r="AM247" s="33" t="s">
        <v>1557</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2649</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1104</v>
      </c>
      <c r="C248" t="s">
        <v>2593</v>
      </c>
      <c r="D248" s="3">
        <f t="shared" si="22"/>
        <v>292</v>
      </c>
      <c r="G248" s="8" t="s">
        <v>1476</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constants'!$B$4:$C$1012,2,FALSE),"")</f>
        <v>Included in base game</v>
      </c>
      <c r="V248" s="33" t="s">
        <v>1554</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1555</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1556</v>
      </c>
      <c r="AI248" s="41"/>
      <c r="AJ248" s="41"/>
      <c r="AK248" s="3">
        <f>IF(AND(G248&lt;&gt;"LIBSETS_SETTYPE_BATTLEGROUND",G248&lt;&gt;"LIBSETS_SETTYPE_SPECIAL"),IF(AL248&lt;&gt;"",VLOOKUP(AL248,'ESO zone constants'!$D$5:$H$4955,5,FALSE),""),"")</f>
        <v>57</v>
      </c>
      <c r="AL248" t="s">
        <v>107</v>
      </c>
      <c r="AM248" s="33" t="s">
        <v>1557</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2649</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1105</v>
      </c>
      <c r="C249" t="s">
        <v>1106</v>
      </c>
      <c r="D249" s="3">
        <f t="shared" si="22"/>
        <v>293</v>
      </c>
      <c r="G249" s="8" t="s">
        <v>1476</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constants'!$B$4:$C$1012,2,FALSE),"")</f>
        <v>Included in base game</v>
      </c>
      <c r="V249" s="33" t="s">
        <v>1554</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1555</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1556</v>
      </c>
      <c r="AI249" s="41"/>
      <c r="AJ249" s="41"/>
      <c r="AK249" s="3">
        <f>IF(AND(G249&lt;&gt;"LIBSETS_SETTYPE_BATTLEGROUND",G249&lt;&gt;"LIBSETS_SETTYPE_SPECIAL"),IF(AL249&lt;&gt;"",VLOOKUP(AL249,'ESO zone constants'!$D$5:$H$4955,5,FALSE),""),"")</f>
        <v>57</v>
      </c>
      <c r="AL249" t="s">
        <v>107</v>
      </c>
      <c r="AM249" s="33" t="s">
        <v>1557</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2650</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1107</v>
      </c>
      <c r="C250" t="s">
        <v>2594</v>
      </c>
      <c r="D250" s="3">
        <f t="shared" si="22"/>
        <v>294</v>
      </c>
      <c r="G250" s="8" t="s">
        <v>1476</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constants'!$B$4:$C$1012,2,FALSE),"")</f>
        <v>Included in base game</v>
      </c>
      <c r="V250" s="33" t="s">
        <v>1554</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1555</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1556</v>
      </c>
      <c r="AI250" s="41"/>
      <c r="AJ250" s="41"/>
      <c r="AK250" s="3">
        <f>IF(AND(G250&lt;&gt;"LIBSETS_SETTYPE_BATTLEGROUND",G250&lt;&gt;"LIBSETS_SETTYPE_SPECIAL"),IF(AL250&lt;&gt;"",VLOOKUP(AL250,'ESO zone constants'!$D$5:$H$4955,5,FALSE),""),"")</f>
        <v>103</v>
      </c>
      <c r="AL250" t="s">
        <v>111</v>
      </c>
      <c r="AM250" s="33" t="s">
        <v>1557</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2650</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1108</v>
      </c>
      <c r="C251" t="s">
        <v>1109</v>
      </c>
      <c r="D251" s="3">
        <f t="shared" si="22"/>
        <v>295</v>
      </c>
      <c r="G251" s="8" t="s">
        <v>1473</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constants'!$B$4:$C$1012,2,FALSE),"")</f>
        <v>Included in base game</v>
      </c>
      <c r="V251" s="33" t="s">
        <v>3280</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3280</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2649</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1110</v>
      </c>
      <c r="C252" t="s">
        <v>1111</v>
      </c>
      <c r="D252" s="3">
        <f t="shared" si="22"/>
        <v>296</v>
      </c>
      <c r="G252" s="8" t="s">
        <v>1473</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constants'!$B$4:$C$1012,2,FALSE),"")</f>
        <v>Included in base game</v>
      </c>
      <c r="V252" s="33" t="s">
        <v>3280</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3280</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2649</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1112</v>
      </c>
      <c r="C253" t="s">
        <v>1113</v>
      </c>
      <c r="D253" s="3">
        <f t="shared" si="22"/>
        <v>297</v>
      </c>
      <c r="G253" s="8" t="s">
        <v>1473</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constants'!$B$4:$C$1012,2,FALSE),"")</f>
        <v>Included in base game</v>
      </c>
      <c r="V253" s="33" t="s">
        <v>3280</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3280</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2650</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1114</v>
      </c>
      <c r="C254" t="s">
        <v>1115</v>
      </c>
      <c r="D254" s="3">
        <f t="shared" si="22"/>
        <v>298</v>
      </c>
      <c r="G254" s="8" t="s">
        <v>1473</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constants'!$B$4:$C$1012,2,FALSE),"")</f>
        <v>Included in base game</v>
      </c>
      <c r="V254" s="33" t="s">
        <v>3280</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3280</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2650</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1116</v>
      </c>
      <c r="C255" t="s">
        <v>1117</v>
      </c>
      <c r="D255" s="3">
        <f t="shared" si="22"/>
        <v>299</v>
      </c>
      <c r="G255" s="8" t="s">
        <v>1473</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constants'!$B$4:$C$1012,2,FALSE),"")</f>
        <v>Included in base game</v>
      </c>
      <c r="V255" s="33" t="s">
        <v>3280</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3280</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2649</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1118</v>
      </c>
      <c r="C256" t="s">
        <v>2595</v>
      </c>
      <c r="D256" s="3">
        <f t="shared" si="22"/>
        <v>300</v>
      </c>
      <c r="G256" s="8" t="s">
        <v>1473</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constants'!$B$4:$C$1012,2,FALSE),"")</f>
        <v>Included in base game</v>
      </c>
      <c r="V256" s="33" t="s">
        <v>3280</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3280</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2650</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1119</v>
      </c>
      <c r="C257" t="s">
        <v>1120</v>
      </c>
      <c r="D257" s="3">
        <f t="shared" si="22"/>
        <v>301</v>
      </c>
      <c r="G257" s="8" t="s">
        <v>1473</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constants'!$B$4:$C$1012,2,FALSE),"")</f>
        <v>Included in base game</v>
      </c>
      <c r="V257" s="33" t="s">
        <v>3280</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3280</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2650</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1121</v>
      </c>
      <c r="C258" t="s">
        <v>1121</v>
      </c>
      <c r="D258" s="3">
        <f t="shared" si="22"/>
        <v>302</v>
      </c>
      <c r="G258" s="8" t="s">
        <v>1473</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constants'!$B$4:$C$1012,2,FALSE),"")</f>
        <v>Included in base game</v>
      </c>
      <c r="V258" s="33" t="s">
        <v>3280</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3280</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2650</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1122</v>
      </c>
      <c r="C259" t="s">
        <v>2596</v>
      </c>
      <c r="D259" s="3">
        <f t="shared" ref="D259:D322" si="28">A259</f>
        <v>303</v>
      </c>
      <c r="G259" s="8" t="s">
        <v>1473</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constants'!$B$4:$C$1012,2,FALSE),"")</f>
        <v>Included in base game</v>
      </c>
      <c r="V259" s="33" t="s">
        <v>3280</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2649</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1123</v>
      </c>
      <c r="C260" t="s">
        <v>1124</v>
      </c>
      <c r="D260" s="3">
        <f t="shared" si="28"/>
        <v>304</v>
      </c>
      <c r="G260" s="8" t="s">
        <v>1473</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constants'!$B$4:$C$1012,2,FALSE),"")</f>
        <v>Included in base game</v>
      </c>
      <c r="V260" s="33" t="s">
        <v>3280</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2649</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1125</v>
      </c>
      <c r="C261" t="s">
        <v>1126</v>
      </c>
      <c r="D261" s="3">
        <f t="shared" si="28"/>
        <v>305</v>
      </c>
      <c r="G261" s="8" t="s">
        <v>1473</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constants'!$B$4:$C$1012,2,FALSE),"")</f>
        <v>Included in base game</v>
      </c>
      <c r="V261" s="33" t="s">
        <v>3280</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2649</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1127</v>
      </c>
      <c r="C262" t="s">
        <v>1128</v>
      </c>
      <c r="D262" s="3">
        <f t="shared" si="28"/>
        <v>307</v>
      </c>
      <c r="G262" s="8" t="s">
        <v>1473</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constants'!$B$4:$C$1012,2,FALSE),"")</f>
        <v>Included in base game</v>
      </c>
      <c r="V262" s="33" t="s">
        <v>3280</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2650</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1129</v>
      </c>
      <c r="C263" t="s">
        <v>2597</v>
      </c>
      <c r="D263" s="3">
        <f t="shared" si="28"/>
        <v>308</v>
      </c>
      <c r="E263" s="40"/>
      <c r="G263" s="8" t="s">
        <v>1473</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constants'!$B$4:$C$1012,2,FALSE),"")</f>
        <v>Included in base game</v>
      </c>
      <c r="V263" s="33" t="s">
        <v>3280</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2649</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1130</v>
      </c>
      <c r="C264" t="s">
        <v>2598</v>
      </c>
      <c r="D264" s="3">
        <f t="shared" si="28"/>
        <v>309</v>
      </c>
      <c r="E264" s="40"/>
      <c r="G264" s="8" t="s">
        <v>1473</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constants'!$B$4:$C$1012,2,FALSE),"")</f>
        <v>Included in base game</v>
      </c>
      <c r="V264" s="33" t="s">
        <v>3280</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2649</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1131</v>
      </c>
      <c r="C265" t="s">
        <v>1132</v>
      </c>
      <c r="D265" s="3">
        <f t="shared" si="28"/>
        <v>310</v>
      </c>
      <c r="E265" s="40"/>
      <c r="G265" s="8" t="s">
        <v>1473</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constants'!$B$4:$C$1012,2,FALSE),"")</f>
        <v>Included in base game</v>
      </c>
      <c r="V265" s="33" t="s">
        <v>3280</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2650</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1133</v>
      </c>
      <c r="C266" t="s">
        <v>1134</v>
      </c>
      <c r="D266" s="3">
        <f t="shared" si="28"/>
        <v>311</v>
      </c>
      <c r="G266" s="8" t="s">
        <v>1473</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constants'!$B$4:$C$1012,2,FALSE),"")</f>
        <v>Included in base game</v>
      </c>
      <c r="V266" s="33" t="s">
        <v>3280</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2649</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1135</v>
      </c>
      <c r="C267" t="s">
        <v>1136</v>
      </c>
      <c r="D267" s="3">
        <f t="shared" si="28"/>
        <v>313</v>
      </c>
      <c r="G267" s="8" t="s">
        <v>1468</v>
      </c>
      <c r="I267" t="s">
        <v>91</v>
      </c>
      <c r="J267" t="s">
        <v>91</v>
      </c>
      <c r="K267">
        <v>270</v>
      </c>
      <c r="L267">
        <v>270</v>
      </c>
      <c r="M267">
        <v>270</v>
      </c>
      <c r="O267" s="61" t="s">
        <v>439</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constants'!$B$4:$C$1012,2,FALSE),"")</f>
        <v>Clockwork City</v>
      </c>
      <c r="V267" s="33" t="s">
        <v>1550</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1550</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2649</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1137</v>
      </c>
      <c r="C268" t="s">
        <v>1138</v>
      </c>
      <c r="D268" s="3">
        <f t="shared" si="28"/>
        <v>314</v>
      </c>
      <c r="G268" s="8" t="s">
        <v>1468</v>
      </c>
      <c r="I268" t="s">
        <v>91</v>
      </c>
      <c r="J268" t="s">
        <v>91</v>
      </c>
      <c r="K268">
        <v>270</v>
      </c>
      <c r="L268">
        <v>270</v>
      </c>
      <c r="M268">
        <v>270</v>
      </c>
      <c r="O268" s="61" t="s">
        <v>439</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constants'!$B$4:$C$1012,2,FALSE),"")</f>
        <v>Clockwork City</v>
      </c>
      <c r="V268" s="33" t="s">
        <v>1550</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1550</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2649</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1139</v>
      </c>
      <c r="C269" t="s">
        <v>1140</v>
      </c>
      <c r="D269" s="3">
        <f t="shared" si="28"/>
        <v>315</v>
      </c>
      <c r="G269" s="8" t="s">
        <v>1468</v>
      </c>
      <c r="I269" t="s">
        <v>91</v>
      </c>
      <c r="J269" t="s">
        <v>91</v>
      </c>
      <c r="K269">
        <v>270</v>
      </c>
      <c r="L269">
        <v>270</v>
      </c>
      <c r="M269">
        <v>270</v>
      </c>
      <c r="O269" s="61" t="s">
        <v>439</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constants'!$B$4:$C$1012,2,FALSE),"")</f>
        <v>Clockwork City</v>
      </c>
      <c r="V269" s="33" t="s">
        <v>1550</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1550</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2649</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1141</v>
      </c>
      <c r="C270" t="s">
        <v>1142</v>
      </c>
      <c r="D270" s="3">
        <f t="shared" si="28"/>
        <v>316</v>
      </c>
      <c r="E270" s="40"/>
      <c r="G270" s="8" t="s">
        <v>1468</v>
      </c>
      <c r="I270" t="s">
        <v>91</v>
      </c>
      <c r="J270" t="s">
        <v>91</v>
      </c>
      <c r="K270">
        <v>270</v>
      </c>
      <c r="L270">
        <v>270</v>
      </c>
      <c r="M270">
        <v>270</v>
      </c>
      <c r="O270" s="61" t="s">
        <v>439</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constants'!$B$4:$C$1012,2,FALSE),"")</f>
        <v>Clockwork City</v>
      </c>
      <c r="V270" s="33" t="s">
        <v>1550</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1550</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1143</v>
      </c>
      <c r="C271" t="s">
        <v>1144</v>
      </c>
      <c r="D271" s="3">
        <f t="shared" si="28"/>
        <v>317</v>
      </c>
      <c r="G271" s="8" t="s">
        <v>1468</v>
      </c>
      <c r="I271" t="s">
        <v>91</v>
      </c>
      <c r="J271" t="s">
        <v>91</v>
      </c>
      <c r="K271">
        <v>270</v>
      </c>
      <c r="L271">
        <v>270</v>
      </c>
      <c r="M271">
        <v>270</v>
      </c>
      <c r="O271" s="61" t="s">
        <v>439</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constants'!$B$4:$C$1012,2,FALSE),"")</f>
        <v>Clockwork City</v>
      </c>
      <c r="V271" s="33" t="s">
        <v>1550</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1550</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2649</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1145</v>
      </c>
      <c r="C272" t="s">
        <v>1146</v>
      </c>
      <c r="D272" s="3">
        <f t="shared" si="28"/>
        <v>318</v>
      </c>
      <c r="G272" s="8" t="s">
        <v>1468</v>
      </c>
      <c r="I272" t="s">
        <v>91</v>
      </c>
      <c r="J272" t="s">
        <v>91</v>
      </c>
      <c r="K272">
        <v>270</v>
      </c>
      <c r="L272">
        <v>270</v>
      </c>
      <c r="M272">
        <v>270</v>
      </c>
      <c r="O272" s="61" t="s">
        <v>439</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constants'!$B$4:$C$1012,2,FALSE),"")</f>
        <v>Clockwork City</v>
      </c>
      <c r="V272" s="33" t="s">
        <v>1550</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1550</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2649</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1147</v>
      </c>
      <c r="C273" t="s">
        <v>1148</v>
      </c>
      <c r="D273" s="3">
        <f t="shared" si="28"/>
        <v>320</v>
      </c>
      <c r="G273" s="8" t="s">
        <v>1476</v>
      </c>
      <c r="I273" t="s">
        <v>91</v>
      </c>
      <c r="J273" t="s">
        <v>91</v>
      </c>
      <c r="K273">
        <v>284</v>
      </c>
      <c r="L273">
        <v>284</v>
      </c>
      <c r="M273">
        <v>284</v>
      </c>
      <c r="O273" s="61" t="s">
        <v>530</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constants'!$B$4:$C$1012,2,FALSE),"")</f>
        <v>Included in base game</v>
      </c>
      <c r="V273" s="33" t="s">
        <v>1554</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1555</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1556</v>
      </c>
      <c r="AI273" s="41"/>
      <c r="AJ273" s="41"/>
      <c r="AK273" s="3">
        <f>IF(AND(G273&lt;&gt;"LIBSETS_SETTYPE_BATTLEGROUND",G273&lt;&gt;"LIBSETS_SETTYPE_SPECIAL"),IF(AL273&lt;&gt;"",VLOOKUP(AL273,'ESO zone constants'!$D$5:$H$4955,5,FALSE),""),"")</f>
        <v>849</v>
      </c>
      <c r="AL273" t="s">
        <v>530</v>
      </c>
      <c r="AM273" s="33" t="s">
        <v>1557</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2650</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1149</v>
      </c>
      <c r="C274" t="s">
        <v>1150</v>
      </c>
      <c r="D274" s="3">
        <f t="shared" si="28"/>
        <v>321</v>
      </c>
      <c r="G274" s="8" t="s">
        <v>1476</v>
      </c>
      <c r="I274" t="s">
        <v>91</v>
      </c>
      <c r="J274" t="s">
        <v>91</v>
      </c>
      <c r="K274">
        <v>284</v>
      </c>
      <c r="L274">
        <v>284</v>
      </c>
      <c r="M274">
        <v>284</v>
      </c>
      <c r="O274" s="61" t="s">
        <v>530</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constants'!$B$4:$C$1012,2,FALSE),"")</f>
        <v>Included in base game</v>
      </c>
      <c r="V274" s="33" t="s">
        <v>1554</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1555</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1556</v>
      </c>
      <c r="AI274" s="41"/>
      <c r="AJ274" s="41"/>
      <c r="AK274" s="3">
        <f>IF(AND(G274&lt;&gt;"LIBSETS_SETTYPE_BATTLEGROUND",G274&lt;&gt;"LIBSETS_SETTYPE_SPECIAL"),IF(AL274&lt;&gt;"",VLOOKUP(AL274,'ESO zone constants'!$D$5:$H$4955,5,FALSE),""),"")</f>
        <v>849</v>
      </c>
      <c r="AL274" t="s">
        <v>530</v>
      </c>
      <c r="AM274" s="33" t="s">
        <v>1557</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2649</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1151</v>
      </c>
      <c r="C275" t="s">
        <v>1152</v>
      </c>
      <c r="D275" s="3">
        <f t="shared" si="28"/>
        <v>322</v>
      </c>
      <c r="G275" s="8" t="s">
        <v>1476</v>
      </c>
      <c r="I275" t="s">
        <v>91</v>
      </c>
      <c r="J275" t="s">
        <v>91</v>
      </c>
      <c r="K275">
        <v>284</v>
      </c>
      <c r="L275">
        <v>284</v>
      </c>
      <c r="M275">
        <v>284</v>
      </c>
      <c r="O275" s="61" t="s">
        <v>530</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constants'!$B$4:$C$1012,2,FALSE),"")</f>
        <v>Included in base game</v>
      </c>
      <c r="V275" s="33" t="s">
        <v>1554</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1555</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1556</v>
      </c>
      <c r="AI275" s="41"/>
      <c r="AJ275" s="41"/>
      <c r="AK275" s="3">
        <f>IF(AND(G275&lt;&gt;"LIBSETS_SETTYPE_BATTLEGROUND",G275&lt;&gt;"LIBSETS_SETTYPE_SPECIAL"),IF(AL275&lt;&gt;"",VLOOKUP(AL275,'ESO zone constants'!$D$5:$H$4955,5,FALSE),""),"")</f>
        <v>849</v>
      </c>
      <c r="AL275" t="s">
        <v>530</v>
      </c>
      <c r="AM275" s="33" t="s">
        <v>1557</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2649</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1153</v>
      </c>
      <c r="C276" t="s">
        <v>2599</v>
      </c>
      <c r="D276" s="3">
        <f t="shared" si="28"/>
        <v>323</v>
      </c>
      <c r="G276" s="8" t="s">
        <v>1470</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constants'!$B$4:$C$1012,2,FALSE),"")</f>
        <v>Included in base game</v>
      </c>
      <c r="V276" s="33" t="s">
        <v>3283</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3283</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2650</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1154</v>
      </c>
      <c r="C277" t="s">
        <v>1155</v>
      </c>
      <c r="D277" s="3">
        <f t="shared" si="28"/>
        <v>324</v>
      </c>
      <c r="E277" s="40"/>
      <c r="G277" s="8" t="s">
        <v>1470</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constants'!$B$4:$C$1012,2,FALSE),"")</f>
        <v>Included in base game</v>
      </c>
      <c r="V277" s="33" t="s">
        <v>3283</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3283</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2649</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1156</v>
      </c>
      <c r="C278" t="s">
        <v>1157</v>
      </c>
      <c r="D278" s="3">
        <f t="shared" si="28"/>
        <v>325</v>
      </c>
      <c r="G278" s="8" t="s">
        <v>1470</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constants'!$B$4:$C$1012,2,FALSE),"")</f>
        <v>Included in base game</v>
      </c>
      <c r="V278" s="33" t="s">
        <v>3283</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3283</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2650</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1158</v>
      </c>
      <c r="C279" t="s">
        <v>2600</v>
      </c>
      <c r="D279" s="3">
        <f t="shared" si="28"/>
        <v>326</v>
      </c>
      <c r="G279" s="8" t="s">
        <v>1469</v>
      </c>
      <c r="I279" t="s">
        <v>91</v>
      </c>
      <c r="J279" t="s">
        <v>91</v>
      </c>
      <c r="K279">
        <v>-1</v>
      </c>
      <c r="L279">
        <v>-1</v>
      </c>
      <c r="M279">
        <v>-1</v>
      </c>
      <c r="O279" s="61" t="s">
        <v>1508</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constants'!$B$4:$C$1012,2,FALSE),"")</f>
        <v>Included in base game</v>
      </c>
      <c r="V279" s="33" t="s">
        <v>1569</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2649</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1159</v>
      </c>
      <c r="C280" t="s">
        <v>2601</v>
      </c>
      <c r="D280" s="3">
        <f t="shared" si="28"/>
        <v>327</v>
      </c>
      <c r="G280" s="8" t="s">
        <v>1469</v>
      </c>
      <c r="I280" t="s">
        <v>91</v>
      </c>
      <c r="J280" t="s">
        <v>91</v>
      </c>
      <c r="K280">
        <v>-1</v>
      </c>
      <c r="L280">
        <v>-1</v>
      </c>
      <c r="M280">
        <v>-1</v>
      </c>
      <c r="O280" s="61" t="s">
        <v>1508</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constants'!$B$4:$C$1012,2,FALSE),"")</f>
        <v>Included in base game</v>
      </c>
      <c r="V280" s="33" t="s">
        <v>1569</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2649</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1160</v>
      </c>
      <c r="C281" t="s">
        <v>1161</v>
      </c>
      <c r="D281" s="3">
        <f t="shared" si="28"/>
        <v>328</v>
      </c>
      <c r="G281" s="8" t="s">
        <v>1469</v>
      </c>
      <c r="I281" t="s">
        <v>91</v>
      </c>
      <c r="J281" t="s">
        <v>91</v>
      </c>
      <c r="K281">
        <v>-1</v>
      </c>
      <c r="L281">
        <v>-1</v>
      </c>
      <c r="M281">
        <v>-1</v>
      </c>
      <c r="O281" s="61" t="s">
        <v>1508</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constants'!$B$4:$C$1012,2,FALSE),"")</f>
        <v>Included in base game</v>
      </c>
      <c r="V281" s="33" t="s">
        <v>1569</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2649</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1162</v>
      </c>
      <c r="C282" t="s">
        <v>2602</v>
      </c>
      <c r="D282" s="3">
        <f t="shared" si="28"/>
        <v>329</v>
      </c>
      <c r="G282" s="8" t="s">
        <v>1469</v>
      </c>
      <c r="I282" t="s">
        <v>91</v>
      </c>
      <c r="J282" t="s">
        <v>91</v>
      </c>
      <c r="K282">
        <v>-1</v>
      </c>
      <c r="L282">
        <v>-1</v>
      </c>
      <c r="M282">
        <v>-1</v>
      </c>
      <c r="O282" s="61" t="s">
        <v>1508</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constants'!$B$4:$C$1012,2,FALSE),"")</f>
        <v>Included in base game</v>
      </c>
      <c r="V282" s="33" t="s">
        <v>1569</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2649</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1163</v>
      </c>
      <c r="C283" t="s">
        <v>1164</v>
      </c>
      <c r="D283" s="3">
        <f t="shared" si="28"/>
        <v>330</v>
      </c>
      <c r="G283" s="8" t="s">
        <v>1477</v>
      </c>
      <c r="I283" t="s">
        <v>91</v>
      </c>
      <c r="J283" t="s">
        <v>91</v>
      </c>
      <c r="K283">
        <v>331</v>
      </c>
      <c r="L283">
        <v>331</v>
      </c>
      <c r="M283">
        <v>331</v>
      </c>
      <c r="O283" s="61" t="s">
        <v>638</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constants'!$B$4:$C$1012,2,FALSE),"")</f>
        <v>Clockwork City</v>
      </c>
      <c r="V283" s="33" t="s">
        <v>3261</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3261</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3261</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2649</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1165</v>
      </c>
      <c r="C284" t="s">
        <v>1166</v>
      </c>
      <c r="D284" s="3">
        <f t="shared" si="28"/>
        <v>331</v>
      </c>
      <c r="G284" s="8" t="s">
        <v>1477</v>
      </c>
      <c r="I284" t="s">
        <v>91</v>
      </c>
      <c r="J284" t="s">
        <v>91</v>
      </c>
      <c r="K284">
        <v>331</v>
      </c>
      <c r="L284">
        <v>331</v>
      </c>
      <c r="M284">
        <v>331</v>
      </c>
      <c r="O284" s="61" t="s">
        <v>638</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constants'!$B$4:$C$1012,2,FALSE),"")</f>
        <v>Clockwork City</v>
      </c>
      <c r="V284" s="33" t="s">
        <v>3261</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3261</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3261</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2649</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1167</v>
      </c>
      <c r="C285" t="s">
        <v>1168</v>
      </c>
      <c r="D285" s="3">
        <f t="shared" si="28"/>
        <v>332</v>
      </c>
      <c r="G285" s="8" t="s">
        <v>1477</v>
      </c>
      <c r="I285" t="s">
        <v>91</v>
      </c>
      <c r="J285" t="s">
        <v>91</v>
      </c>
      <c r="K285">
        <v>331</v>
      </c>
      <c r="L285">
        <v>331</v>
      </c>
      <c r="M285">
        <v>331</v>
      </c>
      <c r="O285" s="61" t="s">
        <v>638</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constants'!$B$4:$C$1012,2,FALSE),"")</f>
        <v>Clockwork City</v>
      </c>
      <c r="V285" s="33" t="s">
        <v>3261</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3261</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3261</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2649</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1169</v>
      </c>
      <c r="C286" t="s">
        <v>2603</v>
      </c>
      <c r="D286" s="3">
        <f t="shared" si="28"/>
        <v>333</v>
      </c>
      <c r="G286" s="8" t="s">
        <v>1477</v>
      </c>
      <c r="I286" t="s">
        <v>91</v>
      </c>
      <c r="J286" t="s">
        <v>91</v>
      </c>
      <c r="K286">
        <v>331</v>
      </c>
      <c r="L286">
        <v>331</v>
      </c>
      <c r="M286">
        <v>331</v>
      </c>
      <c r="O286" s="61" t="s">
        <v>638</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constants'!$B$4:$C$1012,2,FALSE),"")</f>
        <v>Clockwork City</v>
      </c>
      <c r="V286" s="33" t="s">
        <v>3261</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3261</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3261</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2649</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1170</v>
      </c>
      <c r="C287" t="s">
        <v>1171</v>
      </c>
      <c r="D287" s="3">
        <f t="shared" si="28"/>
        <v>334</v>
      </c>
      <c r="G287" s="8" t="s">
        <v>1469</v>
      </c>
      <c r="I287" t="s">
        <v>91</v>
      </c>
      <c r="J287" t="s">
        <v>91</v>
      </c>
      <c r="K287">
        <v>-1</v>
      </c>
      <c r="L287">
        <v>-1</v>
      </c>
      <c r="M287">
        <v>-1</v>
      </c>
      <c r="O287" s="61" t="s">
        <v>1508</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constants'!$B$4:$C$1012,2,FALSE),"")</f>
        <v>Included in base game</v>
      </c>
      <c r="V287" s="33" t="s">
        <v>1569</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constants'!$I$4:$L$1012,3,FALSE),""),"")</f>
        <v/>
      </c>
      <c r="AD287" s="3" t="str">
        <f>IF(AB287&lt;&gt;"",IF(AB287&lt;&gt;"LIBSETS_DROP_MECHANIC_MONSTER_NAME",VLOOKUP(AB287,'LibSets constants'!$I$4:$L$1012,4,FALSE),""),"")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2650</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1172</v>
      </c>
      <c r="C288" t="s">
        <v>2604</v>
      </c>
      <c r="D288" s="3">
        <f t="shared" si="28"/>
        <v>335</v>
      </c>
      <c r="G288" s="8" t="s">
        <v>1473</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constants'!$B$4:$C$1012,2,FALSE),"")</f>
        <v>Horns of the Reach</v>
      </c>
      <c r="V288" s="33" t="s">
        <v>3280</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2649</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1173</v>
      </c>
      <c r="C289" t="s">
        <v>1174</v>
      </c>
      <c r="D289" s="3">
        <f t="shared" si="28"/>
        <v>336</v>
      </c>
      <c r="G289" s="8" t="s">
        <v>1473</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constants'!$B$4:$C$1012,2,FALSE),"")</f>
        <v>Horns of the Reach</v>
      </c>
      <c r="V289" s="33" t="s">
        <v>3280</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2649</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1175</v>
      </c>
      <c r="C290" t="s">
        <v>1176</v>
      </c>
      <c r="D290" s="3">
        <f t="shared" si="28"/>
        <v>337</v>
      </c>
      <c r="G290" s="8" t="s">
        <v>1473</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constants'!$B$4:$C$1012,2,FALSE),"")</f>
        <v>Horns of the Reach</v>
      </c>
      <c r="V290" s="33" t="s">
        <v>3280</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2649</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1177</v>
      </c>
      <c r="C291" t="s">
        <v>1178</v>
      </c>
      <c r="D291" s="3">
        <f t="shared" si="28"/>
        <v>338</v>
      </c>
      <c r="E291" s="40"/>
      <c r="G291" s="8" t="s">
        <v>1473</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constants'!$B$4:$C$1012,2,FALSE),"")</f>
        <v>Horns of the Reach</v>
      </c>
      <c r="V291" s="33" t="s">
        <v>3280</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2649</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1179</v>
      </c>
      <c r="C292" t="s">
        <v>1180</v>
      </c>
      <c r="D292" s="3">
        <f t="shared" si="28"/>
        <v>339</v>
      </c>
      <c r="E292" s="40"/>
      <c r="G292" s="8" t="s">
        <v>1473</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constants'!$B$4:$C$1012,2,FALSE),"")</f>
        <v>Horns of the Reach</v>
      </c>
      <c r="V292" s="33" t="s">
        <v>3280</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2650</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1181</v>
      </c>
      <c r="C293" t="s">
        <v>2605</v>
      </c>
      <c r="D293" s="3">
        <f t="shared" si="28"/>
        <v>340</v>
      </c>
      <c r="E293" s="40"/>
      <c r="G293" s="8" t="s">
        <v>1473</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constants'!$B$4:$C$1012,2,FALSE),"")</f>
        <v>Horns of the Reach</v>
      </c>
      <c r="V293" s="33" t="s">
        <v>3280</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2649</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1182</v>
      </c>
      <c r="C294" t="s">
        <v>4</v>
      </c>
      <c r="D294" s="3">
        <f t="shared" si="28"/>
        <v>341</v>
      </c>
      <c r="G294" s="8" t="s">
        <v>1475</v>
      </c>
      <c r="H294" s="86">
        <v>3</v>
      </c>
      <c r="I294" t="s">
        <v>1462</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constants'!$B$4:$C$1012,2,FALSE),"")</f>
        <v>Horns of the Reach</v>
      </c>
      <c r="V294" s="33" t="s">
        <v>1538</v>
      </c>
      <c r="W294" s="3" t="s">
        <v>1548</v>
      </c>
      <c r="X294" s="3" t="s">
        <v>1632</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2649</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1475</v>
      </c>
      <c r="H295" s="86">
        <v>3</v>
      </c>
      <c r="I295" t="s">
        <v>1462</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constants'!$B$4:$C$1012,2,FALSE),"")</f>
        <v>Horns of the Reach</v>
      </c>
      <c r="V295" s="33" t="s">
        <v>1538</v>
      </c>
      <c r="W295" s="3" t="s">
        <v>1358</v>
      </c>
      <c r="X295" s="3" t="s">
        <v>1621</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2649</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1183</v>
      </c>
      <c r="C296" t="s">
        <v>2606</v>
      </c>
      <c r="D296" s="3">
        <f t="shared" si="28"/>
        <v>343</v>
      </c>
      <c r="E296" s="40"/>
      <c r="G296" s="8" t="s">
        <v>1473</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constants'!$B$4:$C$1012,2,FALSE),"")</f>
        <v>Dragon Bones</v>
      </c>
      <c r="V296" s="33" t="s">
        <v>3280</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2649</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1184</v>
      </c>
      <c r="C297" t="s">
        <v>1185</v>
      </c>
      <c r="D297" s="3">
        <f t="shared" si="28"/>
        <v>344</v>
      </c>
      <c r="G297" s="8" t="s">
        <v>1473</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constants'!$B$4:$C$1012,2,FALSE),"")</f>
        <v>Dragon Bones</v>
      </c>
      <c r="V297" s="33" t="s">
        <v>3280</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2649</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1186</v>
      </c>
      <c r="C298" t="s">
        <v>2607</v>
      </c>
      <c r="D298" s="3">
        <f t="shared" si="28"/>
        <v>345</v>
      </c>
      <c r="G298" s="8" t="s">
        <v>1473</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constants'!$B$4:$C$1012,2,FALSE),"")</f>
        <v>Dragon Bones</v>
      </c>
      <c r="V298" s="33" t="s">
        <v>3280</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2649</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1187</v>
      </c>
      <c r="C299" t="s">
        <v>2608</v>
      </c>
      <c r="D299" s="3">
        <f t="shared" si="28"/>
        <v>346</v>
      </c>
      <c r="G299" s="8" t="s">
        <v>1473</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constants'!$B$4:$C$1012,2,FALSE),"")</f>
        <v>Dragon Bones</v>
      </c>
      <c r="V299" s="33" t="s">
        <v>3280</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2650</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1188</v>
      </c>
      <c r="C300" t="s">
        <v>1189</v>
      </c>
      <c r="D300" s="3">
        <f t="shared" si="28"/>
        <v>347</v>
      </c>
      <c r="G300" s="8" t="s">
        <v>1473</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constants'!$B$4:$C$1012,2,FALSE),"")</f>
        <v>Dragon Bones</v>
      </c>
      <c r="V300" s="33" t="s">
        <v>3280</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2649</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1190</v>
      </c>
      <c r="C301" t="s">
        <v>1191</v>
      </c>
      <c r="D301" s="3">
        <f t="shared" si="28"/>
        <v>348</v>
      </c>
      <c r="G301" s="8" t="s">
        <v>1473</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constants'!$B$4:$C$1012,2,FALSE),"")</f>
        <v>Dragon Bones</v>
      </c>
      <c r="V301" s="33" t="s">
        <v>3280</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2649</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1475</v>
      </c>
      <c r="H302" s="86">
        <v>3</v>
      </c>
      <c r="I302" t="s">
        <v>1462</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constants'!$B$4:$C$1012,2,FALSE),"")</f>
        <v>Dragon Bones</v>
      </c>
      <c r="V302" s="33" t="s">
        <v>1538</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2649</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1475</v>
      </c>
      <c r="H303" s="86">
        <v>3</v>
      </c>
      <c r="I303" t="s">
        <v>1462</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constants'!$B$4:$C$1012,2,FALSE),"")</f>
        <v>Dragon Bones</v>
      </c>
      <c r="V303" s="33" t="s">
        <v>1538</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2649</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1192</v>
      </c>
      <c r="C304" t="s">
        <v>1193</v>
      </c>
      <c r="D304" s="3">
        <f t="shared" si="28"/>
        <v>351</v>
      </c>
      <c r="G304" s="8" t="s">
        <v>1470</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constants'!$B$4:$C$1012,2,FALSE),"")</f>
        <v>Necrom</v>
      </c>
      <c r="V304" s="33" t="s">
        <v>3283</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3283</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2650</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1194</v>
      </c>
      <c r="C305" t="s">
        <v>1195</v>
      </c>
      <c r="D305" s="3">
        <f t="shared" si="28"/>
        <v>352</v>
      </c>
      <c r="G305" s="8" t="s">
        <v>1470</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constants'!$B$4:$C$1012,2,FALSE),"")</f>
        <v>Necrom</v>
      </c>
      <c r="V305" s="33" t="s">
        <v>3283</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3283</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2650</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1196</v>
      </c>
      <c r="C306" t="s">
        <v>1197</v>
      </c>
      <c r="D306" s="3">
        <f t="shared" si="28"/>
        <v>353</v>
      </c>
      <c r="G306" s="8" t="s">
        <v>1470</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constants'!$B$4:$C$1012,2,FALSE),"")</f>
        <v>Necrom</v>
      </c>
      <c r="V306" s="33" t="s">
        <v>3283</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3283</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2649</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1198</v>
      </c>
      <c r="C307" t="s">
        <v>1199</v>
      </c>
      <c r="D307" s="3">
        <f t="shared" si="28"/>
        <v>354</v>
      </c>
      <c r="E307" s="40"/>
      <c r="G307" s="8" t="s">
        <v>1476</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constants'!$B$4:$C$1012,2,FALSE),"")</f>
        <v>Necrom</v>
      </c>
      <c r="V307" s="33" t="s">
        <v>1554</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1555</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1557</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2649</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1200</v>
      </c>
      <c r="C308" t="s">
        <v>1201</v>
      </c>
      <c r="D308" s="3">
        <f t="shared" si="28"/>
        <v>355</v>
      </c>
      <c r="E308" s="40"/>
      <c r="G308" s="8" t="s">
        <v>1476</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constants'!$B$4:$C$1012,2,FALSE),"")</f>
        <v>Necrom</v>
      </c>
      <c r="V308" s="33" t="s">
        <v>1554</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1555</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1557</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2649</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1202</v>
      </c>
      <c r="C309" t="s">
        <v>1203</v>
      </c>
      <c r="D309" s="3">
        <f t="shared" si="28"/>
        <v>356</v>
      </c>
      <c r="E309" s="40"/>
      <c r="G309" s="8" t="s">
        <v>1476</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constants'!$B$4:$C$1012,2,FALSE),"")</f>
        <v>Necrom</v>
      </c>
      <c r="V309" s="33" t="s">
        <v>1554</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1555</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1557</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2649</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1204</v>
      </c>
      <c r="C310" t="s">
        <v>1205</v>
      </c>
      <c r="D310" s="3">
        <f t="shared" si="28"/>
        <v>357</v>
      </c>
      <c r="G310" s="8" t="s">
        <v>1477</v>
      </c>
      <c r="I310" t="s">
        <v>92</v>
      </c>
      <c r="J310" t="s">
        <v>91</v>
      </c>
      <c r="K310">
        <v>346</v>
      </c>
      <c r="L310">
        <v>346</v>
      </c>
      <c r="M310">
        <v>346</v>
      </c>
      <c r="O310" s="61" t="s">
        <v>658</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constants'!$B$4:$C$1012,2,FALSE),"")</f>
        <v>Clockwork City</v>
      </c>
      <c r="V310" s="33" t="s">
        <v>3261</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3261</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3261</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2649</v>
      </c>
      <c r="BA310" s="78"/>
      <c r="BB310" s="78"/>
      <c r="BC310" s="78"/>
      <c r="BD310" s="78" t="s">
        <v>3823</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1206</v>
      </c>
      <c r="C311" t="s">
        <v>1207</v>
      </c>
      <c r="D311" s="3">
        <f t="shared" si="28"/>
        <v>358</v>
      </c>
      <c r="G311" s="8" t="s">
        <v>1477</v>
      </c>
      <c r="I311" t="s">
        <v>92</v>
      </c>
      <c r="J311" t="s">
        <v>91</v>
      </c>
      <c r="K311">
        <v>346</v>
      </c>
      <c r="L311">
        <v>346</v>
      </c>
      <c r="M311">
        <v>346</v>
      </c>
      <c r="O311" s="61" t="s">
        <v>658</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constants'!$B$4:$C$1012,2,FALSE),"")</f>
        <v>Clockwork City</v>
      </c>
      <c r="V311" s="33" t="s">
        <v>3261</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3261</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3261</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2649</v>
      </c>
      <c r="BA311" s="78"/>
      <c r="BB311" s="78"/>
      <c r="BC311" s="78"/>
      <c r="BD311" s="78" t="s">
        <v>3823</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1208</v>
      </c>
      <c r="C312" t="s">
        <v>1209</v>
      </c>
      <c r="D312" s="3">
        <f t="shared" si="28"/>
        <v>359</v>
      </c>
      <c r="E312" s="40"/>
      <c r="G312" s="8" t="s">
        <v>1477</v>
      </c>
      <c r="I312" t="s">
        <v>92</v>
      </c>
      <c r="J312" t="s">
        <v>91</v>
      </c>
      <c r="K312">
        <v>346</v>
      </c>
      <c r="L312">
        <v>346</v>
      </c>
      <c r="M312">
        <v>346</v>
      </c>
      <c r="O312" s="61" t="s">
        <v>658</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constants'!$B$4:$C$1012,2,FALSE),"")</f>
        <v>Clockwork City</v>
      </c>
      <c r="V312" s="33" t="s">
        <v>3261</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3261</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3261</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2649</v>
      </c>
      <c r="BA312" s="78"/>
      <c r="BB312" s="78"/>
      <c r="BC312" s="78"/>
      <c r="BD312" s="78" t="s">
        <v>3823</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1210</v>
      </c>
      <c r="C313" t="s">
        <v>1211</v>
      </c>
      <c r="D313" s="3">
        <f t="shared" si="28"/>
        <v>360</v>
      </c>
      <c r="G313" s="8" t="s">
        <v>1477</v>
      </c>
      <c r="I313" t="s">
        <v>92</v>
      </c>
      <c r="J313" t="s">
        <v>91</v>
      </c>
      <c r="K313">
        <v>346</v>
      </c>
      <c r="L313">
        <v>346</v>
      </c>
      <c r="M313">
        <v>346</v>
      </c>
      <c r="O313" s="61" t="s">
        <v>658</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constants'!$B$4:$C$1012,2,FALSE),"")</f>
        <v>Clockwork City</v>
      </c>
      <c r="V313" s="33" t="s">
        <v>3261</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3261</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3261</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2649</v>
      </c>
      <c r="BA313" s="78"/>
      <c r="BB313" s="78"/>
      <c r="BC313" s="78"/>
      <c r="BD313" s="78" t="s">
        <v>3823</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1212</v>
      </c>
      <c r="C314" t="s">
        <v>1213</v>
      </c>
      <c r="D314" s="3">
        <f t="shared" si="28"/>
        <v>361</v>
      </c>
      <c r="G314" s="8" t="s">
        <v>1477</v>
      </c>
      <c r="I314" t="s">
        <v>92</v>
      </c>
      <c r="J314" t="s">
        <v>91</v>
      </c>
      <c r="K314">
        <v>346</v>
      </c>
      <c r="L314">
        <v>346</v>
      </c>
      <c r="M314">
        <v>346</v>
      </c>
      <c r="O314" s="61" t="s">
        <v>658</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constants'!$B$4:$C$1012,2,FALSE),"")</f>
        <v>Clockwork City</v>
      </c>
      <c r="V314" s="33" t="s">
        <v>3261</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3261</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3261</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2649</v>
      </c>
      <c r="BA314" s="78"/>
      <c r="BB314" s="78"/>
      <c r="BC314" s="78"/>
      <c r="BD314" s="78" t="s">
        <v>3823</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1214</v>
      </c>
      <c r="C315" t="s">
        <v>1215</v>
      </c>
      <c r="D315" s="3">
        <f t="shared" si="28"/>
        <v>362</v>
      </c>
      <c r="G315" s="8" t="s">
        <v>1477</v>
      </c>
      <c r="I315" t="s">
        <v>92</v>
      </c>
      <c r="J315" t="s">
        <v>91</v>
      </c>
      <c r="K315">
        <v>346</v>
      </c>
      <c r="L315">
        <v>346</v>
      </c>
      <c r="M315">
        <v>346</v>
      </c>
      <c r="O315" s="61" t="s">
        <v>658</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constants'!$B$4:$C$1012,2,FALSE),"")</f>
        <v>Clockwork City</v>
      </c>
      <c r="V315" s="33" t="s">
        <v>3261</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3261</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3261</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2649</v>
      </c>
      <c r="BA315" s="78"/>
      <c r="BB315" s="78"/>
      <c r="BC315" s="78"/>
      <c r="BD315" s="78" t="s">
        <v>3823</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1216</v>
      </c>
      <c r="C316" t="s">
        <v>1217</v>
      </c>
      <c r="D316" s="3">
        <f t="shared" si="28"/>
        <v>363</v>
      </c>
      <c r="G316" s="8" t="s">
        <v>1477</v>
      </c>
      <c r="I316" t="s">
        <v>91</v>
      </c>
      <c r="J316" t="s">
        <v>91</v>
      </c>
      <c r="K316">
        <v>346</v>
      </c>
      <c r="L316">
        <v>346</v>
      </c>
      <c r="M316">
        <v>346</v>
      </c>
      <c r="O316" s="61" t="s">
        <v>658</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constants'!$B$4:$C$1012,2,FALSE),"")</f>
        <v>Clockwork City</v>
      </c>
      <c r="V316" s="33" t="s">
        <v>3261</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3261</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3261</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2649</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1218</v>
      </c>
      <c r="C317" t="s">
        <v>1218</v>
      </c>
      <c r="D317" s="3">
        <f t="shared" si="28"/>
        <v>364</v>
      </c>
      <c r="G317" s="8" t="s">
        <v>1477</v>
      </c>
      <c r="I317" t="s">
        <v>91</v>
      </c>
      <c r="J317" t="s">
        <v>91</v>
      </c>
      <c r="K317">
        <v>346</v>
      </c>
      <c r="L317">
        <v>346</v>
      </c>
      <c r="M317">
        <v>346</v>
      </c>
      <c r="O317" s="61" t="s">
        <v>658</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constants'!$B$4:$C$1012,2,FALSE),"")</f>
        <v>Clockwork City</v>
      </c>
      <c r="V317" s="33" t="s">
        <v>3261</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3261</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3261</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2649</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1219</v>
      </c>
      <c r="C318" t="s">
        <v>1220</v>
      </c>
      <c r="D318" s="3">
        <f t="shared" si="28"/>
        <v>365</v>
      </c>
      <c r="E318" s="40"/>
      <c r="G318" s="8" t="s">
        <v>1477</v>
      </c>
      <c r="I318" t="s">
        <v>91</v>
      </c>
      <c r="J318" t="s">
        <v>91</v>
      </c>
      <c r="K318">
        <v>346</v>
      </c>
      <c r="L318">
        <v>346</v>
      </c>
      <c r="M318">
        <v>346</v>
      </c>
      <c r="O318" s="61" t="s">
        <v>658</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constants'!$B$4:$C$1012,2,FALSE),"")</f>
        <v>Clockwork City</v>
      </c>
      <c r="V318" s="33" t="s">
        <v>3261</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3261</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3261</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2649</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1221</v>
      </c>
      <c r="C319" t="s">
        <v>1222</v>
      </c>
      <c r="D319" s="3">
        <f t="shared" si="28"/>
        <v>366</v>
      </c>
      <c r="G319" s="8" t="s">
        <v>1477</v>
      </c>
      <c r="I319" t="s">
        <v>91</v>
      </c>
      <c r="J319" t="s">
        <v>91</v>
      </c>
      <c r="K319">
        <v>346</v>
      </c>
      <c r="L319">
        <v>346</v>
      </c>
      <c r="M319">
        <v>346</v>
      </c>
      <c r="O319" s="61" t="s">
        <v>658</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constants'!$B$4:$C$1012,2,FALSE),"")</f>
        <v>Clockwork City</v>
      </c>
      <c r="V319" s="33" t="s">
        <v>3261</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3261</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3261</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2649</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1223</v>
      </c>
      <c r="C320" t="s">
        <v>1224</v>
      </c>
      <c r="D320" s="3">
        <f t="shared" si="28"/>
        <v>367</v>
      </c>
      <c r="G320" s="8" t="s">
        <v>1477</v>
      </c>
      <c r="I320" t="s">
        <v>91</v>
      </c>
      <c r="J320" t="s">
        <v>91</v>
      </c>
      <c r="K320">
        <v>346</v>
      </c>
      <c r="L320">
        <v>346</v>
      </c>
      <c r="M320">
        <v>346</v>
      </c>
      <c r="O320" s="61" t="s">
        <v>658</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constants'!$B$4:$C$1012,2,FALSE),"")</f>
        <v>Clockwork City</v>
      </c>
      <c r="V320" s="33" t="s">
        <v>3261</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3261</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3261</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2649</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1225</v>
      </c>
      <c r="C321" t="s">
        <v>1226</v>
      </c>
      <c r="D321" s="3">
        <f t="shared" si="28"/>
        <v>368</v>
      </c>
      <c r="G321" s="8" t="s">
        <v>1477</v>
      </c>
      <c r="I321" t="s">
        <v>91</v>
      </c>
      <c r="J321" t="s">
        <v>91</v>
      </c>
      <c r="K321">
        <v>346</v>
      </c>
      <c r="L321">
        <v>346</v>
      </c>
      <c r="M321">
        <v>346</v>
      </c>
      <c r="O321" s="61" t="s">
        <v>658</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constants'!$B$4:$C$1012,2,FALSE),"")</f>
        <v>Clockwork City</v>
      </c>
      <c r="V321" s="33" t="s">
        <v>3261</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3261</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3261</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2649</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1227</v>
      </c>
      <c r="C322" t="s">
        <v>1228</v>
      </c>
      <c r="D322" s="3">
        <f t="shared" si="28"/>
        <v>369</v>
      </c>
      <c r="G322" s="8" t="s">
        <v>1468</v>
      </c>
      <c r="I322" t="s">
        <v>91</v>
      </c>
      <c r="J322" t="s">
        <v>91</v>
      </c>
      <c r="K322">
        <v>249</v>
      </c>
      <c r="L322">
        <v>249</v>
      </c>
      <c r="M322">
        <v>249</v>
      </c>
      <c r="O322" s="61" t="s">
        <v>449</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constants'!$B$4:$C$1012,2,FALSE),"")</f>
        <v>Summerset</v>
      </c>
      <c r="V322" s="33" t="s">
        <v>1550</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1550</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2649</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1229</v>
      </c>
      <c r="C323" t="s">
        <v>1230</v>
      </c>
      <c r="D323" s="3">
        <f t="shared" ref="D323:D386" si="34">A323</f>
        <v>370</v>
      </c>
      <c r="G323" s="8" t="s">
        <v>1468</v>
      </c>
      <c r="I323" t="s">
        <v>91</v>
      </c>
      <c r="J323" t="s">
        <v>91</v>
      </c>
      <c r="K323">
        <v>249</v>
      </c>
      <c r="L323">
        <v>249</v>
      </c>
      <c r="M323">
        <v>249</v>
      </c>
      <c r="O323" s="61" t="s">
        <v>449</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constants'!$B$4:$C$1012,2,FALSE),"")</f>
        <v>Summerset</v>
      </c>
      <c r="V323" s="33" t="s">
        <v>1550</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1550</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2649</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1231</v>
      </c>
      <c r="C324" t="s">
        <v>1232</v>
      </c>
      <c r="D324" s="3">
        <f t="shared" si="34"/>
        <v>371</v>
      </c>
      <c r="G324" s="8" t="s">
        <v>1468</v>
      </c>
      <c r="I324" t="s">
        <v>91</v>
      </c>
      <c r="J324" t="s">
        <v>91</v>
      </c>
      <c r="K324">
        <v>249</v>
      </c>
      <c r="L324">
        <v>249</v>
      </c>
      <c r="M324">
        <v>249</v>
      </c>
      <c r="O324" s="61" t="s">
        <v>449</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constants'!$B$4:$C$1012,2,FALSE),"")</f>
        <v>Summerset</v>
      </c>
      <c r="V324" s="33" t="s">
        <v>1550</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1550</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2649</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1233</v>
      </c>
      <c r="C325" t="s">
        <v>1234</v>
      </c>
      <c r="D325" s="3">
        <f t="shared" si="34"/>
        <v>372</v>
      </c>
      <c r="G325" s="8" t="s">
        <v>1468</v>
      </c>
      <c r="I325" t="s">
        <v>91</v>
      </c>
      <c r="J325" t="s">
        <v>91</v>
      </c>
      <c r="K325">
        <v>249</v>
      </c>
      <c r="L325">
        <v>249</v>
      </c>
      <c r="M325">
        <v>249</v>
      </c>
      <c r="O325" s="61" t="s">
        <v>449</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constants'!$B$4:$C$1012,2,FALSE),"")</f>
        <v>Summerset</v>
      </c>
      <c r="V325" s="33" t="s">
        <v>1550</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1550</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2649</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1235</v>
      </c>
      <c r="C326" t="s">
        <v>1236</v>
      </c>
      <c r="D326" s="3">
        <f t="shared" si="34"/>
        <v>373</v>
      </c>
      <c r="G326" s="8" t="s">
        <v>1468</v>
      </c>
      <c r="I326" t="s">
        <v>91</v>
      </c>
      <c r="J326" t="s">
        <v>91</v>
      </c>
      <c r="K326">
        <v>249</v>
      </c>
      <c r="L326">
        <v>249</v>
      </c>
      <c r="M326">
        <v>249</v>
      </c>
      <c r="O326" s="61" t="s">
        <v>449</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constants'!$B$4:$C$1012,2,FALSE),"")</f>
        <v>Summerset</v>
      </c>
      <c r="V326" s="33" t="s">
        <v>1550</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1550</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2650</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1237</v>
      </c>
      <c r="C327" t="s">
        <v>1238</v>
      </c>
      <c r="D327" s="3">
        <f t="shared" si="34"/>
        <v>374</v>
      </c>
      <c r="G327" s="8" t="s">
        <v>1468</v>
      </c>
      <c r="I327" t="s">
        <v>91</v>
      </c>
      <c r="J327" t="s">
        <v>91</v>
      </c>
      <c r="K327">
        <v>249</v>
      </c>
      <c r="L327">
        <v>249</v>
      </c>
      <c r="M327">
        <v>249</v>
      </c>
      <c r="O327" s="61" t="s">
        <v>449</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constants'!$B$4:$C$1012,2,FALSE),"")</f>
        <v>Summerset</v>
      </c>
      <c r="V327" s="33" t="s">
        <v>1550</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1550</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2649</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1239</v>
      </c>
      <c r="C328" t="s">
        <v>2609</v>
      </c>
      <c r="D328" s="3">
        <f t="shared" si="34"/>
        <v>380</v>
      </c>
      <c r="E328" t="s">
        <v>1461</v>
      </c>
      <c r="F328" t="s">
        <v>1419</v>
      </c>
      <c r="G328" s="8" t="s">
        <v>1478</v>
      </c>
      <c r="I328" t="s">
        <v>91</v>
      </c>
      <c r="J328" t="s">
        <v>91</v>
      </c>
      <c r="K328">
        <v>-1</v>
      </c>
      <c r="L328">
        <v>-1</v>
      </c>
      <c r="M328">
        <v>-1</v>
      </c>
      <c r="O328" s="61" t="s">
        <v>1509</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constants'!$B$4:$C$1012,2,FALSE),"")</f>
        <v>Included in base game</v>
      </c>
      <c r="V328" s="33" t="s">
        <v>1608</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constants'!$I$4:$L$1012,3,FALSE),""),"")</f>
        <v/>
      </c>
      <c r="AD328" s="41" t="str">
        <f>IF(AB328&lt;&gt;"",IF(AB328&lt;&gt;"LIBSETS_DROP_MECHANIC_MONSTER_NAME",VLOOKUP(AB328,'LibSets constants'!$I$4:$L$1012,4,FALSE),""),"")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2649</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1240</v>
      </c>
      <c r="C329" t="s">
        <v>1241</v>
      </c>
      <c r="D329" s="3">
        <f t="shared" si="34"/>
        <v>381</v>
      </c>
      <c r="E329" s="40" t="s">
        <v>1461</v>
      </c>
      <c r="F329" t="s">
        <v>1419</v>
      </c>
      <c r="G329" s="8" t="s">
        <v>1478</v>
      </c>
      <c r="I329" t="s">
        <v>91</v>
      </c>
      <c r="J329" t="s">
        <v>91</v>
      </c>
      <c r="K329">
        <v>-1</v>
      </c>
      <c r="L329">
        <v>-1</v>
      </c>
      <c r="M329">
        <v>-1</v>
      </c>
      <c r="O329" s="61" t="s">
        <v>1509</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constants'!$B$4:$C$1012,2,FALSE),"")</f>
        <v>Included in base game</v>
      </c>
      <c r="V329" s="33" t="s">
        <v>1608</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constants'!$I$4:$L$1012,3,FALSE),""),"")</f>
        <v/>
      </c>
      <c r="AD329" s="41" t="str">
        <f>IF(AB329&lt;&gt;"",IF(AB329&lt;&gt;"LIBSETS_DROP_MECHANIC_MONSTER_NAME",VLOOKUP(AB329,'LibSets constants'!$I$4:$L$1012,4,FALSE),""),"")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2649</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1242</v>
      </c>
      <c r="C330" t="s">
        <v>1243</v>
      </c>
      <c r="D330" s="3">
        <f t="shared" si="34"/>
        <v>382</v>
      </c>
      <c r="G330" s="8" t="s">
        <v>1476</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constants'!$B$4:$C$1012,2,FALSE),"")</f>
        <v>Necrom</v>
      </c>
      <c r="V330" s="33" t="s">
        <v>1554</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1555</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1556</v>
      </c>
      <c r="AI330" s="41"/>
      <c r="AJ330" s="41"/>
      <c r="AK330" s="3">
        <f>IF(AND(G330&lt;&gt;"LIBSETS_SETTYPE_BATTLEGROUND",G330&lt;&gt;"LIBSETS_SETTYPE_SPECIAL"),IF(AL330&lt;&gt;"",VLOOKUP(AL330,'ESO zone constants'!$D$5:$H$4955,5,FALSE),""),"")</f>
        <v>1011</v>
      </c>
      <c r="AL330" t="s">
        <v>79</v>
      </c>
      <c r="AM330" s="33" t="s">
        <v>1557</v>
      </c>
      <c r="AN330" s="41"/>
      <c r="AO330" s="41"/>
      <c r="AP330" s="3">
        <f>IF(AND(G330&lt;&gt;"LIBSETS_SETTYPE_BATTLEGROUND",G330&lt;&gt;"LIBSETS_SETTYPE_SPECIAL"),IF(AQ330&lt;&gt;"",VLOOKUP(AQ330,'ESO zone constants'!$D$5:$H$4955,5,FALSE),""),"")</f>
        <v>1027</v>
      </c>
      <c r="AQ330" t="s">
        <v>679</v>
      </c>
      <c r="AR330" s="33" t="s">
        <v>1554</v>
      </c>
      <c r="AS330" s="41"/>
      <c r="AT330" s="41"/>
      <c r="AU330" s="3">
        <f>IF(AND(G330&lt;&gt;"LIBSETS_SETTYPE_BATTLEGROUND",G330&lt;&gt;"LIBSETS_SETTYPE_SPECIAL"),IF(AV330&lt;&gt;"",VLOOKUP(AV330,'ESO zone constants'!$D$5:$H$4955,5,FALSE),""),"")</f>
        <v>1027</v>
      </c>
      <c r="AV330" t="s">
        <v>679</v>
      </c>
      <c r="AW330" s="33" t="s">
        <v>1557</v>
      </c>
      <c r="AX330" s="41"/>
      <c r="AY330" s="41"/>
      <c r="AZ330" s="78" t="s">
        <v>2649</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1244</v>
      </c>
      <c r="C331" t="s">
        <v>2610</v>
      </c>
      <c r="D331" s="3">
        <f t="shared" si="34"/>
        <v>383</v>
      </c>
      <c r="G331" s="8" t="s">
        <v>1476</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constants'!$B$4:$C$1012,2,FALSE),"")</f>
        <v>Necrom</v>
      </c>
      <c r="V331" s="33" t="s">
        <v>1554</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1555</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1556</v>
      </c>
      <c r="AI331" s="41"/>
      <c r="AJ331" s="41"/>
      <c r="AK331" s="3">
        <f>IF(AND(G331&lt;&gt;"LIBSETS_SETTYPE_BATTLEGROUND",G331&lt;&gt;"LIBSETS_SETTYPE_SPECIAL"),IF(AL331&lt;&gt;"",VLOOKUP(AL331,'ESO zone constants'!$D$5:$H$4955,5,FALSE),""),"")</f>
        <v>1011</v>
      </c>
      <c r="AL331" t="s">
        <v>79</v>
      </c>
      <c r="AM331" s="33" t="s">
        <v>1557</v>
      </c>
      <c r="AN331" s="41"/>
      <c r="AO331" s="41"/>
      <c r="AP331" s="3">
        <f>IF(AND(G331&lt;&gt;"LIBSETS_SETTYPE_BATTLEGROUND",G331&lt;&gt;"LIBSETS_SETTYPE_SPECIAL"),IF(AQ331&lt;&gt;"",VLOOKUP(AQ331,'ESO zone constants'!$D$5:$H$4955,5,FALSE),""),"")</f>
        <v>1027</v>
      </c>
      <c r="AQ331" t="s">
        <v>679</v>
      </c>
      <c r="AR331" s="33" t="s">
        <v>1554</v>
      </c>
      <c r="AS331" s="41"/>
      <c r="AT331" s="41"/>
      <c r="AU331" s="3">
        <f>IF(AND(G331&lt;&gt;"LIBSETS_SETTYPE_BATTLEGROUND",G331&lt;&gt;"LIBSETS_SETTYPE_SPECIAL"),IF(AV331&lt;&gt;"",VLOOKUP(AV331,'ESO zone constants'!$D$5:$H$4955,5,FALSE),""),"")</f>
        <v>1027</v>
      </c>
      <c r="AV331" t="s">
        <v>679</v>
      </c>
      <c r="AW331" s="33" t="s">
        <v>1557</v>
      </c>
      <c r="AX331" s="41"/>
      <c r="AY331" s="41"/>
      <c r="AZ331" s="78" t="s">
        <v>2649</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1245</v>
      </c>
      <c r="C332" t="s">
        <v>1246</v>
      </c>
      <c r="D332" s="3">
        <f t="shared" si="34"/>
        <v>384</v>
      </c>
      <c r="G332" s="8" t="s">
        <v>1476</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constants'!$B$4:$C$1012,2,FALSE),"")</f>
        <v>Necrom</v>
      </c>
      <c r="V332" s="33" t="s">
        <v>1554</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1555</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1556</v>
      </c>
      <c r="AI332" s="41"/>
      <c r="AJ332" s="41"/>
      <c r="AK332" s="3">
        <f>IF(AND(G332&lt;&gt;"LIBSETS_SETTYPE_BATTLEGROUND",G332&lt;&gt;"LIBSETS_SETTYPE_SPECIAL"),IF(AL332&lt;&gt;"",VLOOKUP(AL332,'ESO zone constants'!$D$5:$H$4955,5,FALSE),""),"")</f>
        <v>1011</v>
      </c>
      <c r="AL332" t="s">
        <v>79</v>
      </c>
      <c r="AM332" s="33" t="s">
        <v>1557</v>
      </c>
      <c r="AN332" s="41"/>
      <c r="AO332" s="41"/>
      <c r="AP332" s="3">
        <f>IF(AND(G332&lt;&gt;"LIBSETS_SETTYPE_BATTLEGROUND",G332&lt;&gt;"LIBSETS_SETTYPE_SPECIAL"),IF(AQ332&lt;&gt;"",VLOOKUP(AQ332,'ESO zone constants'!$D$5:$H$4955,5,FALSE),""),"")</f>
        <v>1027</v>
      </c>
      <c r="AQ332" t="s">
        <v>679</v>
      </c>
      <c r="AR332" s="33" t="s">
        <v>1554</v>
      </c>
      <c r="AS332" s="41"/>
      <c r="AT332" s="41"/>
      <c r="AU332" s="3">
        <f>IF(AND(G332&lt;&gt;"LIBSETS_SETTYPE_BATTLEGROUND",G332&lt;&gt;"LIBSETS_SETTYPE_SPECIAL"),IF(AV332&lt;&gt;"",VLOOKUP(AV332,'ESO zone constants'!$D$5:$H$4955,5,FALSE),""),"")</f>
        <v>1027</v>
      </c>
      <c r="AV332" t="s">
        <v>679</v>
      </c>
      <c r="AW332" s="33" t="s">
        <v>1557</v>
      </c>
      <c r="AX332" s="41"/>
      <c r="AY332" s="41"/>
      <c r="AZ332" s="78" t="s">
        <v>2649</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1247</v>
      </c>
      <c r="C333" t="s">
        <v>1248</v>
      </c>
      <c r="D333" s="3">
        <f t="shared" si="34"/>
        <v>385</v>
      </c>
      <c r="G333" s="8" t="s">
        <v>1470</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constants'!$B$4:$C$1012,2,FALSE),"")</f>
        <v>Necrom</v>
      </c>
      <c r="V333" s="33" t="s">
        <v>3283</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3283</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3283</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2649</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1249</v>
      </c>
      <c r="C334" t="s">
        <v>2611</v>
      </c>
      <c r="D334" s="3">
        <f t="shared" si="34"/>
        <v>386</v>
      </c>
      <c r="G334" s="8" t="s">
        <v>1470</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constants'!$B$4:$C$1012,2,FALSE),"")</f>
        <v>Necrom</v>
      </c>
      <c r="V334" s="33" t="s">
        <v>3283</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3283</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3283</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2649</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1250</v>
      </c>
      <c r="C335" t="s">
        <v>2612</v>
      </c>
      <c r="D335" s="3">
        <f t="shared" si="34"/>
        <v>387</v>
      </c>
      <c r="G335" s="8" t="s">
        <v>1470</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constants'!$B$4:$C$1012,2,FALSE),"")</f>
        <v>Necrom</v>
      </c>
      <c r="V335" s="33" t="s">
        <v>3283</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3283</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3283</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2649</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1251</v>
      </c>
      <c r="C336" t="s">
        <v>1252</v>
      </c>
      <c r="D336" s="3">
        <f t="shared" si="34"/>
        <v>388</v>
      </c>
      <c r="G336" s="8" t="s">
        <v>1477</v>
      </c>
      <c r="I336" t="s">
        <v>91</v>
      </c>
      <c r="J336" t="s">
        <v>91</v>
      </c>
      <c r="K336">
        <v>364</v>
      </c>
      <c r="L336">
        <v>364</v>
      </c>
      <c r="M336">
        <v>364</v>
      </c>
      <c r="O336" s="61" t="s">
        <v>698</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constants'!$B$4:$C$1012,2,FALSE),"")</f>
        <v>Summerset</v>
      </c>
      <c r="V336" s="33" t="s">
        <v>3261</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3261</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3261</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2649</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1253</v>
      </c>
      <c r="C337" t="s">
        <v>1254</v>
      </c>
      <c r="D337" s="3">
        <f t="shared" si="34"/>
        <v>389</v>
      </c>
      <c r="G337" s="8" t="s">
        <v>1477</v>
      </c>
      <c r="I337" t="s">
        <v>91</v>
      </c>
      <c r="J337" t="s">
        <v>91</v>
      </c>
      <c r="K337">
        <v>364</v>
      </c>
      <c r="L337">
        <v>364</v>
      </c>
      <c r="M337">
        <v>364</v>
      </c>
      <c r="O337" s="61" t="s">
        <v>698</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constants'!$B$4:$C$1012,2,FALSE),"")</f>
        <v>Summerset</v>
      </c>
      <c r="V337" s="33" t="s">
        <v>3261</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3261</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3261</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2649</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1255</v>
      </c>
      <c r="C338" t="s">
        <v>1256</v>
      </c>
      <c r="D338" s="3">
        <f t="shared" si="34"/>
        <v>390</v>
      </c>
      <c r="G338" s="8" t="s">
        <v>1477</v>
      </c>
      <c r="I338" t="s">
        <v>91</v>
      </c>
      <c r="J338" t="s">
        <v>91</v>
      </c>
      <c r="K338">
        <v>364</v>
      </c>
      <c r="L338">
        <v>364</v>
      </c>
      <c r="M338">
        <v>364</v>
      </c>
      <c r="O338" s="61" t="s">
        <v>698</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constants'!$B$4:$C$1012,2,FALSE),"")</f>
        <v>Summerset</v>
      </c>
      <c r="V338" s="33" t="s">
        <v>3261</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3261</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3261</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2649</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1257</v>
      </c>
      <c r="C339" t="s">
        <v>1258</v>
      </c>
      <c r="D339" s="3">
        <f t="shared" si="34"/>
        <v>391</v>
      </c>
      <c r="G339" s="8" t="s">
        <v>1477</v>
      </c>
      <c r="I339" t="s">
        <v>91</v>
      </c>
      <c r="J339" t="s">
        <v>91</v>
      </c>
      <c r="K339">
        <v>364</v>
      </c>
      <c r="L339">
        <v>364</v>
      </c>
      <c r="M339">
        <v>364</v>
      </c>
      <c r="O339" s="61" t="s">
        <v>698</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constants'!$B$4:$C$1012,2,FALSE),"")</f>
        <v>Summerset</v>
      </c>
      <c r="V339" s="33" t="s">
        <v>3261</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3261</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3261</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2649</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1259</v>
      </c>
      <c r="C340" t="s">
        <v>1260</v>
      </c>
      <c r="D340" s="3">
        <f t="shared" si="34"/>
        <v>392</v>
      </c>
      <c r="G340" s="8" t="s">
        <v>1477</v>
      </c>
      <c r="I340" t="s">
        <v>92</v>
      </c>
      <c r="J340" t="s">
        <v>91</v>
      </c>
      <c r="K340">
        <v>364</v>
      </c>
      <c r="L340">
        <v>364</v>
      </c>
      <c r="M340">
        <v>364</v>
      </c>
      <c r="O340" s="61" t="s">
        <v>698</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constants'!$B$4:$C$1012,2,FALSE),"")</f>
        <v>Summerset</v>
      </c>
      <c r="V340" s="33" t="s">
        <v>3261</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3261</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3261</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2649</v>
      </c>
      <c r="BA340" s="78"/>
      <c r="BB340" s="78"/>
      <c r="BC340" s="78"/>
      <c r="BD340" s="78" t="s">
        <v>3823</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1261</v>
      </c>
      <c r="C341" t="s">
        <v>1262</v>
      </c>
      <c r="D341" s="3">
        <f t="shared" si="34"/>
        <v>393</v>
      </c>
      <c r="G341" s="8" t="s">
        <v>1477</v>
      </c>
      <c r="I341" t="s">
        <v>92</v>
      </c>
      <c r="J341" t="s">
        <v>91</v>
      </c>
      <c r="K341">
        <v>364</v>
      </c>
      <c r="L341">
        <v>364</v>
      </c>
      <c r="M341">
        <v>364</v>
      </c>
      <c r="O341" s="61" t="s">
        <v>698</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constants'!$B$4:$C$1012,2,FALSE),"")</f>
        <v>Summerset</v>
      </c>
      <c r="V341" s="33" t="s">
        <v>3261</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3261</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3261</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2649</v>
      </c>
      <c r="BA341" s="78"/>
      <c r="BB341" s="78"/>
      <c r="BC341" s="78"/>
      <c r="BD341" s="78" t="s">
        <v>3823</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1263</v>
      </c>
      <c r="C342" t="s">
        <v>1264</v>
      </c>
      <c r="D342" s="3">
        <f t="shared" si="34"/>
        <v>394</v>
      </c>
      <c r="G342" s="8" t="s">
        <v>1477</v>
      </c>
      <c r="I342" t="s">
        <v>92</v>
      </c>
      <c r="J342" t="s">
        <v>91</v>
      </c>
      <c r="K342">
        <v>364</v>
      </c>
      <c r="L342">
        <v>364</v>
      </c>
      <c r="M342">
        <v>364</v>
      </c>
      <c r="O342" s="61" t="s">
        <v>698</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constants'!$B$4:$C$1012,2,FALSE),"")</f>
        <v>Summerset</v>
      </c>
      <c r="V342" s="33" t="s">
        <v>3261</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3261</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3261</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2649</v>
      </c>
      <c r="BA342" s="78"/>
      <c r="BB342" s="78"/>
      <c r="BC342" s="78"/>
      <c r="BD342" s="78" t="s">
        <v>3823</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1265</v>
      </c>
      <c r="C343" t="s">
        <v>1266</v>
      </c>
      <c r="D343" s="3">
        <f t="shared" si="34"/>
        <v>395</v>
      </c>
      <c r="G343" s="8" t="s">
        <v>1477</v>
      </c>
      <c r="I343" t="s">
        <v>92</v>
      </c>
      <c r="J343" t="s">
        <v>91</v>
      </c>
      <c r="K343">
        <v>364</v>
      </c>
      <c r="L343">
        <v>364</v>
      </c>
      <c r="M343">
        <v>364</v>
      </c>
      <c r="O343" s="61" t="s">
        <v>698</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constants'!$B$4:$C$1012,2,FALSE),"")</f>
        <v>Summerset</v>
      </c>
      <c r="V343" s="33" t="s">
        <v>3261</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3261</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3261</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2649</v>
      </c>
      <c r="BA343" s="78"/>
      <c r="BB343" s="78"/>
      <c r="BC343" s="78"/>
      <c r="BD343" s="78" t="s">
        <v>3823</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1475</v>
      </c>
      <c r="H344" s="86">
        <v>3</v>
      </c>
      <c r="I344" t="s">
        <v>1462</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constants'!$B$4:$C$1012,2,FALSE),"")</f>
        <v>Wolfhunter</v>
      </c>
      <c r="V344" s="33" t="s">
        <v>1538</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2649</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1475</v>
      </c>
      <c r="H345" s="86">
        <v>3</v>
      </c>
      <c r="I345" t="s">
        <v>1462</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constants'!$B$4:$C$1012,2,FALSE),"")</f>
        <v>Wolfhunter</v>
      </c>
      <c r="V345" s="33" t="s">
        <v>1538</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2649</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1267</v>
      </c>
      <c r="C346" t="s">
        <v>2613</v>
      </c>
      <c r="D346" s="3">
        <f t="shared" si="34"/>
        <v>399</v>
      </c>
      <c r="G346" s="8" t="s">
        <v>1473</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constants'!$B$4:$C$1012,2,FALSE),"")</f>
        <v>Wolfhunter</v>
      </c>
      <c r="V346" s="33" t="s">
        <v>3280</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2649</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1268</v>
      </c>
      <c r="C347" t="s">
        <v>1269</v>
      </c>
      <c r="D347" s="3">
        <f t="shared" si="34"/>
        <v>400</v>
      </c>
      <c r="E347" s="40"/>
      <c r="G347" s="8" t="s">
        <v>1473</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constants'!$B$4:$C$1012,2,FALSE),"")</f>
        <v>Wolfhunter</v>
      </c>
      <c r="V347" s="33" t="s">
        <v>3280</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2649</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1270</v>
      </c>
      <c r="C348" t="s">
        <v>1271</v>
      </c>
      <c r="D348" s="3">
        <f t="shared" si="34"/>
        <v>401</v>
      </c>
      <c r="G348" s="8" t="s">
        <v>1473</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constants'!$B$4:$C$1012,2,FALSE),"")</f>
        <v>Wolfhunter</v>
      </c>
      <c r="V348" s="33" t="s">
        <v>3280</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2649</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1272</v>
      </c>
      <c r="C349" t="s">
        <v>1273</v>
      </c>
      <c r="D349" s="3">
        <f t="shared" si="34"/>
        <v>402</v>
      </c>
      <c r="G349" s="8" t="s">
        <v>1473</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constants'!$B$4:$C$1012,2,FALSE),"")</f>
        <v>Wolfhunter</v>
      </c>
      <c r="V349" s="33" t="s">
        <v>3280</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2649</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1274</v>
      </c>
      <c r="C350" t="s">
        <v>1275</v>
      </c>
      <c r="D350" s="3">
        <f t="shared" si="34"/>
        <v>403</v>
      </c>
      <c r="G350" s="8" t="s">
        <v>1473</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constants'!$B$4:$C$1012,2,FALSE),"")</f>
        <v>Wolfhunter</v>
      </c>
      <c r="V350" s="33" t="s">
        <v>3280</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2649</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1276</v>
      </c>
      <c r="C351" t="s">
        <v>2614</v>
      </c>
      <c r="D351" s="3">
        <f t="shared" si="34"/>
        <v>404</v>
      </c>
      <c r="G351" s="8" t="s">
        <v>1473</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constants'!$B$4:$C$1012,2,FALSE),"")</f>
        <v>Wolfhunter</v>
      </c>
      <c r="V351" s="33" t="s">
        <v>3280</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2649</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1277</v>
      </c>
      <c r="C352" t="s">
        <v>2615</v>
      </c>
      <c r="D352" s="3">
        <f t="shared" si="34"/>
        <v>405</v>
      </c>
      <c r="E352" s="40"/>
      <c r="G352" s="8" t="s">
        <v>1476</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constants'!$B$4:$C$1012,2,FALSE),"")</f>
        <v>Elsweyr</v>
      </c>
      <c r="V352" s="33" t="s">
        <v>1554</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1555</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1557</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2649</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1278</v>
      </c>
      <c r="C353" t="s">
        <v>2616</v>
      </c>
      <c r="D353" s="3">
        <f t="shared" si="34"/>
        <v>406</v>
      </c>
      <c r="G353" s="8" t="s">
        <v>1476</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constants'!$B$4:$C$1012,2,FALSE),"")</f>
        <v>Elsweyr</v>
      </c>
      <c r="V353" s="33" t="s">
        <v>1554</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1555</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1557</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2649</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1279</v>
      </c>
      <c r="C354" t="s">
        <v>1280</v>
      </c>
      <c r="D354" s="3">
        <f t="shared" si="34"/>
        <v>407</v>
      </c>
      <c r="E354" s="40"/>
      <c r="G354" s="8" t="s">
        <v>1476</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constants'!$B$4:$C$1012,2,FALSE),"")</f>
        <v>Elsweyr</v>
      </c>
      <c r="V354" s="33" t="s">
        <v>1554</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1555</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1557</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2649</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1281</v>
      </c>
      <c r="C355" t="s">
        <v>1282</v>
      </c>
      <c r="D355" s="3">
        <f t="shared" si="34"/>
        <v>408</v>
      </c>
      <c r="G355" s="8" t="s">
        <v>1470</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constants'!$B$4:$C$1012,2,FALSE),"")</f>
        <v>Elsweyr</v>
      </c>
      <c r="V355" s="33" t="s">
        <v>3283</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3283</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2649</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1283</v>
      </c>
      <c r="C356" t="s">
        <v>1284</v>
      </c>
      <c r="D356" s="3">
        <f t="shared" si="34"/>
        <v>409</v>
      </c>
      <c r="G356" s="8" t="s">
        <v>1470</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constants'!$B$4:$C$1012,2,FALSE),"")</f>
        <v>Elsweyr</v>
      </c>
      <c r="V356" s="33" t="s">
        <v>3283</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3283</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2649</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1285</v>
      </c>
      <c r="C357" t="s">
        <v>1286</v>
      </c>
      <c r="D357" s="3">
        <f t="shared" si="34"/>
        <v>410</v>
      </c>
      <c r="G357" s="8" t="s">
        <v>1470</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constants'!$B$4:$C$1012,2,FALSE),"")</f>
        <v>Elsweyr</v>
      </c>
      <c r="V357" s="33" t="s">
        <v>3283</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3283</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2649</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1287</v>
      </c>
      <c r="C358" t="s">
        <v>1288</v>
      </c>
      <c r="D358" s="3">
        <f t="shared" si="34"/>
        <v>411</v>
      </c>
      <c r="G358" s="8" t="s">
        <v>1468</v>
      </c>
      <c r="I358" t="s">
        <v>91</v>
      </c>
      <c r="J358" t="s">
        <v>91</v>
      </c>
      <c r="K358">
        <v>378</v>
      </c>
      <c r="L358">
        <v>378</v>
      </c>
      <c r="M358">
        <v>378</v>
      </c>
      <c r="O358" s="61" t="s">
        <v>719</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constants'!$B$4:$C$1012,2,FALSE),"")</f>
        <v>Blackwood</v>
      </c>
      <c r="V358" s="33" t="s">
        <v>1550</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1550</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2649</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1289</v>
      </c>
      <c r="C359" t="s">
        <v>1290</v>
      </c>
      <c r="D359" s="3">
        <f t="shared" si="34"/>
        <v>412</v>
      </c>
      <c r="G359" s="8" t="s">
        <v>1468</v>
      </c>
      <c r="I359" t="s">
        <v>91</v>
      </c>
      <c r="J359" t="s">
        <v>91</v>
      </c>
      <c r="K359">
        <v>378</v>
      </c>
      <c r="L359">
        <v>378</v>
      </c>
      <c r="M359">
        <v>378</v>
      </c>
      <c r="O359" s="61" t="s">
        <v>719</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constants'!$B$4:$C$1012,2,FALSE),"")</f>
        <v>Blackwood</v>
      </c>
      <c r="V359" s="33" t="s">
        <v>1550</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1550</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2649</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1291</v>
      </c>
      <c r="C360" t="s">
        <v>1292</v>
      </c>
      <c r="D360" s="3">
        <f t="shared" si="34"/>
        <v>413</v>
      </c>
      <c r="G360" s="8" t="s">
        <v>1468</v>
      </c>
      <c r="I360" t="s">
        <v>91</v>
      </c>
      <c r="J360" t="s">
        <v>91</v>
      </c>
      <c r="K360">
        <v>378</v>
      </c>
      <c r="L360">
        <v>378</v>
      </c>
      <c r="M360">
        <v>378</v>
      </c>
      <c r="O360" s="61" t="s">
        <v>719</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constants'!$B$4:$C$1012,2,FALSE),"")</f>
        <v>Blackwood</v>
      </c>
      <c r="V360" s="33" t="s">
        <v>1550</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1550</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2649</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1293</v>
      </c>
      <c r="C361" t="s">
        <v>1294</v>
      </c>
      <c r="D361" s="3">
        <f t="shared" si="34"/>
        <v>414</v>
      </c>
      <c r="G361" s="8" t="s">
        <v>1468</v>
      </c>
      <c r="I361" t="s">
        <v>91</v>
      </c>
      <c r="J361" t="s">
        <v>91</v>
      </c>
      <c r="K361">
        <v>378</v>
      </c>
      <c r="L361">
        <v>378</v>
      </c>
      <c r="M361">
        <v>378</v>
      </c>
      <c r="O361" s="61" t="s">
        <v>719</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constants'!$B$4:$C$1012,2,FALSE),"")</f>
        <v>Blackwood</v>
      </c>
      <c r="V361" s="33" t="s">
        <v>1550</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1550</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2649</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1295</v>
      </c>
      <c r="C362" t="s">
        <v>1296</v>
      </c>
      <c r="D362" s="3">
        <f t="shared" si="34"/>
        <v>415</v>
      </c>
      <c r="G362" s="8" t="s">
        <v>1468</v>
      </c>
      <c r="I362" t="s">
        <v>91</v>
      </c>
      <c r="J362" t="s">
        <v>91</v>
      </c>
      <c r="K362">
        <v>378</v>
      </c>
      <c r="L362">
        <v>378</v>
      </c>
      <c r="M362">
        <v>378</v>
      </c>
      <c r="O362" s="61" t="s">
        <v>719</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constants'!$B$4:$C$1012,2,FALSE),"")</f>
        <v>Blackwood</v>
      </c>
      <c r="V362" s="33" t="s">
        <v>1550</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1550</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2649</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1297</v>
      </c>
      <c r="C363" t="s">
        <v>2617</v>
      </c>
      <c r="D363" s="3">
        <f t="shared" si="34"/>
        <v>416</v>
      </c>
      <c r="G363" s="8" t="s">
        <v>1468</v>
      </c>
      <c r="I363" t="s">
        <v>91</v>
      </c>
      <c r="J363" t="s">
        <v>91</v>
      </c>
      <c r="K363">
        <v>378</v>
      </c>
      <c r="L363">
        <v>378</v>
      </c>
      <c r="M363">
        <v>378</v>
      </c>
      <c r="O363" s="61" t="s">
        <v>719</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constants'!$B$4:$C$1012,2,FALSE),"")</f>
        <v>Blackwood</v>
      </c>
      <c r="V363" s="33" t="s">
        <v>1550</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1550</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2649</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1298</v>
      </c>
      <c r="C364" t="s">
        <v>1299</v>
      </c>
      <c r="D364" s="3">
        <f t="shared" si="34"/>
        <v>417</v>
      </c>
      <c r="G364" s="8" t="s">
        <v>1471</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constants'!$B$4:$C$1012,2,FALSE),"")</f>
        <v>Included in base game</v>
      </c>
      <c r="V364" s="33" t="s">
        <v>1535</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3728</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2760</v>
      </c>
      <c r="AK364" s="3">
        <f>IF(AND(G364&lt;&gt;"LIBSETS_SETTYPE_BATTLEGROUND",G364&lt;&gt;"LIBSETS_SETTYPE_SPECIAL"),IF(AL364&lt;&gt;"",VLOOKUP(AL364,'ESO zone constants'!$D$5:$H$4955,5,FALSE),""),"")</f>
        <v>181</v>
      </c>
      <c r="AL364" t="s">
        <v>125</v>
      </c>
      <c r="AM364" s="33" t="s">
        <v>3731</v>
      </c>
      <c r="AP364" s="3">
        <f>IF(AND(G364&lt;&gt;"LIBSETS_SETTYPE_BATTLEGROUND",G364&lt;&gt;"LIBSETS_SETTYPE_SPECIAL"),IF(AQ364&lt;&gt;"",VLOOKUP(AQ364,'ESO zone constants'!$D$5:$H$4955,5,FALSE),""),"")</f>
        <v>181</v>
      </c>
      <c r="AQ364" t="s">
        <v>125</v>
      </c>
      <c r="AR364" s="33" t="s">
        <v>1554</v>
      </c>
      <c r="AU364" s="3">
        <f>IF(AND(G364&lt;&gt;"LIBSETS_SETTYPE_BATTLEGROUND",G364&lt;&gt;"LIBSETS_SETTYPE_SPECIAL"),IF(AV364&lt;&gt;"",VLOOKUP(AV364,'ESO zone constants'!$D$5:$H$4955,5,FALSE),""),"")</f>
        <v>181</v>
      </c>
      <c r="AV364" t="s">
        <v>125</v>
      </c>
      <c r="AW364" s="33" t="s">
        <v>3231</v>
      </c>
      <c r="AZ364" s="78" t="s">
        <v>2649</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1300</v>
      </c>
      <c r="C365" t="s">
        <v>1301</v>
      </c>
      <c r="D365" s="3">
        <f t="shared" si="34"/>
        <v>418</v>
      </c>
      <c r="G365" s="8" t="s">
        <v>1471</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constants'!$B$4:$C$1012,2,FALSE),"")</f>
        <v>Included in base game</v>
      </c>
      <c r="V365" s="33" t="s">
        <v>1535</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3728</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2760</v>
      </c>
      <c r="AK365" s="3">
        <f>IF(AND(G365&lt;&gt;"LIBSETS_SETTYPE_BATTLEGROUND",G365&lt;&gt;"LIBSETS_SETTYPE_SPECIAL"),IF(AL365&lt;&gt;"",VLOOKUP(AL365,'ESO zone constants'!$D$5:$H$4955,5,FALSE),""),"")</f>
        <v>181</v>
      </c>
      <c r="AL365" t="s">
        <v>125</v>
      </c>
      <c r="AM365" s="33" t="s">
        <v>3731</v>
      </c>
      <c r="AP365" s="3">
        <f>IF(AND(G365&lt;&gt;"LIBSETS_SETTYPE_BATTLEGROUND",G365&lt;&gt;"LIBSETS_SETTYPE_SPECIAL"),IF(AQ365&lt;&gt;"",VLOOKUP(AQ365,'ESO zone constants'!$D$5:$H$4955,5,FALSE),""),"")</f>
        <v>181</v>
      </c>
      <c r="AQ365" t="s">
        <v>125</v>
      </c>
      <c r="AR365" s="33" t="s">
        <v>1554</v>
      </c>
      <c r="AU365" s="3">
        <f>IF(AND(G365&lt;&gt;"LIBSETS_SETTYPE_BATTLEGROUND",G365&lt;&gt;"LIBSETS_SETTYPE_SPECIAL"),IF(AV365&lt;&gt;"",VLOOKUP(AV365,'ESO zone constants'!$D$5:$H$4955,5,FALSE),""),"")</f>
        <v>181</v>
      </c>
      <c r="AV365" t="s">
        <v>125</v>
      </c>
      <c r="AW365" s="33" t="s">
        <v>3231</v>
      </c>
      <c r="AZ365" s="78" t="s">
        <v>2649</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1302</v>
      </c>
      <c r="C366" t="s">
        <v>1303</v>
      </c>
      <c r="D366" s="3">
        <f t="shared" si="34"/>
        <v>419</v>
      </c>
      <c r="E366" s="40"/>
      <c r="G366" s="8" t="s">
        <v>1471</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constants'!$B$4:$C$1012,2,FALSE),"")</f>
        <v>Included in base game</v>
      </c>
      <c r="V366" s="33" t="s">
        <v>1535</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3728</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2760</v>
      </c>
      <c r="AK366" s="3">
        <f>IF(AND(G366&lt;&gt;"LIBSETS_SETTYPE_BATTLEGROUND",G366&lt;&gt;"LIBSETS_SETTYPE_SPECIAL"),IF(AL366&lt;&gt;"",VLOOKUP(AL366,'ESO zone constants'!$D$5:$H$4955,5,FALSE),""),"")</f>
        <v>181</v>
      </c>
      <c r="AL366" t="s">
        <v>125</v>
      </c>
      <c r="AM366" s="33" t="s">
        <v>3731</v>
      </c>
      <c r="AP366" s="3">
        <f>IF(AND(G366&lt;&gt;"LIBSETS_SETTYPE_BATTLEGROUND",G366&lt;&gt;"LIBSETS_SETTYPE_SPECIAL"),IF(AQ366&lt;&gt;"",VLOOKUP(AQ366,'ESO zone constants'!$D$5:$H$4955,5,FALSE),""),"")</f>
        <v>181</v>
      </c>
      <c r="AQ366" t="s">
        <v>125</v>
      </c>
      <c r="AR366" s="33" t="s">
        <v>1554</v>
      </c>
      <c r="AU366" s="3">
        <f>IF(AND(G366&lt;&gt;"LIBSETS_SETTYPE_BATTLEGROUND",G366&lt;&gt;"LIBSETS_SETTYPE_SPECIAL"),IF(AV366&lt;&gt;"",VLOOKUP(AV366,'ESO zone constants'!$D$5:$H$4955,5,FALSE),""),"")</f>
        <v>181</v>
      </c>
      <c r="AV366" t="s">
        <v>125</v>
      </c>
      <c r="AW366" s="33" t="s">
        <v>3231</v>
      </c>
      <c r="AZ366" s="78" t="s">
        <v>2650</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1304</v>
      </c>
      <c r="C367" t="s">
        <v>1305</v>
      </c>
      <c r="D367" s="3">
        <f t="shared" si="34"/>
        <v>420</v>
      </c>
      <c r="G367" s="8" t="s">
        <v>1471</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constants'!$B$4:$C$1012,2,FALSE),"")</f>
        <v>Included in base game</v>
      </c>
      <c r="V367" s="33" t="s">
        <v>1535</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3728</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2760</v>
      </c>
      <c r="AK367" s="3">
        <f>IF(AND(G367&lt;&gt;"LIBSETS_SETTYPE_BATTLEGROUND",G367&lt;&gt;"LIBSETS_SETTYPE_SPECIAL"),IF(AL367&lt;&gt;"",VLOOKUP(AL367,'ESO zone constants'!$D$5:$H$4955,5,FALSE),""),"")</f>
        <v>181</v>
      </c>
      <c r="AL367" t="s">
        <v>125</v>
      </c>
      <c r="AM367" s="33" t="s">
        <v>3731</v>
      </c>
      <c r="AP367" s="3">
        <f>IF(AND(G367&lt;&gt;"LIBSETS_SETTYPE_BATTLEGROUND",G367&lt;&gt;"LIBSETS_SETTYPE_SPECIAL"),IF(AQ367&lt;&gt;"",VLOOKUP(AQ367,'ESO zone constants'!$D$5:$H$4955,5,FALSE),""),"")</f>
        <v>181</v>
      </c>
      <c r="AQ367" t="s">
        <v>125</v>
      </c>
      <c r="AR367" s="33" t="s">
        <v>1554</v>
      </c>
      <c r="AU367" s="3">
        <f>IF(AND(G367&lt;&gt;"LIBSETS_SETTYPE_BATTLEGROUND",G367&lt;&gt;"LIBSETS_SETTYPE_SPECIAL"),IF(AV367&lt;&gt;"",VLOOKUP(AV367,'ESO zone constants'!$D$5:$H$4955,5,FALSE),""),"")</f>
        <v>181</v>
      </c>
      <c r="AV367" t="s">
        <v>125</v>
      </c>
      <c r="AW367" s="33" t="s">
        <v>3231</v>
      </c>
      <c r="AZ367" s="78" t="s">
        <v>2649</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1306</v>
      </c>
      <c r="C368" t="s">
        <v>1307</v>
      </c>
      <c r="D368" s="3">
        <f t="shared" si="34"/>
        <v>421</v>
      </c>
      <c r="G368" s="8" t="s">
        <v>1471</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constants'!$B$4:$C$1012,2,FALSE),"")</f>
        <v>Included in base game</v>
      </c>
      <c r="V368" s="33" t="s">
        <v>1535</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3728</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2760</v>
      </c>
      <c r="AK368" s="3">
        <f>IF(AND(G368&lt;&gt;"LIBSETS_SETTYPE_BATTLEGROUND",G368&lt;&gt;"LIBSETS_SETTYPE_SPECIAL"),IF(AL368&lt;&gt;"",VLOOKUP(AL368,'ESO zone constants'!$D$5:$H$4955,5,FALSE),""),"")</f>
        <v>181</v>
      </c>
      <c r="AL368" t="s">
        <v>125</v>
      </c>
      <c r="AM368" s="33" t="s">
        <v>3731</v>
      </c>
      <c r="AP368" s="3">
        <f>IF(AND(G368&lt;&gt;"LIBSETS_SETTYPE_BATTLEGROUND",G368&lt;&gt;"LIBSETS_SETTYPE_SPECIAL"),IF(AQ368&lt;&gt;"",VLOOKUP(AQ368,'ESO zone constants'!$D$5:$H$4955,5,FALSE),""),"")</f>
        <v>181</v>
      </c>
      <c r="AQ368" t="s">
        <v>125</v>
      </c>
      <c r="AR368" s="33" t="s">
        <v>1554</v>
      </c>
      <c r="AU368" s="3">
        <f>IF(AND(G368&lt;&gt;"LIBSETS_SETTYPE_BATTLEGROUND",G368&lt;&gt;"LIBSETS_SETTYPE_SPECIAL"),IF(AV368&lt;&gt;"",VLOOKUP(AV368,'ESO zone constants'!$D$5:$H$4955,5,FALSE),""),"")</f>
        <v>181</v>
      </c>
      <c r="AV368" t="s">
        <v>125</v>
      </c>
      <c r="AW368" s="33" t="s">
        <v>3231</v>
      </c>
      <c r="AZ368" s="78" t="s">
        <v>2649</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1308</v>
      </c>
      <c r="C369" t="s">
        <v>1309</v>
      </c>
      <c r="D369" s="3">
        <f t="shared" si="34"/>
        <v>422</v>
      </c>
      <c r="E369" s="40"/>
      <c r="G369" s="8" t="s">
        <v>1471</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constants'!$B$4:$C$1012,2,FALSE),"")</f>
        <v>Included in base game</v>
      </c>
      <c r="V369" s="33" t="s">
        <v>1535</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3728</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2760</v>
      </c>
      <c r="AK369" s="3">
        <f>IF(AND(G369&lt;&gt;"LIBSETS_SETTYPE_BATTLEGROUND",G369&lt;&gt;"LIBSETS_SETTYPE_SPECIAL"),IF(AL369&lt;&gt;"",VLOOKUP(AL369,'ESO zone constants'!$D$5:$H$4955,5,FALSE),""),"")</f>
        <v>181</v>
      </c>
      <c r="AL369" t="s">
        <v>125</v>
      </c>
      <c r="AM369" s="33" t="s">
        <v>3731</v>
      </c>
      <c r="AP369" s="3">
        <f>IF(AND(G369&lt;&gt;"LIBSETS_SETTYPE_BATTLEGROUND",G369&lt;&gt;"LIBSETS_SETTYPE_SPECIAL"),IF(AQ369&lt;&gt;"",VLOOKUP(AQ369,'ESO zone constants'!$D$5:$H$4955,5,FALSE),""),"")</f>
        <v>181</v>
      </c>
      <c r="AQ369" t="s">
        <v>125</v>
      </c>
      <c r="AR369" s="33" t="s">
        <v>1554</v>
      </c>
      <c r="AU369" s="3">
        <f>IF(AND(G369&lt;&gt;"LIBSETS_SETTYPE_BATTLEGROUND",G369&lt;&gt;"LIBSETS_SETTYPE_SPECIAL"),IF(AV369&lt;&gt;"",VLOOKUP(AV369,'ESO zone constants'!$D$5:$H$4955,5,FALSE),""),"")</f>
        <v>181</v>
      </c>
      <c r="AV369" t="s">
        <v>125</v>
      </c>
      <c r="AW369" s="33" t="s">
        <v>3231</v>
      </c>
      <c r="AZ369" s="78" t="s">
        <v>2649</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1310</v>
      </c>
      <c r="C370" t="s">
        <v>1311</v>
      </c>
      <c r="D370" s="3">
        <f t="shared" si="34"/>
        <v>423</v>
      </c>
      <c r="G370" s="8" t="s">
        <v>1468</v>
      </c>
      <c r="I370" t="s">
        <v>92</v>
      </c>
      <c r="J370" t="s">
        <v>91</v>
      </c>
      <c r="K370">
        <v>378</v>
      </c>
      <c r="L370">
        <v>378</v>
      </c>
      <c r="M370">
        <v>378</v>
      </c>
      <c r="O370" s="61" t="s">
        <v>719</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constants'!$B$4:$C$1012,2,FALSE),"")</f>
        <v>Blackwood</v>
      </c>
      <c r="V370" s="33" t="s">
        <v>1550</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1550</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2649</v>
      </c>
      <c r="BA370" s="78"/>
      <c r="BB370" s="78"/>
      <c r="BC370" s="78"/>
      <c r="BD370" s="78" t="s">
        <v>3823</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1312</v>
      </c>
      <c r="C371" t="s">
        <v>1313</v>
      </c>
      <c r="D371" s="3">
        <f t="shared" si="34"/>
        <v>424</v>
      </c>
      <c r="G371" s="8" t="s">
        <v>1468</v>
      </c>
      <c r="I371" t="s">
        <v>92</v>
      </c>
      <c r="J371" t="s">
        <v>91</v>
      </c>
      <c r="K371">
        <v>378</v>
      </c>
      <c r="L371">
        <v>378</v>
      </c>
      <c r="M371">
        <v>378</v>
      </c>
      <c r="O371" s="61" t="s">
        <v>719</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constants'!$B$4:$C$1012,2,FALSE),"")</f>
        <v>Blackwood</v>
      </c>
      <c r="V371" s="33" t="s">
        <v>1550</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1550</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2649</v>
      </c>
      <c r="BA371" s="78"/>
      <c r="BB371" s="78"/>
      <c r="BC371" s="78"/>
      <c r="BD371" s="78" t="s">
        <v>3823</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1314</v>
      </c>
      <c r="C372" t="s">
        <v>1315</v>
      </c>
      <c r="D372" s="3">
        <f t="shared" si="34"/>
        <v>425</v>
      </c>
      <c r="G372" s="8" t="s">
        <v>1468</v>
      </c>
      <c r="I372" t="s">
        <v>92</v>
      </c>
      <c r="J372" t="s">
        <v>91</v>
      </c>
      <c r="K372">
        <v>378</v>
      </c>
      <c r="L372">
        <v>378</v>
      </c>
      <c r="M372">
        <v>378</v>
      </c>
      <c r="O372" s="61" t="s">
        <v>719</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constants'!$B$4:$C$1012,2,FALSE),"")</f>
        <v>Blackwood</v>
      </c>
      <c r="V372" s="33" t="s">
        <v>1550</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1550</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2649</v>
      </c>
      <c r="BA372" s="78"/>
      <c r="BB372" s="78"/>
      <c r="BC372" s="78"/>
      <c r="BD372" s="78" t="s">
        <v>3823</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1316</v>
      </c>
      <c r="C373" t="s">
        <v>1317</v>
      </c>
      <c r="D373" s="3">
        <f t="shared" si="34"/>
        <v>426</v>
      </c>
      <c r="G373" s="8" t="s">
        <v>1468</v>
      </c>
      <c r="I373" t="s">
        <v>92</v>
      </c>
      <c r="J373" t="s">
        <v>91</v>
      </c>
      <c r="K373">
        <v>378</v>
      </c>
      <c r="L373">
        <v>378</v>
      </c>
      <c r="M373">
        <v>378</v>
      </c>
      <c r="O373" s="61" t="s">
        <v>719</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constants'!$B$4:$C$1012,2,FALSE),"")</f>
        <v>Blackwood</v>
      </c>
      <c r="V373" s="33" t="s">
        <v>1550</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1550</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2649</v>
      </c>
      <c r="BA373" s="78"/>
      <c r="BB373" s="78"/>
      <c r="BC373" s="78"/>
      <c r="BD373" s="78" t="s">
        <v>3823</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1318</v>
      </c>
      <c r="C374" t="s">
        <v>1319</v>
      </c>
      <c r="D374" s="3">
        <f t="shared" si="34"/>
        <v>427</v>
      </c>
      <c r="G374" s="8" t="s">
        <v>1468</v>
      </c>
      <c r="I374" t="s">
        <v>92</v>
      </c>
      <c r="J374" t="s">
        <v>91</v>
      </c>
      <c r="K374">
        <v>378</v>
      </c>
      <c r="L374">
        <v>378</v>
      </c>
      <c r="M374">
        <v>378</v>
      </c>
      <c r="O374" s="61" t="s">
        <v>719</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constants'!$B$4:$C$1012,2,FALSE),"")</f>
        <v>Blackwood</v>
      </c>
      <c r="V374" s="33" t="s">
        <v>1550</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1550</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2649</v>
      </c>
      <c r="BA374" s="78"/>
      <c r="BB374" s="78"/>
      <c r="BC374" s="78"/>
      <c r="BD374" s="78" t="s">
        <v>3823</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1320</v>
      </c>
      <c r="C375" t="s">
        <v>2618</v>
      </c>
      <c r="D375" s="3">
        <f t="shared" si="34"/>
        <v>428</v>
      </c>
      <c r="G375" s="8" t="s">
        <v>1468</v>
      </c>
      <c r="I375" t="s">
        <v>92</v>
      </c>
      <c r="J375" t="s">
        <v>91</v>
      </c>
      <c r="K375">
        <v>378</v>
      </c>
      <c r="L375">
        <v>378</v>
      </c>
      <c r="M375">
        <v>378</v>
      </c>
      <c r="O375" s="61" t="s">
        <v>719</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constants'!$B$4:$C$1012,2,FALSE),"")</f>
        <v>Blackwood</v>
      </c>
      <c r="V375" s="33" t="s">
        <v>1550</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1550</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2649</v>
      </c>
      <c r="BA375" s="78"/>
      <c r="BB375" s="78"/>
      <c r="BC375" s="78"/>
      <c r="BD375" s="78" t="s">
        <v>3823</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1321</v>
      </c>
      <c r="C376" t="s">
        <v>1322</v>
      </c>
      <c r="D376" s="3">
        <f t="shared" si="34"/>
        <v>429</v>
      </c>
      <c r="G376" s="8" t="s">
        <v>1473</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constants'!$B$4:$C$1012,2,FALSE),"")</f>
        <v>Wrathstone</v>
      </c>
      <c r="V376" s="33" t="s">
        <v>3280</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2649</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1323</v>
      </c>
      <c r="C377" t="s">
        <v>2619</v>
      </c>
      <c r="D377" s="3">
        <f t="shared" si="34"/>
        <v>430</v>
      </c>
      <c r="G377" s="8" t="s">
        <v>1473</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constants'!$B$4:$C$1012,2,FALSE),"")</f>
        <v>Wrathstone</v>
      </c>
      <c r="V377" s="33" t="s">
        <v>3280</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2649</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1324</v>
      </c>
      <c r="C378" t="s">
        <v>1325</v>
      </c>
      <c r="D378" s="3">
        <f t="shared" si="34"/>
        <v>431</v>
      </c>
      <c r="G378" s="8" t="s">
        <v>1473</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constants'!$B$4:$C$1012,2,FALSE),"")</f>
        <v>Wrathstone</v>
      </c>
      <c r="V378" s="33" t="s">
        <v>3280</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2649</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1326</v>
      </c>
      <c r="C379" t="s">
        <v>25</v>
      </c>
      <c r="D379" s="3">
        <f t="shared" si="34"/>
        <v>432</v>
      </c>
      <c r="G379" s="8" t="s">
        <v>1475</v>
      </c>
      <c r="H379" s="86">
        <v>3</v>
      </c>
      <c r="I379" t="s">
        <v>1462</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constants'!$B$4:$C$1012,2,FALSE),"")</f>
        <v>Wrathstone</v>
      </c>
      <c r="V379" s="33" t="s">
        <v>1538</v>
      </c>
      <c r="W379" s="3" t="s">
        <v>1549</v>
      </c>
      <c r="X379" s="3" t="s">
        <v>1635</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2649</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1327</v>
      </c>
      <c r="C380" t="s">
        <v>1328</v>
      </c>
      <c r="D380" s="3">
        <f t="shared" si="34"/>
        <v>433</v>
      </c>
      <c r="G380" s="8" t="s">
        <v>1473</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constants'!$B$4:$C$1012,2,FALSE),"")</f>
        <v>Wrathstone</v>
      </c>
      <c r="V380" s="33" t="s">
        <v>3280</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2649</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1329</v>
      </c>
      <c r="C381" t="s">
        <v>1330</v>
      </c>
      <c r="D381" s="3">
        <f t="shared" si="34"/>
        <v>434</v>
      </c>
      <c r="G381" s="8" t="s">
        <v>1473</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constants'!$B$4:$C$1012,2,FALSE),"")</f>
        <v>Wrathstone</v>
      </c>
      <c r="V381" s="33" t="s">
        <v>3280</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2649</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1331</v>
      </c>
      <c r="C382" t="s">
        <v>2620</v>
      </c>
      <c r="D382" s="3">
        <f t="shared" si="34"/>
        <v>435</v>
      </c>
      <c r="G382" s="8" t="s">
        <v>1473</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constants'!$B$4:$C$1012,2,FALSE),"")</f>
        <v>Wrathstone</v>
      </c>
      <c r="V382" s="33" t="s">
        <v>3280</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2649</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1332</v>
      </c>
      <c r="C383" t="s">
        <v>28</v>
      </c>
      <c r="D383" s="3">
        <f t="shared" si="34"/>
        <v>436</v>
      </c>
      <c r="G383" s="8" t="s">
        <v>1475</v>
      </c>
      <c r="H383" s="86">
        <v>3</v>
      </c>
      <c r="I383" t="s">
        <v>1462</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constants'!$B$4:$C$1012,2,FALSE),"")</f>
        <v>Wrathstone</v>
      </c>
      <c r="V383" s="33" t="s">
        <v>1538</v>
      </c>
      <c r="W383" s="3" t="s">
        <v>28</v>
      </c>
      <c r="X383" s="3" t="s">
        <v>1633</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2649</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1425</v>
      </c>
      <c r="C384" t="s">
        <v>2621</v>
      </c>
      <c r="D384" s="3">
        <f t="shared" si="34"/>
        <v>437</v>
      </c>
      <c r="E384" s="40"/>
      <c r="G384" s="8" t="s">
        <v>1470</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constants'!$B$4:$C$1012,2,FALSE),"")</f>
        <v>Included in base game</v>
      </c>
      <c r="V384" s="33" t="s">
        <v>3283</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3283</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2649</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1426</v>
      </c>
      <c r="C385" t="s">
        <v>2622</v>
      </c>
      <c r="D385" s="3">
        <f t="shared" si="34"/>
        <v>438</v>
      </c>
      <c r="G385" s="8" t="s">
        <v>1470</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constants'!$B$4:$C$1012,2,FALSE),"")</f>
        <v>Included in base game</v>
      </c>
      <c r="V385" s="33" t="s">
        <v>3283</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3283</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2649</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1427</v>
      </c>
      <c r="C386" t="s">
        <v>2623</v>
      </c>
      <c r="D386" s="3">
        <f t="shared" si="34"/>
        <v>439</v>
      </c>
      <c r="G386" s="8" t="s">
        <v>1470</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constants'!$B$4:$C$1012,2,FALSE),"")</f>
        <v>Included in base game</v>
      </c>
      <c r="V386" s="33" t="s">
        <v>3283</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3283</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2649</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1433</v>
      </c>
      <c r="C387" t="s">
        <v>1344</v>
      </c>
      <c r="D387" s="3">
        <f t="shared" ref="D387:D450" si="40">A387</f>
        <v>440</v>
      </c>
      <c r="G387" s="8" t="s">
        <v>1476</v>
      </c>
      <c r="I387" t="s">
        <v>91</v>
      </c>
      <c r="J387" t="s">
        <v>91</v>
      </c>
      <c r="K387">
        <v>382</v>
      </c>
      <c r="L387">
        <v>382</v>
      </c>
      <c r="M387">
        <v>382</v>
      </c>
      <c r="O387" s="61" t="s">
        <v>1386</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constants'!$B$4:$C$1012,2,FALSE),"")</f>
        <v>Included in base game</v>
      </c>
      <c r="V387" s="33" t="s">
        <v>1554</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1555</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1556</v>
      </c>
      <c r="AI387" s="39"/>
      <c r="AJ387" s="39"/>
      <c r="AK387" s="3">
        <f>IF(AND(G387&lt;&gt;"LIBSETS_SETTYPE_BATTLEGROUND",G387&lt;&gt;"LIBSETS_SETTYPE_SPECIAL"),IF(AL387&lt;&gt;"",VLOOKUP(AL387,'ESO zone constants'!$D$5:$H$4955,5,FALSE),""),"")</f>
        <v>1086</v>
      </c>
      <c r="AL387" t="s">
        <v>1386</v>
      </c>
      <c r="AM387" s="33" t="s">
        <v>1557</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2650</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1432</v>
      </c>
      <c r="C388" t="s">
        <v>1345</v>
      </c>
      <c r="D388" s="3">
        <f t="shared" si="40"/>
        <v>441</v>
      </c>
      <c r="G388" s="8" t="s">
        <v>1476</v>
      </c>
      <c r="I388" t="s">
        <v>91</v>
      </c>
      <c r="J388" t="s">
        <v>91</v>
      </c>
      <c r="K388">
        <v>382</v>
      </c>
      <c r="L388">
        <v>382</v>
      </c>
      <c r="M388">
        <v>382</v>
      </c>
      <c r="O388" s="61" t="s">
        <v>1386</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constants'!$B$4:$C$1012,2,FALSE),"")</f>
        <v>Included in base game</v>
      </c>
      <c r="V388" s="33" t="s">
        <v>1554</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1555</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1556</v>
      </c>
      <c r="AI388" s="39"/>
      <c r="AJ388" s="39"/>
      <c r="AK388" s="3">
        <f>IF(AND(G388&lt;&gt;"LIBSETS_SETTYPE_BATTLEGROUND",G388&lt;&gt;"LIBSETS_SETTYPE_SPECIAL"),IF(AL388&lt;&gt;"",VLOOKUP(AL388,'ESO zone constants'!$D$5:$H$4955,5,FALSE),""),"")</f>
        <v>1086</v>
      </c>
      <c r="AL388" t="s">
        <v>1386</v>
      </c>
      <c r="AM388" s="33" t="s">
        <v>1557</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2650</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1431</v>
      </c>
      <c r="C389" t="s">
        <v>1346</v>
      </c>
      <c r="D389" s="3">
        <f t="shared" si="40"/>
        <v>442</v>
      </c>
      <c r="E389" s="40"/>
      <c r="G389" s="8" t="s">
        <v>1476</v>
      </c>
      <c r="I389" t="s">
        <v>91</v>
      </c>
      <c r="J389" t="s">
        <v>91</v>
      </c>
      <c r="K389">
        <v>382</v>
      </c>
      <c r="L389">
        <v>382</v>
      </c>
      <c r="M389">
        <v>382</v>
      </c>
      <c r="O389" s="61" t="s">
        <v>1386</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constants'!$B$4:$C$1012,2,FALSE),"")</f>
        <v>Included in base game</v>
      </c>
      <c r="V389" s="33" t="s">
        <v>1554</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1555</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1556</v>
      </c>
      <c r="AI389" s="39"/>
      <c r="AJ389" s="39"/>
      <c r="AK389" s="3">
        <f>IF(AND(G389&lt;&gt;"LIBSETS_SETTYPE_BATTLEGROUND",G389&lt;&gt;"LIBSETS_SETTYPE_SPECIAL"),IF(AL389&lt;&gt;"",VLOOKUP(AL389,'ESO zone constants'!$D$5:$H$4955,5,FALSE),""),"")</f>
        <v>1086</v>
      </c>
      <c r="AL389" t="s">
        <v>1386</v>
      </c>
      <c r="AM389" s="33" t="s">
        <v>1557</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2649</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1458</v>
      </c>
      <c r="C390" t="s">
        <v>1349</v>
      </c>
      <c r="D390" s="3">
        <f t="shared" si="40"/>
        <v>443</v>
      </c>
      <c r="G390" s="8" t="s">
        <v>1477</v>
      </c>
      <c r="I390" t="s">
        <v>91</v>
      </c>
      <c r="J390" t="s">
        <v>91</v>
      </c>
      <c r="K390">
        <v>399</v>
      </c>
      <c r="L390">
        <v>399</v>
      </c>
      <c r="M390">
        <v>399</v>
      </c>
      <c r="O390" s="61" t="s">
        <v>1343</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constants'!$B$4:$C$1012,2,FALSE),"")</f>
        <v>Elsweyr</v>
      </c>
      <c r="V390" s="33" t="s">
        <v>3261</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3261</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3261</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2649</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1430</v>
      </c>
      <c r="C391" t="s">
        <v>2624</v>
      </c>
      <c r="D391" s="3">
        <f t="shared" si="40"/>
        <v>444</v>
      </c>
      <c r="G391" s="8" t="s">
        <v>1477</v>
      </c>
      <c r="I391" t="s">
        <v>91</v>
      </c>
      <c r="J391" t="s">
        <v>91</v>
      </c>
      <c r="K391">
        <v>399</v>
      </c>
      <c r="L391">
        <v>399</v>
      </c>
      <c r="M391">
        <v>399</v>
      </c>
      <c r="O391" s="61" t="s">
        <v>1343</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constants'!$B$4:$C$1012,2,FALSE),"")</f>
        <v>Elsweyr</v>
      </c>
      <c r="V391" s="33" t="s">
        <v>3261</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3261</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3261</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2649</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1429</v>
      </c>
      <c r="C392" t="s">
        <v>1350</v>
      </c>
      <c r="D392" s="3">
        <f t="shared" si="40"/>
        <v>445</v>
      </c>
      <c r="G392" s="8" t="s">
        <v>1477</v>
      </c>
      <c r="I392" t="s">
        <v>91</v>
      </c>
      <c r="J392" t="s">
        <v>91</v>
      </c>
      <c r="K392">
        <v>399</v>
      </c>
      <c r="L392">
        <v>399</v>
      </c>
      <c r="M392">
        <v>399</v>
      </c>
      <c r="O392" s="61" t="s">
        <v>1343</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constants'!$B$4:$C$1012,2,FALSE),"")</f>
        <v>Elsweyr</v>
      </c>
      <c r="V392" s="33" t="s">
        <v>3261</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3261</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3261</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2649</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1428</v>
      </c>
      <c r="C393" t="s">
        <v>1351</v>
      </c>
      <c r="D393" s="3">
        <f t="shared" si="40"/>
        <v>446</v>
      </c>
      <c r="G393" s="8" t="s">
        <v>1477</v>
      </c>
      <c r="I393" t="s">
        <v>91</v>
      </c>
      <c r="J393" t="s">
        <v>91</v>
      </c>
      <c r="K393">
        <v>399</v>
      </c>
      <c r="L393">
        <v>399</v>
      </c>
      <c r="M393">
        <v>399</v>
      </c>
      <c r="O393" s="61" t="s">
        <v>1343</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constants'!$B$4:$C$1012,2,FALSE),"")</f>
        <v>Elsweyr</v>
      </c>
      <c r="V393" s="33" t="s">
        <v>3261</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3261</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3261</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2649</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1459</v>
      </c>
      <c r="C394" t="s">
        <v>2759</v>
      </c>
      <c r="D394" s="3">
        <f t="shared" si="40"/>
        <v>448</v>
      </c>
      <c r="G394" s="8" t="s">
        <v>1477</v>
      </c>
      <c r="I394" t="s">
        <v>92</v>
      </c>
      <c r="J394" t="s">
        <v>91</v>
      </c>
      <c r="K394">
        <v>399</v>
      </c>
      <c r="L394">
        <v>399</v>
      </c>
      <c r="M394">
        <v>399</v>
      </c>
      <c r="O394" s="61" t="s">
        <v>1343</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constants'!$B$4:$C$1012,2,FALSE),"")</f>
        <v>Elsweyr</v>
      </c>
      <c r="V394" s="33" t="s">
        <v>3261</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3261</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3261</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2649</v>
      </c>
      <c r="BA394" s="78"/>
      <c r="BB394" s="78"/>
      <c r="BC394" s="78"/>
      <c r="BD394" s="78" t="s">
        <v>3823</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1456</v>
      </c>
      <c r="C395" t="s">
        <v>2625</v>
      </c>
      <c r="D395" s="3">
        <f t="shared" si="40"/>
        <v>449</v>
      </c>
      <c r="G395" s="8" t="s">
        <v>1477</v>
      </c>
      <c r="I395" t="s">
        <v>92</v>
      </c>
      <c r="J395" t="s">
        <v>91</v>
      </c>
      <c r="K395">
        <v>399</v>
      </c>
      <c r="L395">
        <v>399</v>
      </c>
      <c r="M395">
        <v>399</v>
      </c>
      <c r="O395" s="61" t="s">
        <v>1343</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constants'!$B$4:$C$1012,2,FALSE),"")</f>
        <v>Elsweyr</v>
      </c>
      <c r="V395" s="33" t="s">
        <v>3261</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3261</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3261</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2649</v>
      </c>
      <c r="BA395" s="78"/>
      <c r="BB395" s="78"/>
      <c r="BC395" s="78"/>
      <c r="BD395" s="78" t="s">
        <v>3823</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1457</v>
      </c>
      <c r="C396" t="s">
        <v>1352</v>
      </c>
      <c r="D396" s="3">
        <f t="shared" si="40"/>
        <v>450</v>
      </c>
      <c r="G396" s="8" t="s">
        <v>1477</v>
      </c>
      <c r="I396" t="s">
        <v>92</v>
      </c>
      <c r="J396" t="s">
        <v>91</v>
      </c>
      <c r="K396">
        <v>399</v>
      </c>
      <c r="L396">
        <v>399</v>
      </c>
      <c r="M396">
        <v>399</v>
      </c>
      <c r="O396" s="61" t="s">
        <v>1343</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constants'!$B$4:$C$1012,2,FALSE),"")</f>
        <v>Elsweyr</v>
      </c>
      <c r="V396" s="33" t="s">
        <v>3261</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3261</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3261</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2649</v>
      </c>
      <c r="BA396" s="78"/>
      <c r="BB396" s="78"/>
      <c r="BC396" s="78"/>
      <c r="BD396" s="78" t="s">
        <v>3823</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1455</v>
      </c>
      <c r="C397" t="s">
        <v>1353</v>
      </c>
      <c r="D397" s="3">
        <f t="shared" si="40"/>
        <v>451</v>
      </c>
      <c r="G397" s="8" t="s">
        <v>1477</v>
      </c>
      <c r="I397" t="s">
        <v>92</v>
      </c>
      <c r="J397" t="s">
        <v>91</v>
      </c>
      <c r="K397">
        <v>399</v>
      </c>
      <c r="L397">
        <v>399</v>
      </c>
      <c r="M397">
        <v>399</v>
      </c>
      <c r="O397" s="61" t="s">
        <v>1343</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constants'!$B$4:$C$1012,2,FALSE),"")</f>
        <v>Elsweyr</v>
      </c>
      <c r="V397" s="33" t="s">
        <v>3261</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3261</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3261</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2649</v>
      </c>
      <c r="BA397" s="78"/>
      <c r="BB397" s="78"/>
      <c r="BC397" s="78"/>
      <c r="BD397" s="78" t="s">
        <v>3823</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1496</v>
      </c>
      <c r="C398" t="s">
        <v>1495</v>
      </c>
      <c r="D398" s="3">
        <f t="shared" si="40"/>
        <v>452</v>
      </c>
      <c r="G398" s="3" t="s">
        <v>1473</v>
      </c>
      <c r="I398" t="s">
        <v>91</v>
      </c>
      <c r="J398" t="s">
        <v>91</v>
      </c>
      <c r="K398">
        <v>391</v>
      </c>
      <c r="L398">
        <v>391</v>
      </c>
      <c r="M398">
        <v>391</v>
      </c>
      <c r="O398" s="61" t="s">
        <v>1482</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constants'!$B$4:$C$1012,2,FALSE),"")</f>
        <v>Scalebraker</v>
      </c>
      <c r="V398" s="33" t="s">
        <v>3280</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2649</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1497</v>
      </c>
      <c r="C399" t="s">
        <v>2626</v>
      </c>
      <c r="D399" s="3">
        <f t="shared" si="40"/>
        <v>453</v>
      </c>
      <c r="G399" s="3" t="s">
        <v>1473</v>
      </c>
      <c r="I399" t="s">
        <v>91</v>
      </c>
      <c r="J399" t="s">
        <v>91</v>
      </c>
      <c r="K399">
        <v>391</v>
      </c>
      <c r="L399">
        <v>391</v>
      </c>
      <c r="M399">
        <v>391</v>
      </c>
      <c r="O399" s="61" t="s">
        <v>1482</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constants'!$B$4:$C$1012,2,FALSE),"")</f>
        <v>Scalebraker</v>
      </c>
      <c r="V399" s="33" t="s">
        <v>3280</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2649</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1498</v>
      </c>
      <c r="C400" t="s">
        <v>2627</v>
      </c>
      <c r="D400" s="3">
        <f t="shared" si="40"/>
        <v>454</v>
      </c>
      <c r="G400" s="3" t="s">
        <v>1473</v>
      </c>
      <c r="I400" t="s">
        <v>91</v>
      </c>
      <c r="J400" t="s">
        <v>91</v>
      </c>
      <c r="K400">
        <v>391</v>
      </c>
      <c r="L400">
        <v>391</v>
      </c>
      <c r="M400">
        <v>391</v>
      </c>
      <c r="O400" s="61" t="s">
        <v>1482</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constants'!$B$4:$C$1012,2,FALSE),"")</f>
        <v>Scalebraker</v>
      </c>
      <c r="V400" s="33" t="s">
        <v>3280</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2649</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1499</v>
      </c>
      <c r="C401" t="s">
        <v>2628</v>
      </c>
      <c r="D401" s="3">
        <f t="shared" si="40"/>
        <v>455</v>
      </c>
      <c r="G401" s="3" t="s">
        <v>1473</v>
      </c>
      <c r="I401" t="s">
        <v>91</v>
      </c>
      <c r="J401" t="s">
        <v>91</v>
      </c>
      <c r="K401">
        <v>398</v>
      </c>
      <c r="L401">
        <v>398</v>
      </c>
      <c r="M401">
        <v>398</v>
      </c>
      <c r="O401" s="61" t="s">
        <v>1483</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constants'!$B$4:$C$1012,2,FALSE),"")</f>
        <v>Scalebraker</v>
      </c>
      <c r="V401" s="33" t="s">
        <v>3280</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2649</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1501</v>
      </c>
      <c r="C402" t="s">
        <v>1500</v>
      </c>
      <c r="D402" s="3">
        <f t="shared" si="40"/>
        <v>456</v>
      </c>
      <c r="G402" s="3" t="s">
        <v>1473</v>
      </c>
      <c r="I402" t="s">
        <v>91</v>
      </c>
      <c r="J402" t="s">
        <v>91</v>
      </c>
      <c r="K402">
        <v>398</v>
      </c>
      <c r="L402">
        <v>398</v>
      </c>
      <c r="M402">
        <v>398</v>
      </c>
      <c r="O402" s="61" t="s">
        <v>1483</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constants'!$B$4:$C$1012,2,FALSE),"")</f>
        <v>Scalebraker</v>
      </c>
      <c r="V402" s="33" t="s">
        <v>3280</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2649</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1502</v>
      </c>
      <c r="C403" t="s">
        <v>2629</v>
      </c>
      <c r="D403" s="3">
        <f t="shared" si="40"/>
        <v>457</v>
      </c>
      <c r="G403" s="3" t="s">
        <v>1473</v>
      </c>
      <c r="I403" t="s">
        <v>91</v>
      </c>
      <c r="J403" t="s">
        <v>91</v>
      </c>
      <c r="K403">
        <v>398</v>
      </c>
      <c r="L403">
        <v>398</v>
      </c>
      <c r="M403">
        <v>398</v>
      </c>
      <c r="O403" s="61" t="s">
        <v>1483</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constants'!$B$4:$C$1012,2,FALSE),"")</f>
        <v>Scalebraker</v>
      </c>
      <c r="V403" s="33" t="s">
        <v>3280</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2649</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1503</v>
      </c>
      <c r="C404" t="s">
        <v>1503</v>
      </c>
      <c r="D404" s="3">
        <f t="shared" si="40"/>
        <v>458</v>
      </c>
      <c r="G404" s="3" t="s">
        <v>1475</v>
      </c>
      <c r="H404" s="86">
        <v>3</v>
      </c>
      <c r="I404" t="s">
        <v>1462</v>
      </c>
      <c r="J404" t="s">
        <v>91</v>
      </c>
      <c r="K404">
        <v>391</v>
      </c>
      <c r="L404">
        <v>391</v>
      </c>
      <c r="M404">
        <v>391</v>
      </c>
      <c r="O404" s="61" t="s">
        <v>1482</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constants'!$B$4:$C$1012,2,FALSE),"")</f>
        <v>Scalebraker</v>
      </c>
      <c r="V404" s="33" t="s">
        <v>1538</v>
      </c>
      <c r="W404" s="3" t="s">
        <v>1503</v>
      </c>
      <c r="X404" s="3" t="s">
        <v>1503</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2649</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1504</v>
      </c>
      <c r="C405" t="s">
        <v>1504</v>
      </c>
      <c r="D405" s="3">
        <f t="shared" si="40"/>
        <v>459</v>
      </c>
      <c r="G405" s="3" t="s">
        <v>1475</v>
      </c>
      <c r="H405" s="86">
        <v>3</v>
      </c>
      <c r="I405" t="s">
        <v>1462</v>
      </c>
      <c r="J405" t="s">
        <v>91</v>
      </c>
      <c r="K405">
        <v>398</v>
      </c>
      <c r="L405">
        <v>398</v>
      </c>
      <c r="M405">
        <v>398</v>
      </c>
      <c r="O405" s="61" t="s">
        <v>1483</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constants'!$B$4:$C$1012,2,FALSE),"")</f>
        <v>Scalebraker</v>
      </c>
      <c r="V405" s="33" t="s">
        <v>1538</v>
      </c>
      <c r="W405" s="3" t="s">
        <v>1504</v>
      </c>
      <c r="X405" s="3" t="s">
        <v>1504</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2649</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1595</v>
      </c>
      <c r="C406" t="s">
        <v>1596</v>
      </c>
      <c r="D406" s="3">
        <f t="shared" si="40"/>
        <v>465</v>
      </c>
      <c r="G406" s="8" t="s">
        <v>1476</v>
      </c>
      <c r="I406" t="s">
        <v>91</v>
      </c>
      <c r="J406" t="s">
        <v>91</v>
      </c>
      <c r="K406">
        <v>402</v>
      </c>
      <c r="L406">
        <v>402</v>
      </c>
      <c r="M406">
        <v>402</v>
      </c>
      <c r="O406" s="61" t="s">
        <v>1580</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constants'!$B$4:$C$1012,2,FALSE),"")</f>
        <v>Included in base game</v>
      </c>
      <c r="V406" s="33" t="s">
        <v>1554</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1554</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1557</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2649</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1605</v>
      </c>
      <c r="C407" t="s">
        <v>2630</v>
      </c>
      <c r="D407" s="3">
        <f t="shared" si="40"/>
        <v>466</v>
      </c>
      <c r="G407" s="8" t="s">
        <v>1476</v>
      </c>
      <c r="I407" t="s">
        <v>91</v>
      </c>
      <c r="J407" t="s">
        <v>91</v>
      </c>
      <c r="K407">
        <v>402</v>
      </c>
      <c r="L407">
        <v>402</v>
      </c>
      <c r="M407">
        <v>402</v>
      </c>
      <c r="O407" s="61" t="s">
        <v>1580</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constants'!$B$4:$C$1012,2,FALSE),"")</f>
        <v>Included in base game</v>
      </c>
      <c r="V407" s="33" t="s">
        <v>1554</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1554</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1557</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2649</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1604</v>
      </c>
      <c r="C408" t="s">
        <v>1597</v>
      </c>
      <c r="D408" s="3">
        <f t="shared" si="40"/>
        <v>467</v>
      </c>
      <c r="G408" s="8" t="s">
        <v>1476</v>
      </c>
      <c r="I408" t="s">
        <v>91</v>
      </c>
      <c r="J408" t="s">
        <v>91</v>
      </c>
      <c r="K408">
        <v>402</v>
      </c>
      <c r="L408">
        <v>402</v>
      </c>
      <c r="M408">
        <v>402</v>
      </c>
      <c r="O408" s="61" t="s">
        <v>1580</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constants'!$B$4:$C$1012,2,FALSE),"")</f>
        <v>Included in base game</v>
      </c>
      <c r="V408" s="33" t="s">
        <v>1554</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1554</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1557</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2649</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1603</v>
      </c>
      <c r="C409" t="s">
        <v>1598</v>
      </c>
      <c r="D409" s="3">
        <f t="shared" si="40"/>
        <v>468</v>
      </c>
      <c r="E409" s="40"/>
      <c r="G409" s="8" t="s">
        <v>1470</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constants'!$B$4:$C$1012,2,FALSE),"")</f>
        <v>Included in base game</v>
      </c>
      <c r="V409" s="33" t="s">
        <v>3283</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3283</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2649</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1602</v>
      </c>
      <c r="C410" t="s">
        <v>1599</v>
      </c>
      <c r="D410" s="3">
        <f t="shared" si="40"/>
        <v>469</v>
      </c>
      <c r="G410" s="8" t="s">
        <v>1470</v>
      </c>
      <c r="I410" t="s">
        <v>91</v>
      </c>
      <c r="J410" t="s">
        <v>91</v>
      </c>
      <c r="K410">
        <v>407</v>
      </c>
      <c r="L410">
        <v>407</v>
      </c>
      <c r="M410">
        <v>407</v>
      </c>
      <c r="N410">
        <v>6</v>
      </c>
      <c r="O410" s="61" t="s">
        <v>1580</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constants'!$B$4:$C$1012,2,FALSE),"")</f>
        <v>Included in base game</v>
      </c>
      <c r="V410" s="33" t="s">
        <v>3283</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3283</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2649</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1601</v>
      </c>
      <c r="C411" t="s">
        <v>1600</v>
      </c>
      <c r="D411" s="3">
        <f t="shared" si="40"/>
        <v>470</v>
      </c>
      <c r="G411" s="8" t="s">
        <v>1470</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constants'!$B$4:$C$1012,2,FALSE),"")</f>
        <v>Included in base game</v>
      </c>
      <c r="V411" s="33" t="s">
        <v>3283</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3283</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3283</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2649</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1656</v>
      </c>
      <c r="C412" t="s">
        <v>1655</v>
      </c>
      <c r="D412" s="3">
        <f t="shared" si="40"/>
        <v>471</v>
      </c>
      <c r="G412" s="3" t="s">
        <v>1473</v>
      </c>
      <c r="I412" t="s">
        <v>91</v>
      </c>
      <c r="J412" t="s">
        <v>91</v>
      </c>
      <c r="K412">
        <v>424</v>
      </c>
      <c r="L412">
        <v>424</v>
      </c>
      <c r="M412">
        <v>424</v>
      </c>
      <c r="O412" s="61" t="s">
        <v>1642</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constants'!$B$4:$C$1012,2,FALSE),"")</f>
        <v>Harrowstorm</v>
      </c>
      <c r="V412" s="33" t="s">
        <v>3280</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2649</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1657</v>
      </c>
      <c r="C413" t="s">
        <v>1643</v>
      </c>
      <c r="D413" s="3">
        <f t="shared" si="40"/>
        <v>472</v>
      </c>
      <c r="G413" s="3" t="s">
        <v>1473</v>
      </c>
      <c r="I413" t="s">
        <v>91</v>
      </c>
      <c r="J413" t="s">
        <v>91</v>
      </c>
      <c r="K413">
        <v>424</v>
      </c>
      <c r="L413">
        <v>424</v>
      </c>
      <c r="M413">
        <v>424</v>
      </c>
      <c r="O413" s="61" t="s">
        <v>1642</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constants'!$B$4:$C$1012,2,FALSE),"")</f>
        <v>Harrowstorm</v>
      </c>
      <c r="V413" s="33" t="s">
        <v>3280</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2649</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1658</v>
      </c>
      <c r="C414" t="s">
        <v>2750</v>
      </c>
      <c r="D414" s="3">
        <f t="shared" si="40"/>
        <v>473</v>
      </c>
      <c r="G414" s="3" t="s">
        <v>1473</v>
      </c>
      <c r="I414" t="s">
        <v>91</v>
      </c>
      <c r="J414" t="s">
        <v>91</v>
      </c>
      <c r="K414">
        <v>424</v>
      </c>
      <c r="L414">
        <v>424</v>
      </c>
      <c r="M414">
        <v>424</v>
      </c>
      <c r="O414" s="61" t="s">
        <v>1642</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constants'!$B$4:$C$1012,2,FALSE),"")</f>
        <v>Harrowstorm</v>
      </c>
      <c r="V414" s="33" t="s">
        <v>3280</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2649</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1659</v>
      </c>
      <c r="C415" t="s">
        <v>2749</v>
      </c>
      <c r="D415" s="3">
        <f t="shared" si="40"/>
        <v>474</v>
      </c>
      <c r="G415" s="3" t="s">
        <v>1473</v>
      </c>
      <c r="I415" t="s">
        <v>91</v>
      </c>
      <c r="J415" t="s">
        <v>91</v>
      </c>
      <c r="K415">
        <v>425</v>
      </c>
      <c r="L415">
        <v>425</v>
      </c>
      <c r="M415">
        <v>425</v>
      </c>
      <c r="O415" s="61" t="s">
        <v>1641</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constants'!$B$4:$C$1012,2,FALSE),"")</f>
        <v>Harrowstorm</v>
      </c>
      <c r="V415" s="33" t="s">
        <v>3280</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2649</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1660</v>
      </c>
      <c r="C416" t="s">
        <v>1645</v>
      </c>
      <c r="D416" s="3">
        <f t="shared" si="40"/>
        <v>475</v>
      </c>
      <c r="G416" s="3" t="s">
        <v>1473</v>
      </c>
      <c r="I416" t="s">
        <v>91</v>
      </c>
      <c r="J416" t="s">
        <v>91</v>
      </c>
      <c r="K416">
        <v>425</v>
      </c>
      <c r="L416">
        <v>425</v>
      </c>
      <c r="M416">
        <v>425</v>
      </c>
      <c r="O416" s="61" t="s">
        <v>1641</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constants'!$B$4:$C$1012,2,FALSE),"")</f>
        <v>Harrowstorm</v>
      </c>
      <c r="V416" s="33" t="s">
        <v>3280</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2649</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1661</v>
      </c>
      <c r="C417" t="s">
        <v>1646</v>
      </c>
      <c r="D417" s="3">
        <f t="shared" si="40"/>
        <v>476</v>
      </c>
      <c r="G417" s="3" t="s">
        <v>1473</v>
      </c>
      <c r="I417" t="s">
        <v>91</v>
      </c>
      <c r="J417" t="s">
        <v>91</v>
      </c>
      <c r="K417">
        <v>425</v>
      </c>
      <c r="L417">
        <v>425</v>
      </c>
      <c r="M417">
        <v>425</v>
      </c>
      <c r="O417" s="61" t="s">
        <v>1641</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constants'!$B$4:$C$1012,2,FALSE),"")</f>
        <v>Harrowstorm</v>
      </c>
      <c r="V417" s="33" t="s">
        <v>3280</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2649</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1650</v>
      </c>
      <c r="C418" t="s">
        <v>1644</v>
      </c>
      <c r="D418" s="3">
        <f t="shared" si="40"/>
        <v>478</v>
      </c>
      <c r="G418" s="3" t="s">
        <v>1475</v>
      </c>
      <c r="H418" s="86">
        <v>3</v>
      </c>
      <c r="I418" t="s">
        <v>1462</v>
      </c>
      <c r="J418" t="s">
        <v>91</v>
      </c>
      <c r="K418">
        <v>424</v>
      </c>
      <c r="L418">
        <v>424</v>
      </c>
      <c r="M418">
        <v>424</v>
      </c>
      <c r="O418" s="61" t="s">
        <v>1642</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constants'!$B$4:$C$1012,2,FALSE),"")</f>
        <v>Harrowstorm</v>
      </c>
      <c r="V418" s="33" t="s">
        <v>1538</v>
      </c>
      <c r="W418" s="3" t="s">
        <v>1644</v>
      </c>
      <c r="X418" s="3" t="s">
        <v>1650</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2649</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3954</v>
      </c>
      <c r="C419" t="s">
        <v>3955</v>
      </c>
      <c r="D419" s="3">
        <f t="shared" si="40"/>
        <v>479</v>
      </c>
      <c r="G419" s="3" t="s">
        <v>1475</v>
      </c>
      <c r="H419" s="86">
        <v>3</v>
      </c>
      <c r="I419" t="s">
        <v>1462</v>
      </c>
      <c r="J419" t="s">
        <v>91</v>
      </c>
      <c r="K419">
        <v>425</v>
      </c>
      <c r="L419">
        <v>425</v>
      </c>
      <c r="M419">
        <v>425</v>
      </c>
      <c r="O419" s="61" t="s">
        <v>1641</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constants'!$B$4:$C$1012,2,FALSE),"")</f>
        <v>Harrowstorm</v>
      </c>
      <c r="V419" s="33" t="s">
        <v>1538</v>
      </c>
      <c r="W419" s="3" t="s">
        <v>3955</v>
      </c>
      <c r="X419" s="3" t="s">
        <v>3954</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2649</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1662</v>
      </c>
      <c r="C420" t="s">
        <v>1647</v>
      </c>
      <c r="D420" s="3">
        <f t="shared" si="40"/>
        <v>480</v>
      </c>
      <c r="E420" s="40"/>
      <c r="G420" s="3" t="s">
        <v>1470</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constants'!$B$4:$C$1012,2,FALSE),"")</f>
        <v>Included in base game</v>
      </c>
      <c r="V420" s="33" t="s">
        <v>3283</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1529</v>
      </c>
      <c r="AC420" s="39" t="str">
        <f>IF(AB420&lt;&gt;"",IF(AB420&lt;&gt;"LIBSETS_DROP_MECHANIC_MONSTER_NAME",VLOOKUP(AB420,'LibSets constants'!$I$4:$L$1012,3,FALSE),""),"")</f>
        <v>City Vlastarus (quartermaster)</v>
      </c>
      <c r="AD420" s="39" t="str">
        <f>IF(AB420&lt;&gt;"",IF(AB420&lt;&gt;"LIBSETS_DROP_MECHANIC_MONSTER_NAME",VLOOKUP(AB420,'LibSets constants'!$I$4:$L$1012,4,FALSE),""),"")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2649</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1663</v>
      </c>
      <c r="C421" t="s">
        <v>1648</v>
      </c>
      <c r="D421" s="3">
        <f t="shared" si="40"/>
        <v>481</v>
      </c>
      <c r="G421" s="3" t="s">
        <v>1470</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constants'!$B$4:$C$1012,2,FALSE),"")</f>
        <v>Included in base game</v>
      </c>
      <c r="V421" s="33" t="s">
        <v>3283</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1527</v>
      </c>
      <c r="AC421" s="39" t="str">
        <f>IF(AB421&lt;&gt;"",IF(AB421&lt;&gt;"LIBSETS_DROP_MECHANIC_MONSTER_NAME",VLOOKUP(AB421,'LibSets constants'!$I$4:$L$1012,3,FALSE),""),"")</f>
        <v>City Bruma (quartermaster)</v>
      </c>
      <c r="AD421" s="39" t="str">
        <f>IF(AB421&lt;&gt;"",IF(AB421&lt;&gt;"LIBSETS_DROP_MECHANIC_MONSTER_NAME",VLOOKUP(AB421,'LibSets constants'!$I$4:$L$1012,4,FALSE),""),"")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2649</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1664</v>
      </c>
      <c r="C422" t="s">
        <v>1649</v>
      </c>
      <c r="D422" s="3">
        <f t="shared" si="40"/>
        <v>482</v>
      </c>
      <c r="E422" s="40"/>
      <c r="G422" s="3" t="s">
        <v>1470</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constants'!$B$4:$C$1012,2,FALSE),"")</f>
        <v>Included in base game</v>
      </c>
      <c r="V422" s="33" t="s">
        <v>3283</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2765</v>
      </c>
      <c r="AC422" s="39" t="str">
        <f>IF(AB422&lt;&gt;"",IF(AB422&lt;&gt;"LIBSETS_DROP_MECHANIC_MONSTER_NAME",VLOOKUP(AB422,'LibSets constants'!$I$4:$L$1012,3,FALSE),""),"")</f>
        <v>City Cropsford (quartermaster)</v>
      </c>
      <c r="AD422" s="39" t="str">
        <f>IF(AB422&lt;&gt;"",IF(AB422&lt;&gt;"LIBSETS_DROP_MECHANIC_MONSTER_NAME",VLOOKUP(AB422,'LibSets constants'!$I$4:$L$1012,4,FALSE),""),"")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2649</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1720</v>
      </c>
      <c r="C423" t="s">
        <v>1720</v>
      </c>
      <c r="D423" s="3">
        <f t="shared" si="40"/>
        <v>483</v>
      </c>
      <c r="E423" s="55" t="s">
        <v>1783</v>
      </c>
      <c r="F423" s="30" t="s">
        <v>1460</v>
      </c>
      <c r="G423" s="8" t="s">
        <v>1478</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constants'!$B$4:$C$1012,2,FALSE),"")</f>
        <v/>
      </c>
      <c r="V423" s="33" t="s">
        <v>1792</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constants'!$I$4:$L$1012,3,FALSE),""),"")</f>
        <v/>
      </c>
      <c r="AD423" s="39" t="str">
        <f>IF(AB423&lt;&gt;"",IF(AB423&lt;&gt;"LIBSETS_DROP_MECHANIC_MONSTER_NAME",VLOOKUP(AB423,'LibSets constants'!$I$4:$L$1012,4,FALSE),""),"")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2649</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1721</v>
      </c>
      <c r="C424" t="s">
        <v>1721</v>
      </c>
      <c r="D424" s="3">
        <f t="shared" si="40"/>
        <v>484</v>
      </c>
      <c r="E424" s="55" t="s">
        <v>1783</v>
      </c>
      <c r="F424" s="30" t="s">
        <v>1460</v>
      </c>
      <c r="G424" s="8" t="s">
        <v>1478</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constants'!$B$4:$C$1012,2,FALSE),"")</f>
        <v/>
      </c>
      <c r="V424" s="33" t="s">
        <v>1792</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constants'!$I$4:$L$1012,3,FALSE),""),"")</f>
        <v/>
      </c>
      <c r="AD424" s="41" t="str">
        <f>IF(AB424&lt;&gt;"",IF(AB424&lt;&gt;"LIBSETS_DROP_MECHANIC_MONSTER_NAME",VLOOKUP(AB424,'LibSets constants'!$I$4:$L$1012,4,FALSE),""),"")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2649</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1722</v>
      </c>
      <c r="C425" t="s">
        <v>1722</v>
      </c>
      <c r="D425" s="3">
        <f t="shared" si="40"/>
        <v>485</v>
      </c>
      <c r="E425" s="55" t="s">
        <v>1783</v>
      </c>
      <c r="F425" s="30" t="s">
        <v>1460</v>
      </c>
      <c r="G425" s="8" t="s">
        <v>1478</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constants'!$B$4:$C$1012,2,FALSE),"")</f>
        <v/>
      </c>
      <c r="V425" s="33" t="s">
        <v>1792</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constants'!$I$4:$L$1012,3,FALSE),""),"")</f>
        <v/>
      </c>
      <c r="AD425" s="41" t="str">
        <f>IF(AB425&lt;&gt;"",IF(AB425&lt;&gt;"LIBSETS_DROP_MECHANIC_MONSTER_NAME",VLOOKUP(AB425,'LibSets constants'!$I$4:$L$1012,4,FALSE),""),"")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2649</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1723</v>
      </c>
      <c r="C426" t="s">
        <v>1723</v>
      </c>
      <c r="D426" s="3">
        <f t="shared" si="40"/>
        <v>486</v>
      </c>
      <c r="E426" s="55" t="s">
        <v>1783</v>
      </c>
      <c r="F426" s="30" t="s">
        <v>1460</v>
      </c>
      <c r="G426" s="8" t="s">
        <v>1478</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constants'!$B$4:$C$1012,2,FALSE),"")</f>
        <v/>
      </c>
      <c r="V426" s="33" t="s">
        <v>1792</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constants'!$I$4:$L$1012,3,FALSE),""),"")</f>
        <v/>
      </c>
      <c r="AD426" s="41" t="str">
        <f>IF(AB426&lt;&gt;"",IF(AB426&lt;&gt;"LIBSETS_DROP_MECHANIC_MONSTER_NAME",VLOOKUP(AB426,'LibSets constants'!$I$4:$L$1012,4,FALSE),""),"")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2649</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1724</v>
      </c>
      <c r="C427" t="s">
        <v>2631</v>
      </c>
      <c r="D427" s="3">
        <f t="shared" si="40"/>
        <v>487</v>
      </c>
      <c r="G427" s="8" t="s">
        <v>1476</v>
      </c>
      <c r="I427" t="s">
        <v>91</v>
      </c>
      <c r="J427" t="s">
        <v>91</v>
      </c>
      <c r="K427">
        <v>418</v>
      </c>
      <c r="L427">
        <v>419</v>
      </c>
      <c r="M427">
        <v>421</v>
      </c>
      <c r="O427" s="61" t="s">
        <v>1681</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constants'!$B$4:$C$1012,2,FALSE),"")</f>
        <v>Included in base game</v>
      </c>
      <c r="V427" s="33" t="s">
        <v>1554</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1554</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1556</v>
      </c>
      <c r="AI427" s="41"/>
      <c r="AJ427" s="41"/>
      <c r="AK427" s="3">
        <f>IF(AND(G427&lt;&gt;"LIBSETS_SETTYPE_BATTLEGROUND",G427&lt;&gt;"LIBSETS_SETTYPE_SPECIAL"),IF(AL427&lt;&gt;"",VLOOKUP(AL427,'ESO zone constants'!$D$5:$H$4955,5,FALSE),""),"")</f>
        <v>1160</v>
      </c>
      <c r="AL427" t="s">
        <v>1681</v>
      </c>
      <c r="AM427" s="33" t="s">
        <v>1557</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2649</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1725</v>
      </c>
      <c r="C428" t="s">
        <v>1726</v>
      </c>
      <c r="D428" s="3">
        <f t="shared" si="40"/>
        <v>488</v>
      </c>
      <c r="G428" s="8" t="s">
        <v>1476</v>
      </c>
      <c r="I428" t="s">
        <v>91</v>
      </c>
      <c r="J428" t="s">
        <v>91</v>
      </c>
      <c r="K428">
        <v>418</v>
      </c>
      <c r="L428">
        <v>419</v>
      </c>
      <c r="M428">
        <v>421</v>
      </c>
      <c r="O428" s="61" t="s">
        <v>1681</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constants'!$B$4:$C$1012,2,FALSE),"")</f>
        <v>Included in base game</v>
      </c>
      <c r="V428" s="33" t="s">
        <v>1554</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1554</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1556</v>
      </c>
      <c r="AI428" s="41"/>
      <c r="AJ428" s="41"/>
      <c r="AK428" s="3">
        <f>IF(AND(G428&lt;&gt;"LIBSETS_SETTYPE_BATTLEGROUND",G428&lt;&gt;"LIBSETS_SETTYPE_SPECIAL"),IF(AL428&lt;&gt;"",VLOOKUP(AL428,'ESO zone constants'!$D$5:$H$4955,5,FALSE),""),"")</f>
        <v>1160</v>
      </c>
      <c r="AL428" t="s">
        <v>1681</v>
      </c>
      <c r="AM428" s="33" t="s">
        <v>1557</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2649</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1727</v>
      </c>
      <c r="C429" t="s">
        <v>1728</v>
      </c>
      <c r="D429" s="3">
        <f t="shared" si="40"/>
        <v>489</v>
      </c>
      <c r="G429" s="8" t="s">
        <v>1476</v>
      </c>
      <c r="I429" t="s">
        <v>91</v>
      </c>
      <c r="J429" t="s">
        <v>91</v>
      </c>
      <c r="K429">
        <v>418</v>
      </c>
      <c r="L429">
        <v>419</v>
      </c>
      <c r="M429">
        <v>421</v>
      </c>
      <c r="O429" s="61" t="s">
        <v>1681</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constants'!$B$4:$C$1012,2,FALSE),"")</f>
        <v>Included in base game</v>
      </c>
      <c r="V429" s="33" t="s">
        <v>1554</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1554</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1556</v>
      </c>
      <c r="AI429" s="41"/>
      <c r="AJ429" s="41"/>
      <c r="AK429" s="3">
        <f>IF(AND(G429&lt;&gt;"LIBSETS_SETTYPE_BATTLEGROUND",G429&lt;&gt;"LIBSETS_SETTYPE_SPECIAL"),IF(AL429&lt;&gt;"",VLOOKUP(AL429,'ESO zone constants'!$D$5:$H$4955,5,FALSE),""),"")</f>
        <v>1160</v>
      </c>
      <c r="AL429" t="s">
        <v>1681</v>
      </c>
      <c r="AM429" s="33" t="s">
        <v>1557</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2649</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1729</v>
      </c>
      <c r="C430" t="s">
        <v>2632</v>
      </c>
      <c r="D430" s="3">
        <f t="shared" si="40"/>
        <v>490</v>
      </c>
      <c r="G430" s="8" t="s">
        <v>1470</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constants'!$B$4:$C$1012,2,FALSE),"")</f>
        <v>Included in base game</v>
      </c>
      <c r="V430" s="33" t="s">
        <v>3283</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3283</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3283</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2649</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1730</v>
      </c>
      <c r="C431" t="s">
        <v>2633</v>
      </c>
      <c r="D431" s="3">
        <f t="shared" si="40"/>
        <v>491</v>
      </c>
      <c r="G431" s="8" t="s">
        <v>1470</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constants'!$B$4:$C$1012,2,FALSE),"")</f>
        <v>Included in base game</v>
      </c>
      <c r="V431" s="33" t="s">
        <v>3283</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3283</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3283</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2649</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1731</v>
      </c>
      <c r="C432" t="s">
        <v>2634</v>
      </c>
      <c r="D432" s="3">
        <f t="shared" si="40"/>
        <v>492</v>
      </c>
      <c r="G432" s="8" t="s">
        <v>1477</v>
      </c>
      <c r="I432" t="s">
        <v>91</v>
      </c>
      <c r="J432" t="s">
        <v>91</v>
      </c>
      <c r="K432">
        <v>434</v>
      </c>
      <c r="L432">
        <v>434</v>
      </c>
      <c r="M432">
        <v>434</v>
      </c>
      <c r="O432" s="61" t="s">
        <v>1700</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constants'!$B$4:$C$1012,2,FALSE),"")</f>
        <v>Greymoor</v>
      </c>
      <c r="V432" s="33" t="s">
        <v>3261</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3261</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3261</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2649</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1732</v>
      </c>
      <c r="C433" t="s">
        <v>2635</v>
      </c>
      <c r="D433" s="3">
        <f t="shared" si="40"/>
        <v>493</v>
      </c>
      <c r="G433" s="8" t="s">
        <v>1477</v>
      </c>
      <c r="I433" t="s">
        <v>92</v>
      </c>
      <c r="J433" t="s">
        <v>91</v>
      </c>
      <c r="K433">
        <v>434</v>
      </c>
      <c r="L433">
        <v>434</v>
      </c>
      <c r="M433">
        <v>434</v>
      </c>
      <c r="O433" s="61" t="s">
        <v>1700</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constants'!$B$4:$C$1012,2,FALSE),"")</f>
        <v>Greymoor</v>
      </c>
      <c r="V433" s="33" t="s">
        <v>3261</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3261</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3261</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2649</v>
      </c>
      <c r="BA433" s="78"/>
      <c r="BB433" s="78"/>
      <c r="BC433" s="78"/>
      <c r="BD433" s="78" t="s">
        <v>3823</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1733</v>
      </c>
      <c r="C434" t="s">
        <v>2636</v>
      </c>
      <c r="D434" s="3">
        <f t="shared" si="40"/>
        <v>494</v>
      </c>
      <c r="G434" s="8" t="s">
        <v>1477</v>
      </c>
      <c r="I434" t="s">
        <v>91</v>
      </c>
      <c r="J434" t="s">
        <v>91</v>
      </c>
      <c r="K434">
        <v>434</v>
      </c>
      <c r="L434">
        <v>434</v>
      </c>
      <c r="M434">
        <v>434</v>
      </c>
      <c r="O434" s="61" t="s">
        <v>1700</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constants'!$B$4:$C$1012,2,FALSE),"")</f>
        <v>Greymoor</v>
      </c>
      <c r="V434" s="33" t="s">
        <v>3261</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3261</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3261</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2649</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1734</v>
      </c>
      <c r="C435" t="s">
        <v>2637</v>
      </c>
      <c r="D435" s="3">
        <f t="shared" si="40"/>
        <v>495</v>
      </c>
      <c r="G435" s="8" t="s">
        <v>1477</v>
      </c>
      <c r="I435" t="s">
        <v>92</v>
      </c>
      <c r="J435" t="s">
        <v>91</v>
      </c>
      <c r="K435">
        <v>434</v>
      </c>
      <c r="L435">
        <v>434</v>
      </c>
      <c r="M435">
        <v>434</v>
      </c>
      <c r="O435" s="61" t="s">
        <v>1700</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constants'!$B$4:$C$1012,2,FALSE),"")</f>
        <v>Greymoor</v>
      </c>
      <c r="V435" s="33" t="s">
        <v>3261</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3261</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3261</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2649</v>
      </c>
      <c r="BA435" s="78"/>
      <c r="BB435" s="78"/>
      <c r="BC435" s="78"/>
      <c r="BD435" s="78" t="s">
        <v>3823</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1735</v>
      </c>
      <c r="C436" t="s">
        <v>1736</v>
      </c>
      <c r="D436" s="3">
        <f t="shared" si="40"/>
        <v>496</v>
      </c>
      <c r="G436" s="8" t="s">
        <v>1477</v>
      </c>
      <c r="I436" t="s">
        <v>91</v>
      </c>
      <c r="J436" t="s">
        <v>91</v>
      </c>
      <c r="K436">
        <v>434</v>
      </c>
      <c r="L436">
        <v>434</v>
      </c>
      <c r="M436">
        <v>434</v>
      </c>
      <c r="O436" s="61" t="s">
        <v>1700</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constants'!$B$4:$C$1012,2,FALSE),"")</f>
        <v>Greymoor</v>
      </c>
      <c r="V436" s="33" t="s">
        <v>3261</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3261</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3261</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2649</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1737</v>
      </c>
      <c r="C437" t="s">
        <v>1738</v>
      </c>
      <c r="D437" s="3">
        <f t="shared" si="40"/>
        <v>497</v>
      </c>
      <c r="G437" s="8" t="s">
        <v>1477</v>
      </c>
      <c r="I437" t="s">
        <v>92</v>
      </c>
      <c r="J437" t="s">
        <v>91</v>
      </c>
      <c r="K437">
        <v>434</v>
      </c>
      <c r="L437">
        <v>434</v>
      </c>
      <c r="M437">
        <v>434</v>
      </c>
      <c r="O437" s="61" t="s">
        <v>1700</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constants'!$B$4:$C$1012,2,FALSE),"")</f>
        <v>Greymoor</v>
      </c>
      <c r="V437" s="33" t="s">
        <v>3261</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3261</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3261</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2649</v>
      </c>
      <c r="BA437" s="78"/>
      <c r="BB437" s="78"/>
      <c r="BC437" s="78"/>
      <c r="BD437" s="78" t="s">
        <v>3823</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1739</v>
      </c>
      <c r="C438" t="s">
        <v>2638</v>
      </c>
      <c r="D438" s="3">
        <f t="shared" si="40"/>
        <v>498</v>
      </c>
      <c r="G438" s="8" t="s">
        <v>1477</v>
      </c>
      <c r="I438" t="s">
        <v>91</v>
      </c>
      <c r="J438" t="s">
        <v>91</v>
      </c>
      <c r="K438">
        <v>434</v>
      </c>
      <c r="L438">
        <v>434</v>
      </c>
      <c r="M438">
        <v>434</v>
      </c>
      <c r="O438" s="61" t="s">
        <v>1700</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constants'!$B$4:$C$1012,2,FALSE),"")</f>
        <v>Greymoor</v>
      </c>
      <c r="V438" s="33" t="s">
        <v>3261</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3261</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3261</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2649</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1740</v>
      </c>
      <c r="C439" t="s">
        <v>2639</v>
      </c>
      <c r="D439" s="3">
        <f t="shared" si="40"/>
        <v>499</v>
      </c>
      <c r="G439" s="8" t="s">
        <v>1477</v>
      </c>
      <c r="I439" t="s">
        <v>92</v>
      </c>
      <c r="J439" t="s">
        <v>91</v>
      </c>
      <c r="K439">
        <v>434</v>
      </c>
      <c r="L439">
        <v>434</v>
      </c>
      <c r="M439">
        <v>434</v>
      </c>
      <c r="O439" s="61" t="s">
        <v>1700</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constants'!$B$4:$C$1012,2,FALSE),"")</f>
        <v>Greymoor</v>
      </c>
      <c r="V439" s="33" t="s">
        <v>3261</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3261</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3261</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2649</v>
      </c>
      <c r="BA439" s="78"/>
      <c r="BB439" s="78"/>
      <c r="BC439" s="78"/>
      <c r="BD439" s="78" t="s">
        <v>3823</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1741</v>
      </c>
      <c r="C440" t="s">
        <v>2640</v>
      </c>
      <c r="D440" s="3">
        <f t="shared" si="40"/>
        <v>500</v>
      </c>
      <c r="E440" s="40" t="s">
        <v>1784</v>
      </c>
      <c r="F440" s="30" t="s">
        <v>1460</v>
      </c>
      <c r="G440" s="8"/>
      <c r="O440" s="61" t="s">
        <v>1681</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constants'!$B$4:$C$1012,2,FALSE),"")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constants'!$I$4:$L$1012,3,FALSE),""),"")</f>
        <v/>
      </c>
      <c r="AD440" s="41" t="str">
        <f>IF(AB440&lt;&gt;"",IF(AB440&lt;&gt;"LIBSETS_DROP_MECHANIC_MONSTER_NAME",VLOOKUP(AB440,'LibSets constants'!$I$4:$L$1012,4,FALSE),""),"")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2649</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1743</v>
      </c>
      <c r="C441" t="s">
        <v>1742</v>
      </c>
      <c r="D441" s="3">
        <f t="shared" si="40"/>
        <v>501</v>
      </c>
      <c r="G441" s="8" t="s">
        <v>1675</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1606</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constants'!$B$4:$C$1012,2,FALSE),"")</f>
        <v>Greymoor</v>
      </c>
      <c r="V441" s="33" t="s">
        <v>1555</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3212</v>
      </c>
      <c r="AC441" s="41" t="s">
        <v>3239</v>
      </c>
      <c r="AD441" s="41" t="s">
        <v>3240</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3212</v>
      </c>
      <c r="AI441" s="41" t="s">
        <v>3241</v>
      </c>
      <c r="AJ441" s="41" t="s">
        <v>3242</v>
      </c>
      <c r="AK441" s="3">
        <f>IF(AND(G441&lt;&gt;"LIBSETS_SETTYPE_BATTLEGROUND",G441&lt;&gt;"LIBSETS_SETTYPE_SPECIAL"),IF(AL441&lt;&gt;"",VLOOKUP(AL441,'ESO zone constants'!$D$5:$H$4955,5,FALSE),""),"")</f>
        <v>1020</v>
      </c>
      <c r="AL441" t="s">
        <v>672</v>
      </c>
      <c r="AM441" s="33" t="s">
        <v>1555</v>
      </c>
      <c r="AN441" s="41"/>
      <c r="AO441" s="41"/>
      <c r="AP441" s="3">
        <f>IF(AND(G441&lt;&gt;"LIBSETS_SETTYPE_BATTLEGROUND",G441&lt;&gt;"LIBSETS_SETTYPE_SPECIAL"),IF(AQ441&lt;&gt;"",VLOOKUP(AQ441,'ESO zone constants'!$D$5:$H$4955,5,FALSE),""),"")</f>
        <v>1027</v>
      </c>
      <c r="AQ441" t="s">
        <v>679</v>
      </c>
      <c r="AR441" s="33" t="s">
        <v>3218</v>
      </c>
      <c r="AS441" s="41" t="s">
        <v>3243</v>
      </c>
      <c r="AT441" s="41" t="s">
        <v>3244</v>
      </c>
      <c r="AU441" s="3" t="str">
        <f>IF(AND(G441&lt;&gt;"LIBSETS_SETTYPE_BATTLEGROUND",G441&lt;&gt;"LIBSETS_SETTYPE_SPECIAL"),IF(AV441&lt;&gt;"",VLOOKUP(AV441,'ESO zone constants'!$D$5:$H$4955,5,FALSE),""),"")</f>
        <v/>
      </c>
      <c r="AV441" s="38"/>
      <c r="AX441" s="41"/>
      <c r="AY441" s="41"/>
      <c r="AZ441" s="78" t="s">
        <v>2649</v>
      </c>
      <c r="BA441" s="36" t="s">
        <v>3179</v>
      </c>
      <c r="BB441" s="36" t="s">
        <v>3179</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1744</v>
      </c>
      <c r="C442" t="s">
        <v>1744</v>
      </c>
      <c r="D442" s="3">
        <f t="shared" si="40"/>
        <v>502</v>
      </c>
      <c r="E442" t="s">
        <v>1785</v>
      </c>
      <c r="F442" s="30" t="s">
        <v>1460</v>
      </c>
      <c r="G442" s="8"/>
      <c r="O442" s="61" t="s">
        <v>1681</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constants'!$B$4:$C$1012,2,FALSE),"")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constants'!$I$4:$L$1012,3,FALSE),""),"")</f>
        <v/>
      </c>
      <c r="AD442" s="41" t="str">
        <f>IF(AB442&lt;&gt;"",IF(AB442&lt;&gt;"LIBSETS_DROP_MECHANIC_MONSTER_NAME",VLOOKUP(AB442,'LibSets constants'!$I$4:$L$1012,4,FALSE),""),"")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2649</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1745</v>
      </c>
      <c r="C443" t="s">
        <v>1746</v>
      </c>
      <c r="D443" s="3">
        <f t="shared" si="40"/>
        <v>503</v>
      </c>
      <c r="G443" s="8" t="s">
        <v>1675</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1606</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constants'!$B$4:$C$1012,2,FALSE),"")</f>
        <v>Greymoor</v>
      </c>
      <c r="V443" s="33" t="s">
        <v>1556</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1554</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1555</v>
      </c>
      <c r="AI443" s="41"/>
      <c r="AJ443" s="41"/>
      <c r="AK443" s="3">
        <f>IF(AND(G443&lt;&gt;"LIBSETS_SETTYPE_BATTLEGROUND",G443&lt;&gt;"LIBSETS_SETTYPE_SPECIAL"),IF(AL443&lt;&gt;"",VLOOKUP(AL443,'ESO zone constants'!$D$5:$H$4955,5,FALSE),""),"")</f>
        <v>931</v>
      </c>
      <c r="AL443" t="s">
        <v>56</v>
      </c>
      <c r="AM443" s="33" t="s">
        <v>3280</v>
      </c>
      <c r="AN443" s="41" t="s">
        <v>1542</v>
      </c>
      <c r="AO443" s="41" t="s">
        <v>1634</v>
      </c>
      <c r="AP443" s="3">
        <f>IF(AND(G443&lt;&gt;"LIBSETS_SETTYPE_BATTLEGROUND",G443&lt;&gt;"LIBSETS_SETTYPE_SPECIAL"),IF(AQ443&lt;&gt;"",VLOOKUP(AQ443,'ESO zone constants'!$D$5:$H$4955,5,FALSE),""),"")</f>
        <v>108</v>
      </c>
      <c r="AQ443" t="s">
        <v>113</v>
      </c>
      <c r="AR443" s="33" t="s">
        <v>1555</v>
      </c>
      <c r="AS443" s="41"/>
      <c r="AT443" s="41"/>
      <c r="AU443" s="3">
        <f>IF(AND(G443&lt;&gt;"LIBSETS_SETTYPE_BATTLEGROUND",G443&lt;&gt;"LIBSETS_SETTYPE_SPECIAL"),IF(AV443&lt;&gt;"",VLOOKUP(AV443,'ESO zone constants'!$D$5:$H$4955,5,FALSE),""),"")</f>
        <v>726</v>
      </c>
      <c r="AV443" t="s">
        <v>80</v>
      </c>
      <c r="AW443" s="33" t="s">
        <v>1555</v>
      </c>
      <c r="AX443" s="41"/>
      <c r="AY443" s="41"/>
      <c r="AZ443" s="78" t="s">
        <v>2649</v>
      </c>
      <c r="BA443" s="36" t="s">
        <v>3176</v>
      </c>
      <c r="BB443" s="36" t="s">
        <v>3176</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1747</v>
      </c>
      <c r="C444" t="s">
        <v>2641</v>
      </c>
      <c r="D444" s="3">
        <f t="shared" si="40"/>
        <v>504</v>
      </c>
      <c r="E444" t="s">
        <v>1786</v>
      </c>
      <c r="F444" s="30" t="s">
        <v>1460</v>
      </c>
      <c r="G444" s="8"/>
      <c r="O444" s="61" t="s">
        <v>1681</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constants'!$B$4:$C$1012,2,FALSE),"")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constants'!$I$4:$L$1012,3,FALSE),""),"")</f>
        <v/>
      </c>
      <c r="AD444" s="41" t="str">
        <f>IF(AB444&lt;&gt;"",IF(AB444&lt;&gt;"LIBSETS_DROP_MECHANIC_MONSTER_NAME",VLOOKUP(AB444,'LibSets constants'!$I$4:$L$1012,4,FALSE),""),"")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2649</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1749</v>
      </c>
      <c r="C445" t="s">
        <v>1748</v>
      </c>
      <c r="D445" s="3">
        <f t="shared" si="40"/>
        <v>505</v>
      </c>
      <c r="G445" s="8" t="s">
        <v>1675</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1606</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constants'!$B$4:$C$1012,2,FALSE),"")</f>
        <v>Greymoor</v>
      </c>
      <c r="V445" s="33" t="s">
        <v>1555</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1555</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3280</v>
      </c>
      <c r="AI445" s="41" t="s">
        <v>1362</v>
      </c>
      <c r="AJ445" s="41" t="s">
        <v>1627</v>
      </c>
      <c r="AK445" s="3">
        <f>IF(AND(G445&lt;&gt;"LIBSETS_SETTYPE_BATTLEGROUND",G445&lt;&gt;"LIBSETS_SETTYPE_SPECIAL"),IF(AL445&lt;&gt;"",VLOOKUP(AL445,'ESO zone constants'!$D$5:$H$4955,5,FALSE),""),"")</f>
        <v>216</v>
      </c>
      <c r="AL445" t="s">
        <v>144</v>
      </c>
      <c r="AM445" s="33" t="s">
        <v>1556</v>
      </c>
      <c r="AN445" s="41"/>
      <c r="AO445" s="41"/>
      <c r="AP445" s="3">
        <f>IF(AND(G445&lt;&gt;"LIBSETS_SETTYPE_BATTLEGROUND",G445&lt;&gt;"LIBSETS_SETTYPE_SPECIAL"),IF(AQ445&lt;&gt;"",VLOOKUP(AQ445,'ESO zone constants'!$D$5:$H$4955,5,FALSE),""),"")</f>
        <v>888</v>
      </c>
      <c r="AQ445" t="s">
        <v>563</v>
      </c>
      <c r="AR445" s="33" t="s">
        <v>1555</v>
      </c>
      <c r="AS445" s="41"/>
      <c r="AT445" s="41"/>
      <c r="AU445" s="3" t="str">
        <f>IF(AND(G445&lt;&gt;"LIBSETS_SETTYPE_BATTLEGROUND",G445&lt;&gt;"LIBSETS_SETTYPE_SPECIAL"),IF(AV445&lt;&gt;"",VLOOKUP(AV445,'ESO zone constants'!$D$5:$H$4955,5,FALSE),""),"")</f>
        <v/>
      </c>
      <c r="AX445" s="41"/>
      <c r="AY445" s="41"/>
      <c r="AZ445" s="78" t="s">
        <v>2649</v>
      </c>
      <c r="BA445" s="36" t="s">
        <v>3180</v>
      </c>
      <c r="BB445" s="36" t="s">
        <v>3180</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1750</v>
      </c>
      <c r="C446" t="s">
        <v>1751</v>
      </c>
      <c r="D446" s="3">
        <f t="shared" si="40"/>
        <v>506</v>
      </c>
      <c r="G446" s="8" t="s">
        <v>1470</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constants'!$B$4:$C$1012,2,FALSE),"")</f>
        <v>Markarth</v>
      </c>
      <c r="V446" s="33" t="s">
        <v>3283</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3283</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3283</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2649</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1752</v>
      </c>
      <c r="C447" t="s">
        <v>1752</v>
      </c>
      <c r="D447" s="3">
        <f t="shared" si="40"/>
        <v>509</v>
      </c>
      <c r="E447" s="55" t="s">
        <v>1783</v>
      </c>
      <c r="F447" s="30" t="s">
        <v>1460</v>
      </c>
      <c r="G447" s="8" t="s">
        <v>1478</v>
      </c>
      <c r="O447" s="61" t="s">
        <v>1681</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constants'!$B$4:$C$1012,2,FALSE),"")</f>
        <v>Included in base game</v>
      </c>
      <c r="V447" s="33" t="s">
        <v>1792</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constants'!$I$4:$L$1012,3,FALSE),""),"")</f>
        <v/>
      </c>
      <c r="AD447" s="41" t="str">
        <f>IF(AB447&lt;&gt;"",IF(AB447&lt;&gt;"LIBSETS_DROP_MECHANIC_MONSTER_NAME",VLOOKUP(AB447,'LibSets constants'!$I$4:$L$1012,4,FALSE),""),"")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2649</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1753</v>
      </c>
      <c r="C448" t="s">
        <v>1753</v>
      </c>
      <c r="D448" s="3">
        <f t="shared" si="40"/>
        <v>510</v>
      </c>
      <c r="E448" s="55" t="s">
        <v>1783</v>
      </c>
      <c r="F448" s="30" t="s">
        <v>1460</v>
      </c>
      <c r="G448" s="8" t="s">
        <v>1478</v>
      </c>
      <c r="O448" s="61" t="s">
        <v>1681</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constants'!$B$4:$C$1012,2,FALSE),"")</f>
        <v>Included in base game</v>
      </c>
      <c r="V448" s="33" t="s">
        <v>1792</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constants'!$I$4:$L$1012,3,FALSE),""),"")</f>
        <v/>
      </c>
      <c r="AD448" s="41" t="str">
        <f>IF(AB448&lt;&gt;"",IF(AB448&lt;&gt;"LIBSETS_DROP_MECHANIC_MONSTER_NAME",VLOOKUP(AB448,'LibSets constants'!$I$4:$L$1012,4,FALSE),""),"")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2649</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1754</v>
      </c>
      <c r="C449" t="s">
        <v>1754</v>
      </c>
      <c r="D449" s="3">
        <f t="shared" si="40"/>
        <v>511</v>
      </c>
      <c r="E449" s="55" t="s">
        <v>1783</v>
      </c>
      <c r="F449" s="30" t="s">
        <v>1460</v>
      </c>
      <c r="G449" s="8" t="s">
        <v>1478</v>
      </c>
      <c r="O449" s="61" t="s">
        <v>1681</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constants'!$B$4:$C$1012,2,FALSE),"")</f>
        <v>Included in base game</v>
      </c>
      <c r="V449" s="33" t="s">
        <v>1792</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constants'!$I$4:$L$1012,3,FALSE),""),"")</f>
        <v/>
      </c>
      <c r="AD449" s="41" t="str">
        <f>IF(AB449&lt;&gt;"",IF(AB449&lt;&gt;"LIBSETS_DROP_MECHANIC_MONSTER_NAME",VLOOKUP(AB449,'LibSets constants'!$I$4:$L$1012,4,FALSE),""),"")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2649</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1755</v>
      </c>
      <c r="C450" t="s">
        <v>1755</v>
      </c>
      <c r="D450" s="3">
        <f t="shared" si="40"/>
        <v>512</v>
      </c>
      <c r="E450" s="55" t="s">
        <v>1783</v>
      </c>
      <c r="F450" s="30" t="s">
        <v>1460</v>
      </c>
      <c r="G450" s="8" t="s">
        <v>1478</v>
      </c>
      <c r="O450" s="61" t="s">
        <v>1681</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constants'!$B$4:$C$1012,2,FALSE),"")</f>
        <v>Included in base game</v>
      </c>
      <c r="V450" s="33" t="s">
        <v>1792</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constants'!$I$4:$L$1012,3,FALSE),""),"")</f>
        <v/>
      </c>
      <c r="AD450" s="41" t="str">
        <f>IF(AB450&lt;&gt;"",IF(AB450&lt;&gt;"LIBSETS_DROP_MECHANIC_MONSTER_NAME",VLOOKUP(AB450,'LibSets constants'!$I$4:$L$1012,4,FALSE),""),"")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2649</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2149</v>
      </c>
      <c r="C451" t="s">
        <v>2748</v>
      </c>
      <c r="D451" s="3">
        <f t="shared" ref="D451:D514" si="46">A451</f>
        <v>513</v>
      </c>
      <c r="G451" s="3" t="s">
        <v>1473</v>
      </c>
      <c r="I451" t="s">
        <v>91</v>
      </c>
      <c r="J451" t="s">
        <v>91</v>
      </c>
      <c r="K451">
        <v>436</v>
      </c>
      <c r="L451">
        <v>436</v>
      </c>
      <c r="M451">
        <v>436</v>
      </c>
      <c r="O451" s="61" t="s">
        <v>1796</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constants'!$B$4:$C$1012,2,FALSE),"")</f>
        <v>Stonethorn</v>
      </c>
      <c r="V451" s="33" t="s">
        <v>3280</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2649</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2150</v>
      </c>
      <c r="C452" t="s">
        <v>1797</v>
      </c>
      <c r="D452" s="3">
        <f t="shared" si="46"/>
        <v>514</v>
      </c>
      <c r="G452" s="3" t="s">
        <v>1473</v>
      </c>
      <c r="I452" t="s">
        <v>91</v>
      </c>
      <c r="J452" t="s">
        <v>91</v>
      </c>
      <c r="K452">
        <v>436</v>
      </c>
      <c r="L452">
        <v>436</v>
      </c>
      <c r="M452">
        <v>436</v>
      </c>
      <c r="O452" s="61" t="s">
        <v>1796</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constants'!$B$4:$C$1012,2,FALSE),"")</f>
        <v>Stonethorn</v>
      </c>
      <c r="V452" s="33" t="s">
        <v>3280</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2649</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2151</v>
      </c>
      <c r="C453" t="s">
        <v>1798</v>
      </c>
      <c r="D453" s="3">
        <f t="shared" si="46"/>
        <v>515</v>
      </c>
      <c r="G453" s="3" t="s">
        <v>1473</v>
      </c>
      <c r="I453" t="s">
        <v>91</v>
      </c>
      <c r="J453" t="s">
        <v>91</v>
      </c>
      <c r="K453">
        <v>436</v>
      </c>
      <c r="L453">
        <v>436</v>
      </c>
      <c r="M453">
        <v>436</v>
      </c>
      <c r="O453" s="61" t="s">
        <v>1796</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constants'!$B$4:$C$1012,2,FALSE),"")</f>
        <v>Stonethorn</v>
      </c>
      <c r="V453" s="33" t="s">
        <v>3280</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2649</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2152</v>
      </c>
      <c r="C454" t="s">
        <v>1800</v>
      </c>
      <c r="D454" s="3">
        <f t="shared" si="46"/>
        <v>516</v>
      </c>
      <c r="G454" s="3" t="s">
        <v>1473</v>
      </c>
      <c r="I454" t="s">
        <v>91</v>
      </c>
      <c r="J454" t="s">
        <v>91</v>
      </c>
      <c r="K454">
        <v>433</v>
      </c>
      <c r="L454">
        <v>433</v>
      </c>
      <c r="M454">
        <v>433</v>
      </c>
      <c r="O454" s="61" t="s">
        <v>1801</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constants'!$B$4:$C$1012,2,FALSE),"")</f>
        <v>Stonethorn</v>
      </c>
      <c r="V454" s="33" t="s">
        <v>3280</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2649</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2153</v>
      </c>
      <c r="C455" t="s">
        <v>2747</v>
      </c>
      <c r="D455" s="3">
        <f t="shared" si="46"/>
        <v>517</v>
      </c>
      <c r="G455" s="3" t="s">
        <v>1473</v>
      </c>
      <c r="I455" t="s">
        <v>91</v>
      </c>
      <c r="J455" t="s">
        <v>91</v>
      </c>
      <c r="K455">
        <v>433</v>
      </c>
      <c r="L455">
        <v>433</v>
      </c>
      <c r="M455">
        <v>433</v>
      </c>
      <c r="O455" s="61" t="s">
        <v>1801</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constants'!$B$4:$C$1012,2,FALSE),"")</f>
        <v>Stonethorn</v>
      </c>
      <c r="V455" s="33" t="s">
        <v>3280</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2649</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2154</v>
      </c>
      <c r="C456" t="s">
        <v>2746</v>
      </c>
      <c r="D456" s="3">
        <f t="shared" si="46"/>
        <v>518</v>
      </c>
      <c r="G456" s="3" t="s">
        <v>1473</v>
      </c>
      <c r="I456" t="s">
        <v>91</v>
      </c>
      <c r="J456" t="s">
        <v>91</v>
      </c>
      <c r="K456">
        <v>433</v>
      </c>
      <c r="L456">
        <v>433</v>
      </c>
      <c r="M456">
        <v>433</v>
      </c>
      <c r="O456" s="61" t="s">
        <v>1801</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constants'!$B$4:$C$1012,2,FALSE),"")</f>
        <v>Stonethorn</v>
      </c>
      <c r="V456" s="33" t="s">
        <v>3280</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2649</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1756</v>
      </c>
      <c r="C457" t="s">
        <v>1757</v>
      </c>
      <c r="D457" s="3">
        <f t="shared" si="46"/>
        <v>519</v>
      </c>
      <c r="G457" s="8" t="s">
        <v>1675</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1606</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constants'!$B$4:$C$1012,2,FALSE),"")</f>
        <v>Greymoor</v>
      </c>
      <c r="V457" s="33" t="s">
        <v>1556</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3264</v>
      </c>
      <c r="AC457" s="41" t="s">
        <v>3203</v>
      </c>
      <c r="AD457" s="41" t="s">
        <v>3202</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1555</v>
      </c>
      <c r="AI457" s="41"/>
      <c r="AJ457" s="41"/>
      <c r="AK457" s="3">
        <f>IF(AND(G457&lt;&gt;"LIBSETS_SETTYPE_BATTLEGROUND",G457&lt;&gt;"LIBSETS_SETTYPE_SPECIAL"),IF(AL457&lt;&gt;"",VLOOKUP(AL457,'ESO zone constants'!$D$5:$H$4955,5,FALSE),""),"")</f>
        <v>449</v>
      </c>
      <c r="AL457" t="s">
        <v>48</v>
      </c>
      <c r="AM457" s="33" t="s">
        <v>3280</v>
      </c>
      <c r="AN457" s="41" t="s">
        <v>1545</v>
      </c>
      <c r="AO457" s="41" t="s">
        <v>1618</v>
      </c>
      <c r="AP457" s="3">
        <f>IF(AND(G457&lt;&gt;"LIBSETS_SETTYPE_BATTLEGROUND",G457&lt;&gt;"LIBSETS_SETTYPE_SPECIAL"),IF(AQ457&lt;&gt;"",VLOOKUP(AQ457,'ESO zone constants'!$D$5:$H$4955,5,FALSE),""),"")</f>
        <v>181</v>
      </c>
      <c r="AQ457" t="s">
        <v>125</v>
      </c>
      <c r="AR457" s="33" t="s">
        <v>1554</v>
      </c>
      <c r="AS457" s="41" t="s">
        <v>3858</v>
      </c>
      <c r="AT457" s="41" t="s">
        <v>3859</v>
      </c>
      <c r="AU457" s="3" t="str">
        <f>IF(AND(G457&lt;&gt;"LIBSETS_SETTYPE_BATTLEGROUND",G457&lt;&gt;"LIBSETS_SETTYPE_SPECIAL"),IF(AV457&lt;&gt;"",VLOOKUP(AV457,'ESO zone constants'!$D$5:$H$4955,5,FALSE),""),"")</f>
        <v/>
      </c>
      <c r="AX457" s="41"/>
      <c r="AY457" s="41"/>
      <c r="AZ457" s="78" t="s">
        <v>2649</v>
      </c>
      <c r="BA457" s="36" t="s">
        <v>3178</v>
      </c>
      <c r="BB457" s="36" t="s">
        <v>3178</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1758</v>
      </c>
      <c r="C458" t="s">
        <v>2642</v>
      </c>
      <c r="D458" s="3">
        <f t="shared" si="46"/>
        <v>520</v>
      </c>
      <c r="G458" s="8" t="s">
        <v>1675</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1606</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constants'!$B$4:$C$1012,2,FALSE),"")</f>
        <v>Greymoor</v>
      </c>
      <c r="V458" s="33" t="s">
        <v>1556</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1555</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1556</v>
      </c>
      <c r="AI458" s="41"/>
      <c r="AJ458" s="41"/>
      <c r="AK458" s="3">
        <f>IF(AND(G458&lt;&gt;"LIBSETS_SETTYPE_BATTLEGROUND",G458&lt;&gt;"LIBSETS_SETTYPE_SPECIAL"),IF(AL458&lt;&gt;"",VLOOKUP(AL458,'ESO zone constants'!$D$5:$H$4955,5,FALSE),""),"")</f>
        <v>584</v>
      </c>
      <c r="AL458" t="s">
        <v>39</v>
      </c>
      <c r="AM458" s="33" t="s">
        <v>3264</v>
      </c>
      <c r="AN458" s="41" t="s">
        <v>3197</v>
      </c>
      <c r="AO458" s="41" t="s">
        <v>3198</v>
      </c>
      <c r="AP458" s="3">
        <f>IF(AND(G458&lt;&gt;"LIBSETS_SETTYPE_BATTLEGROUND",G458&lt;&gt;"LIBSETS_SETTYPE_SPECIAL"),IF(AQ458&lt;&gt;"",VLOOKUP(AQ458,'ESO zone constants'!$D$5:$H$4955,5,FALSE),""),"")</f>
        <v>535</v>
      </c>
      <c r="AQ458" t="s">
        <v>384</v>
      </c>
      <c r="AR458" s="33" t="s">
        <v>3264</v>
      </c>
      <c r="AS458" s="41" t="s">
        <v>3225</v>
      </c>
      <c r="AT458" s="41" t="s">
        <v>3202</v>
      </c>
      <c r="AU458" s="3" t="str">
        <f>IF(AND(G458&lt;&gt;"LIBSETS_SETTYPE_BATTLEGROUND",G458&lt;&gt;"LIBSETS_SETTYPE_SPECIAL"),IF(AV458&lt;&gt;"",VLOOKUP(AV458,'ESO zone constants'!$D$5:$H$4955,5,FALSE),""),"")</f>
        <v/>
      </c>
      <c r="AX458" s="41"/>
      <c r="AY458" s="41"/>
      <c r="AZ458" s="78" t="s">
        <v>2649</v>
      </c>
      <c r="BA458" s="36" t="s">
        <v>3172</v>
      </c>
      <c r="BB458" s="36" t="s">
        <v>3172</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1759</v>
      </c>
      <c r="C459" t="s">
        <v>2643</v>
      </c>
      <c r="D459" s="3">
        <f t="shared" si="46"/>
        <v>521</v>
      </c>
      <c r="E459" s="40"/>
      <c r="G459" s="8" t="s">
        <v>1675</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1606</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constants'!$B$4:$C$1012,2,FALSE),"")</f>
        <v>Greymoor</v>
      </c>
      <c r="V459" s="33" t="s">
        <v>1556</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1556</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3280</v>
      </c>
      <c r="AI459" s="41" t="s">
        <v>3854</v>
      </c>
      <c r="AJ459" s="41" t="s">
        <v>3855</v>
      </c>
      <c r="AK459" s="3">
        <f>IF(AND(G459&lt;&gt;"LIBSETS_SETTYPE_BATTLEGROUND",G459&lt;&gt;"LIBSETS_SETTYPE_SPECIAL"),IF(AL459&lt;&gt;"",VLOOKUP(AL459,'ESO zone constants'!$D$5:$H$4955,5,FALSE),""),"")</f>
        <v>144</v>
      </c>
      <c r="AL459" t="s">
        <v>66</v>
      </c>
      <c r="AM459" s="33" t="s">
        <v>3280</v>
      </c>
      <c r="AN459" s="41" t="s">
        <v>1541</v>
      </c>
      <c r="AO459" s="41" t="s">
        <v>3199</v>
      </c>
      <c r="AP459" s="3">
        <f>IF(AND(G459&lt;&gt;"LIBSETS_SETTYPE_BATTLEGROUND",G459&lt;&gt;"LIBSETS_SETTYPE_SPECIAL"),IF(AQ459&lt;&gt;"",VLOOKUP(AQ459,'ESO zone constants'!$D$5:$H$4955,5,FALSE),""),"")</f>
        <v>643</v>
      </c>
      <c r="AQ459" t="s">
        <v>446</v>
      </c>
      <c r="AR459" s="33" t="s">
        <v>3264</v>
      </c>
      <c r="AS459" s="41" t="s">
        <v>3200</v>
      </c>
      <c r="AT459" s="41" t="s">
        <v>3201</v>
      </c>
      <c r="AU459" s="3" t="str">
        <f>IF(AND(G459&lt;&gt;"LIBSETS_SETTYPE_BATTLEGROUND",G459&lt;&gt;"LIBSETS_SETTYPE_SPECIAL"),IF(AV459&lt;&gt;"",VLOOKUP(AV459,'ESO zone constants'!$D$5:$H$4955,5,FALSE),""),"")</f>
        <v/>
      </c>
      <c r="AX459" s="41"/>
      <c r="AY459" s="41"/>
      <c r="AZ459" s="78" t="s">
        <v>2649</v>
      </c>
      <c r="BA459" s="36" t="s">
        <v>3168</v>
      </c>
      <c r="BB459" s="36" t="s">
        <v>3168</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1760</v>
      </c>
      <c r="C460" t="s">
        <v>1761</v>
      </c>
      <c r="D460" s="3">
        <f t="shared" si="46"/>
        <v>522</v>
      </c>
      <c r="E460" s="40"/>
      <c r="G460" s="8" t="s">
        <v>1468</v>
      </c>
      <c r="I460" t="s">
        <v>92</v>
      </c>
      <c r="J460" t="s">
        <v>91</v>
      </c>
      <c r="K460">
        <v>249</v>
      </c>
      <c r="L460">
        <v>249</v>
      </c>
      <c r="M460">
        <v>249</v>
      </c>
      <c r="O460" s="61" t="s">
        <v>449</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constants'!$B$4:$C$1012,2,FALSE),"")</f>
        <v>Summerset</v>
      </c>
      <c r="V460" s="33" t="s">
        <v>1550</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1550</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2649</v>
      </c>
      <c r="BA460" s="78"/>
      <c r="BB460" s="78"/>
      <c r="BC460" s="78"/>
      <c r="BD460" s="78" t="s">
        <v>3823</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1762</v>
      </c>
      <c r="C461" t="s">
        <v>1763</v>
      </c>
      <c r="D461" s="3">
        <f t="shared" si="46"/>
        <v>523</v>
      </c>
      <c r="E461" s="40"/>
      <c r="G461" s="8" t="s">
        <v>1468</v>
      </c>
      <c r="I461" t="s">
        <v>92</v>
      </c>
      <c r="J461" t="s">
        <v>91</v>
      </c>
      <c r="K461">
        <v>249</v>
      </c>
      <c r="L461">
        <v>249</v>
      </c>
      <c r="M461">
        <v>249</v>
      </c>
      <c r="O461" s="61" t="s">
        <v>449</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constants'!$B$4:$C$1012,2,FALSE),"")</f>
        <v>Summerset</v>
      </c>
      <c r="V461" s="33" t="s">
        <v>1550</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1550</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2649</v>
      </c>
      <c r="BA461" s="78"/>
      <c r="BB461" s="78"/>
      <c r="BC461" s="78"/>
      <c r="BD461" s="78" t="s">
        <v>3823</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1765</v>
      </c>
      <c r="C462" t="s">
        <v>1764</v>
      </c>
      <c r="D462" s="3">
        <f t="shared" si="46"/>
        <v>524</v>
      </c>
      <c r="E462" s="40"/>
      <c r="G462" s="8" t="s">
        <v>1468</v>
      </c>
      <c r="I462" t="s">
        <v>92</v>
      </c>
      <c r="J462" t="s">
        <v>91</v>
      </c>
      <c r="K462">
        <v>249</v>
      </c>
      <c r="L462">
        <v>249</v>
      </c>
      <c r="M462">
        <v>249</v>
      </c>
      <c r="O462" s="61" t="s">
        <v>449</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constants'!$B$4:$C$1012,2,FALSE),"")</f>
        <v>Summerset</v>
      </c>
      <c r="V462" s="33" t="s">
        <v>1550</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1550</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2649</v>
      </c>
      <c r="BA462" s="78"/>
      <c r="BB462" s="78"/>
      <c r="BC462" s="78"/>
      <c r="BD462" s="78" t="s">
        <v>3823</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1767</v>
      </c>
      <c r="C463" t="s">
        <v>1766</v>
      </c>
      <c r="D463" s="3">
        <f t="shared" si="46"/>
        <v>525</v>
      </c>
      <c r="E463" s="40"/>
      <c r="G463" s="8" t="s">
        <v>1468</v>
      </c>
      <c r="I463" t="s">
        <v>92</v>
      </c>
      <c r="J463" t="s">
        <v>91</v>
      </c>
      <c r="K463">
        <v>249</v>
      </c>
      <c r="L463">
        <v>249</v>
      </c>
      <c r="M463">
        <v>249</v>
      </c>
      <c r="O463" s="61" t="s">
        <v>449</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constants'!$B$4:$C$1012,2,FALSE),"")</f>
        <v>Summerset</v>
      </c>
      <c r="V463" s="33" t="s">
        <v>1550</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1550</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2649</v>
      </c>
      <c r="BA463" s="78"/>
      <c r="BB463" s="78"/>
      <c r="BC463" s="78"/>
      <c r="BD463" s="78" t="s">
        <v>3823</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1769</v>
      </c>
      <c r="C464" t="s">
        <v>1768</v>
      </c>
      <c r="D464" s="3">
        <f t="shared" si="46"/>
        <v>526</v>
      </c>
      <c r="E464" s="40"/>
      <c r="G464" s="8" t="s">
        <v>1468</v>
      </c>
      <c r="I464" t="s">
        <v>92</v>
      </c>
      <c r="J464" t="s">
        <v>91</v>
      </c>
      <c r="K464">
        <v>249</v>
      </c>
      <c r="L464">
        <v>249</v>
      </c>
      <c r="M464">
        <v>249</v>
      </c>
      <c r="O464" s="61" t="s">
        <v>449</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constants'!$B$4:$C$1012,2,FALSE),"")</f>
        <v>Summerset</v>
      </c>
      <c r="V464" s="33" t="s">
        <v>1550</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1550</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2650</v>
      </c>
      <c r="BA464" s="78"/>
      <c r="BB464" s="78"/>
      <c r="BC464" s="78"/>
      <c r="BD464" s="78" t="s">
        <v>3823</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1770</v>
      </c>
      <c r="C465" t="s">
        <v>1771</v>
      </c>
      <c r="D465" s="3">
        <f t="shared" si="46"/>
        <v>527</v>
      </c>
      <c r="E465" s="40"/>
      <c r="G465" s="8" t="s">
        <v>1468</v>
      </c>
      <c r="I465" t="s">
        <v>92</v>
      </c>
      <c r="J465" t="s">
        <v>91</v>
      </c>
      <c r="K465">
        <v>249</v>
      </c>
      <c r="L465">
        <v>249</v>
      </c>
      <c r="M465">
        <v>249</v>
      </c>
      <c r="O465" s="61" t="s">
        <v>449</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constants'!$B$4:$C$1012,2,FALSE),"")</f>
        <v>Summerset</v>
      </c>
      <c r="V465" s="33" t="s">
        <v>1550</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1550</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2649</v>
      </c>
      <c r="BA465" s="78"/>
      <c r="BB465" s="78"/>
      <c r="BC465" s="78"/>
      <c r="BD465" s="78" t="s">
        <v>3823</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1773</v>
      </c>
      <c r="C466" t="s">
        <v>1772</v>
      </c>
      <c r="D466" s="3">
        <f t="shared" si="46"/>
        <v>528</v>
      </c>
      <c r="E466" s="40"/>
      <c r="G466" s="8" t="s">
        <v>1468</v>
      </c>
      <c r="I466" t="s">
        <v>92</v>
      </c>
      <c r="J466" t="s">
        <v>91</v>
      </c>
      <c r="K466">
        <v>270</v>
      </c>
      <c r="L466">
        <v>270</v>
      </c>
      <c r="M466">
        <v>270</v>
      </c>
      <c r="O466" s="61" t="s">
        <v>439</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constants'!$B$4:$C$1012,2,FALSE),"")</f>
        <v>Clockwork City</v>
      </c>
      <c r="V466" s="33" t="s">
        <v>1550</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1550</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2649</v>
      </c>
      <c r="BA466" s="78"/>
      <c r="BB466" s="78"/>
      <c r="BC466" s="78"/>
      <c r="BD466" s="78" t="s">
        <v>3823</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1775</v>
      </c>
      <c r="C467" t="s">
        <v>1774</v>
      </c>
      <c r="D467" s="3">
        <f t="shared" si="46"/>
        <v>529</v>
      </c>
      <c r="E467" s="40"/>
      <c r="G467" s="8" t="s">
        <v>1468</v>
      </c>
      <c r="I467" t="s">
        <v>92</v>
      </c>
      <c r="J467" t="s">
        <v>91</v>
      </c>
      <c r="K467">
        <v>270</v>
      </c>
      <c r="L467">
        <v>270</v>
      </c>
      <c r="M467">
        <v>270</v>
      </c>
      <c r="O467" s="61" t="s">
        <v>439</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constants'!$B$4:$C$1012,2,FALSE),"")</f>
        <v>Clockwork City</v>
      </c>
      <c r="V467" s="33" t="s">
        <v>1550</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1550</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2649</v>
      </c>
      <c r="BA467" s="78"/>
      <c r="BB467" s="78"/>
      <c r="BC467" s="78"/>
      <c r="BD467" s="78" t="s">
        <v>3823</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1776</v>
      </c>
      <c r="C468" t="s">
        <v>1777</v>
      </c>
      <c r="D468" s="3">
        <f t="shared" si="46"/>
        <v>530</v>
      </c>
      <c r="E468" s="40"/>
      <c r="G468" s="8" t="s">
        <v>1468</v>
      </c>
      <c r="I468" t="s">
        <v>92</v>
      </c>
      <c r="J468" t="s">
        <v>91</v>
      </c>
      <c r="K468">
        <v>270</v>
      </c>
      <c r="L468">
        <v>270</v>
      </c>
      <c r="M468">
        <v>270</v>
      </c>
      <c r="O468" s="61" t="s">
        <v>439</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constants'!$B$4:$C$1012,2,FALSE),"")</f>
        <v>Clockwork City</v>
      </c>
      <c r="V468" s="33" t="s">
        <v>1550</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1550</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2649</v>
      </c>
      <c r="BA468" s="78"/>
      <c r="BB468" s="78"/>
      <c r="BC468" s="78"/>
      <c r="BD468" s="78" t="s">
        <v>3823</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1779</v>
      </c>
      <c r="C469" t="s">
        <v>1778</v>
      </c>
      <c r="D469" s="3">
        <f t="shared" si="46"/>
        <v>531</v>
      </c>
      <c r="E469" s="40"/>
      <c r="G469" s="8" t="s">
        <v>1468</v>
      </c>
      <c r="I469" t="s">
        <v>92</v>
      </c>
      <c r="J469" t="s">
        <v>91</v>
      </c>
      <c r="K469">
        <v>270</v>
      </c>
      <c r="L469">
        <v>270</v>
      </c>
      <c r="M469">
        <v>270</v>
      </c>
      <c r="O469" s="61" t="s">
        <v>439</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constants'!$B$4:$C$1012,2,FALSE),"")</f>
        <v>Clockwork City</v>
      </c>
      <c r="V469" s="33" t="s">
        <v>1550</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1550</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3823</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1780</v>
      </c>
      <c r="C470" t="s">
        <v>1781</v>
      </c>
      <c r="D470" s="3">
        <f t="shared" si="46"/>
        <v>532</v>
      </c>
      <c r="E470" s="40"/>
      <c r="G470" s="8" t="s">
        <v>1468</v>
      </c>
      <c r="I470" t="s">
        <v>92</v>
      </c>
      <c r="J470" t="s">
        <v>91</v>
      </c>
      <c r="K470">
        <v>270</v>
      </c>
      <c r="L470">
        <v>270</v>
      </c>
      <c r="M470">
        <v>270</v>
      </c>
      <c r="O470" s="61" t="s">
        <v>439</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constants'!$B$4:$C$1012,2,FALSE),"")</f>
        <v>Clockwork City</v>
      </c>
      <c r="V470" s="33" t="s">
        <v>1550</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1550</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2649</v>
      </c>
      <c r="BA470" s="78"/>
      <c r="BB470" s="78"/>
      <c r="BC470" s="78"/>
      <c r="BD470" s="78" t="s">
        <v>3823</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1791</v>
      </c>
      <c r="C471" t="s">
        <v>1790</v>
      </c>
      <c r="D471" s="3">
        <f t="shared" si="46"/>
        <v>533</v>
      </c>
      <c r="E471" s="40"/>
      <c r="G471" s="8" t="s">
        <v>1468</v>
      </c>
      <c r="I471" t="s">
        <v>92</v>
      </c>
      <c r="J471" t="s">
        <v>91</v>
      </c>
      <c r="K471">
        <v>270</v>
      </c>
      <c r="L471">
        <v>270</v>
      </c>
      <c r="M471">
        <v>270</v>
      </c>
      <c r="O471" s="61" t="s">
        <v>439</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constants'!$B$4:$C$1012,2,FALSE),"")</f>
        <v>Clockwork City</v>
      </c>
      <c r="V471" s="33" t="s">
        <v>1550</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1550</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2649</v>
      </c>
      <c r="BA471" s="78"/>
      <c r="BB471" s="78"/>
      <c r="BC471" s="78"/>
      <c r="BD471" s="78" t="s">
        <v>3823</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2155</v>
      </c>
      <c r="C472" t="s">
        <v>1802</v>
      </c>
      <c r="D472" s="3">
        <f t="shared" si="46"/>
        <v>534</v>
      </c>
      <c r="G472" s="3" t="s">
        <v>1475</v>
      </c>
      <c r="H472" s="86">
        <v>3</v>
      </c>
      <c r="I472" t="s">
        <v>1462</v>
      </c>
      <c r="J472" t="s">
        <v>91</v>
      </c>
      <c r="K472">
        <v>435</v>
      </c>
      <c r="L472">
        <v>435</v>
      </c>
      <c r="M472">
        <v>435</v>
      </c>
      <c r="O472" s="61" t="s">
        <v>1801</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constants'!$B$4:$C$1012,2,FALSE),"")</f>
        <v>Stonethorn</v>
      </c>
      <c r="V472" s="33" t="s">
        <v>1538</v>
      </c>
      <c r="W472" s="3" t="s">
        <v>2157</v>
      </c>
      <c r="X472" s="3" t="s">
        <v>2158</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constants'!$I$4:$L$1012,3,FALSE),""),"")</f>
        <v/>
      </c>
      <c r="AD472" s="41" t="str">
        <f>IF(AB472&lt;&gt;"",IF(AB472&lt;&gt;"LIBSETS_DROP_MECHANIC_MONSTER_NAME",VLOOKUP(AB472,'LibSets constants'!$I$4:$L$1012,4,FALSE),""),"")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2649</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2156</v>
      </c>
      <c r="C473" t="s">
        <v>1799</v>
      </c>
      <c r="D473" s="3">
        <f t="shared" si="46"/>
        <v>535</v>
      </c>
      <c r="G473" s="3" t="s">
        <v>1475</v>
      </c>
      <c r="H473" s="86">
        <v>3</v>
      </c>
      <c r="I473" t="s">
        <v>1462</v>
      </c>
      <c r="J473" t="s">
        <v>91</v>
      </c>
      <c r="K473">
        <v>436</v>
      </c>
      <c r="L473">
        <v>436</v>
      </c>
      <c r="M473">
        <v>436</v>
      </c>
      <c r="O473" s="61" t="s">
        <v>1796</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constants'!$B$4:$C$1012,2,FALSE),"")</f>
        <v>Stonethorn</v>
      </c>
      <c r="V473" s="33" t="s">
        <v>1538</v>
      </c>
      <c r="W473" s="3" t="s">
        <v>1799</v>
      </c>
      <c r="X473" s="3" t="s">
        <v>2156</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constants'!$I$4:$L$1012,3,FALSE),""),"")</f>
        <v/>
      </c>
      <c r="AD473" s="41" t="str">
        <f>IF(AB473&lt;&gt;"",IF(AB473&lt;&gt;"LIBSETS_DROP_MECHANIC_MONSTER_NAME",VLOOKUP(AB473,'LibSets constants'!$I$4:$L$1012,4,FALSE),""),"")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2649</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2226</v>
      </c>
      <c r="C474" t="s">
        <v>2225</v>
      </c>
      <c r="D474" s="3">
        <f t="shared" si="46"/>
        <v>536</v>
      </c>
      <c r="G474" s="3" t="s">
        <v>1476</v>
      </c>
      <c r="I474" t="s">
        <v>91</v>
      </c>
      <c r="J474" t="s">
        <v>91</v>
      </c>
      <c r="K474">
        <v>441</v>
      </c>
      <c r="L474">
        <v>441</v>
      </c>
      <c r="M474">
        <v>441</v>
      </c>
      <c r="O474" s="61" t="s">
        <v>2207</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constants'!$B$4:$C$1012,2,FALSE),"")</f>
        <v>Included in base game</v>
      </c>
      <c r="V474" s="33" t="s">
        <v>1554</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1554</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1557</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2649</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2227</v>
      </c>
      <c r="C475" t="s">
        <v>2249</v>
      </c>
      <c r="D475" s="3">
        <f t="shared" si="46"/>
        <v>537</v>
      </c>
      <c r="G475" s="3" t="s">
        <v>1476</v>
      </c>
      <c r="I475" t="s">
        <v>91</v>
      </c>
      <c r="J475" t="s">
        <v>91</v>
      </c>
      <c r="K475">
        <v>441</v>
      </c>
      <c r="L475">
        <v>441</v>
      </c>
      <c r="M475">
        <v>441</v>
      </c>
      <c r="O475" s="61" t="s">
        <v>2207</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constants'!$B$4:$C$1012,2,FALSE),"")</f>
        <v>Included in base game</v>
      </c>
      <c r="V475" s="33" t="s">
        <v>1554</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1554</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1557</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2649</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2228</v>
      </c>
      <c r="C476" t="s">
        <v>2644</v>
      </c>
      <c r="D476" s="3">
        <f t="shared" si="46"/>
        <v>538</v>
      </c>
      <c r="G476" s="3" t="s">
        <v>1476</v>
      </c>
      <c r="I476" t="s">
        <v>91</v>
      </c>
      <c r="J476" t="s">
        <v>91</v>
      </c>
      <c r="K476">
        <v>441</v>
      </c>
      <c r="L476">
        <v>441</v>
      </c>
      <c r="M476">
        <v>441</v>
      </c>
      <c r="O476" s="61" t="s">
        <v>2207</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constants'!$B$4:$C$1012,2,FALSE),"")</f>
        <v>Included in base game</v>
      </c>
      <c r="V476" s="33" t="s">
        <v>1554</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1554</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1557</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2650</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2229</v>
      </c>
      <c r="C477" t="s">
        <v>2645</v>
      </c>
      <c r="D477" s="3">
        <f t="shared" si="46"/>
        <v>539</v>
      </c>
      <c r="G477" s="3" t="s">
        <v>1470</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constants'!$B$4:$C$1012,2,FALSE),"")</f>
        <v>Included in base game</v>
      </c>
      <c r="V477" s="33" t="s">
        <v>3283</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3283</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3283</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2650</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2230</v>
      </c>
      <c r="C478" t="s">
        <v>2250</v>
      </c>
      <c r="D478" s="3">
        <f t="shared" si="46"/>
        <v>540</v>
      </c>
      <c r="G478" s="3" t="s">
        <v>1470</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constants'!$B$4:$C$1012,2,FALSE),"")</f>
        <v>Included in base game</v>
      </c>
      <c r="V478" s="33" t="s">
        <v>3283</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3283</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3283</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2649</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2231</v>
      </c>
      <c r="C479" t="s">
        <v>2251</v>
      </c>
      <c r="D479" s="3">
        <f t="shared" si="46"/>
        <v>541</v>
      </c>
      <c r="G479" s="3" t="s">
        <v>1470</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constants'!$B$4:$C$1012,2,FALSE),"")</f>
        <v>Included in base game</v>
      </c>
      <c r="V479" s="33" t="s">
        <v>3283</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3283</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3283</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2650</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2232</v>
      </c>
      <c r="C480" t="s">
        <v>2252</v>
      </c>
      <c r="D480" s="3">
        <f t="shared" si="46"/>
        <v>542</v>
      </c>
      <c r="G480" s="3" t="s">
        <v>1476</v>
      </c>
      <c r="I480" t="s">
        <v>91</v>
      </c>
      <c r="J480" t="s">
        <v>91</v>
      </c>
      <c r="K480">
        <v>441</v>
      </c>
      <c r="L480">
        <v>441</v>
      </c>
      <c r="M480">
        <v>441</v>
      </c>
      <c r="O480" s="61" t="s">
        <v>2207</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constants'!$B$4:$C$1012,2,FALSE),"")</f>
        <v>Included in base game</v>
      </c>
      <c r="V480" s="33" t="s">
        <v>1554</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1554</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1557</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2649</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2233</v>
      </c>
      <c r="C481" t="s">
        <v>2253</v>
      </c>
      <c r="D481" s="3">
        <f t="shared" si="46"/>
        <v>543</v>
      </c>
      <c r="G481" s="3" t="s">
        <v>1476</v>
      </c>
      <c r="I481" t="s">
        <v>91</v>
      </c>
      <c r="J481" t="s">
        <v>91</v>
      </c>
      <c r="K481">
        <v>441</v>
      </c>
      <c r="L481">
        <v>441</v>
      </c>
      <c r="M481">
        <v>441</v>
      </c>
      <c r="O481" s="61" t="s">
        <v>2207</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constants'!$B$4:$C$1012,2,FALSE),"")</f>
        <v>Included in base game</v>
      </c>
      <c r="V481" s="33" t="s">
        <v>1554</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1554</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1557</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2649</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2234</v>
      </c>
      <c r="C482" t="s">
        <v>2254</v>
      </c>
      <c r="D482" s="3">
        <f t="shared" si="46"/>
        <v>544</v>
      </c>
      <c r="G482" s="3" t="s">
        <v>1476</v>
      </c>
      <c r="I482" t="s">
        <v>91</v>
      </c>
      <c r="J482" t="s">
        <v>91</v>
      </c>
      <c r="K482">
        <v>441</v>
      </c>
      <c r="L482">
        <v>441</v>
      </c>
      <c r="M482">
        <v>441</v>
      </c>
      <c r="O482" s="61" t="s">
        <v>2207</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constants'!$B$4:$C$1012,2,FALSE),"")</f>
        <v>Included in base game</v>
      </c>
      <c r="V482" s="33" t="s">
        <v>1554</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1554</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1557</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2649</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2235</v>
      </c>
      <c r="C483" t="s">
        <v>2646</v>
      </c>
      <c r="D483" s="3">
        <f t="shared" si="46"/>
        <v>557</v>
      </c>
      <c r="E483" s="40"/>
      <c r="G483" s="8" t="s">
        <v>1468</v>
      </c>
      <c r="I483" t="s">
        <v>91</v>
      </c>
      <c r="J483" t="s">
        <v>91</v>
      </c>
      <c r="K483">
        <v>457</v>
      </c>
      <c r="L483">
        <v>457</v>
      </c>
      <c r="M483">
        <v>457</v>
      </c>
      <c r="O483" s="61" t="s">
        <v>2206</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constants'!$B$4:$C$1012,2,FALSE),"")</f>
        <v>Greymoor</v>
      </c>
      <c r="V483" s="33" t="s">
        <v>1550</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1550</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2649</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2236</v>
      </c>
      <c r="C484" t="s">
        <v>2255</v>
      </c>
      <c r="D484" s="3">
        <f t="shared" si="46"/>
        <v>558</v>
      </c>
      <c r="E484" s="40"/>
      <c r="G484" s="8" t="s">
        <v>1468</v>
      </c>
      <c r="I484" t="s">
        <v>91</v>
      </c>
      <c r="J484" t="s">
        <v>91</v>
      </c>
      <c r="K484">
        <v>457</v>
      </c>
      <c r="L484">
        <v>457</v>
      </c>
      <c r="M484">
        <v>457</v>
      </c>
      <c r="O484" s="61" t="s">
        <v>2206</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constants'!$B$4:$C$1012,2,FALSE),"")</f>
        <v>Greymoor</v>
      </c>
      <c r="V484" s="33" t="s">
        <v>1550</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1550</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2649</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2237</v>
      </c>
      <c r="C485" t="s">
        <v>2256</v>
      </c>
      <c r="D485" s="3">
        <f t="shared" si="46"/>
        <v>559</v>
      </c>
      <c r="E485" s="40"/>
      <c r="G485" s="8" t="s">
        <v>1468</v>
      </c>
      <c r="I485" t="s">
        <v>91</v>
      </c>
      <c r="J485" t="s">
        <v>91</v>
      </c>
      <c r="K485">
        <v>457</v>
      </c>
      <c r="L485">
        <v>457</v>
      </c>
      <c r="M485">
        <v>457</v>
      </c>
      <c r="O485" s="61" t="s">
        <v>2206</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constants'!$B$4:$C$1012,2,FALSE),"")</f>
        <v>Greymoor</v>
      </c>
      <c r="V485" s="33" t="s">
        <v>1550</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1550</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2649</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2238</v>
      </c>
      <c r="C486" t="s">
        <v>2257</v>
      </c>
      <c r="D486" s="3">
        <f t="shared" si="46"/>
        <v>560</v>
      </c>
      <c r="E486" s="40"/>
      <c r="G486" s="8" t="s">
        <v>1468</v>
      </c>
      <c r="I486" t="s">
        <v>91</v>
      </c>
      <c r="J486" t="s">
        <v>91</v>
      </c>
      <c r="K486">
        <v>457</v>
      </c>
      <c r="L486">
        <v>457</v>
      </c>
      <c r="M486">
        <v>457</v>
      </c>
      <c r="O486" s="61" t="s">
        <v>2206</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constants'!$B$4:$C$1012,2,FALSE),"")</f>
        <v>Greymoor</v>
      </c>
      <c r="V486" s="33" t="s">
        <v>1550</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1550</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2649</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2239</v>
      </c>
      <c r="C487" t="s">
        <v>2258</v>
      </c>
      <c r="D487" s="3">
        <f t="shared" si="46"/>
        <v>561</v>
      </c>
      <c r="E487" s="40"/>
      <c r="G487" s="8" t="s">
        <v>1468</v>
      </c>
      <c r="I487" t="s">
        <v>91</v>
      </c>
      <c r="J487" t="s">
        <v>91</v>
      </c>
      <c r="K487">
        <v>457</v>
      </c>
      <c r="L487">
        <v>457</v>
      </c>
      <c r="M487">
        <v>457</v>
      </c>
      <c r="O487" s="61" t="s">
        <v>2206</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constants'!$B$4:$C$1012,2,FALSE),"")</f>
        <v>Greymoor</v>
      </c>
      <c r="V487" s="33" t="s">
        <v>1550</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1550</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2649</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2240</v>
      </c>
      <c r="C488" t="s">
        <v>2259</v>
      </c>
      <c r="D488" s="3">
        <f t="shared" si="46"/>
        <v>562</v>
      </c>
      <c r="E488" s="40"/>
      <c r="G488" s="8" t="s">
        <v>1468</v>
      </c>
      <c r="I488" t="s">
        <v>91</v>
      </c>
      <c r="J488" t="s">
        <v>91</v>
      </c>
      <c r="K488">
        <v>457</v>
      </c>
      <c r="L488">
        <v>457</v>
      </c>
      <c r="M488">
        <v>457</v>
      </c>
      <c r="O488" s="61" t="s">
        <v>2206</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constants'!$B$4:$C$1012,2,FALSE),"")</f>
        <v>Greymoor</v>
      </c>
      <c r="V488" s="33" t="s">
        <v>1550</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1550</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2649</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2243</v>
      </c>
      <c r="C489" t="s">
        <v>2647</v>
      </c>
      <c r="D489" s="3">
        <f t="shared" si="46"/>
        <v>563</v>
      </c>
      <c r="E489" s="40"/>
      <c r="G489" s="8" t="s">
        <v>1468</v>
      </c>
      <c r="I489" t="s">
        <v>92</v>
      </c>
      <c r="J489" t="s">
        <v>91</v>
      </c>
      <c r="K489">
        <v>457</v>
      </c>
      <c r="L489">
        <v>457</v>
      </c>
      <c r="M489">
        <v>457</v>
      </c>
      <c r="O489" s="61" t="s">
        <v>2206</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constants'!$B$4:$C$1012,2,FALSE),"")</f>
        <v>Greymoor</v>
      </c>
      <c r="V489" s="33" t="s">
        <v>1550</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1550</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2649</v>
      </c>
      <c r="BA489" s="78"/>
      <c r="BB489" s="78"/>
      <c r="BC489" s="78"/>
      <c r="BD489" s="78" t="s">
        <v>3823</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2244</v>
      </c>
      <c r="C490" t="s">
        <v>2260</v>
      </c>
      <c r="D490" s="3">
        <f t="shared" si="46"/>
        <v>564</v>
      </c>
      <c r="E490" s="40"/>
      <c r="G490" s="8" t="s">
        <v>1468</v>
      </c>
      <c r="I490" t="s">
        <v>92</v>
      </c>
      <c r="J490" t="s">
        <v>91</v>
      </c>
      <c r="K490">
        <v>457</v>
      </c>
      <c r="L490">
        <v>457</v>
      </c>
      <c r="M490">
        <v>457</v>
      </c>
      <c r="O490" s="61" t="s">
        <v>2206</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constants'!$B$4:$C$1012,2,FALSE),"")</f>
        <v>Greymoor</v>
      </c>
      <c r="V490" s="33" t="s">
        <v>1550</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1550</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2649</v>
      </c>
      <c r="BA490" s="78"/>
      <c r="BB490" s="78"/>
      <c r="BC490" s="78"/>
      <c r="BD490" s="78" t="s">
        <v>3823</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2245</v>
      </c>
      <c r="C491" t="s">
        <v>2261</v>
      </c>
      <c r="D491" s="3">
        <f t="shared" si="46"/>
        <v>565</v>
      </c>
      <c r="E491" s="40"/>
      <c r="G491" s="8" t="s">
        <v>1468</v>
      </c>
      <c r="I491" t="s">
        <v>92</v>
      </c>
      <c r="J491" t="s">
        <v>91</v>
      </c>
      <c r="K491">
        <v>457</v>
      </c>
      <c r="L491">
        <v>457</v>
      </c>
      <c r="M491">
        <v>457</v>
      </c>
      <c r="O491" s="61" t="s">
        <v>2206</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constants'!$B$4:$C$1012,2,FALSE),"")</f>
        <v>Greymoor</v>
      </c>
      <c r="V491" s="33" t="s">
        <v>1550</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1550</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2649</v>
      </c>
      <c r="BA491" s="78"/>
      <c r="BB491" s="78"/>
      <c r="BC491" s="78"/>
      <c r="BD491" s="78" t="s">
        <v>3823</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2246</v>
      </c>
      <c r="C492" t="s">
        <v>2262</v>
      </c>
      <c r="D492" s="3">
        <f t="shared" si="46"/>
        <v>566</v>
      </c>
      <c r="E492" s="40"/>
      <c r="G492" s="8" t="s">
        <v>1468</v>
      </c>
      <c r="I492" t="s">
        <v>92</v>
      </c>
      <c r="J492" t="s">
        <v>91</v>
      </c>
      <c r="K492">
        <v>457</v>
      </c>
      <c r="L492">
        <v>457</v>
      </c>
      <c r="M492">
        <v>457</v>
      </c>
      <c r="O492" s="61" t="s">
        <v>2206</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constants'!$B$4:$C$1012,2,FALSE),"")</f>
        <v>Greymoor</v>
      </c>
      <c r="V492" s="33" t="s">
        <v>1550</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1550</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2649</v>
      </c>
      <c r="BA492" s="78"/>
      <c r="BB492" s="78"/>
      <c r="BC492" s="78"/>
      <c r="BD492" s="78" t="s">
        <v>3823</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2247</v>
      </c>
      <c r="C493" t="s">
        <v>2263</v>
      </c>
      <c r="D493" s="3">
        <f t="shared" si="46"/>
        <v>567</v>
      </c>
      <c r="E493" s="40"/>
      <c r="G493" s="8" t="s">
        <v>1468</v>
      </c>
      <c r="I493" t="s">
        <v>92</v>
      </c>
      <c r="J493" t="s">
        <v>91</v>
      </c>
      <c r="K493">
        <v>457</v>
      </c>
      <c r="L493">
        <v>457</v>
      </c>
      <c r="M493">
        <v>457</v>
      </c>
      <c r="O493" s="61" t="s">
        <v>2206</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constants'!$B$4:$C$1012,2,FALSE),"")</f>
        <v>Greymoor</v>
      </c>
      <c r="V493" s="33" t="s">
        <v>1550</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1550</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2649</v>
      </c>
      <c r="BA493" s="78"/>
      <c r="BB493" s="78"/>
      <c r="BC493" s="78"/>
      <c r="BD493" s="78" t="s">
        <v>3823</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2248</v>
      </c>
      <c r="C494" t="s">
        <v>2264</v>
      </c>
      <c r="D494" s="3">
        <f t="shared" si="46"/>
        <v>568</v>
      </c>
      <c r="E494" s="40"/>
      <c r="G494" s="8" t="s">
        <v>1468</v>
      </c>
      <c r="I494" t="s">
        <v>92</v>
      </c>
      <c r="J494" t="s">
        <v>91</v>
      </c>
      <c r="K494">
        <v>457</v>
      </c>
      <c r="L494">
        <v>457</v>
      </c>
      <c r="M494">
        <v>457</v>
      </c>
      <c r="O494" s="61" t="s">
        <v>2206</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constants'!$B$4:$C$1012,2,FALSE),"")</f>
        <v>Greymoor</v>
      </c>
      <c r="V494" s="33" t="s">
        <v>1550</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1550</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2649</v>
      </c>
      <c r="BA494" s="78"/>
      <c r="BB494" s="78"/>
      <c r="BC494" s="78"/>
      <c r="BD494" s="78" t="s">
        <v>3823</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2400</v>
      </c>
      <c r="C495" t="s">
        <v>2385</v>
      </c>
      <c r="D495" s="3">
        <f t="shared" si="46"/>
        <v>569</v>
      </c>
      <c r="G495" s="3" t="s">
        <v>1473</v>
      </c>
      <c r="I495" t="s">
        <v>91</v>
      </c>
      <c r="J495" t="s">
        <v>91</v>
      </c>
      <c r="K495" s="36">
        <v>437</v>
      </c>
      <c r="L495" s="36">
        <v>437</v>
      </c>
      <c r="M495" s="36">
        <v>437</v>
      </c>
      <c r="O495" s="61" t="s">
        <v>2388</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constants'!$B$4:$C$1012,2,FALSE),"")</f>
        <v>Flames of Ambition</v>
      </c>
      <c r="V495" s="33" t="s">
        <v>3280</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2649</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2401</v>
      </c>
      <c r="C496" t="s">
        <v>2745</v>
      </c>
      <c r="D496" s="3">
        <f t="shared" si="46"/>
        <v>570</v>
      </c>
      <c r="G496" s="3" t="s">
        <v>1473</v>
      </c>
      <c r="I496" t="s">
        <v>91</v>
      </c>
      <c r="J496" t="s">
        <v>91</v>
      </c>
      <c r="K496" s="36">
        <v>437</v>
      </c>
      <c r="L496" s="36">
        <v>437</v>
      </c>
      <c r="M496" s="36">
        <v>437</v>
      </c>
      <c r="O496" s="61" t="s">
        <v>2388</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constants'!$B$4:$C$1012,2,FALSE),"")</f>
        <v>Flames of Ambition</v>
      </c>
      <c r="V496" s="33" t="s">
        <v>3280</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2649</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2402</v>
      </c>
      <c r="C497" t="s">
        <v>2744</v>
      </c>
      <c r="D497" s="3">
        <f t="shared" si="46"/>
        <v>571</v>
      </c>
      <c r="E497" s="40"/>
      <c r="G497" s="3" t="s">
        <v>1473</v>
      </c>
      <c r="I497" t="s">
        <v>91</v>
      </c>
      <c r="J497" t="s">
        <v>91</v>
      </c>
      <c r="K497" s="36">
        <v>437</v>
      </c>
      <c r="L497" s="36">
        <v>437</v>
      </c>
      <c r="M497" s="36">
        <v>437</v>
      </c>
      <c r="O497" s="61" t="s">
        <v>2388</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constants'!$B$4:$C$1012,2,FALSE),"")</f>
        <v>Flames of Ambition</v>
      </c>
      <c r="V497" s="33" t="s">
        <v>3280</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2649</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2403</v>
      </c>
      <c r="C498" t="s">
        <v>2386</v>
      </c>
      <c r="D498" s="3">
        <f t="shared" si="46"/>
        <v>572</v>
      </c>
      <c r="G498" s="3" t="s">
        <v>1473</v>
      </c>
      <c r="I498" t="s">
        <v>91</v>
      </c>
      <c r="J498" t="s">
        <v>91</v>
      </c>
      <c r="K498" s="36">
        <v>454</v>
      </c>
      <c r="L498" s="36">
        <v>454</v>
      </c>
      <c r="M498" s="36">
        <v>454</v>
      </c>
      <c r="O498" s="61" t="s">
        <v>2389</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constants'!$B$4:$C$1012,2,FALSE),"")</f>
        <v>Blackwood</v>
      </c>
      <c r="V498" s="33" t="s">
        <v>3280</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2649</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2404</v>
      </c>
      <c r="C499" t="s">
        <v>2740</v>
      </c>
      <c r="D499" s="3">
        <f t="shared" si="46"/>
        <v>573</v>
      </c>
      <c r="G499" s="3" t="s">
        <v>1473</v>
      </c>
      <c r="I499" t="s">
        <v>91</v>
      </c>
      <c r="J499" t="s">
        <v>91</v>
      </c>
      <c r="K499" s="36">
        <v>454</v>
      </c>
      <c r="L499" s="36">
        <v>454</v>
      </c>
      <c r="M499" s="36">
        <v>454</v>
      </c>
      <c r="O499" s="61" t="s">
        <v>2389</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constants'!$B$4:$C$1012,2,FALSE),"")</f>
        <v>Blackwood</v>
      </c>
      <c r="V499" s="33" t="s">
        <v>3280</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2650</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2405</v>
      </c>
      <c r="C500" t="s">
        <v>2741</v>
      </c>
      <c r="D500" s="3">
        <f t="shared" si="46"/>
        <v>574</v>
      </c>
      <c r="G500" s="3" t="s">
        <v>1473</v>
      </c>
      <c r="I500" t="s">
        <v>91</v>
      </c>
      <c r="J500" t="s">
        <v>91</v>
      </c>
      <c r="K500" s="36">
        <v>454</v>
      </c>
      <c r="L500" s="36">
        <v>454</v>
      </c>
      <c r="M500" s="36">
        <v>454</v>
      </c>
      <c r="O500" s="61" t="s">
        <v>2389</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constants'!$B$4:$C$1012,2,FALSE),"")</f>
        <v>Blackwood</v>
      </c>
      <c r="V500" s="33" t="s">
        <v>3280</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2649</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2241</v>
      </c>
      <c r="C501" t="s">
        <v>2223</v>
      </c>
      <c r="D501" s="3">
        <f t="shared" si="46"/>
        <v>575</v>
      </c>
      <c r="G501" s="3" t="s">
        <v>1675</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2159</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constants'!$B$4:$C$1012,2,FALSE),"")</f>
        <v>Markarth</v>
      </c>
      <c r="V501" s="33" t="s">
        <v>1555</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1554</v>
      </c>
      <c r="AC501" s="41" t="s">
        <v>227</v>
      </c>
      <c r="AD501" s="41" t="s">
        <v>3230</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1556</v>
      </c>
      <c r="AI501" s="41"/>
      <c r="AJ501" s="41"/>
      <c r="AK501" s="3">
        <f>IF(AND(G501&lt;&gt;"LIBSETS_SETTYPE_BATTLEGROUND",G501&lt;&gt;"LIBSETS_SETTYPE_SPECIAL"),IF(AL501&lt;&gt;"",VLOOKUP(AL501,'ESO zone constants'!$D$5:$H$4955,5,FALSE),""),"")</f>
        <v>1224</v>
      </c>
      <c r="AL501" t="s">
        <v>2215</v>
      </c>
      <c r="AM501" s="33" t="s">
        <v>3218</v>
      </c>
      <c r="AN501" s="41" t="s">
        <v>3856</v>
      </c>
      <c r="AO501" s="41" t="s">
        <v>3857</v>
      </c>
      <c r="AP501" s="3">
        <f>IF(AND(G501&lt;&gt;"LIBSETS_SETTYPE_BATTLEGROUND",G501&lt;&gt;"LIBSETS_SETTYPE_SPECIAL"),IF(AQ501&lt;&gt;"",VLOOKUP(AQ501,'ESO zone constants'!$D$5:$H$4955,5,FALSE),""),"")</f>
        <v>92</v>
      </c>
      <c r="AQ501" t="s">
        <v>109</v>
      </c>
      <c r="AR501" s="33" t="s">
        <v>1557</v>
      </c>
      <c r="AS501" s="41"/>
      <c r="AT501" s="41"/>
      <c r="AU501" s="3" t="str">
        <f>IF(AND(G501&lt;&gt;"LIBSETS_SETTYPE_BATTLEGROUND",G501&lt;&gt;"LIBSETS_SETTYPE_SPECIAL"),IF(AV501&lt;&gt;"",VLOOKUP(AV501,'ESO zone constants'!$D$5:$H$4955,5,FALSE),""),"")</f>
        <v/>
      </c>
      <c r="AV501" s="87"/>
      <c r="AX501" s="41"/>
      <c r="AY501" s="41"/>
      <c r="AZ501" s="78" t="s">
        <v>2649</v>
      </c>
      <c r="BA501" s="36" t="s">
        <v>3175</v>
      </c>
      <c r="BB501" s="36" t="s">
        <v>3175</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2242</v>
      </c>
      <c r="C502" t="s">
        <v>2265</v>
      </c>
      <c r="D502" s="3">
        <f t="shared" si="46"/>
        <v>576</v>
      </c>
      <c r="G502" s="3" t="s">
        <v>1675</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2159</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constants'!$B$4:$C$1012,2,FALSE),"")</f>
        <v>Markarth</v>
      </c>
      <c r="V502" s="33" t="s">
        <v>1554</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1556</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3218</v>
      </c>
      <c r="AI502" s="41" t="s">
        <v>3227</v>
      </c>
      <c r="AJ502" s="41" t="s">
        <v>3228</v>
      </c>
      <c r="AK502" s="3">
        <f>IF(AND(G502&lt;&gt;"LIBSETS_SETTYPE_BATTLEGROUND",G502&lt;&gt;"LIBSETS_SETTYPE_SPECIAL"),IF(AL502&lt;&gt;"",VLOOKUP(AL502,'ESO zone constants'!$D$5:$H$4955,5,FALSE),""),"")</f>
        <v>380</v>
      </c>
      <c r="AL502" t="s">
        <v>96</v>
      </c>
      <c r="AM502" s="33" t="s">
        <v>3280</v>
      </c>
      <c r="AN502" s="41" t="s">
        <v>3229</v>
      </c>
      <c r="AO502" s="41" t="s">
        <v>1614</v>
      </c>
      <c r="AP502" s="3">
        <f>IF(AND(G502&lt;&gt;"LIBSETS_SETTYPE_BATTLEGROUND",G502&lt;&gt;"LIBSETS_SETTYPE_SPECIAL"),IF(AQ502&lt;&gt;"",VLOOKUP(AQ502,'ESO zone constants'!$D$5:$H$4955,5,FALSE),""),"")</f>
        <v>932</v>
      </c>
      <c r="AQ502" t="s">
        <v>55</v>
      </c>
      <c r="AR502" s="33" t="s">
        <v>3280</v>
      </c>
      <c r="AS502" s="41" t="s">
        <v>1553</v>
      </c>
      <c r="AT502" s="41" t="s">
        <v>1553</v>
      </c>
      <c r="AU502" s="3" t="str">
        <f>IF(AND(G502&lt;&gt;"LIBSETS_SETTYPE_BATTLEGROUND",G502&lt;&gt;"LIBSETS_SETTYPE_SPECIAL"),IF(AV502&lt;&gt;"",VLOOKUP(AV502,'ESO zone constants'!$D$5:$H$4955,5,FALSE),""),"")</f>
        <v/>
      </c>
      <c r="AX502" s="41"/>
      <c r="AY502" s="41"/>
      <c r="AZ502" s="78" t="s">
        <v>2649</v>
      </c>
      <c r="BA502" s="36" t="s">
        <v>3174</v>
      </c>
      <c r="BB502" s="36" t="s">
        <v>3174</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2408</v>
      </c>
      <c r="C503" t="s">
        <v>2408</v>
      </c>
      <c r="D503" s="3">
        <f t="shared" si="46"/>
        <v>577</v>
      </c>
      <c r="E503" s="40"/>
      <c r="G503" s="3" t="s">
        <v>1475</v>
      </c>
      <c r="H503" s="86">
        <v>3</v>
      </c>
      <c r="I503" t="s">
        <v>1462</v>
      </c>
      <c r="J503" t="s">
        <v>91</v>
      </c>
      <c r="K503" s="36">
        <v>437</v>
      </c>
      <c r="L503" s="36">
        <v>437</v>
      </c>
      <c r="M503" s="36">
        <v>437</v>
      </c>
      <c r="O503" s="61" t="s">
        <v>2388</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constants'!$B$4:$C$1012,2,FALSE),"")</f>
        <v>Flames of Ambition</v>
      </c>
      <c r="V503" s="33" t="s">
        <v>1538</v>
      </c>
      <c r="W503" s="3" t="s">
        <v>2408</v>
      </c>
      <c r="X503" s="3" t="s">
        <v>2408</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constants'!$I$4:$L$1012,3,FALSE),""),"")</f>
        <v/>
      </c>
      <c r="AD503" s="41" t="str">
        <f>IF(AB503&lt;&gt;"",IF(AB503&lt;&gt;"LIBSETS_DROP_MECHANIC_MONSTER_NAME",VLOOKUP(AB503,'LibSets constants'!$I$4:$L$1012,4,FALSE),""),"")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2649</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2387</v>
      </c>
      <c r="C504" t="s">
        <v>2387</v>
      </c>
      <c r="D504" s="3">
        <f t="shared" si="46"/>
        <v>578</v>
      </c>
      <c r="E504" s="40"/>
      <c r="G504" s="3" t="s">
        <v>1475</v>
      </c>
      <c r="H504" s="86">
        <v>3</v>
      </c>
      <c r="I504" t="s">
        <v>1462</v>
      </c>
      <c r="J504" t="s">
        <v>91</v>
      </c>
      <c r="K504" s="36">
        <v>454</v>
      </c>
      <c r="L504" s="36">
        <v>454</v>
      </c>
      <c r="M504" s="36">
        <v>454</v>
      </c>
      <c r="O504" s="61" t="s">
        <v>2389</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constants'!$B$4:$C$1012,2,FALSE),"")</f>
        <v>Blackwood</v>
      </c>
      <c r="V504" s="33" t="s">
        <v>1538</v>
      </c>
      <c r="W504" s="3" t="s">
        <v>2387</v>
      </c>
      <c r="X504" s="3" t="s">
        <v>2387</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constants'!$I$4:$L$1012,3,FALSE),""),"")</f>
        <v/>
      </c>
      <c r="AD504" s="41" t="str">
        <f>IF(AB504&lt;&gt;"",IF(AB504&lt;&gt;"LIBSETS_DROP_MECHANIC_MONSTER_NAME",VLOOKUP(AB504,'LibSets constants'!$I$4:$L$1012,4,FALSE),""),"")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2649</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2460</v>
      </c>
      <c r="C505" t="s">
        <v>2459</v>
      </c>
      <c r="D505" s="3">
        <f t="shared" si="46"/>
        <v>579</v>
      </c>
      <c r="G505" s="3" t="s">
        <v>1476</v>
      </c>
      <c r="I505" t="s">
        <v>91</v>
      </c>
      <c r="J505" t="s">
        <v>91</v>
      </c>
      <c r="K505" s="36">
        <v>458</v>
      </c>
      <c r="L505" s="36">
        <v>458</v>
      </c>
      <c r="M505" s="36">
        <v>458</v>
      </c>
      <c r="O505" s="61" t="s">
        <v>2382</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constants'!$B$4:$C$1012,2,FALSE),"")</f>
        <v>Included in base game</v>
      </c>
      <c r="V505" s="33" t="s">
        <v>1554</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1554</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1556</v>
      </c>
      <c r="AI505" s="41"/>
      <c r="AJ505" s="41"/>
      <c r="AK505" s="3">
        <f>IF(AND(G505&lt;&gt;"LIBSETS_SETTYPE_BATTLEGROUND",G505&lt;&gt;"LIBSETS_SETTYPE_SPECIAL"),IF(AL505&lt;&gt;"",VLOOKUP(AL505,'ESO zone constants'!$D$5:$H$4955,5,FALSE),""),"")</f>
        <v>1261</v>
      </c>
      <c r="AL505" t="s">
        <v>2382</v>
      </c>
      <c r="AM505" s="33" t="s">
        <v>1557</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2650</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2456</v>
      </c>
      <c r="C506" t="s">
        <v>2457</v>
      </c>
      <c r="D506" s="3">
        <f t="shared" si="46"/>
        <v>580</v>
      </c>
      <c r="G506" s="3" t="s">
        <v>1476</v>
      </c>
      <c r="I506" t="s">
        <v>91</v>
      </c>
      <c r="J506" t="s">
        <v>91</v>
      </c>
      <c r="K506" s="36">
        <v>458</v>
      </c>
      <c r="L506" s="36">
        <v>458</v>
      </c>
      <c r="M506" s="36">
        <v>458</v>
      </c>
      <c r="O506" s="61" t="s">
        <v>2382</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constants'!$B$4:$C$1012,2,FALSE),"")</f>
        <v>Included in base game</v>
      </c>
      <c r="V506" s="33" t="s">
        <v>1554</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1554</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1556</v>
      </c>
      <c r="AI506" s="41"/>
      <c r="AJ506" s="41"/>
      <c r="AK506" s="3">
        <f>IF(AND(G506&lt;&gt;"LIBSETS_SETTYPE_BATTLEGROUND",G506&lt;&gt;"LIBSETS_SETTYPE_SPECIAL"),IF(AL506&lt;&gt;"",VLOOKUP(AL506,'ESO zone constants'!$D$5:$H$4955,5,FALSE),""),"")</f>
        <v>1261</v>
      </c>
      <c r="AL506" t="s">
        <v>2382</v>
      </c>
      <c r="AM506" s="33" t="s">
        <v>1557</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2649</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2454</v>
      </c>
      <c r="C507" t="s">
        <v>2455</v>
      </c>
      <c r="D507" s="3">
        <f t="shared" si="46"/>
        <v>581</v>
      </c>
      <c r="E507" s="40"/>
      <c r="G507" s="3" t="s">
        <v>1476</v>
      </c>
      <c r="I507" t="s">
        <v>91</v>
      </c>
      <c r="J507" t="s">
        <v>91</v>
      </c>
      <c r="K507" s="36">
        <v>458</v>
      </c>
      <c r="L507" s="36">
        <v>458</v>
      </c>
      <c r="M507" s="36">
        <v>458</v>
      </c>
      <c r="O507" s="61" t="s">
        <v>2382</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constants'!$B$4:$C$1012,2,FALSE),"")</f>
        <v>Included in base game</v>
      </c>
      <c r="V507" s="33" t="s">
        <v>1554</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1554</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1556</v>
      </c>
      <c r="AI507" s="41"/>
      <c r="AJ507" s="41"/>
      <c r="AK507" s="3">
        <f>IF(AND(G507&lt;&gt;"LIBSETS_SETTYPE_BATTLEGROUND",G507&lt;&gt;"LIBSETS_SETTYPE_SPECIAL"),IF(AL507&lt;&gt;"",VLOOKUP(AL507,'ESO zone constants'!$D$5:$H$4955,5,FALSE),""),"")</f>
        <v>1261</v>
      </c>
      <c r="AL507" t="s">
        <v>2382</v>
      </c>
      <c r="AM507" s="33" t="s">
        <v>1557</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2649</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2453</v>
      </c>
      <c r="C508" t="s">
        <v>2450</v>
      </c>
      <c r="D508" s="3">
        <f t="shared" si="46"/>
        <v>582</v>
      </c>
      <c r="G508" s="3" t="s">
        <v>1470</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constants'!$B$4:$C$1012,2,FALSE),"")</f>
        <v>Included in base game</v>
      </c>
      <c r="V508" s="33" t="s">
        <v>3283</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3283</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3283</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2649</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2452</v>
      </c>
      <c r="C509" t="s">
        <v>2451</v>
      </c>
      <c r="D509" s="3">
        <f t="shared" si="46"/>
        <v>583</v>
      </c>
      <c r="G509" s="3" t="s">
        <v>1470</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constants'!$B$4:$C$1012,2,FALSE),"")</f>
        <v>Included in base game</v>
      </c>
      <c r="V509" s="33" t="s">
        <v>3283</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3283</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3283</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2649</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2458</v>
      </c>
      <c r="C510" t="s">
        <v>2480</v>
      </c>
      <c r="D510" s="3">
        <f t="shared" si="46"/>
        <v>584</v>
      </c>
      <c r="G510" s="3" t="s">
        <v>1470</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constants'!$B$4:$C$1012,2,FALSE),"")</f>
        <v>Included in base game</v>
      </c>
      <c r="V510" s="33" t="s">
        <v>3283</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3283</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3283</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2649</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2469</v>
      </c>
      <c r="C511" t="s">
        <v>2470</v>
      </c>
      <c r="D511" s="3">
        <f t="shared" si="46"/>
        <v>585</v>
      </c>
      <c r="G511" s="3" t="s">
        <v>1477</v>
      </c>
      <c r="I511" t="s">
        <v>91</v>
      </c>
      <c r="J511" t="s">
        <v>91</v>
      </c>
      <c r="K511" s="36">
        <v>468</v>
      </c>
      <c r="L511" s="36">
        <v>468</v>
      </c>
      <c r="M511" s="36">
        <v>468</v>
      </c>
      <c r="O511" s="61" t="s">
        <v>2437</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constants'!$B$4:$C$1012,2,FALSE),"")</f>
        <v>Elsweyr</v>
      </c>
      <c r="V511" s="33" t="s">
        <v>3261</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3261</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3261</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2649</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2471</v>
      </c>
      <c r="C512" t="s">
        <v>2481</v>
      </c>
      <c r="D512" s="3">
        <f t="shared" si="46"/>
        <v>586</v>
      </c>
      <c r="G512" s="3" t="s">
        <v>1477</v>
      </c>
      <c r="I512" t="s">
        <v>91</v>
      </c>
      <c r="J512" t="s">
        <v>91</v>
      </c>
      <c r="K512" s="36">
        <v>468</v>
      </c>
      <c r="L512" s="36">
        <v>468</v>
      </c>
      <c r="M512" s="36">
        <v>468</v>
      </c>
      <c r="O512" s="61" t="s">
        <v>2437</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constants'!$B$4:$C$1012,2,FALSE),"")</f>
        <v>Elsweyr</v>
      </c>
      <c r="V512" s="33" t="s">
        <v>3261</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3261</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3261</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2649</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2468</v>
      </c>
      <c r="C513" t="s">
        <v>2482</v>
      </c>
      <c r="D513" s="3">
        <f t="shared" si="46"/>
        <v>587</v>
      </c>
      <c r="G513" s="3" t="s">
        <v>1477</v>
      </c>
      <c r="I513" t="s">
        <v>91</v>
      </c>
      <c r="J513" t="s">
        <v>91</v>
      </c>
      <c r="K513" s="36">
        <v>468</v>
      </c>
      <c r="L513" s="36">
        <v>468</v>
      </c>
      <c r="M513" s="36">
        <v>468</v>
      </c>
      <c r="O513" s="61" t="s">
        <v>2437</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constants'!$B$4:$C$1012,2,FALSE),"")</f>
        <v>Elsweyr</v>
      </c>
      <c r="V513" s="33" t="s">
        <v>3261</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3261</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3261</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2649</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2464</v>
      </c>
      <c r="C514" t="s">
        <v>2483</v>
      </c>
      <c r="D514" s="3">
        <f t="shared" si="46"/>
        <v>588</v>
      </c>
      <c r="G514" s="3" t="s">
        <v>1477</v>
      </c>
      <c r="I514" t="s">
        <v>91</v>
      </c>
      <c r="J514" t="s">
        <v>91</v>
      </c>
      <c r="K514">
        <v>468</v>
      </c>
      <c r="L514">
        <v>468</v>
      </c>
      <c r="M514">
        <v>468</v>
      </c>
      <c r="O514" s="61" t="s">
        <v>2437</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constants'!$B$4:$C$1012,2,FALSE),"")</f>
        <v>Elsweyr</v>
      </c>
      <c r="V514" s="33" t="s">
        <v>3261</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3261</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3261</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2649</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2462</v>
      </c>
      <c r="C515" t="s">
        <v>2463</v>
      </c>
      <c r="D515" s="3">
        <f t="shared" ref="D515:D578" si="52">A515</f>
        <v>589</v>
      </c>
      <c r="G515" s="3" t="s">
        <v>1477</v>
      </c>
      <c r="I515" t="s">
        <v>92</v>
      </c>
      <c r="J515" t="s">
        <v>91</v>
      </c>
      <c r="K515" s="36">
        <v>468</v>
      </c>
      <c r="L515" s="36">
        <v>468</v>
      </c>
      <c r="M515" s="36">
        <v>468</v>
      </c>
      <c r="O515" s="61" t="s">
        <v>2437</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constants'!$B$4:$C$1012,2,FALSE),"")</f>
        <v>Elsweyr</v>
      </c>
      <c r="V515" s="33" t="s">
        <v>3261</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3261</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3261</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2649</v>
      </c>
      <c r="BA515" s="78"/>
      <c r="BB515" s="78"/>
      <c r="BC515" s="78"/>
      <c r="BD515" s="78" t="s">
        <v>3823</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2479</v>
      </c>
      <c r="C516" t="s">
        <v>2479</v>
      </c>
      <c r="D516" s="3">
        <f t="shared" si="52"/>
        <v>590</v>
      </c>
      <c r="G516" s="3" t="s">
        <v>1477</v>
      </c>
      <c r="I516" t="s">
        <v>92</v>
      </c>
      <c r="J516" t="s">
        <v>91</v>
      </c>
      <c r="K516" s="36">
        <v>468</v>
      </c>
      <c r="L516" s="36">
        <v>468</v>
      </c>
      <c r="M516" s="36">
        <v>468</v>
      </c>
      <c r="O516" s="61" t="s">
        <v>2437</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constants'!$B$4:$C$1012,2,FALSE),"")</f>
        <v>Elsweyr</v>
      </c>
      <c r="V516" s="33" t="s">
        <v>3261</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3261</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3261</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2649</v>
      </c>
      <c r="BA516" s="78"/>
      <c r="BB516" s="78"/>
      <c r="BC516" s="78"/>
      <c r="BD516" s="78" t="s">
        <v>3823</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2461</v>
      </c>
      <c r="C517" t="s">
        <v>2484</v>
      </c>
      <c r="D517" s="3">
        <f t="shared" si="52"/>
        <v>591</v>
      </c>
      <c r="G517" s="3" t="s">
        <v>1477</v>
      </c>
      <c r="I517" t="s">
        <v>92</v>
      </c>
      <c r="J517" t="s">
        <v>91</v>
      </c>
      <c r="K517" s="36">
        <v>468</v>
      </c>
      <c r="L517" s="36">
        <v>468</v>
      </c>
      <c r="M517" s="36">
        <v>468</v>
      </c>
      <c r="O517" s="61" t="s">
        <v>2437</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constants'!$B$4:$C$1012,2,FALSE),"")</f>
        <v>Elsweyr</v>
      </c>
      <c r="V517" s="33" t="s">
        <v>3261</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3261</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3261</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2649</v>
      </c>
      <c r="BA517" s="78"/>
      <c r="BB517" s="78"/>
      <c r="BC517" s="78"/>
      <c r="BD517" s="78" t="s">
        <v>3823</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2472</v>
      </c>
      <c r="C518" t="s">
        <v>2485</v>
      </c>
      <c r="D518" s="3">
        <f t="shared" si="52"/>
        <v>592</v>
      </c>
      <c r="G518" s="3" t="s">
        <v>1477</v>
      </c>
      <c r="I518" t="s">
        <v>92</v>
      </c>
      <c r="J518" t="s">
        <v>91</v>
      </c>
      <c r="K518" s="36">
        <v>468</v>
      </c>
      <c r="L518" s="36">
        <v>468</v>
      </c>
      <c r="M518" s="36">
        <v>468</v>
      </c>
      <c r="O518" s="61" t="s">
        <v>2437</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constants'!$B$4:$C$1012,2,FALSE),"")</f>
        <v>Elsweyr</v>
      </c>
      <c r="V518" s="33" t="s">
        <v>3261</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3261</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3261</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2649</v>
      </c>
      <c r="BA518" s="78"/>
      <c r="BB518" s="78"/>
      <c r="BC518" s="78"/>
      <c r="BD518" s="78" t="s">
        <v>3823</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2473</v>
      </c>
      <c r="C519" t="s">
        <v>2473</v>
      </c>
      <c r="D519" s="3">
        <f t="shared" si="52"/>
        <v>593</v>
      </c>
      <c r="G519" s="3" t="s">
        <v>1675</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2381</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constants'!$B$4:$C$1012,2,FALSE),"")</f>
        <v>Blackwood</v>
      </c>
      <c r="V519" s="33" t="s">
        <v>1556</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3190</v>
      </c>
      <c r="AC519" s="41" t="s">
        <v>3192</v>
      </c>
      <c r="AD519" s="41" t="s">
        <v>3193</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1556</v>
      </c>
      <c r="AI519" s="41"/>
      <c r="AJ519" s="41"/>
      <c r="AK519" s="3">
        <f>IF(AND(G519&lt;&gt;"LIBSETS_SETTYPE_BATTLEGROUND",G519&lt;&gt;"LIBSETS_SETTYPE_SPECIAL"),IF(AL519&lt;&gt;"",VLOOKUP(AL519,'ESO zone constants'!$D$5:$H$4955,5,FALSE),""),"")</f>
        <v>117</v>
      </c>
      <c r="AL519" t="s">
        <v>114</v>
      </c>
      <c r="AM519" s="33" t="s">
        <v>1554</v>
      </c>
      <c r="AN519" s="41"/>
      <c r="AO519" s="41"/>
      <c r="AP519" s="3">
        <f>IF(AND(G519&lt;&gt;"LIBSETS_SETTYPE_BATTLEGROUND",G519&lt;&gt;"LIBSETS_SETTYPE_SPECIAL"),IF(AQ519&lt;&gt;"",VLOOKUP(AQ519,'ESO zone constants'!$D$5:$H$4955,5,FALSE),""),"")</f>
        <v>848</v>
      </c>
      <c r="AQ519" t="s">
        <v>72</v>
      </c>
      <c r="AR519" s="33" t="s">
        <v>3280</v>
      </c>
      <c r="AS519" s="41" t="s">
        <v>32</v>
      </c>
      <c r="AT519" s="41" t="s">
        <v>32</v>
      </c>
      <c r="AU519" s="3" t="str">
        <f>IF(AND(G519&lt;&gt;"LIBSETS_SETTYPE_BATTLEGROUND",G519&lt;&gt;"LIBSETS_SETTYPE_SPECIAL"),IF(AV519&lt;&gt;"",VLOOKUP(AV519,'ESO zone constants'!$D$5:$H$4955,5,FALSE),""),"")</f>
        <v/>
      </c>
      <c r="AX519" s="41"/>
      <c r="AY519" s="41"/>
      <c r="AZ519" s="78" t="s">
        <v>2649</v>
      </c>
      <c r="BA519" s="36" t="s">
        <v>3170</v>
      </c>
      <c r="BB519" s="36" t="s">
        <v>3170</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2478</v>
      </c>
      <c r="C520" t="s">
        <v>2478</v>
      </c>
      <c r="D520" s="3">
        <f t="shared" si="52"/>
        <v>594</v>
      </c>
      <c r="G520" s="3" t="s">
        <v>1675</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2381</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constants'!$B$4:$C$1012,2,FALSE),"")</f>
        <v>Blackwood</v>
      </c>
      <c r="V520" s="33" t="s">
        <v>1555</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3264</v>
      </c>
      <c r="AC520" s="41" t="s">
        <v>3210</v>
      </c>
      <c r="AD520" s="41" t="s">
        <v>3211</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3212</v>
      </c>
      <c r="AI520" s="41" t="s">
        <v>3215</v>
      </c>
      <c r="AJ520" s="41" t="s">
        <v>3216</v>
      </c>
      <c r="AK520" s="3">
        <f>IF(AND(G520&lt;&gt;"LIBSETS_SETTYPE_BATTLEGROUND",G520&lt;&gt;"LIBSETS_SETTYPE_SPECIAL"),IF(AL520&lt;&gt;"",VLOOKUP(AL520,'ESO zone constants'!$D$5:$H$4955,5,FALSE),""),"")</f>
        <v>843</v>
      </c>
      <c r="AL520" t="s">
        <v>53</v>
      </c>
      <c r="AM520" s="33" t="s">
        <v>3280</v>
      </c>
      <c r="AN520" s="41" t="s">
        <v>1361</v>
      </c>
      <c r="AO520" s="41" t="s">
        <v>3217</v>
      </c>
      <c r="AP520" s="3">
        <f>IF(AND(G520&lt;&gt;"LIBSETS_SETTYPE_BATTLEGROUND",G520&lt;&gt;"LIBSETS_SETTYPE_SPECIAL"),IF(AQ520&lt;&gt;"",VLOOKUP(AQ520,'ESO zone constants'!$D$5:$H$4955,5,FALSE),""),"")</f>
        <v>117</v>
      </c>
      <c r="AQ520" t="s">
        <v>114</v>
      </c>
      <c r="AR520" s="33" t="s">
        <v>3588</v>
      </c>
      <c r="AS520" s="41" t="s">
        <v>3221</v>
      </c>
      <c r="AT520" s="41" t="s">
        <v>3222</v>
      </c>
      <c r="AU520" s="3" t="str">
        <f>IF(AND(G520&lt;&gt;"LIBSETS_SETTYPE_BATTLEGROUND",G520&lt;&gt;"LIBSETS_SETTYPE_SPECIAL"),IF(AV520&lt;&gt;"",VLOOKUP(AV520,'ESO zone constants'!$D$5:$H$4955,5,FALSE),""),"")</f>
        <v/>
      </c>
      <c r="AX520" s="41"/>
      <c r="AY520" s="41"/>
      <c r="AZ520" s="78" t="s">
        <v>2649</v>
      </c>
      <c r="BA520" s="36" t="s">
        <v>3171</v>
      </c>
      <c r="BB520" s="36" t="s">
        <v>3171</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2477</v>
      </c>
      <c r="C521" t="s">
        <v>2477</v>
      </c>
      <c r="D521" s="3">
        <f t="shared" si="52"/>
        <v>596</v>
      </c>
      <c r="G521" s="3" t="s">
        <v>1675</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2381</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constants'!$B$4:$C$1012,2,FALSE),"")</f>
        <v>Blackwood</v>
      </c>
      <c r="V521" s="33" t="s">
        <v>3194</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3231</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1550</v>
      </c>
      <c r="AI521" s="41"/>
      <c r="AJ521" s="41"/>
      <c r="AK521" s="3">
        <f>IF(AND(G521&lt;&gt;"LIBSETS_SETTYPE_BATTLEGROUND",G521&lt;&gt;"LIBSETS_SETTYPE_SPECIAL"),IF(AL521&lt;&gt;"",VLOOKUP(AL521,'ESO zone constants'!$D$5:$H$4955,5,FALSE),""),"")</f>
        <v>584</v>
      </c>
      <c r="AL521" t="s">
        <v>39</v>
      </c>
      <c r="AM521" s="33" t="s">
        <v>3264</v>
      </c>
      <c r="AN521" s="41" t="s">
        <v>3197</v>
      </c>
      <c r="AO521" s="41" t="s">
        <v>3198</v>
      </c>
      <c r="AP521" s="3">
        <f>IF(AND(G521&lt;&gt;"LIBSETS_SETTYPE_BATTLEGROUND",G521&lt;&gt;"LIBSETS_SETTYPE_SPECIAL"),IF(AQ521&lt;&gt;"",VLOOKUP(AQ521,'ESO zone constants'!$D$5:$H$4955,5,FALSE),""),"")</f>
        <v>181</v>
      </c>
      <c r="AQ521" t="s">
        <v>125</v>
      </c>
      <c r="AR521" s="33" t="s">
        <v>1535</v>
      </c>
      <c r="AS521" s="41"/>
      <c r="AT521" s="41"/>
      <c r="AU521" s="3" t="str">
        <f>IF(AND(G521&lt;&gt;"LIBSETS_SETTYPE_BATTLEGROUND",G521&lt;&gt;"LIBSETS_SETTYPE_SPECIAL"),IF(AV521&lt;&gt;"",VLOOKUP(AV521,'ESO zone constants'!$D$5:$H$4955,5,FALSE),""),"")</f>
        <v/>
      </c>
      <c r="AX521" s="41"/>
      <c r="AY521" s="41"/>
      <c r="AZ521" s="78" t="s">
        <v>2649</v>
      </c>
      <c r="BA521" s="36" t="s">
        <v>3169</v>
      </c>
      <c r="BB521" s="36" t="s">
        <v>3169</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2486</v>
      </c>
      <c r="C522" t="s">
        <v>2486</v>
      </c>
      <c r="D522" s="3">
        <f t="shared" si="52"/>
        <v>597</v>
      </c>
      <c r="G522" s="3" t="s">
        <v>1675</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2381</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constants'!$B$4:$C$1012,2,FALSE),"")</f>
        <v>Blackwood</v>
      </c>
      <c r="V522" s="33" t="s">
        <v>3231</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3280</v>
      </c>
      <c r="AC522" s="41" t="s">
        <v>1547</v>
      </c>
      <c r="AD522" s="41" t="s">
        <v>3233</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1554</v>
      </c>
      <c r="AI522" s="41" t="s">
        <v>3279</v>
      </c>
      <c r="AJ522" s="41" t="s">
        <v>3289</v>
      </c>
      <c r="AK522" s="3">
        <f>IF(AND(G522&lt;&gt;"LIBSETS_SETTYPE_BATTLEGROUND",G522&lt;&gt;"LIBSETS_SETTYPE_SPECIAL"),IF(AL522&lt;&gt;"",VLOOKUP(AL522,'ESO zone constants'!$D$5:$H$4955,5,FALSE),""),"")</f>
        <v>936</v>
      </c>
      <c r="AL522" t="s">
        <v>42</v>
      </c>
      <c r="AM522" s="33" t="s">
        <v>3280</v>
      </c>
      <c r="AN522" s="41" t="s">
        <v>1357</v>
      </c>
      <c r="AO522" s="41" t="s">
        <v>3234</v>
      </c>
      <c r="AP522" s="3">
        <f>IF(AND(G522&lt;&gt;"LIBSETS_SETTYPE_BATTLEGROUND",G522&lt;&gt;"LIBSETS_SETTYPE_SPECIAL"),IF(AQ522&lt;&gt;"",VLOOKUP(AQ522,'ESO zone constants'!$D$5:$H$4955,5,FALSE),""),"")</f>
        <v>1260</v>
      </c>
      <c r="AQ522" t="s">
        <v>2436</v>
      </c>
      <c r="AR522" s="33" t="s">
        <v>1556</v>
      </c>
      <c r="AS522" s="41"/>
      <c r="AT522" s="41"/>
      <c r="AU522" s="3" t="str">
        <f>IF(AND(G522&lt;&gt;"LIBSETS_SETTYPE_BATTLEGROUND",G522&lt;&gt;"LIBSETS_SETTYPE_SPECIAL"),IF(AV522&lt;&gt;"",VLOOKUP(AV522,'ESO zone constants'!$D$5:$H$4955,5,FALSE),""),"")</f>
        <v/>
      </c>
      <c r="AX522" s="41"/>
      <c r="AY522" s="41"/>
      <c r="AZ522" s="78" t="s">
        <v>2650</v>
      </c>
      <c r="BA522" s="36" t="s">
        <v>3177</v>
      </c>
      <c r="BB522" s="36" t="s">
        <v>3177</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2474</v>
      </c>
      <c r="C523" t="s">
        <v>2465</v>
      </c>
      <c r="D523" s="3">
        <f t="shared" si="52"/>
        <v>598</v>
      </c>
      <c r="F523" t="s">
        <v>2753</v>
      </c>
      <c r="G523" s="8" t="s">
        <v>2752</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2381</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constants'!$B$4:$C$1012,2,FALSE),"")</f>
        <v>Blackwood</v>
      </c>
      <c r="V523" s="33" t="s">
        <v>1538</v>
      </c>
      <c r="W523" s="3" t="s">
        <v>3869</v>
      </c>
      <c r="X523" s="3" t="s">
        <v>3870</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2756</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2649</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2475</v>
      </c>
      <c r="C524" t="s">
        <v>2466</v>
      </c>
      <c r="D524" s="3">
        <f t="shared" si="52"/>
        <v>599</v>
      </c>
      <c r="F524" t="s">
        <v>2753</v>
      </c>
      <c r="G524" s="8" t="s">
        <v>2752</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2381</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constants'!$B$4:$C$1012,2,FALSE),"")</f>
        <v>Blackwood</v>
      </c>
      <c r="V524" s="33" t="s">
        <v>1538</v>
      </c>
      <c r="W524" s="3" t="s">
        <v>3868</v>
      </c>
      <c r="X524" s="3" t="s">
        <v>3871</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2756</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2649</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2476</v>
      </c>
      <c r="C525" t="s">
        <v>2467</v>
      </c>
      <c r="D525" s="3">
        <f t="shared" si="52"/>
        <v>600</v>
      </c>
      <c r="F525" t="s">
        <v>2753</v>
      </c>
      <c r="G525" s="8" t="s">
        <v>2752</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2381</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constants'!$B$4:$C$1012,2,FALSE),"")</f>
        <v>Blackwood</v>
      </c>
      <c r="V525" s="33" t="s">
        <v>1538</v>
      </c>
      <c r="W525" s="3" t="s">
        <v>3867</v>
      </c>
      <c r="X525" s="3" t="s">
        <v>3872</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2756</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2649</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2512</v>
      </c>
      <c r="C526" t="s">
        <v>2742</v>
      </c>
      <c r="D526" s="3">
        <f t="shared" si="52"/>
        <v>602</v>
      </c>
      <c r="G526" s="8" t="s">
        <v>1473</v>
      </c>
      <c r="I526" t="s">
        <v>91</v>
      </c>
      <c r="J526" t="s">
        <v>91</v>
      </c>
      <c r="K526">
        <v>469</v>
      </c>
      <c r="L526">
        <v>469</v>
      </c>
      <c r="M526">
        <v>469</v>
      </c>
      <c r="O526" s="61" t="s">
        <v>2495</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constants'!$B$4:$C$1012,2,FALSE),"")</f>
        <v>Waking Flame</v>
      </c>
      <c r="V526" s="33" t="s">
        <v>3280</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2649</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2510</v>
      </c>
      <c r="C527" t="s">
        <v>2743</v>
      </c>
      <c r="D527" s="3">
        <f t="shared" si="52"/>
        <v>603</v>
      </c>
      <c r="G527" s="8" t="s">
        <v>1473</v>
      </c>
      <c r="I527" t="s">
        <v>91</v>
      </c>
      <c r="J527" t="s">
        <v>91</v>
      </c>
      <c r="K527">
        <v>469</v>
      </c>
      <c r="L527">
        <v>469</v>
      </c>
      <c r="M527">
        <v>469</v>
      </c>
      <c r="O527" s="61" t="s">
        <v>2495</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constants'!$B$4:$C$1012,2,FALSE),"")</f>
        <v>Waking Flame</v>
      </c>
      <c r="V527" s="33" t="s">
        <v>3280</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2649</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2511</v>
      </c>
      <c r="C528" t="s">
        <v>2488</v>
      </c>
      <c r="D528" s="3">
        <f t="shared" si="52"/>
        <v>604</v>
      </c>
      <c r="G528" s="8" t="s">
        <v>1473</v>
      </c>
      <c r="I528" t="s">
        <v>91</v>
      </c>
      <c r="J528" t="s">
        <v>91</v>
      </c>
      <c r="K528">
        <v>469</v>
      </c>
      <c r="L528">
        <v>469</v>
      </c>
      <c r="M528">
        <v>469</v>
      </c>
      <c r="O528" s="61" t="s">
        <v>2495</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constants'!$B$4:$C$1012,2,FALSE),"")</f>
        <v>Waking Flame</v>
      </c>
      <c r="V528" s="33" t="s">
        <v>3280</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2649</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2516</v>
      </c>
      <c r="C529" t="s">
        <v>2493</v>
      </c>
      <c r="D529" s="3">
        <f t="shared" si="52"/>
        <v>605</v>
      </c>
      <c r="G529" s="8" t="s">
        <v>1473</v>
      </c>
      <c r="I529" t="s">
        <v>91</v>
      </c>
      <c r="J529" t="s">
        <v>91</v>
      </c>
      <c r="K529">
        <v>470</v>
      </c>
      <c r="L529">
        <v>470</v>
      </c>
      <c r="M529">
        <v>470</v>
      </c>
      <c r="O529" s="61" t="s">
        <v>2490</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constants'!$B$4:$C$1012,2,FALSE),"")</f>
        <v>Waking Flame</v>
      </c>
      <c r="V529" s="33" t="s">
        <v>3280</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2649</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2514</v>
      </c>
      <c r="C530" t="s">
        <v>2491</v>
      </c>
      <c r="D530" s="3">
        <f t="shared" si="52"/>
        <v>606</v>
      </c>
      <c r="G530" s="8" t="s">
        <v>1473</v>
      </c>
      <c r="I530" t="s">
        <v>91</v>
      </c>
      <c r="J530" t="s">
        <v>91</v>
      </c>
      <c r="K530">
        <v>470</v>
      </c>
      <c r="L530">
        <v>470</v>
      </c>
      <c r="M530">
        <v>470</v>
      </c>
      <c r="O530" s="61" t="s">
        <v>2490</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constants'!$B$4:$C$1012,2,FALSE),"")</f>
        <v>Waking Flame</v>
      </c>
      <c r="V530" s="33" t="s">
        <v>3280</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2649</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2515</v>
      </c>
      <c r="C531" t="s">
        <v>2492</v>
      </c>
      <c r="D531" s="3">
        <f t="shared" si="52"/>
        <v>607</v>
      </c>
      <c r="G531" s="8" t="s">
        <v>1473</v>
      </c>
      <c r="I531" t="s">
        <v>91</v>
      </c>
      <c r="J531" t="s">
        <v>91</v>
      </c>
      <c r="K531">
        <v>470</v>
      </c>
      <c r="L531">
        <v>470</v>
      </c>
      <c r="M531">
        <v>470</v>
      </c>
      <c r="O531" s="61" t="s">
        <v>2490</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constants'!$B$4:$C$1012,2,FALSE),"")</f>
        <v>Waking Flame</v>
      </c>
      <c r="V531" s="33" t="s">
        <v>3280</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2649</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2494</v>
      </c>
      <c r="C532" t="s">
        <v>2494</v>
      </c>
      <c r="D532" s="3">
        <f t="shared" si="52"/>
        <v>608</v>
      </c>
      <c r="G532" s="8" t="s">
        <v>1475</v>
      </c>
      <c r="H532" s="86">
        <v>3</v>
      </c>
      <c r="I532" t="s">
        <v>1462</v>
      </c>
      <c r="J532" t="s">
        <v>91</v>
      </c>
      <c r="K532">
        <v>470</v>
      </c>
      <c r="L532">
        <v>470</v>
      </c>
      <c r="M532">
        <v>470</v>
      </c>
      <c r="O532" s="61" t="s">
        <v>2490</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constants'!$B$4:$C$1012,2,FALSE),"")</f>
        <v>Waking Flame</v>
      </c>
      <c r="V532" s="33" t="s">
        <v>1538</v>
      </c>
      <c r="W532" s="3" t="s">
        <v>2525</v>
      </c>
      <c r="X532" s="3" t="s">
        <v>2525</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2649</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2513</v>
      </c>
      <c r="C533" t="s">
        <v>2489</v>
      </c>
      <c r="D533" s="3">
        <f t="shared" si="52"/>
        <v>609</v>
      </c>
      <c r="G533" s="8" t="s">
        <v>1475</v>
      </c>
      <c r="H533" s="86">
        <v>3</v>
      </c>
      <c r="I533" t="s">
        <v>1462</v>
      </c>
      <c r="J533" t="s">
        <v>91</v>
      </c>
      <c r="K533">
        <v>469</v>
      </c>
      <c r="L533">
        <v>469</v>
      </c>
      <c r="M533">
        <v>469</v>
      </c>
      <c r="O533" s="61" t="s">
        <v>2495</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constants'!$B$4:$C$1012,2,FALSE),"")</f>
        <v>Waking Flame</v>
      </c>
      <c r="V533" s="33" t="s">
        <v>1538</v>
      </c>
      <c r="W533" s="3" t="s">
        <v>2489</v>
      </c>
      <c r="X533" s="3" t="s">
        <v>2513</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2649</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2653</v>
      </c>
      <c r="C534" t="s">
        <v>2695</v>
      </c>
      <c r="D534" s="3">
        <f t="shared" si="52"/>
        <v>610</v>
      </c>
      <c r="G534" s="3" t="s">
        <v>1470</v>
      </c>
      <c r="I534" t="s">
        <v>91</v>
      </c>
      <c r="J534" t="s">
        <v>91</v>
      </c>
      <c r="K534">
        <v>478</v>
      </c>
      <c r="L534">
        <v>478</v>
      </c>
      <c r="M534">
        <v>478</v>
      </c>
      <c r="N534">
        <v>3</v>
      </c>
      <c r="O534" s="61" t="s">
        <v>2438</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constants'!$B$4:$C$1012,2,FALSE),"")</f>
        <v>Included in base game</v>
      </c>
      <c r="V534" s="33" t="s">
        <v>3283</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3283</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3283</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2654</v>
      </c>
      <c r="C535" t="s">
        <v>2696</v>
      </c>
      <c r="D535" s="3">
        <f t="shared" si="52"/>
        <v>611</v>
      </c>
      <c r="G535" s="3" t="s">
        <v>1470</v>
      </c>
      <c r="I535" t="s">
        <v>91</v>
      </c>
      <c r="J535" t="s">
        <v>91</v>
      </c>
      <c r="K535" s="36">
        <v>494</v>
      </c>
      <c r="L535" s="36">
        <v>494</v>
      </c>
      <c r="M535" s="36">
        <v>494</v>
      </c>
      <c r="N535">
        <v>7</v>
      </c>
      <c r="O535" s="61" t="s">
        <v>2438</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constants'!$B$4:$C$1012,2,FALSE),"")</f>
        <v>Included in base game</v>
      </c>
      <c r="V535" s="33" t="s">
        <v>3283</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3283</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3283</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2655</v>
      </c>
      <c r="C536" t="s">
        <v>2697</v>
      </c>
      <c r="D536" s="3">
        <f t="shared" si="52"/>
        <v>612</v>
      </c>
      <c r="G536" s="3" t="s">
        <v>1470</v>
      </c>
      <c r="I536" t="s">
        <v>91</v>
      </c>
      <c r="J536" t="s">
        <v>91</v>
      </c>
      <c r="K536" s="36">
        <v>489</v>
      </c>
      <c r="L536" s="36">
        <v>489</v>
      </c>
      <c r="M536" s="36">
        <v>489</v>
      </c>
      <c r="N536">
        <v>5</v>
      </c>
      <c r="O536" s="61" t="s">
        <v>2675</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constants'!$B$4:$C$1012,2,FALSE),"")</f>
        <v>Wrathstone</v>
      </c>
      <c r="V536" s="33" t="s">
        <v>3283</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3283</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3283</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2656</v>
      </c>
      <c r="C537" t="s">
        <v>2703</v>
      </c>
      <c r="D537" s="3">
        <f t="shared" si="52"/>
        <v>613</v>
      </c>
      <c r="G537" s="3" t="s">
        <v>1476</v>
      </c>
      <c r="I537" t="s">
        <v>91</v>
      </c>
      <c r="J537" t="s">
        <v>91</v>
      </c>
      <c r="K537">
        <v>493</v>
      </c>
      <c r="L537">
        <v>493</v>
      </c>
      <c r="M537">
        <v>493</v>
      </c>
      <c r="O537" s="61" t="s">
        <v>2438</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constants'!$B$4:$C$1012,2,FALSE),"")</f>
        <v>Included in base game</v>
      </c>
      <c r="V537" s="33" t="s">
        <v>1554</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1554</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1557</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2657</v>
      </c>
      <c r="C538" t="s">
        <v>2702</v>
      </c>
      <c r="D538" s="3">
        <f t="shared" si="52"/>
        <v>614</v>
      </c>
      <c r="G538" s="3" t="s">
        <v>1476</v>
      </c>
      <c r="I538" t="s">
        <v>91</v>
      </c>
      <c r="J538" t="s">
        <v>91</v>
      </c>
      <c r="K538">
        <v>493</v>
      </c>
      <c r="L538">
        <v>493</v>
      </c>
      <c r="M538">
        <v>493</v>
      </c>
      <c r="O538" s="61" t="s">
        <v>2438</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constants'!$B$4:$C$1012,2,FALSE),"")</f>
        <v>Included in base game</v>
      </c>
      <c r="V538" s="33" t="s">
        <v>1554</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1554</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1557</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2658</v>
      </c>
      <c r="C539" t="s">
        <v>2701</v>
      </c>
      <c r="D539" s="3">
        <f t="shared" si="52"/>
        <v>615</v>
      </c>
      <c r="G539" s="3" t="s">
        <v>1476</v>
      </c>
      <c r="I539" t="s">
        <v>91</v>
      </c>
      <c r="J539" t="s">
        <v>91</v>
      </c>
      <c r="K539">
        <v>493</v>
      </c>
      <c r="L539">
        <v>493</v>
      </c>
      <c r="M539">
        <v>493</v>
      </c>
      <c r="O539" s="61" t="s">
        <v>2438</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constants'!$B$4:$C$1012,2,FALSE),"")</f>
        <v>Included in base game</v>
      </c>
      <c r="V539" s="33" t="s">
        <v>1554</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1554</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1557</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2517</v>
      </c>
      <c r="C540" t="s">
        <v>2508</v>
      </c>
      <c r="D540" s="3">
        <f t="shared" si="52"/>
        <v>616</v>
      </c>
      <c r="E540" s="40"/>
      <c r="G540" s="3" t="s">
        <v>1471</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2523</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constants'!$B$4:$C$1012,2,FALSE),"")</f>
        <v>Waking Flame</v>
      </c>
      <c r="V540" s="33" t="s">
        <v>1535</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3728</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2760</v>
      </c>
      <c r="AK540" s="3">
        <f>IF(AND(G540&lt;&gt;"LIBSETS_SETTYPE_BATTLEGROUND",G540&lt;&gt;"LIBSETS_SETTYPE_SPECIAL"),IF(AL540&lt;&gt;"",VLOOKUP(AL540,'ESO zone constants'!$D$5:$H$4955,5,FALSE),""),"")</f>
        <v>181</v>
      </c>
      <c r="AL540" t="s">
        <v>125</v>
      </c>
      <c r="AM540" s="33" t="s">
        <v>3731</v>
      </c>
      <c r="AP540" s="3">
        <f>IF(AND(G540&lt;&gt;"LIBSETS_SETTYPE_BATTLEGROUND",G540&lt;&gt;"LIBSETS_SETTYPE_SPECIAL"),IF(AQ540&lt;&gt;"",VLOOKUP(AQ540,'ESO zone constants'!$D$5:$H$4955,5,FALSE),""),"")</f>
        <v>181</v>
      </c>
      <c r="AQ540" t="s">
        <v>125</v>
      </c>
      <c r="AR540" s="33" t="s">
        <v>1554</v>
      </c>
      <c r="AU540" s="3">
        <f>IF(AND(G540&lt;&gt;"LIBSETS_SETTYPE_BATTLEGROUND",G540&lt;&gt;"LIBSETS_SETTYPE_SPECIAL"),IF(AV540&lt;&gt;"",VLOOKUP(AV540,'ESO zone constants'!$D$5:$H$4955,5,FALSE),""),"")</f>
        <v>181</v>
      </c>
      <c r="AV540" t="s">
        <v>125</v>
      </c>
      <c r="AW540" s="33" t="s">
        <v>3231</v>
      </c>
      <c r="AZ540" s="83" t="s">
        <v>2649</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2518</v>
      </c>
      <c r="C541" t="s">
        <v>2509</v>
      </c>
      <c r="D541" s="3">
        <f t="shared" si="52"/>
        <v>617</v>
      </c>
      <c r="G541" s="3" t="s">
        <v>1471</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2523</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constants'!$B$4:$C$1012,2,FALSE),"")</f>
        <v>Waking Flame</v>
      </c>
      <c r="V541" s="33" t="s">
        <v>1535</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3728</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2760</v>
      </c>
      <c r="AK541" s="3">
        <f>IF(AND(G541&lt;&gt;"LIBSETS_SETTYPE_BATTLEGROUND",G541&lt;&gt;"LIBSETS_SETTYPE_SPECIAL"),IF(AL541&lt;&gt;"",VLOOKUP(AL541,'ESO zone constants'!$D$5:$H$4955,5,FALSE),""),"")</f>
        <v>181</v>
      </c>
      <c r="AL541" t="s">
        <v>125</v>
      </c>
      <c r="AM541" s="33" t="s">
        <v>3731</v>
      </c>
      <c r="AP541" s="3">
        <f>IF(AND(G541&lt;&gt;"LIBSETS_SETTYPE_BATTLEGROUND",G541&lt;&gt;"LIBSETS_SETTYPE_SPECIAL"),IF(AQ541&lt;&gt;"",VLOOKUP(AQ541,'ESO zone constants'!$D$5:$H$4955,5,FALSE),""),"")</f>
        <v>181</v>
      </c>
      <c r="AQ541" t="s">
        <v>125</v>
      </c>
      <c r="AR541" s="33" t="s">
        <v>1554</v>
      </c>
      <c r="AU541" s="3">
        <f>IF(AND(G541&lt;&gt;"LIBSETS_SETTYPE_BATTLEGROUND",G541&lt;&gt;"LIBSETS_SETTYPE_SPECIAL"),IF(AV541&lt;&gt;"",VLOOKUP(AV541,'ESO zone constants'!$D$5:$H$4955,5,FALSE),""),"")</f>
        <v>181</v>
      </c>
      <c r="AV541" t="s">
        <v>125</v>
      </c>
      <c r="AW541" s="33" t="s">
        <v>3231</v>
      </c>
      <c r="AZ541" s="83" t="s">
        <v>2649</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2519</v>
      </c>
      <c r="C542" t="s">
        <v>2648</v>
      </c>
      <c r="D542" s="3">
        <f t="shared" si="52"/>
        <v>618</v>
      </c>
      <c r="G542" s="3" t="s">
        <v>1471</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2523</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constants'!$B$4:$C$1012,2,FALSE),"")</f>
        <v>Waking Flame</v>
      </c>
      <c r="V542" s="33" t="s">
        <v>1535</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3728</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2760</v>
      </c>
      <c r="AK542" s="3">
        <f>IF(AND(G542&lt;&gt;"LIBSETS_SETTYPE_BATTLEGROUND",G542&lt;&gt;"LIBSETS_SETTYPE_SPECIAL"),IF(AL542&lt;&gt;"",VLOOKUP(AL542,'ESO zone constants'!$D$5:$H$4955,5,FALSE),""),"")</f>
        <v>181</v>
      </c>
      <c r="AL542" t="s">
        <v>125</v>
      </c>
      <c r="AM542" s="33" t="s">
        <v>3731</v>
      </c>
      <c r="AP542" s="3">
        <f>IF(AND(G542&lt;&gt;"LIBSETS_SETTYPE_BATTLEGROUND",G542&lt;&gt;"LIBSETS_SETTYPE_SPECIAL"),IF(AQ542&lt;&gt;"",VLOOKUP(AQ542,'ESO zone constants'!$D$5:$H$4955,5,FALSE),""),"")</f>
        <v>181</v>
      </c>
      <c r="AQ542" t="s">
        <v>125</v>
      </c>
      <c r="AR542" s="33" t="s">
        <v>1554</v>
      </c>
      <c r="AU542" s="3">
        <f>IF(AND(G542&lt;&gt;"LIBSETS_SETTYPE_BATTLEGROUND",G542&lt;&gt;"LIBSETS_SETTYPE_SPECIAL"),IF(AV542&lt;&gt;"",VLOOKUP(AV542,'ESO zone constants'!$D$5:$H$4955,5,FALSE),""),"")</f>
        <v>181</v>
      </c>
      <c r="AV542" t="s">
        <v>125</v>
      </c>
      <c r="AW542" s="33" t="s">
        <v>3231</v>
      </c>
      <c r="AZ542" s="83" t="s">
        <v>2649</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71">
        <v>619</v>
      </c>
      <c r="B543" t="s">
        <v>2739</v>
      </c>
      <c r="C543" t="s">
        <v>2738</v>
      </c>
      <c r="D543" s="3">
        <f t="shared" si="52"/>
        <v>619</v>
      </c>
      <c r="G543" s="8" t="s">
        <v>1473</v>
      </c>
      <c r="I543" t="s">
        <v>91</v>
      </c>
      <c r="J543" t="s">
        <v>91</v>
      </c>
      <c r="K543">
        <v>497</v>
      </c>
      <c r="L543">
        <v>497</v>
      </c>
      <c r="M543">
        <v>497</v>
      </c>
      <c r="O543" s="61" t="s">
        <v>2708</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constants'!$B$4:$C$1012,2,FALSE),"")</f>
        <v>Ascending Tide</v>
      </c>
      <c r="V543" s="89" t="s">
        <v>3280</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71">
        <v>620</v>
      </c>
      <c r="B544" t="s">
        <v>2737</v>
      </c>
      <c r="C544" t="s">
        <v>2727</v>
      </c>
      <c r="D544" s="3">
        <f t="shared" si="52"/>
        <v>620</v>
      </c>
      <c r="G544" s="8" t="s">
        <v>1473</v>
      </c>
      <c r="I544" t="s">
        <v>91</v>
      </c>
      <c r="J544" t="s">
        <v>91</v>
      </c>
      <c r="K544">
        <v>497</v>
      </c>
      <c r="L544">
        <v>497</v>
      </c>
      <c r="M544">
        <v>497</v>
      </c>
      <c r="O544" s="61" t="s">
        <v>2708</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constants'!$B$4:$C$1012,2,FALSE),"")</f>
        <v>Ascending Tide</v>
      </c>
      <c r="V544" s="89" t="s">
        <v>3280</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71">
        <v>621</v>
      </c>
      <c r="B545" t="s">
        <v>2736</v>
      </c>
      <c r="C545" t="s">
        <v>2710</v>
      </c>
      <c r="D545" s="3">
        <f t="shared" si="52"/>
        <v>621</v>
      </c>
      <c r="G545" s="8" t="s">
        <v>1473</v>
      </c>
      <c r="I545" t="s">
        <v>91</v>
      </c>
      <c r="J545" t="s">
        <v>91</v>
      </c>
      <c r="K545">
        <v>497</v>
      </c>
      <c r="L545">
        <v>497</v>
      </c>
      <c r="M545">
        <v>497</v>
      </c>
      <c r="O545" s="61" t="s">
        <v>2708</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constants'!$B$4:$C$1012,2,FALSE),"")</f>
        <v>Ascending Tide</v>
      </c>
      <c r="V545" s="89" t="s">
        <v>3280</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71">
        <v>622</v>
      </c>
      <c r="B546" t="s">
        <v>2735</v>
      </c>
      <c r="C546" t="s">
        <v>2712</v>
      </c>
      <c r="D546" s="3">
        <f t="shared" si="52"/>
        <v>622</v>
      </c>
      <c r="G546" s="8" t="s">
        <v>1473</v>
      </c>
      <c r="I546" t="s">
        <v>91</v>
      </c>
      <c r="J546" t="s">
        <v>91</v>
      </c>
      <c r="K546">
        <v>498</v>
      </c>
      <c r="L546">
        <v>498</v>
      </c>
      <c r="M546">
        <v>498</v>
      </c>
      <c r="O546" s="61" t="s">
        <v>2720</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constants'!$B$4:$C$1012,2,FALSE),"")</f>
        <v>Ascending Tide</v>
      </c>
      <c r="V546" s="89" t="s">
        <v>3280</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71">
        <v>623</v>
      </c>
      <c r="B547" t="s">
        <v>2734</v>
      </c>
      <c r="C547" t="s">
        <v>3956</v>
      </c>
      <c r="D547" s="3">
        <f t="shared" si="52"/>
        <v>623</v>
      </c>
      <c r="G547" s="8" t="s">
        <v>1473</v>
      </c>
      <c r="I547" t="s">
        <v>91</v>
      </c>
      <c r="J547" t="s">
        <v>91</v>
      </c>
      <c r="K547">
        <v>498</v>
      </c>
      <c r="L547">
        <v>498</v>
      </c>
      <c r="M547">
        <v>498</v>
      </c>
      <c r="O547" s="61" t="s">
        <v>2720</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constants'!$B$4:$C$1012,2,FALSE),"")</f>
        <v>Ascending Tide</v>
      </c>
      <c r="V547" s="89" t="s">
        <v>3280</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71">
        <v>624</v>
      </c>
      <c r="B548" t="s">
        <v>2732</v>
      </c>
      <c r="C548" t="s">
        <v>2733</v>
      </c>
      <c r="D548" s="3">
        <f t="shared" si="52"/>
        <v>624</v>
      </c>
      <c r="G548" s="8" t="s">
        <v>1473</v>
      </c>
      <c r="I548" t="s">
        <v>91</v>
      </c>
      <c r="J548" t="s">
        <v>91</v>
      </c>
      <c r="K548">
        <v>498</v>
      </c>
      <c r="L548">
        <v>498</v>
      </c>
      <c r="M548">
        <v>498</v>
      </c>
      <c r="O548" s="61" t="s">
        <v>2720</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constants'!$B$4:$C$1012,2,FALSE),"")</f>
        <v>Ascending Tide</v>
      </c>
      <c r="V548" s="89" t="s">
        <v>3280</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2659</v>
      </c>
      <c r="C549" t="s">
        <v>2699</v>
      </c>
      <c r="D549" s="3">
        <f t="shared" si="52"/>
        <v>625</v>
      </c>
      <c r="G549" s="3" t="s">
        <v>1675</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2652</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constants'!$B$4:$C$1012,2,FALSE),"")</f>
        <v>The Deadlands</v>
      </c>
      <c r="V549" s="33" t="s">
        <v>1557</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3264</v>
      </c>
      <c r="AC549" s="41" t="s">
        <v>3223</v>
      </c>
      <c r="AD549" s="41" t="s">
        <v>3224</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1555</v>
      </c>
      <c r="AI549" s="41" t="s">
        <v>3226</v>
      </c>
      <c r="AJ549" s="41" t="s">
        <v>3288</v>
      </c>
      <c r="AK549" s="3">
        <f>IF(AND(G549&lt;&gt;"LIBSETS_SETTYPE_BATTLEGROUND",G549&lt;&gt;"LIBSETS_SETTYPE_SPECIAL"),IF(AL549&lt;&gt;"",VLOOKUP(AL549,'ESO zone constants'!$D$5:$H$4955,5,FALSE),""),"")</f>
        <v>380</v>
      </c>
      <c r="AL549" t="s">
        <v>96</v>
      </c>
      <c r="AM549" s="33" t="s">
        <v>3264</v>
      </c>
      <c r="AN549" s="41" t="s">
        <v>3225</v>
      </c>
      <c r="AO549" s="41" t="s">
        <v>3202</v>
      </c>
      <c r="AP549" s="3">
        <f>IF(AND(G549&lt;&gt;"LIBSETS_SETTYPE_BATTLEGROUND",G549&lt;&gt;"LIBSETS_SETTYPE_SPECIAL"),IF(AQ549&lt;&gt;"",VLOOKUP(AQ549,'ESO zone constants'!$D$5:$H$4955,5,FALSE),""),"")</f>
        <v>935</v>
      </c>
      <c r="AQ549" t="s">
        <v>97</v>
      </c>
      <c r="AR549" s="33" t="s">
        <v>3264</v>
      </c>
      <c r="AS549" s="41" t="s">
        <v>3225</v>
      </c>
      <c r="AT549" s="41" t="s">
        <v>3202</v>
      </c>
      <c r="AU549" s="3">
        <f>IF(AND(G549&lt;&gt;"LIBSETS_SETTYPE_BATTLEGROUND",G549&lt;&gt;"LIBSETS_SETTYPE_SPECIAL"),IF(AV549&lt;&gt;"",VLOOKUP(AV549,'ESO zone constants'!$D$5:$H$4955,5,FALSE),""),"")</f>
        <v>1282</v>
      </c>
      <c r="AV549" t="s">
        <v>2674</v>
      </c>
      <c r="AW549" s="33" t="s">
        <v>3207</v>
      </c>
      <c r="AX549" s="41"/>
      <c r="AY549" s="41"/>
      <c r="AZ549" s="85"/>
      <c r="BA549" s="36" t="s">
        <v>3173</v>
      </c>
      <c r="BB549" s="36" t="s">
        <v>3173</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2660</v>
      </c>
      <c r="C550" t="s">
        <v>2698</v>
      </c>
      <c r="D550" s="3">
        <f t="shared" si="52"/>
        <v>626</v>
      </c>
      <c r="E550" s="40"/>
      <c r="G550" s="3" t="s">
        <v>1675</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2652</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constants'!$B$4:$C$1012,2,FALSE),"")</f>
        <v>The Deadlands</v>
      </c>
      <c r="V550" s="33" t="s">
        <v>3207</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1555</v>
      </c>
      <c r="AC550" s="41" t="s">
        <v>3853</v>
      </c>
      <c r="AD550" s="41" t="s">
        <v>3852</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1557</v>
      </c>
      <c r="AI550" s="41"/>
      <c r="AJ550" s="41"/>
      <c r="AK550" s="3">
        <f>IF(AND(G550&lt;&gt;"LIBSETS_SETTYPE_BATTLEGROUND",G550&lt;&gt;"LIBSETS_SETTYPE_SPECIAL"),IF(AL550&lt;&gt;"",VLOOKUP(AL550,'ESO zone constants'!$D$5:$H$4955,5,FALSE),""),"")</f>
        <v>1228</v>
      </c>
      <c r="AL550" t="s">
        <v>2388</v>
      </c>
      <c r="AM550" s="33" t="s">
        <v>3264</v>
      </c>
      <c r="AN550" s="41" t="s">
        <v>3225</v>
      </c>
      <c r="AO550" s="41" t="s">
        <v>3202</v>
      </c>
      <c r="AP550" s="3">
        <f>IF(AND(G550&lt;&gt;"LIBSETS_SETTYPE_BATTLEGROUND",G550&lt;&gt;"LIBSETS_SETTYPE_SPECIAL"),IF(AQ550&lt;&gt;"",VLOOKUP(AQ550,'ESO zone constants'!$D$5:$H$4955,5,FALSE),""),"")</f>
        <v>974</v>
      </c>
      <c r="AQ550" t="s">
        <v>44</v>
      </c>
      <c r="AR550" s="33" t="s">
        <v>3204</v>
      </c>
      <c r="AS550" s="41"/>
      <c r="AT550" s="41"/>
      <c r="AU550" s="3" t="str">
        <f>IF(AND(G550&lt;&gt;"LIBSETS_SETTYPE_BATTLEGROUND",G550&lt;&gt;"LIBSETS_SETTYPE_SPECIAL"),IF(AV550&lt;&gt;"",VLOOKUP(AV550,'ESO zone constants'!$D$5:$H$4955,5,FALSE),""),"")</f>
        <v/>
      </c>
      <c r="AV550" s="39"/>
      <c r="AX550" s="41"/>
      <c r="AY550" s="41"/>
      <c r="AZ550" s="85"/>
      <c r="BA550" s="36" t="s">
        <v>3167</v>
      </c>
      <c r="BB550" s="36" t="s">
        <v>3167</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2704</v>
      </c>
      <c r="C551" t="s">
        <v>2700</v>
      </c>
      <c r="D551" s="3">
        <f t="shared" si="52"/>
        <v>627</v>
      </c>
      <c r="G551" s="3" t="s">
        <v>1675</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2652</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constants'!$B$4:$C$1012,2,FALSE),"")</f>
        <v>The Deadlands</v>
      </c>
      <c r="V551" s="33" t="s">
        <v>1555</v>
      </c>
      <c r="W551" s="3" t="s">
        <v>3270</v>
      </c>
      <c r="X551" s="3" t="s">
        <v>3270</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3218</v>
      </c>
      <c r="AC551" s="41" t="s">
        <v>3227</v>
      </c>
      <c r="AD551" s="41" t="s">
        <v>3228</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1555</v>
      </c>
      <c r="AI551" s="41" t="s">
        <v>3235</v>
      </c>
      <c r="AJ551" s="41" t="s">
        <v>3287</v>
      </c>
      <c r="AK551" s="3">
        <f>IF(AND(G551&lt;&gt;"LIBSETS_SETTYPE_BATTLEGROUND",G551&lt;&gt;"LIBSETS_SETTYPE_SPECIAL"),IF(AL551&lt;&gt;"",VLOOKUP(AL551,'ESO zone constants'!$D$5:$H$4955,5,FALSE),""),"")</f>
        <v>0</v>
      </c>
      <c r="AL551" t="s">
        <v>2224</v>
      </c>
      <c r="AM551" s="33" t="s">
        <v>3264</v>
      </c>
      <c r="AN551" s="41" t="s">
        <v>3236</v>
      </c>
      <c r="AO551" s="41" t="s">
        <v>3237</v>
      </c>
      <c r="AP551" s="3">
        <f>IF(AND(G551&lt;&gt;"LIBSETS_SETTYPE_BATTLEGROUND",G551&lt;&gt;"LIBSETS_SETTYPE_SPECIAL"),IF(AQ551&lt;&gt;"",VLOOKUP(AQ551,'ESO zone constants'!$D$5:$H$4955,5,FALSE),""),"")</f>
        <v>0</v>
      </c>
      <c r="AQ551" t="s">
        <v>2224</v>
      </c>
      <c r="AR551" s="33" t="s">
        <v>3264</v>
      </c>
      <c r="AS551" s="41" t="s">
        <v>3238</v>
      </c>
      <c r="AT551" s="41" t="s">
        <v>3238</v>
      </c>
      <c r="AU551" s="3" t="str">
        <f>IF(AND(G551&lt;&gt;"LIBSETS_SETTYPE_BATTLEGROUND",G551&lt;&gt;"LIBSETS_SETTYPE_SPECIAL"),IF(AV551&lt;&gt;"",VLOOKUP(AV551,'ESO zone constants'!$D$5:$H$4955,5,FALSE),""),"")</f>
        <v/>
      </c>
      <c r="AX551" s="41"/>
      <c r="AY551" s="41"/>
      <c r="AZ551" s="85"/>
      <c r="BA551" s="36" t="s">
        <v>3269</v>
      </c>
      <c r="BB551" s="36" t="s">
        <v>3269</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2728</v>
      </c>
      <c r="C552" t="s">
        <v>2714</v>
      </c>
      <c r="D552" s="3">
        <f t="shared" si="52"/>
        <v>629</v>
      </c>
      <c r="G552" s="8" t="s">
        <v>1471</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2706</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constants'!$B$4:$C$1012,2,FALSE),"")</f>
        <v>Ascending Tide</v>
      </c>
      <c r="V552" s="33" t="s">
        <v>1535</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3728</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2760</v>
      </c>
      <c r="AK552" s="3">
        <f>IF(AND(G552&lt;&gt;"LIBSETS_SETTYPE_BATTLEGROUND",G552&lt;&gt;"LIBSETS_SETTYPE_SPECIAL"),IF(AL552&lt;&gt;"",VLOOKUP(AL552,'ESO zone constants'!$D$5:$H$4955,5,FALSE),""),"")</f>
        <v>181</v>
      </c>
      <c r="AL552" t="s">
        <v>125</v>
      </c>
      <c r="AM552" s="33" t="s">
        <v>3731</v>
      </c>
      <c r="AP552" s="3">
        <f>IF(AND(G552&lt;&gt;"LIBSETS_SETTYPE_BATTLEGROUND",G552&lt;&gt;"LIBSETS_SETTYPE_SPECIAL"),IF(AQ552&lt;&gt;"",VLOOKUP(AQ552,'ESO zone constants'!$D$5:$H$4955,5,FALSE),""),"")</f>
        <v>181</v>
      </c>
      <c r="AQ552" t="s">
        <v>125</v>
      </c>
      <c r="AR552" s="33" t="s">
        <v>1554</v>
      </c>
      <c r="AU552" s="3">
        <f>IF(AND(G552&lt;&gt;"LIBSETS_SETTYPE_BATTLEGROUND",G552&lt;&gt;"LIBSETS_SETTYPE_SPECIAL"),IF(AV552&lt;&gt;"",VLOOKUP(AV552,'ESO zone constants'!$D$5:$H$4955,5,FALSE),""),"")</f>
        <v>181</v>
      </c>
      <c r="AV552" t="s">
        <v>125</v>
      </c>
      <c r="AW552" s="33" t="s">
        <v>3231</v>
      </c>
      <c r="AZ552" s="78" t="s">
        <v>2649</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2729</v>
      </c>
      <c r="C553" t="s">
        <v>2715</v>
      </c>
      <c r="D553" s="3">
        <f t="shared" si="52"/>
        <v>630</v>
      </c>
      <c r="G553" s="8" t="s">
        <v>1471</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2706</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constants'!$B$4:$C$1012,2,FALSE),"")</f>
        <v>Ascending Tide</v>
      </c>
      <c r="V553" s="33" t="s">
        <v>1535</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3728</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2760</v>
      </c>
      <c r="AK553" s="3">
        <f>IF(AND(G553&lt;&gt;"LIBSETS_SETTYPE_BATTLEGROUND",G553&lt;&gt;"LIBSETS_SETTYPE_SPECIAL"),IF(AL553&lt;&gt;"",VLOOKUP(AL553,'ESO zone constants'!$D$5:$H$4955,5,FALSE),""),"")</f>
        <v>181</v>
      </c>
      <c r="AL553" t="s">
        <v>125</v>
      </c>
      <c r="AM553" s="33" t="s">
        <v>3731</v>
      </c>
      <c r="AP553" s="3">
        <f>IF(AND(G553&lt;&gt;"LIBSETS_SETTYPE_BATTLEGROUND",G553&lt;&gt;"LIBSETS_SETTYPE_SPECIAL"),IF(AQ553&lt;&gt;"",VLOOKUP(AQ553,'ESO zone constants'!$D$5:$H$4955,5,FALSE),""),"")</f>
        <v>181</v>
      </c>
      <c r="AQ553" t="s">
        <v>125</v>
      </c>
      <c r="AR553" s="33" t="s">
        <v>1554</v>
      </c>
      <c r="AU553" s="3">
        <f>IF(AND(G553&lt;&gt;"LIBSETS_SETTYPE_BATTLEGROUND",G553&lt;&gt;"LIBSETS_SETTYPE_SPECIAL"),IF(AV553&lt;&gt;"",VLOOKUP(AV553,'ESO zone constants'!$D$5:$H$4955,5,FALSE),""),"")</f>
        <v>181</v>
      </c>
      <c r="AV553" t="s">
        <v>125</v>
      </c>
      <c r="AW553" s="33" t="s">
        <v>3231</v>
      </c>
      <c r="AZ553" s="78" t="s">
        <v>2649</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2730</v>
      </c>
      <c r="C554" t="s">
        <v>2716</v>
      </c>
      <c r="D554" s="3">
        <f t="shared" si="52"/>
        <v>631</v>
      </c>
      <c r="G554" s="8" t="s">
        <v>1471</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2706</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constants'!$B$4:$C$1012,2,FALSE),"")</f>
        <v>Ascending Tide</v>
      </c>
      <c r="V554" s="33" t="s">
        <v>1535</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3728</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2760</v>
      </c>
      <c r="AK554" s="3">
        <f>IF(AND(G554&lt;&gt;"LIBSETS_SETTYPE_BATTLEGROUND",G554&lt;&gt;"LIBSETS_SETTYPE_SPECIAL"),IF(AL554&lt;&gt;"",VLOOKUP(AL554,'ESO zone constants'!$D$5:$H$4955,5,FALSE),""),"")</f>
        <v>181</v>
      </c>
      <c r="AL554" t="s">
        <v>125</v>
      </c>
      <c r="AM554" s="33" t="s">
        <v>3731</v>
      </c>
      <c r="AP554" s="3">
        <f>IF(AND(G554&lt;&gt;"LIBSETS_SETTYPE_BATTLEGROUND",G554&lt;&gt;"LIBSETS_SETTYPE_SPECIAL"),IF(AQ554&lt;&gt;"",VLOOKUP(AQ554,'ESO zone constants'!$D$5:$H$4955,5,FALSE),""),"")</f>
        <v>181</v>
      </c>
      <c r="AQ554" t="s">
        <v>125</v>
      </c>
      <c r="AR554" s="33" t="s">
        <v>1554</v>
      </c>
      <c r="AU554" s="3">
        <f>IF(AND(G554&lt;&gt;"LIBSETS_SETTYPE_BATTLEGROUND",G554&lt;&gt;"LIBSETS_SETTYPE_SPECIAL"),IF(AV554&lt;&gt;"",VLOOKUP(AV554,'ESO zone constants'!$D$5:$H$4955,5,FALSE),""),"")</f>
        <v>181</v>
      </c>
      <c r="AV554" t="s">
        <v>125</v>
      </c>
      <c r="AW554" s="33" t="s">
        <v>3231</v>
      </c>
      <c r="AZ554" s="78" t="s">
        <v>2649</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2711</v>
      </c>
      <c r="C555" t="s">
        <v>2711</v>
      </c>
      <c r="D555" s="3">
        <f t="shared" si="52"/>
        <v>632</v>
      </c>
      <c r="G555" s="8" t="s">
        <v>1475</v>
      </c>
      <c r="H555" s="86">
        <v>3</v>
      </c>
      <c r="I555" t="s">
        <v>1462</v>
      </c>
      <c r="J555" t="s">
        <v>91</v>
      </c>
      <c r="K555">
        <v>497</v>
      </c>
      <c r="L555">
        <v>497</v>
      </c>
      <c r="M555">
        <v>497</v>
      </c>
      <c r="O555" s="61" t="s">
        <v>2708</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constants'!$B$4:$C$1012,2,FALSE),"")</f>
        <v>Ascending Tide</v>
      </c>
      <c r="V555" s="33" t="s">
        <v>1538</v>
      </c>
      <c r="W555" s="3" t="s">
        <v>2751</v>
      </c>
      <c r="X555" s="3" t="s">
        <v>2751</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2713</v>
      </c>
      <c r="C556" t="s">
        <v>2713</v>
      </c>
      <c r="D556" s="3">
        <f t="shared" si="52"/>
        <v>633</v>
      </c>
      <c r="G556" s="8" t="s">
        <v>1475</v>
      </c>
      <c r="H556" s="86">
        <v>3</v>
      </c>
      <c r="I556" t="s">
        <v>1462</v>
      </c>
      <c r="J556" t="s">
        <v>91</v>
      </c>
      <c r="K556">
        <v>498</v>
      </c>
      <c r="L556">
        <v>498</v>
      </c>
      <c r="M556">
        <v>498</v>
      </c>
      <c r="O556" s="61" t="s">
        <v>2720</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constants'!$B$4:$C$1012,2,FALSE),"")</f>
        <v>Ascending Tide</v>
      </c>
      <c r="V556" s="33" t="s">
        <v>1538</v>
      </c>
      <c r="W556" s="3" t="s">
        <v>2713</v>
      </c>
      <c r="X556" s="3" t="s">
        <v>2713</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2717</v>
      </c>
      <c r="C557" t="s">
        <v>2717</v>
      </c>
      <c r="D557" s="3">
        <f t="shared" si="52"/>
        <v>634</v>
      </c>
      <c r="F557" t="s">
        <v>2753</v>
      </c>
      <c r="G557" s="8" t="s">
        <v>2752</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2706</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constants'!$B$4:$C$1012,2,FALSE),"")</f>
        <v>Ascending Tide</v>
      </c>
      <c r="V557" s="33" t="s">
        <v>1538</v>
      </c>
      <c r="W557" s="3" t="s">
        <v>3866</v>
      </c>
      <c r="X557" s="3" t="s">
        <v>3873</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2756</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2649</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2731</v>
      </c>
      <c r="C558" t="s">
        <v>2718</v>
      </c>
      <c r="D558" s="3">
        <f t="shared" si="52"/>
        <v>635</v>
      </c>
      <c r="F558" t="s">
        <v>2753</v>
      </c>
      <c r="G558" s="8" t="s">
        <v>2752</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2706</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constants'!$B$4:$C$1012,2,FALSE),"")</f>
        <v>Ascending Tide</v>
      </c>
      <c r="V558" s="33" t="s">
        <v>1538</v>
      </c>
      <c r="W558" s="3" t="s">
        <v>3865</v>
      </c>
      <c r="X558" s="3" t="s">
        <v>3874</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2756</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2649</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2719</v>
      </c>
      <c r="C559" t="s">
        <v>2719</v>
      </c>
      <c r="D559" s="3">
        <f t="shared" si="52"/>
        <v>636</v>
      </c>
      <c r="E559" s="40"/>
      <c r="F559" t="s">
        <v>2753</v>
      </c>
      <c r="G559" s="8" t="s">
        <v>2752</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2706</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constants'!$B$4:$C$1012,2,FALSE),"")</f>
        <v>Ascending Tide</v>
      </c>
      <c r="V559" s="33" t="s">
        <v>1538</v>
      </c>
      <c r="W559" s="3" t="s">
        <v>3864</v>
      </c>
      <c r="X559" s="3" t="s">
        <v>3875</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2756</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2649</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93">
        <v>640</v>
      </c>
      <c r="B560" t="s">
        <v>3422</v>
      </c>
      <c r="C560" t="s">
        <v>3365</v>
      </c>
      <c r="D560" s="3">
        <f t="shared" si="52"/>
        <v>640</v>
      </c>
      <c r="G560" s="3" t="s">
        <v>1470</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constants'!$B$4:$C$1012,2,FALSE),"")</f>
        <v>Included in base game</v>
      </c>
      <c r="V560" s="33" t="s">
        <v>3283</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3283</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3283</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93">
        <v>641</v>
      </c>
      <c r="B561" t="s">
        <v>3423</v>
      </c>
      <c r="C561" s="86" t="s">
        <v>3948</v>
      </c>
      <c r="D561" s="3">
        <f t="shared" si="52"/>
        <v>641</v>
      </c>
      <c r="G561" s="3" t="s">
        <v>1470</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constants'!$B$4:$C$1012,2,FALSE),"")</f>
        <v>Included in base game</v>
      </c>
      <c r="V561" s="33" t="s">
        <v>3283</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3283</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3283</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93">
        <v>642</v>
      </c>
      <c r="B562" t="s">
        <v>3424</v>
      </c>
      <c r="C562" t="s">
        <v>3366</v>
      </c>
      <c r="D562" s="3">
        <f t="shared" si="52"/>
        <v>642</v>
      </c>
      <c r="G562" s="3" t="s">
        <v>1470</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constants'!$B$4:$C$1012,2,FALSE),"")</f>
        <v>Included in base game</v>
      </c>
      <c r="V562" s="33" t="s">
        <v>3283</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3283</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3283</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93">
        <v>643</v>
      </c>
      <c r="B563" t="s">
        <v>3425</v>
      </c>
      <c r="C563" t="s">
        <v>3367</v>
      </c>
      <c r="D563" s="3">
        <f t="shared" si="52"/>
        <v>643</v>
      </c>
      <c r="G563" s="3" t="s">
        <v>1476</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constants'!$B$4:$C$1012,2,FALSE),"")</f>
        <v>Included in base game</v>
      </c>
      <c r="V563" s="33" t="s">
        <v>1555</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1554</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1557</v>
      </c>
      <c r="AK563" s="3">
        <f>IF(AND(G563&lt;&gt;"LIBSETS_SETTYPE_BATTLEGROUND",G563&lt;&gt;"LIBSETS_SETTYPE_SPECIAL"),IF(AL563&lt;&gt;"",VLOOKUP(AL563,'ESO zone constants'!$D$5:$H$4955,5,FALSE),""),"")</f>
        <v>1318</v>
      </c>
      <c r="AL563" t="s">
        <v>3322</v>
      </c>
      <c r="AM563" s="33" t="s">
        <v>1556</v>
      </c>
      <c r="AP563" s="3">
        <f>IF(AND(G563&lt;&gt;"LIBSETS_SETTYPE_BATTLEGROUND",G563&lt;&gt;"LIBSETS_SETTYPE_SPECIAL"),IF(AQ563&lt;&gt;"",VLOOKUP(AQ563,'ESO zone constants'!$D$5:$H$4955,5,FALSE),""),"")</f>
        <v>1318</v>
      </c>
      <c r="AQ563" t="s">
        <v>3322</v>
      </c>
      <c r="AR563" s="33" t="s">
        <v>3218</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93">
        <v>644</v>
      </c>
      <c r="B564" t="s">
        <v>3426</v>
      </c>
      <c r="C564" t="s">
        <v>3368</v>
      </c>
      <c r="D564" s="3">
        <f t="shared" si="52"/>
        <v>644</v>
      </c>
      <c r="G564" s="3" t="s">
        <v>1476</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constants'!$B$4:$C$1012,2,FALSE),"")</f>
        <v>Included in base game</v>
      </c>
      <c r="V564" s="33" t="s">
        <v>1555</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1554</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1557</v>
      </c>
      <c r="AK564" s="3">
        <f>IF(AND(G564&lt;&gt;"LIBSETS_SETTYPE_BATTLEGROUND",G564&lt;&gt;"LIBSETS_SETTYPE_SPECIAL"),IF(AL564&lt;&gt;"",VLOOKUP(AL564,'ESO zone constants'!$D$5:$H$4955,5,FALSE),""),"")</f>
        <v>1318</v>
      </c>
      <c r="AL564" t="s">
        <v>3322</v>
      </c>
      <c r="AM564" s="33" t="s">
        <v>1556</v>
      </c>
      <c r="AP564" s="3">
        <f>IF(AND(G564&lt;&gt;"LIBSETS_SETTYPE_BATTLEGROUND",G564&lt;&gt;"LIBSETS_SETTYPE_SPECIAL"),IF(AQ564&lt;&gt;"",VLOOKUP(AQ564,'ESO zone constants'!$D$5:$H$4955,5,FALSE),""),"")</f>
        <v>1318</v>
      </c>
      <c r="AQ564" t="s">
        <v>3322</v>
      </c>
      <c r="AR564" s="33" t="s">
        <v>3218</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93">
        <v>645</v>
      </c>
      <c r="B565" t="s">
        <v>3427</v>
      </c>
      <c r="C565" t="s">
        <v>3369</v>
      </c>
      <c r="D565" s="3">
        <f t="shared" si="52"/>
        <v>645</v>
      </c>
      <c r="G565" s="3" t="s">
        <v>1476</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constants'!$B$4:$C$1012,2,FALSE),"")</f>
        <v>Included in base game</v>
      </c>
      <c r="V565" s="33" t="s">
        <v>1555</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1554</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1557</v>
      </c>
      <c r="AK565" s="3">
        <f>IF(AND(G565&lt;&gt;"LIBSETS_SETTYPE_BATTLEGROUND",G565&lt;&gt;"LIBSETS_SETTYPE_SPECIAL"),IF(AL565&lt;&gt;"",VLOOKUP(AL565,'ESO zone constants'!$D$5:$H$4955,5,FALSE),""),"")</f>
        <v>1318</v>
      </c>
      <c r="AL565" t="s">
        <v>3322</v>
      </c>
      <c r="AM565" s="33" t="s">
        <v>1556</v>
      </c>
      <c r="AP565" s="3">
        <f>IF(AND(G565&lt;&gt;"LIBSETS_SETTYPE_BATTLEGROUND",G565&lt;&gt;"LIBSETS_SETTYPE_SPECIAL"),IF(AQ565&lt;&gt;"",VLOOKUP(AQ565,'ESO zone constants'!$D$5:$H$4955,5,FALSE),""),"")</f>
        <v>1318</v>
      </c>
      <c r="AQ565" t="s">
        <v>3322</v>
      </c>
      <c r="AR565" s="33" t="s">
        <v>3218</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3428</v>
      </c>
      <c r="C566" t="s">
        <v>3370</v>
      </c>
      <c r="D566" s="3">
        <f t="shared" si="52"/>
        <v>646</v>
      </c>
      <c r="G566" s="3" t="s">
        <v>1477</v>
      </c>
      <c r="I566" t="s">
        <v>91</v>
      </c>
      <c r="J566" t="s">
        <v>91</v>
      </c>
      <c r="K566">
        <v>505</v>
      </c>
      <c r="L566">
        <v>505</v>
      </c>
      <c r="M566">
        <v>505</v>
      </c>
      <c r="O566" s="61" t="s">
        <v>3344</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constants'!$B$4:$C$1012,2,FALSE),"")</f>
        <v>High Isle</v>
      </c>
      <c r="V566" s="33" t="s">
        <v>3261</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3261</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3261</v>
      </c>
      <c r="AK566" s="3"/>
      <c r="AU566" s="3" t="str">
        <f>IF(AND(G566&lt;&gt;"LIBSETS_SETTYPE_BATTLEGROUND",G566&lt;&gt;"LIBSETS_SETTYPE_SPECIAL"),IF(AV566&lt;&gt;"",VLOOKUP(AV566,'ESO zone constants'!$D$5:$H$4955,5,FALSE),""),"")</f>
        <v/>
      </c>
      <c r="BD566" s="96">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3429</v>
      </c>
      <c r="C567" t="s">
        <v>3371</v>
      </c>
      <c r="D567" s="3">
        <f t="shared" si="52"/>
        <v>647</v>
      </c>
      <c r="G567" s="3" t="s">
        <v>1477</v>
      </c>
      <c r="I567" t="s">
        <v>91</v>
      </c>
      <c r="J567" t="s">
        <v>91</v>
      </c>
      <c r="K567">
        <v>505</v>
      </c>
      <c r="L567">
        <v>505</v>
      </c>
      <c r="M567">
        <v>505</v>
      </c>
      <c r="O567" s="61" t="s">
        <v>3344</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constants'!$B$4:$C$1012,2,FALSE),"")</f>
        <v>High Isle</v>
      </c>
      <c r="V567" s="33" t="s">
        <v>3261</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3261</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3261</v>
      </c>
      <c r="AK567" s="3"/>
      <c r="AU567" s="3" t="str">
        <f>IF(AND(G567&lt;&gt;"LIBSETS_SETTYPE_BATTLEGROUND",G567&lt;&gt;"LIBSETS_SETTYPE_SPECIAL"),IF(AV567&lt;&gt;"",VLOOKUP(AV567,'ESO zone constants'!$D$5:$H$4955,5,FALSE),""),"")</f>
        <v/>
      </c>
      <c r="BD567" s="96">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3430</v>
      </c>
      <c r="C568" t="s">
        <v>3372</v>
      </c>
      <c r="D568" s="3">
        <f t="shared" si="52"/>
        <v>648</v>
      </c>
      <c r="G568" s="3" t="s">
        <v>1477</v>
      </c>
      <c r="I568" t="s">
        <v>91</v>
      </c>
      <c r="J568" t="s">
        <v>91</v>
      </c>
      <c r="K568">
        <v>505</v>
      </c>
      <c r="L568">
        <v>505</v>
      </c>
      <c r="M568">
        <v>505</v>
      </c>
      <c r="O568" s="61" t="s">
        <v>3344</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constants'!$B$4:$C$1012,2,FALSE),"")</f>
        <v>High Isle</v>
      </c>
      <c r="V568" s="33" t="s">
        <v>3261</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3261</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3261</v>
      </c>
      <c r="AK568" s="3"/>
      <c r="AU568" s="3" t="str">
        <f>IF(AND(G568&lt;&gt;"LIBSETS_SETTYPE_BATTLEGROUND",G568&lt;&gt;"LIBSETS_SETTYPE_SPECIAL"),IF(AV568&lt;&gt;"",VLOOKUP(AV568,'ESO zone constants'!$D$5:$H$4955,5,FALSE),""),"")</f>
        <v/>
      </c>
      <c r="BD568" s="96">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3431</v>
      </c>
      <c r="C569" t="s">
        <v>3373</v>
      </c>
      <c r="D569" s="3">
        <f t="shared" si="52"/>
        <v>649</v>
      </c>
      <c r="G569" s="3" t="s">
        <v>1477</v>
      </c>
      <c r="I569" t="s">
        <v>91</v>
      </c>
      <c r="J569" t="s">
        <v>91</v>
      </c>
      <c r="K569">
        <v>505</v>
      </c>
      <c r="L569">
        <v>505</v>
      </c>
      <c r="M569">
        <v>505</v>
      </c>
      <c r="O569" s="61" t="s">
        <v>3344</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constants'!$B$4:$C$1012,2,FALSE),"")</f>
        <v>High Isle</v>
      </c>
      <c r="V569" s="33" t="s">
        <v>3261</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3261</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3261</v>
      </c>
      <c r="AK569" s="3"/>
      <c r="AU569" s="3" t="str">
        <f>IF(AND(G569&lt;&gt;"LIBSETS_SETTYPE_BATTLEGROUND",G569&lt;&gt;"LIBSETS_SETTYPE_SPECIAL"),IF(AV569&lt;&gt;"",VLOOKUP(AV569,'ESO zone constants'!$D$5:$H$4955,5,FALSE),""),"")</f>
        <v/>
      </c>
      <c r="BD569" s="96">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3432</v>
      </c>
      <c r="C570" s="86" t="s">
        <v>3947</v>
      </c>
      <c r="D570" s="3">
        <f t="shared" si="52"/>
        <v>650</v>
      </c>
      <c r="G570" s="3" t="s">
        <v>1477</v>
      </c>
      <c r="I570" t="s">
        <v>92</v>
      </c>
      <c r="J570" t="s">
        <v>91</v>
      </c>
      <c r="K570">
        <v>505</v>
      </c>
      <c r="L570">
        <v>505</v>
      </c>
      <c r="M570">
        <v>505</v>
      </c>
      <c r="O570" s="61" t="s">
        <v>3344</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constants'!$B$4:$C$1012,2,FALSE),"")</f>
        <v>High Isle</v>
      </c>
      <c r="V570" s="33" t="s">
        <v>3261</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3261</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3261</v>
      </c>
      <c r="AK570" s="3"/>
      <c r="AU570" s="3" t="str">
        <f>IF(AND(G570&lt;&gt;"LIBSETS_SETTYPE_BATTLEGROUND",G570&lt;&gt;"LIBSETS_SETTYPE_SPECIAL"),IF(AV570&lt;&gt;"",VLOOKUP(AV570,'ESO zone constants'!$D$5:$H$4955,5,FALSE),""),"")</f>
        <v/>
      </c>
      <c r="BD570" s="96" t="s">
        <v>3823</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3433</v>
      </c>
      <c r="C571" t="s">
        <v>3374</v>
      </c>
      <c r="D571" s="3">
        <f t="shared" si="52"/>
        <v>651</v>
      </c>
      <c r="G571" s="3" t="s">
        <v>1477</v>
      </c>
      <c r="I571" t="s">
        <v>92</v>
      </c>
      <c r="J571" t="s">
        <v>91</v>
      </c>
      <c r="K571">
        <v>505</v>
      </c>
      <c r="L571">
        <v>505</v>
      </c>
      <c r="M571">
        <v>505</v>
      </c>
      <c r="O571" s="61" t="s">
        <v>3344</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constants'!$B$4:$C$1012,2,FALSE),"")</f>
        <v>High Isle</v>
      </c>
      <c r="V571" s="33" t="s">
        <v>3261</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3261</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3261</v>
      </c>
      <c r="AK571" s="3"/>
      <c r="AU571" s="3" t="str">
        <f>IF(AND(G571&lt;&gt;"LIBSETS_SETTYPE_BATTLEGROUND",G571&lt;&gt;"LIBSETS_SETTYPE_SPECIAL"),IF(AV571&lt;&gt;"",VLOOKUP(AV571,'ESO zone constants'!$D$5:$H$4955,5,FALSE),""),"")</f>
        <v/>
      </c>
      <c r="BD571" s="96" t="s">
        <v>3823</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3434</v>
      </c>
      <c r="C572" t="s">
        <v>3375</v>
      </c>
      <c r="D572" s="3">
        <f t="shared" si="52"/>
        <v>652</v>
      </c>
      <c r="G572" s="3" t="s">
        <v>1477</v>
      </c>
      <c r="I572" t="s">
        <v>92</v>
      </c>
      <c r="J572" t="s">
        <v>91</v>
      </c>
      <c r="K572">
        <v>505</v>
      </c>
      <c r="L572">
        <v>505</v>
      </c>
      <c r="M572">
        <v>505</v>
      </c>
      <c r="O572" s="61" t="s">
        <v>3344</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constants'!$B$4:$C$1012,2,FALSE),"")</f>
        <v>High Isle</v>
      </c>
      <c r="V572" s="33" t="s">
        <v>3261</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3261</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3261</v>
      </c>
      <c r="AK572" s="3"/>
      <c r="AU572" s="3" t="str">
        <f>IF(AND(G572&lt;&gt;"LIBSETS_SETTYPE_BATTLEGROUND",G572&lt;&gt;"LIBSETS_SETTYPE_SPECIAL"),IF(AV572&lt;&gt;"",VLOOKUP(AV572,'ESO zone constants'!$D$5:$H$4955,5,FALSE),""),"")</f>
        <v/>
      </c>
      <c r="BD572" s="96" t="s">
        <v>3823</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3435</v>
      </c>
      <c r="C573" t="s">
        <v>3376</v>
      </c>
      <c r="D573" s="3">
        <f t="shared" si="52"/>
        <v>653</v>
      </c>
      <c r="G573" s="3" t="s">
        <v>1477</v>
      </c>
      <c r="I573" t="s">
        <v>92</v>
      </c>
      <c r="J573" t="s">
        <v>91</v>
      </c>
      <c r="K573">
        <v>505</v>
      </c>
      <c r="L573">
        <v>505</v>
      </c>
      <c r="M573">
        <v>505</v>
      </c>
      <c r="O573" s="61" t="s">
        <v>3344</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constants'!$B$4:$C$1012,2,FALSE),"")</f>
        <v>High Isle</v>
      </c>
      <c r="V573" s="33" t="s">
        <v>3261</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3261</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3261</v>
      </c>
      <c r="AK573" s="3"/>
      <c r="AU573" s="3" t="str">
        <f>IF(AND(G573&lt;&gt;"LIBSETS_SETTYPE_BATTLEGROUND",G573&lt;&gt;"LIBSETS_SETTYPE_SPECIAL"),IF(AV573&lt;&gt;"",VLOOKUP(AV573,'ESO zone constants'!$D$5:$H$4955,5,FALSE),""),"")</f>
        <v/>
      </c>
      <c r="BD573" s="96" t="s">
        <v>3823</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3436</v>
      </c>
      <c r="C574" s="86" t="s">
        <v>3483</v>
      </c>
      <c r="D574" s="3">
        <f t="shared" si="52"/>
        <v>654</v>
      </c>
      <c r="G574" s="95" t="s">
        <v>1675</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3323</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constants'!$B$4:$C$1012,2,FALSE),"")</f>
        <v>High Isle</v>
      </c>
      <c r="V574" s="33" t="s">
        <v>3264</v>
      </c>
      <c r="W574" s="3" t="s">
        <v>3485</v>
      </c>
      <c r="X574" s="3" t="s">
        <v>3486</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3547</v>
      </c>
      <c r="AC574" s="3" t="s">
        <v>3860</v>
      </c>
      <c r="AD574" s="3" t="s">
        <v>3490</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3264</v>
      </c>
      <c r="AI574" s="3" t="s">
        <v>3491</v>
      </c>
      <c r="AJ574" s="3" t="s">
        <v>3492</v>
      </c>
      <c r="AK574" s="3">
        <f>IF(AND(G574&lt;&gt;"LIBSETS_SETTYPE_BATTLEGROUND",G574&lt;&gt;"LIBSETS_SETTYPE_SPECIAL"),IF(AL574&lt;&gt;"",VLOOKUP(AL574,'ESO zone constants'!$D$5:$H$4955,5,FALSE),""),"")</f>
        <v>1286</v>
      </c>
      <c r="AL574" t="s">
        <v>2438</v>
      </c>
      <c r="AM574" s="33" t="s">
        <v>3588</v>
      </c>
      <c r="AN574" s="3" t="s">
        <v>3594</v>
      </c>
      <c r="AO574" s="3" t="s">
        <v>3595</v>
      </c>
      <c r="AP574" s="3">
        <f>IF(AND(G574&lt;&gt;"LIBSETS_SETTYPE_BATTLEGROUND",G574&lt;&gt;"LIBSETS_SETTYPE_SPECIAL"),IF(AQ574&lt;&gt;"",VLOOKUP(AQ574,'ESO zone constants'!$D$5:$H$4955,5,FALSE),""),"")</f>
        <v>678</v>
      </c>
      <c r="AQ574" t="s">
        <v>52</v>
      </c>
      <c r="AR574" s="33" t="s">
        <v>3280</v>
      </c>
      <c r="AS574" s="3" t="s">
        <v>3493</v>
      </c>
      <c r="AT574" s="3" t="s">
        <v>3494</v>
      </c>
      <c r="AU574" s="3" t="str">
        <f>IF(AND(G574&lt;&gt;"LIBSETS_SETTYPE_BATTLEGROUND",G574&lt;&gt;"LIBSETS_SETTYPE_SPECIAL"),IF(AV574&lt;&gt;"",VLOOKUP(AV574,'ESO zone constants'!$D$5:$H$4955,5,FALSE),""),"")</f>
        <v/>
      </c>
      <c r="BA574" s="96" t="s">
        <v>3508</v>
      </c>
      <c r="BB574" s="96" t="s">
        <v>3508</v>
      </c>
      <c r="BC574" s="96"/>
      <c r="BD574" s="96"/>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3437</v>
      </c>
      <c r="C575" s="86" t="s">
        <v>3377</v>
      </c>
      <c r="D575" s="3">
        <f t="shared" si="52"/>
        <v>655</v>
      </c>
      <c r="G575" s="95" t="s">
        <v>1675</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3323</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constants'!$B$4:$C$1012,2,FALSE),"")</f>
        <v>High Isle</v>
      </c>
      <c r="V575" s="33" t="s">
        <v>3218</v>
      </c>
      <c r="W575" s="3" t="s">
        <v>3227</v>
      </c>
      <c r="X575" s="3" t="s">
        <v>3228</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3218</v>
      </c>
      <c r="AC575" s="3" t="s">
        <v>3495</v>
      </c>
      <c r="AD575" s="3" t="s">
        <v>3496</v>
      </c>
      <c r="AF575" s="3">
        <v>1121</v>
      </c>
      <c r="AG575" t="s">
        <v>1343</v>
      </c>
      <c r="AH575" s="33" t="s">
        <v>3264</v>
      </c>
      <c r="AI575" s="3" t="s">
        <v>3497</v>
      </c>
      <c r="AJ575" s="3" t="s">
        <v>3498</v>
      </c>
      <c r="AK575" s="3">
        <f>IF(AND(G575&lt;&gt;"LIBSETS_SETTYPE_BATTLEGROUND",G575&lt;&gt;"LIBSETS_SETTYPE_SPECIAL"),IF(AL575&lt;&gt;"",VLOOKUP(AL575,'ESO zone constants'!$D$5:$H$4955,5,FALSE),""),"")</f>
        <v>1123</v>
      </c>
      <c r="AL575" t="s">
        <v>1483</v>
      </c>
      <c r="AM575" s="33" t="s">
        <v>3280</v>
      </c>
      <c r="AN575" s="3" t="s">
        <v>1504</v>
      </c>
      <c r="AO575" s="3" t="s">
        <v>1504</v>
      </c>
      <c r="AP575" s="3">
        <f>IF(AND(G575&lt;&gt;"LIBSETS_SETTYPE_BATTLEGROUND",G575&lt;&gt;"LIBSETS_SETTYPE_SPECIAL"),IF(AQ575&lt;&gt;"",VLOOKUP(AQ575,'ESO zone constants'!$D$5:$H$4955,5,FALSE),""),"")</f>
        <v>1122</v>
      </c>
      <c r="AQ575" t="s">
        <v>1482</v>
      </c>
      <c r="AR575" s="33" t="s">
        <v>3264</v>
      </c>
      <c r="AS575" s="3" t="s">
        <v>3499</v>
      </c>
      <c r="AT575" s="3" t="s">
        <v>3500</v>
      </c>
      <c r="AU575" s="3" t="str">
        <f>IF(AND(G575&lt;&gt;"LIBSETS_SETTYPE_BATTLEGROUND",G575&lt;&gt;"LIBSETS_SETTYPE_SPECIAL"),IF(AV575&lt;&gt;"",VLOOKUP(AV575,'ESO zone constants'!$D$5:$H$4955,5,FALSE),""),"")</f>
        <v/>
      </c>
      <c r="BA575" s="96" t="s">
        <v>3509</v>
      </c>
      <c r="BB575" s="96" t="s">
        <v>3509</v>
      </c>
      <c r="BC575" s="96"/>
      <c r="BD575" s="96"/>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3438</v>
      </c>
      <c r="C576" s="86" t="s">
        <v>3501</v>
      </c>
      <c r="D576" s="3">
        <f t="shared" si="52"/>
        <v>656</v>
      </c>
      <c r="G576" s="95" t="s">
        <v>1675</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3323</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constants'!$B$4:$C$1012,2,FALSE),"")</f>
        <v>High Isle</v>
      </c>
      <c r="V576" s="33" t="s">
        <v>3264</v>
      </c>
      <c r="W576" s="3" t="s">
        <v>3502</v>
      </c>
      <c r="X576" s="3" t="s">
        <v>3503</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1555</v>
      </c>
      <c r="AC576" s="3" t="s">
        <v>3504</v>
      </c>
      <c r="AD576" s="3" t="s">
        <v>3505</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1557</v>
      </c>
      <c r="AK576" s="3">
        <f>IF(AND(G576&lt;&gt;"LIBSETS_SETTYPE_BATTLEGROUND",G576&lt;&gt;"LIBSETS_SETTYPE_SPECIAL"),IF(AL576&lt;&gt;"",VLOOKUP(AL576,'ESO zone constants'!$D$5:$H$4955,5,FALSE),""),"")</f>
        <v>0</v>
      </c>
      <c r="AL576" t="s">
        <v>2224</v>
      </c>
      <c r="AM576" s="33" t="s">
        <v>3283</v>
      </c>
      <c r="AN576" s="3" t="s">
        <v>3827</v>
      </c>
      <c r="AO576" s="3" t="s">
        <v>3828</v>
      </c>
      <c r="AP576" s="3">
        <f>IF(AND(G576&lt;&gt;"LIBSETS_SETTYPE_BATTLEGROUND",G576&lt;&gt;"LIBSETS_SETTYPE_SPECIAL"),IF(AQ576&lt;&gt;"",VLOOKUP(AQ576,'ESO zone constants'!$D$5:$H$4955,5,FALSE),""),"")</f>
        <v>1011</v>
      </c>
      <c r="AQ576" t="s">
        <v>79</v>
      </c>
      <c r="AR576" s="33" t="s">
        <v>3231</v>
      </c>
      <c r="AS576" s="3" t="s">
        <v>3506</v>
      </c>
      <c r="AT576" s="3" t="s">
        <v>3507</v>
      </c>
      <c r="AU576" s="3" t="str">
        <f>IF(AND(G576&lt;&gt;"LIBSETS_SETTYPE_BATTLEGROUND",G576&lt;&gt;"LIBSETS_SETTYPE_SPECIAL"),IF(AV576&lt;&gt;"",VLOOKUP(AV576,'ESO zone constants'!$D$5:$H$4955,5,FALSE),""),"")</f>
        <v/>
      </c>
      <c r="BA576" s="96" t="s">
        <v>3509</v>
      </c>
      <c r="BB576" s="96" t="s">
        <v>3509</v>
      </c>
      <c r="BC576" s="96"/>
      <c r="BD576" s="96"/>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3439</v>
      </c>
      <c r="C577" s="86" t="s">
        <v>3484</v>
      </c>
      <c r="D577" s="3">
        <f t="shared" si="52"/>
        <v>657</v>
      </c>
      <c r="G577" s="95" t="s">
        <v>1675</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3323</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constants'!$B$4:$C$1012,2,FALSE),"")</f>
        <v>High Isle</v>
      </c>
      <c r="V577" s="33" t="s">
        <v>3218</v>
      </c>
      <c r="W577" s="3" t="s">
        <v>3512</v>
      </c>
      <c r="X577" s="3" t="s">
        <v>3513</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1555</v>
      </c>
      <c r="AC577" s="3" t="s">
        <v>3514</v>
      </c>
      <c r="AD577" s="3" t="s">
        <v>3515</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1555</v>
      </c>
      <c r="AI577" s="3" t="s">
        <v>3516</v>
      </c>
      <c r="AJ577" s="3" t="s">
        <v>3517</v>
      </c>
      <c r="AK577" s="3">
        <f>IF(AND(G577&lt;&gt;"LIBSETS_SETTYPE_BATTLEGROUND",G577&lt;&gt;"LIBSETS_SETTYPE_SPECIAL"),IF(AL577&lt;&gt;"",VLOOKUP(AL577,'ESO zone constants'!$D$5:$H$4955,5,FALSE),""),"")</f>
        <v>0</v>
      </c>
      <c r="AL577" t="s">
        <v>2224</v>
      </c>
      <c r="AM577" s="33" t="s">
        <v>3218</v>
      </c>
      <c r="AN577" s="3" t="s">
        <v>3518</v>
      </c>
      <c r="AO577" s="3" t="s">
        <v>3519</v>
      </c>
      <c r="AP577" s="3">
        <f>IF(AND(G577&lt;&gt;"LIBSETS_SETTYPE_BATTLEGROUND",G577&lt;&gt;"LIBSETS_SETTYPE_SPECIAL"),IF(AQ577&lt;&gt;"",VLOOKUP(AQ577,'ESO zone constants'!$D$5:$H$4955,5,FALSE),""),"")</f>
        <v>57</v>
      </c>
      <c r="AQ577" t="s">
        <v>107</v>
      </c>
      <c r="AR577" s="33" t="s">
        <v>3520</v>
      </c>
      <c r="AS577" s="3" t="s">
        <v>3521</v>
      </c>
      <c r="AT577" s="3" t="s">
        <v>3522</v>
      </c>
      <c r="AU577" s="3">
        <f>IF(AND(G577&lt;&gt;"LIBSETS_SETTYPE_BATTLEGROUND",G577&lt;&gt;"LIBSETS_SETTYPE_SPECIAL"),IF(AV577&lt;&gt;"",VLOOKUP(AV577,'ESO zone constants'!$D$5:$H$4955,5,FALSE),""),"")</f>
        <v>383</v>
      </c>
      <c r="AV577" t="s">
        <v>264</v>
      </c>
      <c r="AW577" s="33" t="s">
        <v>3520</v>
      </c>
      <c r="AX577" s="3" t="s">
        <v>3521</v>
      </c>
      <c r="AY577" s="3" t="s">
        <v>3522</v>
      </c>
      <c r="BA577" s="96" t="s">
        <v>3510</v>
      </c>
      <c r="BB577" s="96" t="s">
        <v>3510</v>
      </c>
      <c r="BC577" s="96"/>
      <c r="BD577" s="96"/>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3440</v>
      </c>
      <c r="C578" s="86" t="s">
        <v>3378</v>
      </c>
      <c r="D578" s="3">
        <f t="shared" si="52"/>
        <v>658</v>
      </c>
      <c r="G578" s="95" t="s">
        <v>1675</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3323</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constants'!$B$4:$C$1012,2,FALSE),"")</f>
        <v>High Isle</v>
      </c>
      <c r="V578" s="42" t="s">
        <v>3231</v>
      </c>
      <c r="W578" s="3" t="s">
        <v>3523</v>
      </c>
      <c r="X578" s="3" t="s">
        <v>3524</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1555</v>
      </c>
      <c r="AC578" s="3" t="s">
        <v>3525</v>
      </c>
      <c r="AD578" s="3" t="s">
        <v>3526</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3264</v>
      </c>
      <c r="AI578" s="3" t="s">
        <v>3527</v>
      </c>
      <c r="AJ578" s="3" t="s">
        <v>3528</v>
      </c>
      <c r="AK578" s="3">
        <f>IF(AND(G578&lt;&gt;"LIBSETS_SETTYPE_BATTLEGROUND",G578&lt;&gt;"LIBSETS_SETTYPE_SPECIAL"),IF(AL578&lt;&gt;"",VLOOKUP(AL578,'ESO zone constants'!$D$5:$H$4955,5,FALSE),""),"")</f>
        <v>3</v>
      </c>
      <c r="AL578" t="s">
        <v>103</v>
      </c>
      <c r="AM578" s="33" t="s">
        <v>3588</v>
      </c>
      <c r="AN578" s="3" t="s">
        <v>3596</v>
      </c>
      <c r="AO578" s="3" t="s">
        <v>3597</v>
      </c>
      <c r="AP578" s="3">
        <f>IF(AND(G578&lt;&gt;"LIBSETS_SETTYPE_BATTLEGROUND",G578&lt;&gt;"LIBSETS_SETTYPE_SPECIAL"),IF(AQ578&lt;&gt;"",VLOOKUP(AQ578,'ESO zone constants'!$D$5:$H$4955,5,FALSE),""),"")</f>
        <v>726</v>
      </c>
      <c r="AQ578" t="s">
        <v>80</v>
      </c>
      <c r="AR578" s="33" t="s">
        <v>3218</v>
      </c>
      <c r="AS578" s="3" t="s">
        <v>3529</v>
      </c>
      <c r="AT578" s="3" t="s">
        <v>3530</v>
      </c>
      <c r="AU578" s="3" t="str">
        <f>IF(AND(G578&lt;&gt;"LIBSETS_SETTYPE_BATTLEGROUND",G578&lt;&gt;"LIBSETS_SETTYPE_SPECIAL"),IF(AV578&lt;&gt;"",VLOOKUP(AV578,'ESO zone constants'!$D$5:$H$4955,5,FALSE),""),"")</f>
        <v/>
      </c>
      <c r="BA578" s="96" t="s">
        <v>3511</v>
      </c>
      <c r="BB578" s="96" t="s">
        <v>3511</v>
      </c>
      <c r="BC578" s="96"/>
      <c r="BD578" s="96"/>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3392</v>
      </c>
      <c r="C579" t="s">
        <v>3385</v>
      </c>
      <c r="D579" s="3">
        <f t="shared" ref="D579:D589" si="58">A579</f>
        <v>660</v>
      </c>
      <c r="G579" s="8" t="s">
        <v>1473</v>
      </c>
      <c r="I579" t="s">
        <v>91</v>
      </c>
      <c r="J579" t="s">
        <v>91</v>
      </c>
      <c r="K579" s="94">
        <v>520</v>
      </c>
      <c r="L579" s="94">
        <v>520</v>
      </c>
      <c r="M579" s="94">
        <v>520</v>
      </c>
      <c r="O579" s="61" t="s">
        <v>3381</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constants'!$B$4:$C$1012,2,FALSE),"")</f>
        <v>Lost Depths</v>
      </c>
      <c r="V579" s="89" t="s">
        <v>3280</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3393</v>
      </c>
      <c r="C580" t="s">
        <v>3383</v>
      </c>
      <c r="D580" s="3">
        <f t="shared" si="58"/>
        <v>661</v>
      </c>
      <c r="G580" s="8" t="s">
        <v>1473</v>
      </c>
      <c r="I580" t="s">
        <v>91</v>
      </c>
      <c r="J580" t="s">
        <v>91</v>
      </c>
      <c r="K580" s="94">
        <v>520</v>
      </c>
      <c r="L580" s="94">
        <v>520</v>
      </c>
      <c r="M580" s="94">
        <v>520</v>
      </c>
      <c r="O580" s="61" t="s">
        <v>3381</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constants'!$B$4:$C$1012,2,FALSE),"")</f>
        <v>Lost Depths</v>
      </c>
      <c r="V580" s="89" t="s">
        <v>3280</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3394</v>
      </c>
      <c r="C581" t="s">
        <v>3384</v>
      </c>
      <c r="D581" s="3">
        <f t="shared" si="58"/>
        <v>662</v>
      </c>
      <c r="G581" s="8" t="s">
        <v>1473</v>
      </c>
      <c r="I581" t="s">
        <v>91</v>
      </c>
      <c r="J581" t="s">
        <v>91</v>
      </c>
      <c r="K581" s="94">
        <v>520</v>
      </c>
      <c r="L581" s="94">
        <v>520</v>
      </c>
      <c r="M581" s="94">
        <v>520</v>
      </c>
      <c r="O581" s="61" t="s">
        <v>3381</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constants'!$B$4:$C$1012,2,FALSE),"")</f>
        <v>Lost Depths</v>
      </c>
      <c r="V581" s="89" t="s">
        <v>3280</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3395</v>
      </c>
      <c r="C582" t="s">
        <v>3388</v>
      </c>
      <c r="D582" s="3">
        <f t="shared" si="58"/>
        <v>663</v>
      </c>
      <c r="G582" s="8" t="s">
        <v>1473</v>
      </c>
      <c r="I582" t="s">
        <v>91</v>
      </c>
      <c r="J582" t="s">
        <v>91</v>
      </c>
      <c r="K582">
        <v>521</v>
      </c>
      <c r="L582">
        <v>521</v>
      </c>
      <c r="M582">
        <v>521</v>
      </c>
      <c r="O582" s="61" t="s">
        <v>3382</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constants'!$B$4:$C$1012,2,FALSE),"")</f>
        <v>Lost Depths</v>
      </c>
      <c r="V582" s="89" t="s">
        <v>3280</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3402</v>
      </c>
      <c r="C583" t="s">
        <v>3387</v>
      </c>
      <c r="D583" s="3">
        <f t="shared" si="58"/>
        <v>664</v>
      </c>
      <c r="G583" s="8" t="s">
        <v>1473</v>
      </c>
      <c r="I583" t="s">
        <v>91</v>
      </c>
      <c r="J583" t="s">
        <v>91</v>
      </c>
      <c r="K583">
        <v>521</v>
      </c>
      <c r="L583">
        <v>521</v>
      </c>
      <c r="M583">
        <v>521</v>
      </c>
      <c r="O583" s="61" t="s">
        <v>3382</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constants'!$B$4:$C$1012,2,FALSE),"")</f>
        <v>Lost Depths</v>
      </c>
      <c r="V583" s="89" t="s">
        <v>3280</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3401</v>
      </c>
      <c r="C584" t="s">
        <v>3957</v>
      </c>
      <c r="D584" s="3">
        <f t="shared" si="58"/>
        <v>665</v>
      </c>
      <c r="G584" s="8" t="s">
        <v>1473</v>
      </c>
      <c r="I584" t="s">
        <v>91</v>
      </c>
      <c r="J584" t="s">
        <v>91</v>
      </c>
      <c r="K584">
        <v>521</v>
      </c>
      <c r="L584">
        <v>521</v>
      </c>
      <c r="M584">
        <v>521</v>
      </c>
      <c r="O584" s="61" t="s">
        <v>3382</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constants'!$B$4:$C$1012,2,FALSE),"")</f>
        <v>Lost Depths</v>
      </c>
      <c r="V584" s="89" t="s">
        <v>3280</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3397</v>
      </c>
      <c r="C585" t="s">
        <v>3386</v>
      </c>
      <c r="D585" s="3">
        <f t="shared" si="58"/>
        <v>666</v>
      </c>
      <c r="G585" s="8" t="s">
        <v>1475</v>
      </c>
      <c r="H585">
        <v>3</v>
      </c>
      <c r="I585" t="s">
        <v>1462</v>
      </c>
      <c r="J585" t="s">
        <v>91</v>
      </c>
      <c r="K585">
        <v>520</v>
      </c>
      <c r="L585">
        <v>520</v>
      </c>
      <c r="M585">
        <v>520</v>
      </c>
      <c r="O585" s="61" t="s">
        <v>3381</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3379</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constants'!$B$4:$C$1012,2,FALSE),"")</f>
        <v>Lost Depths</v>
      </c>
      <c r="V585" s="33" t="s">
        <v>1538</v>
      </c>
      <c r="W585" s="3" t="s">
        <v>3386</v>
      </c>
      <c r="X585" s="3" t="s">
        <v>3397</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3396</v>
      </c>
      <c r="C586" t="s">
        <v>3389</v>
      </c>
      <c r="D586" s="3">
        <f t="shared" si="58"/>
        <v>667</v>
      </c>
      <c r="G586" s="8" t="s">
        <v>1475</v>
      </c>
      <c r="H586">
        <v>3</v>
      </c>
      <c r="I586" t="s">
        <v>1462</v>
      </c>
      <c r="J586" t="s">
        <v>91</v>
      </c>
      <c r="K586">
        <v>521</v>
      </c>
      <c r="L586">
        <v>521</v>
      </c>
      <c r="M586">
        <v>521</v>
      </c>
      <c r="O586" s="61" t="s">
        <v>3382</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3379</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constants'!$B$4:$C$1012,2,FALSE),"")</f>
        <v>Lost Depths</v>
      </c>
      <c r="V586" s="33" t="s">
        <v>1538</v>
      </c>
      <c r="W586" s="3" t="s">
        <v>3389</v>
      </c>
      <c r="X586" s="3" t="s">
        <v>3396</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3400</v>
      </c>
      <c r="C587" t="s">
        <v>3390</v>
      </c>
      <c r="D587" s="3">
        <f t="shared" si="58"/>
        <v>668</v>
      </c>
      <c r="G587" s="3" t="s">
        <v>1471</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3379</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constants'!$B$4:$C$1012,2,FALSE),"")</f>
        <v>Lost Depths</v>
      </c>
      <c r="V587" s="33" t="s">
        <v>1535</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3728</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2760</v>
      </c>
      <c r="AK587" s="3">
        <f>IF(AND(G587&lt;&gt;"LIBSETS_SETTYPE_BATTLEGROUND",G587&lt;&gt;"LIBSETS_SETTYPE_SPECIAL"),IF(AL587&lt;&gt;"",VLOOKUP(AL587,'ESO zone constants'!$D$5:$H$4955,5,FALSE),""),"")</f>
        <v>181</v>
      </c>
      <c r="AL587" t="s">
        <v>125</v>
      </c>
      <c r="AM587" s="33" t="s">
        <v>3731</v>
      </c>
      <c r="AP587" s="3">
        <f>IF(AND(G587&lt;&gt;"LIBSETS_SETTYPE_BATTLEGROUND",G587&lt;&gt;"LIBSETS_SETTYPE_SPECIAL"),IF(AQ587&lt;&gt;"",VLOOKUP(AQ587,'ESO zone constants'!$D$5:$H$4955,5,FALSE),""),"")</f>
        <v>181</v>
      </c>
      <c r="AQ587" t="s">
        <v>125</v>
      </c>
      <c r="AR587" s="33" t="s">
        <v>1554</v>
      </c>
      <c r="AU587" s="3">
        <f>IF(AND(G587&lt;&gt;"LIBSETS_SETTYPE_BATTLEGROUND",G587&lt;&gt;"LIBSETS_SETTYPE_SPECIAL"),IF(AV587&lt;&gt;"",VLOOKUP(AV587,'ESO zone constants'!$D$5:$H$4955,5,FALSE),""),"")</f>
        <v>181</v>
      </c>
      <c r="AV587" t="s">
        <v>125</v>
      </c>
      <c r="AW587" s="33" t="s">
        <v>3231</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3398</v>
      </c>
      <c r="C588" t="s">
        <v>3958</v>
      </c>
      <c r="D588" s="3">
        <f t="shared" si="58"/>
        <v>669</v>
      </c>
      <c r="G588" s="3" t="s">
        <v>1471</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3379</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constants'!$B$4:$C$1012,2,FALSE),"")</f>
        <v>Lost Depths</v>
      </c>
      <c r="V588" s="33" t="s">
        <v>1535</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3728</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2760</v>
      </c>
      <c r="AK588" s="3">
        <f>IF(AND(G588&lt;&gt;"LIBSETS_SETTYPE_BATTLEGROUND",G588&lt;&gt;"LIBSETS_SETTYPE_SPECIAL"),IF(AL588&lt;&gt;"",VLOOKUP(AL588,'ESO zone constants'!$D$5:$H$4955,5,FALSE),""),"")</f>
        <v>181</v>
      </c>
      <c r="AL588" t="s">
        <v>125</v>
      </c>
      <c r="AM588" s="33" t="s">
        <v>3731</v>
      </c>
      <c r="AP588" s="3">
        <f>IF(AND(G588&lt;&gt;"LIBSETS_SETTYPE_BATTLEGROUND",G588&lt;&gt;"LIBSETS_SETTYPE_SPECIAL"),IF(AQ588&lt;&gt;"",VLOOKUP(AQ588,'ESO zone constants'!$D$5:$H$4955,5,FALSE),""),"")</f>
        <v>181</v>
      </c>
      <c r="AQ588" t="s">
        <v>125</v>
      </c>
      <c r="AR588" s="33" t="s">
        <v>1554</v>
      </c>
      <c r="AU588" s="3">
        <f>IF(AND(G588&lt;&gt;"LIBSETS_SETTYPE_BATTLEGROUND",G588&lt;&gt;"LIBSETS_SETTYPE_SPECIAL"),IF(AV588&lt;&gt;"",VLOOKUP(AV588,'ESO zone constants'!$D$5:$H$4955,5,FALSE),""),"")</f>
        <v>181</v>
      </c>
      <c r="AV588" t="s">
        <v>125</v>
      </c>
      <c r="AW588" s="33" t="s">
        <v>3231</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3399</v>
      </c>
      <c r="C589" t="s">
        <v>3391</v>
      </c>
      <c r="D589" s="3">
        <f t="shared" si="58"/>
        <v>670</v>
      </c>
      <c r="G589" s="3" t="s">
        <v>1471</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3379</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constants'!$B$4:$C$1012,2,FALSE),"")</f>
        <v>Lost Depths</v>
      </c>
      <c r="V589" s="33" t="s">
        <v>1535</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3728</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2760</v>
      </c>
      <c r="AK589" s="3">
        <f>IF(AND(G589&lt;&gt;"LIBSETS_SETTYPE_BATTLEGROUND",G589&lt;&gt;"LIBSETS_SETTYPE_SPECIAL"),IF(AL589&lt;&gt;"",VLOOKUP(AL589,'ESO zone constants'!$D$5:$H$4955,5,FALSE),""),"")</f>
        <v>181</v>
      </c>
      <c r="AL589" t="s">
        <v>125</v>
      </c>
      <c r="AM589" s="33" t="s">
        <v>3731</v>
      </c>
      <c r="AP589" s="3">
        <f>IF(AND(G589&lt;&gt;"LIBSETS_SETTYPE_BATTLEGROUND",G589&lt;&gt;"LIBSETS_SETTYPE_SPECIAL"),IF(AQ589&lt;&gt;"",VLOOKUP(AQ589,'ESO zone constants'!$D$5:$H$4955,5,FALSE),""),"")</f>
        <v>181</v>
      </c>
      <c r="AQ589" t="s">
        <v>125</v>
      </c>
      <c r="AR589" s="33" t="s">
        <v>1554</v>
      </c>
      <c r="AU589" s="3">
        <f>IF(AND(G589&lt;&gt;"LIBSETS_SETTYPE_BATTLEGROUND",G589&lt;&gt;"LIBSETS_SETTYPE_SPECIAL"),IF(AV589&lt;&gt;"",VLOOKUP(AV589,'ESO zone constants'!$D$5:$H$4955,5,FALSE),""),"")</f>
        <v>181</v>
      </c>
      <c r="AV589" t="s">
        <v>125</v>
      </c>
      <c r="AW589" s="33" t="s">
        <v>3231</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3441</v>
      </c>
      <c r="C590" t="s">
        <v>3411</v>
      </c>
      <c r="D590" s="3">
        <f t="shared" ref="D590:D648" si="64">A590</f>
        <v>671</v>
      </c>
      <c r="G590" s="3" t="s">
        <v>1476</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DLC_MORROWIND</v>
      </c>
      <c r="U590" s="3" t="str">
        <f>IF(T590&lt;&gt;"",VLOOKUP(T590,'LibSets constants'!$B$4:$C$1012,2,FALSE),"")</f>
        <v>Morrowind</v>
      </c>
      <c r="V590" s="33" t="s">
        <v>1555</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1554</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1557</v>
      </c>
      <c r="AK590" s="3">
        <f>IF(AND(G590&lt;&gt;"LIBSETS_SETTYPE_BATTLEGROUND",G590&lt;&gt;"LIBSETS_SETTYPE_SPECIAL"),IF(AL590&lt;&gt;"",VLOOKUP(AL590,'ESO zone constants'!$D$5:$H$4955,5,FALSE),""),"")</f>
        <v>1383</v>
      </c>
      <c r="AL590" t="s">
        <v>3463</v>
      </c>
      <c r="AM590" s="33" t="s">
        <v>3218</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dlcId=DLC_MORROWIND</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3442</v>
      </c>
      <c r="C591" t="s">
        <v>3412</v>
      </c>
      <c r="D591" s="3">
        <f t="shared" si="64"/>
        <v>672</v>
      </c>
      <c r="G591" s="3" t="s">
        <v>1476</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DLC_MORROWIND</v>
      </c>
      <c r="U591" s="3" t="str">
        <f>IF(T591&lt;&gt;"",VLOOKUP(T591,'LibSets constants'!$B$4:$C$1012,2,FALSE),"")</f>
        <v>Morrowind</v>
      </c>
      <c r="V591" s="33" t="s">
        <v>1555</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1554</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1557</v>
      </c>
      <c r="AK591" s="3">
        <f>IF(AND(G591&lt;&gt;"LIBSETS_SETTYPE_BATTLEGROUND",G591&lt;&gt;"LIBSETS_SETTYPE_SPECIAL"),IF(AL591&lt;&gt;"",VLOOKUP(AL591,'ESO zone constants'!$D$5:$H$4955,5,FALSE),""),"")</f>
        <v>1383</v>
      </c>
      <c r="AL591" t="s">
        <v>3463</v>
      </c>
      <c r="AM591" s="33" t="s">
        <v>3218</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dlcId=DLC_MORROWIND</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3443</v>
      </c>
      <c r="C592" t="s">
        <v>3413</v>
      </c>
      <c r="D592" s="3">
        <f t="shared" si="64"/>
        <v>673</v>
      </c>
      <c r="G592" s="3" t="s">
        <v>1476</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DLC_MORROWIND</v>
      </c>
      <c r="U592" s="3" t="str">
        <f>IF(T592&lt;&gt;"",VLOOKUP(T592,'LibSets constants'!$B$4:$C$1012,2,FALSE),"")</f>
        <v>Morrowind</v>
      </c>
      <c r="V592" s="33" t="s">
        <v>1555</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1554</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1557</v>
      </c>
      <c r="AK592" s="3">
        <f>IF(AND(G592&lt;&gt;"LIBSETS_SETTYPE_BATTLEGROUND",G592&lt;&gt;"LIBSETS_SETTYPE_SPECIAL"),IF(AL592&lt;&gt;"",VLOOKUP(AL592,'ESO zone constants'!$D$5:$H$4955,5,FALSE),""),"")</f>
        <v>1383</v>
      </c>
      <c r="AL592" t="s">
        <v>3463</v>
      </c>
      <c r="AM592" s="33" t="s">
        <v>3218</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dlcId=DLC_MORROWIND</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3444</v>
      </c>
      <c r="C593" t="s">
        <v>3419</v>
      </c>
      <c r="D593" s="3">
        <f t="shared" si="64"/>
        <v>674</v>
      </c>
      <c r="G593" s="95" t="s">
        <v>1675</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3414</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constants'!$B$4:$C$1012,2,FALSE),"")</f>
        <v>Firesong</v>
      </c>
      <c r="V593" s="42" t="s">
        <v>3218</v>
      </c>
      <c r="W593" s="3" t="s">
        <v>3529</v>
      </c>
      <c r="X593" s="3" t="s">
        <v>3530</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1555</v>
      </c>
      <c r="AC593" s="3" t="s">
        <v>3586</v>
      </c>
      <c r="AD593" s="3" t="s">
        <v>3587</v>
      </c>
      <c r="AF593" s="3">
        <v>1318</v>
      </c>
      <c r="AG593" t="str">
        <f>IF(AND(AF593&lt;&gt;"",ISNUMBER(AF593),NOT(ISNA(AF593))),VLOOKUP(AF593,'ESO zone constants'!$A$5:$D$10001,4,FALSE),"")</f>
        <v>High Isle</v>
      </c>
      <c r="AH593" s="33" t="s">
        <v>3588</v>
      </c>
      <c r="AI593" s="3" t="s">
        <v>3592</v>
      </c>
      <c r="AJ593" s="3" t="s">
        <v>3593</v>
      </c>
      <c r="AK593" s="3">
        <f>IF(AND(G593&lt;&gt;"LIBSETS_SETTYPE_BATTLEGROUND",G593&lt;&gt;"LIBSETS_SETTYPE_SPECIAL"),IF(AL593&lt;&gt;"",VLOOKUP(AL593,'ESO zone constants'!$D$5:$H$4955,5,FALSE),""),"")</f>
        <v>1318</v>
      </c>
      <c r="AL593" t="s">
        <v>3322</v>
      </c>
      <c r="AM593" s="33" t="s">
        <v>3264</v>
      </c>
      <c r="AN593" s="3" t="s">
        <v>3598</v>
      </c>
      <c r="AO593" s="3" t="s">
        <v>3599</v>
      </c>
      <c r="AP593" s="3">
        <f>IF(AND(G593&lt;&gt;"LIBSETS_SETTYPE_BATTLEGROUND",G593&lt;&gt;"LIBSETS_SETTYPE_SPECIAL"),IF(AQ593&lt;&gt;"",VLOOKUP(AQ593,'ESO zone constants'!$D$5:$H$4955,5,FALSE),""),"")</f>
        <v>1334</v>
      </c>
      <c r="AQ593" t="s">
        <v>3358</v>
      </c>
      <c r="AR593" s="33" t="s">
        <v>1554</v>
      </c>
      <c r="AU593" s="3">
        <f>IF(AND(G593&lt;&gt;"LIBSETS_SETTYPE_BATTLEGROUND",G593&lt;&gt;"LIBSETS_SETTYPE_SPECIAL"),IF(AV593&lt;&gt;"",VLOOKUP(AV593,'ESO zone constants'!$D$5:$H$4955,5,FALSE),""),"")</f>
        <v>162</v>
      </c>
      <c r="AV593" t="s">
        <v>121</v>
      </c>
      <c r="AW593" s="33" t="s">
        <v>1556</v>
      </c>
      <c r="AX593" s="3" t="s">
        <v>3600</v>
      </c>
      <c r="AY593" s="3" t="s">
        <v>3601</v>
      </c>
      <c r="BA593" s="96" t="s">
        <v>3583</v>
      </c>
      <c r="BB593" s="96" t="s">
        <v>3583</v>
      </c>
      <c r="BC593" s="96"/>
      <c r="BD593" s="96"/>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3445</v>
      </c>
      <c r="C594" t="s">
        <v>3420</v>
      </c>
      <c r="D594" s="3">
        <f t="shared" si="64"/>
        <v>675</v>
      </c>
      <c r="G594" s="95" t="s">
        <v>1675</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3414</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constants'!$B$4:$C$1012,2,FALSE),"")</f>
        <v>Firesong</v>
      </c>
      <c r="V594" s="33" t="s">
        <v>1556</v>
      </c>
      <c r="W594" s="3" t="s">
        <v>3861</v>
      </c>
      <c r="X594" s="3" t="s">
        <v>3862</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1555</v>
      </c>
      <c r="AC594" s="3" t="s">
        <v>3602</v>
      </c>
      <c r="AD594" s="3" t="s">
        <v>3603</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3207</v>
      </c>
      <c r="AI594" s="3" t="s">
        <v>3606</v>
      </c>
      <c r="AJ594" s="3" t="s">
        <v>3607</v>
      </c>
      <c r="AK594" s="3">
        <f>IF(AND(G595&lt;&gt;"LIBSETS_SETTYPE_BATTLEGROUND",G595&lt;&gt;"LIBSETS_SETTYPE_SPECIAL"),IF(AL594&lt;&gt;"",VLOOKUP(AL594,'ESO zone constants'!$D$5:$H$4955,5,FALSE),""),"")</f>
        <v>1383</v>
      </c>
      <c r="AL594" t="s">
        <v>3463</v>
      </c>
      <c r="AM594" s="33" t="s">
        <v>3231</v>
      </c>
      <c r="AN594" s="3" t="s">
        <v>3604</v>
      </c>
      <c r="AO594" s="3" t="s">
        <v>3605</v>
      </c>
      <c r="AP594" s="3">
        <f>IF(AND(G595&lt;&gt;"LIBSETS_SETTYPE_BATTLEGROUND",G595&lt;&gt;"LIBSETS_SETTYPE_SPECIAL"),IF(AQ594&lt;&gt;"",VLOOKUP(AQ594,'ESO zone constants'!$D$5:$H$4955,5,FALSE),""),"")</f>
        <v>1383</v>
      </c>
      <c r="AQ594" t="s">
        <v>3463</v>
      </c>
      <c r="AR594" s="33" t="s">
        <v>3588</v>
      </c>
      <c r="AS594" s="3" t="s">
        <v>3594</v>
      </c>
      <c r="AT594" s="3" t="s">
        <v>3595</v>
      </c>
      <c r="AU594" s="3" t="str">
        <f>IF(AND(G594&lt;&gt;"LIBSETS_SETTYPE_BATTLEGROUND",G594&lt;&gt;"LIBSETS_SETTYPE_SPECIAL"),IF(AV594&lt;&gt;"",VLOOKUP(AV594,'ESO zone constants'!$D$5:$H$4955,5,FALSE),""),"")</f>
        <v/>
      </c>
      <c r="BA594" s="96" t="s">
        <v>3584</v>
      </c>
      <c r="BB594" s="96" t="s">
        <v>3584</v>
      </c>
      <c r="BC594" s="96"/>
      <c r="BD594" s="96"/>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3446</v>
      </c>
      <c r="C595" t="s">
        <v>3421</v>
      </c>
      <c r="D595" s="3">
        <f t="shared" si="64"/>
        <v>676</v>
      </c>
      <c r="G595" s="95" t="s">
        <v>1675</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3414</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constants'!$B$4:$C$1012,2,FALSE),"")</f>
        <v>Firesong</v>
      </c>
      <c r="V595" s="42" t="s">
        <v>3218</v>
      </c>
      <c r="W595" s="3" t="s">
        <v>3608</v>
      </c>
      <c r="X595" s="3" t="s">
        <v>3609</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1555</v>
      </c>
      <c r="AC595" s="3" t="s">
        <v>3611</v>
      </c>
      <c r="AD595" s="3" t="s">
        <v>3610</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3212</v>
      </c>
      <c r="AI595" s="3" t="s">
        <v>3612</v>
      </c>
      <c r="AJ595" s="3" t="s">
        <v>3613</v>
      </c>
      <c r="AK595" s="3">
        <f>IF(AND(G596&lt;&gt;"LIBSETS_SETTYPE_BATTLEGROUND",G596&lt;&gt;"LIBSETS_SETTYPE_SPECIAL"),IF(AL595&lt;&gt;"",VLOOKUP(AL595,'ESO zone constants'!$D$5:$H$4955,5,FALSE),""),"")</f>
        <v>1302</v>
      </c>
      <c r="AL595" t="s">
        <v>2720</v>
      </c>
      <c r="AM595" s="33" t="s">
        <v>3280</v>
      </c>
      <c r="AN595" s="3" t="s">
        <v>3614</v>
      </c>
      <c r="AO595" s="3" t="s">
        <v>3615</v>
      </c>
      <c r="AP595" s="3">
        <f>IF(AND(G596&lt;&gt;"LIBSETS_SETTYPE_BATTLEGROUND",G596&lt;&gt;"LIBSETS_SETTYPE_SPECIAL"),IF(AQ595&lt;&gt;"",VLOOKUP(AQ595,'ESO zone constants'!$D$5:$H$4955,5,FALSE),""),"")</f>
        <v>935</v>
      </c>
      <c r="AQ595" t="s">
        <v>97</v>
      </c>
      <c r="AR595" s="33" t="s">
        <v>3280</v>
      </c>
      <c r="AS595" s="3" t="s">
        <v>1360</v>
      </c>
      <c r="AT595" s="3" t="s">
        <v>1631</v>
      </c>
      <c r="AU595" s="3" t="str">
        <f>IF(AND(G595&lt;&gt;"LIBSETS_SETTYPE_BATTLEGROUND",G595&lt;&gt;"LIBSETS_SETTYPE_SPECIAL"),IF(AV595&lt;&gt;"",VLOOKUP(AV595,'ESO zone constants'!$D$5:$H$4955,5,FALSE),""),"")</f>
        <v/>
      </c>
      <c r="BA595" s="96" t="s">
        <v>3585</v>
      </c>
      <c r="BB595" s="96" t="s">
        <v>3585</v>
      </c>
      <c r="BC595" s="96"/>
      <c r="BD595" s="96"/>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3447</v>
      </c>
      <c r="C596" s="86" t="s">
        <v>3418</v>
      </c>
      <c r="D596" s="3">
        <f t="shared" si="64"/>
        <v>677</v>
      </c>
      <c r="G596" s="95" t="s">
        <v>1470</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DLC_MORROWIND</v>
      </c>
      <c r="U596" s="3" t="str">
        <f>IF(T596&lt;&gt;"",VLOOKUP(T596,'LibSets constants'!$B$4:$C$1012,2,FALSE),"")</f>
        <v>Morrowind</v>
      </c>
      <c r="V596" s="33" t="s">
        <v>3283</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dlcId=DLC_MORROWIND</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3448</v>
      </c>
      <c r="C597" s="86" t="s">
        <v>3416</v>
      </c>
      <c r="D597" s="3">
        <f t="shared" si="64"/>
        <v>678</v>
      </c>
      <c r="G597" s="95" t="s">
        <v>1470</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DLC_MORROWIND</v>
      </c>
      <c r="U597" s="3" t="str">
        <f>IF(T597&lt;&gt;"",VLOOKUP(T597,'LibSets constants'!$B$4:$C$1012,2,FALSE),"")</f>
        <v>Morrowind</v>
      </c>
      <c r="V597" s="33" t="s">
        <v>3283</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dlcId=DLC_MORROWIND</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3449</v>
      </c>
      <c r="C598" s="86" t="s">
        <v>3417</v>
      </c>
      <c r="D598" s="3">
        <f t="shared" si="64"/>
        <v>679</v>
      </c>
      <c r="G598" s="95" t="s">
        <v>1470</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DLC_MORROWIND</v>
      </c>
      <c r="U598" s="3" t="str">
        <f>IF(T598&lt;&gt;"",VLOOKUP(T598,'LibSets constants'!$B$4:$C$1012,2,FALSE),"")</f>
        <v>Morrowind</v>
      </c>
      <c r="V598" s="33" t="s">
        <v>3283</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dlcId=DLC_MORROWIND</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3562</v>
      </c>
      <c r="C599" s="86" t="s">
        <v>3959</v>
      </c>
      <c r="D599" s="3">
        <f t="shared" si="64"/>
        <v>680</v>
      </c>
      <c r="G599" s="8" t="s">
        <v>1473</v>
      </c>
      <c r="I599" t="s">
        <v>91</v>
      </c>
      <c r="J599" t="s">
        <v>91</v>
      </c>
      <c r="K599">
        <v>531</v>
      </c>
      <c r="L599">
        <v>531</v>
      </c>
      <c r="M599">
        <v>531</v>
      </c>
      <c r="O599" s="61" t="s">
        <v>3548</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constants'!$B$4:$C$1012,2,FALSE),"")</f>
        <v>Scribes of Fate</v>
      </c>
      <c r="V599" s="89" t="s">
        <v>3280</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3563</v>
      </c>
      <c r="C600" s="86" t="s">
        <v>3960</v>
      </c>
      <c r="D600" s="3">
        <f t="shared" si="64"/>
        <v>681</v>
      </c>
      <c r="G600" s="8" t="s">
        <v>1473</v>
      </c>
      <c r="I600" t="s">
        <v>91</v>
      </c>
      <c r="J600" t="s">
        <v>91</v>
      </c>
      <c r="K600">
        <v>531</v>
      </c>
      <c r="L600">
        <v>531</v>
      </c>
      <c r="M600">
        <v>531</v>
      </c>
      <c r="O600" s="61" t="s">
        <v>3548</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constants'!$B$4:$C$1012,2,FALSE),"")</f>
        <v>Scribes of Fate</v>
      </c>
      <c r="V600" s="89" t="s">
        <v>3280</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3564</v>
      </c>
      <c r="C601" s="86" t="s">
        <v>3549</v>
      </c>
      <c r="D601" s="3">
        <f t="shared" si="64"/>
        <v>682</v>
      </c>
      <c r="G601" s="8" t="s">
        <v>1473</v>
      </c>
      <c r="I601" t="s">
        <v>91</v>
      </c>
      <c r="J601" t="s">
        <v>91</v>
      </c>
      <c r="K601">
        <v>531</v>
      </c>
      <c r="L601">
        <v>531</v>
      </c>
      <c r="M601">
        <v>531</v>
      </c>
      <c r="O601" s="61" t="s">
        <v>3548</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constants'!$B$4:$C$1012,2,FALSE),"")</f>
        <v>Scribes of Fate</v>
      </c>
      <c r="V601" s="89" t="s">
        <v>3280</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3565</v>
      </c>
      <c r="C602" s="86" t="s">
        <v>3550</v>
      </c>
      <c r="D602" s="3">
        <f t="shared" si="64"/>
        <v>683</v>
      </c>
      <c r="G602" s="8" t="s">
        <v>1475</v>
      </c>
      <c r="H602">
        <v>3</v>
      </c>
      <c r="I602" t="s">
        <v>1462</v>
      </c>
      <c r="K602">
        <v>531</v>
      </c>
      <c r="L602">
        <v>531</v>
      </c>
      <c r="M602">
        <v>531</v>
      </c>
      <c r="O602" s="61" t="s">
        <v>3548</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constants'!$B$4:$C$1012,2,FALSE),"")</f>
        <v>Scribes of Fate</v>
      </c>
      <c r="V602" s="33" t="s">
        <v>1538</v>
      </c>
      <c r="W602" s="3" t="s">
        <v>3550</v>
      </c>
      <c r="X602" s="3" t="s">
        <v>3582</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3566</v>
      </c>
      <c r="C603" s="86" t="s">
        <v>3554</v>
      </c>
      <c r="D603" s="3">
        <f t="shared" si="64"/>
        <v>684</v>
      </c>
      <c r="G603" s="8" t="s">
        <v>1473</v>
      </c>
      <c r="I603" t="s">
        <v>91</v>
      </c>
      <c r="J603" t="s">
        <v>91</v>
      </c>
      <c r="K603">
        <v>532</v>
      </c>
      <c r="L603">
        <v>532</v>
      </c>
      <c r="M603">
        <v>532</v>
      </c>
      <c r="O603" s="61" t="s">
        <v>3575</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constants'!$B$4:$C$1012,2,FALSE),"")</f>
        <v>Scribes of Fate</v>
      </c>
      <c r="V603" s="89" t="s">
        <v>3280</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3567</v>
      </c>
      <c r="C604" s="86" t="s">
        <v>3555</v>
      </c>
      <c r="D604" s="3">
        <f t="shared" si="64"/>
        <v>685</v>
      </c>
      <c r="G604" s="8" t="s">
        <v>1473</v>
      </c>
      <c r="I604" t="s">
        <v>91</v>
      </c>
      <c r="J604" t="s">
        <v>91</v>
      </c>
      <c r="K604">
        <v>532</v>
      </c>
      <c r="L604">
        <v>532</v>
      </c>
      <c r="M604">
        <v>532</v>
      </c>
      <c r="O604" s="61" t="s">
        <v>3575</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constants'!$B$4:$C$1012,2,FALSE),"")</f>
        <v>Scribes of Fate</v>
      </c>
      <c r="V604" s="89" t="s">
        <v>3280</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3568</v>
      </c>
      <c r="C605" s="86" t="s">
        <v>3552</v>
      </c>
      <c r="D605" s="3">
        <f t="shared" si="64"/>
        <v>686</v>
      </c>
      <c r="G605" s="8" t="s">
        <v>1473</v>
      </c>
      <c r="I605" t="s">
        <v>91</v>
      </c>
      <c r="J605" t="s">
        <v>91</v>
      </c>
      <c r="K605">
        <v>532</v>
      </c>
      <c r="L605">
        <v>532</v>
      </c>
      <c r="M605">
        <v>532</v>
      </c>
      <c r="O605" s="61" t="s">
        <v>3575</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constants'!$B$4:$C$1012,2,FALSE),"")</f>
        <v>Scribes of Fate</v>
      </c>
      <c r="V605" s="89" t="s">
        <v>3280</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3569</v>
      </c>
      <c r="C606" s="86" t="s">
        <v>3553</v>
      </c>
      <c r="D606" s="3">
        <f t="shared" si="64"/>
        <v>687</v>
      </c>
      <c r="G606" s="8" t="s">
        <v>1475</v>
      </c>
      <c r="H606">
        <v>3</v>
      </c>
      <c r="I606" t="s">
        <v>1462</v>
      </c>
      <c r="K606">
        <v>532</v>
      </c>
      <c r="L606">
        <v>532</v>
      </c>
      <c r="M606">
        <v>532</v>
      </c>
      <c r="O606" s="61" t="s">
        <v>3575</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constants'!$B$4:$C$1012,2,FALSE),"")</f>
        <v>Scribes of Fate</v>
      </c>
      <c r="V606" s="33" t="s">
        <v>1538</v>
      </c>
      <c r="W606" s="3" t="s">
        <v>3553</v>
      </c>
      <c r="X606" s="3" t="s">
        <v>3569</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3570</v>
      </c>
      <c r="C607" t="s">
        <v>3579</v>
      </c>
      <c r="D607" s="3">
        <f t="shared" si="64"/>
        <v>688</v>
      </c>
      <c r="G607" s="8" t="s">
        <v>1471</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3556</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constants'!$B$4:$C$1012,2,FALSE),"")</f>
        <v>Scribes of Fate</v>
      </c>
      <c r="V607" s="33" t="s">
        <v>1535</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3728</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2760</v>
      </c>
      <c r="AK607" s="3">
        <f>IF(AND(G607&lt;&gt;"LIBSETS_SETTYPE_BATTLEGROUND",G607&lt;&gt;"LIBSETS_SETTYPE_SPECIAL"),IF(AL607&lt;&gt;"",VLOOKUP(AL607,'ESO zone constants'!$D$5:$H$4955,5,FALSE),""),"")</f>
        <v>181</v>
      </c>
      <c r="AL607" t="s">
        <v>125</v>
      </c>
      <c r="AM607" s="33" t="s">
        <v>3731</v>
      </c>
      <c r="AP607" s="3">
        <f>IF(AND(G607&lt;&gt;"LIBSETS_SETTYPE_BATTLEGROUND",G607&lt;&gt;"LIBSETS_SETTYPE_SPECIAL"),IF(AQ607&lt;&gt;"",VLOOKUP(AQ607,'ESO zone constants'!$D$5:$H$4955,5,FALSE),""),"")</f>
        <v>181</v>
      </c>
      <c r="AQ607" t="s">
        <v>125</v>
      </c>
      <c r="AR607" s="33" t="s">
        <v>1554</v>
      </c>
      <c r="AU607" s="3">
        <f>IF(AND(G607&lt;&gt;"LIBSETS_SETTYPE_BATTLEGROUND",G607&lt;&gt;"LIBSETS_SETTYPE_SPECIAL"),IF(AV607&lt;&gt;"",VLOOKUP(AV607,'ESO zone constants'!$D$5:$H$4955,5,FALSE),""),"")</f>
        <v>181</v>
      </c>
      <c r="AV607" t="s">
        <v>125</v>
      </c>
      <c r="AW607" s="33" t="s">
        <v>3231</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3571</v>
      </c>
      <c r="C608" t="s">
        <v>3580</v>
      </c>
      <c r="D608" s="3">
        <f t="shared" si="64"/>
        <v>689</v>
      </c>
      <c r="G608" s="8" t="s">
        <v>1471</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3556</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constants'!$B$4:$C$1012,2,FALSE),"")</f>
        <v>Scribes of Fate</v>
      </c>
      <c r="V608" s="33" t="s">
        <v>1535</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3728</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2760</v>
      </c>
      <c r="AK608" s="3">
        <f>IF(AND(G608&lt;&gt;"LIBSETS_SETTYPE_BATTLEGROUND",G608&lt;&gt;"LIBSETS_SETTYPE_SPECIAL"),IF(AL608&lt;&gt;"",VLOOKUP(AL608,'ESO zone constants'!$D$5:$H$4955,5,FALSE),""),"")</f>
        <v>181</v>
      </c>
      <c r="AL608" t="s">
        <v>125</v>
      </c>
      <c r="AM608" s="33" t="s">
        <v>3731</v>
      </c>
      <c r="AP608" s="3">
        <f>IF(AND(G608&lt;&gt;"LIBSETS_SETTYPE_BATTLEGROUND",G608&lt;&gt;"LIBSETS_SETTYPE_SPECIAL"),IF(AQ608&lt;&gt;"",VLOOKUP(AQ608,'ESO zone constants'!$D$5:$H$4955,5,FALSE),""),"")</f>
        <v>181</v>
      </c>
      <c r="AQ608" t="s">
        <v>125</v>
      </c>
      <c r="AR608" s="33" t="s">
        <v>1554</v>
      </c>
      <c r="AU608" s="3">
        <f>IF(AND(G608&lt;&gt;"LIBSETS_SETTYPE_BATTLEGROUND",G608&lt;&gt;"LIBSETS_SETTYPE_SPECIAL"),IF(AV608&lt;&gt;"",VLOOKUP(AV608,'ESO zone constants'!$D$5:$H$4955,5,FALSE),""),"")</f>
        <v>181</v>
      </c>
      <c r="AV608" t="s">
        <v>125</v>
      </c>
      <c r="AW608" s="33" t="s">
        <v>3231</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3572</v>
      </c>
      <c r="C609" t="s">
        <v>3581</v>
      </c>
      <c r="D609" s="3">
        <f t="shared" si="64"/>
        <v>690</v>
      </c>
      <c r="G609" s="8" t="s">
        <v>1471</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3556</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constants'!$B$4:$C$1012,2,FALSE),"")</f>
        <v>Scribes of Fate</v>
      </c>
      <c r="V609" s="33" t="s">
        <v>1535</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3728</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2760</v>
      </c>
      <c r="AK609" s="3">
        <f>IF(AND(G609&lt;&gt;"LIBSETS_SETTYPE_BATTLEGROUND",G609&lt;&gt;"LIBSETS_SETTYPE_SPECIAL"),IF(AL609&lt;&gt;"",VLOOKUP(AL609,'ESO zone constants'!$D$5:$H$4955,5,FALSE),""),"")</f>
        <v>181</v>
      </c>
      <c r="AL609" t="s">
        <v>125</v>
      </c>
      <c r="AM609" s="33" t="s">
        <v>3731</v>
      </c>
      <c r="AP609" s="3">
        <f>IF(AND(G609&lt;&gt;"LIBSETS_SETTYPE_BATTLEGROUND",G609&lt;&gt;"LIBSETS_SETTYPE_SPECIAL"),IF(AQ609&lt;&gt;"",VLOOKUP(AQ609,'ESO zone constants'!$D$5:$H$4955,5,FALSE),""),"")</f>
        <v>181</v>
      </c>
      <c r="AQ609" t="s">
        <v>125</v>
      </c>
      <c r="AR609" s="33" t="s">
        <v>1554</v>
      </c>
      <c r="AU609" s="3">
        <f>IF(AND(G609&lt;&gt;"LIBSETS_SETTYPE_BATTLEGROUND",G609&lt;&gt;"LIBSETS_SETTYPE_SPECIAL"),IF(AV609&lt;&gt;"",VLOOKUP(AV609,'ESO zone constants'!$D$5:$H$4955,5,FALSE),""),"")</f>
        <v>181</v>
      </c>
      <c r="AV609" t="s">
        <v>125</v>
      </c>
      <c r="AW609" s="33" t="s">
        <v>3231</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3829</v>
      </c>
      <c r="C610" s="36" t="s">
        <v>3641</v>
      </c>
      <c r="D610" s="3">
        <f t="shared" si="64"/>
        <v>691</v>
      </c>
      <c r="G610" s="95" t="s">
        <v>1675</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3639</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constants'!$B$4:$C$1012,2,FALSE),"")</f>
        <v>Necrom</v>
      </c>
      <c r="V610" s="42" t="s">
        <v>3207</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1554</v>
      </c>
      <c r="AC610" s="3" t="s">
        <v>3832</v>
      </c>
      <c r="AD610" s="3" t="s">
        <v>3831</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1555</v>
      </c>
      <c r="AI610" s="3" t="s">
        <v>3835</v>
      </c>
      <c r="AJ610" s="3" t="s">
        <v>3830</v>
      </c>
      <c r="AK610" s="3">
        <f>IF(AND(G611&lt;&gt;"LIBSETS_SETTYPE_BATTLEGROUND",G611&lt;&gt;"LIBSETS_SETTYPE_SPECIAL"),IF(AL610&lt;&gt;"",VLOOKUP(AL610,'ESO zone constants'!$D$5:$H$4955,5,FALSE),""),"")</f>
        <v>1414</v>
      </c>
      <c r="AL610" t="s">
        <v>3691</v>
      </c>
      <c r="AM610" s="33" t="s">
        <v>1557</v>
      </c>
      <c r="AP610" s="3">
        <f>IF(AND(G611&lt;&gt;"LIBSETS_SETTYPE_BATTLEGROUND",G611&lt;&gt;"LIBSETS_SETTYPE_SPECIAL"),IF(AQ610&lt;&gt;"",VLOOKUP(AQ610,'ESO zone constants'!$D$5:$H$4955,5,FALSE),""),"")</f>
        <v>1389</v>
      </c>
      <c r="AQ610" t="s">
        <v>3548</v>
      </c>
      <c r="AR610" s="33" t="s">
        <v>3280</v>
      </c>
      <c r="AS610" s="3" t="s">
        <v>3833</v>
      </c>
      <c r="AT610" s="3" t="s">
        <v>3834</v>
      </c>
      <c r="AU610" s="3" t="str">
        <f>IF(AND(G610&lt;&gt;"LIBSETS_SETTYPE_BATTLEGROUND",G610&lt;&gt;"LIBSETS_SETTYPE_SPECIAL"),IF(AV610&lt;&gt;"",VLOOKUP(AV610,'ESO zone constants'!$D$5:$H$4955,5,FALSE),""),"")</f>
        <v/>
      </c>
      <c r="BA610" s="96" t="s">
        <v>3883</v>
      </c>
      <c r="BB610" s="96" t="s">
        <v>3883</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3844</v>
      </c>
      <c r="C611" s="36" t="s">
        <v>3642</v>
      </c>
      <c r="D611" s="3">
        <f t="shared" si="64"/>
        <v>692</v>
      </c>
      <c r="G611" s="95" t="s">
        <v>1675</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3639</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constants'!$B$4:$C$1012,2,FALSE),"")</f>
        <v>Necrom</v>
      </c>
      <c r="V611" s="42" t="s">
        <v>1556</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1554</v>
      </c>
      <c r="AC611" s="3" t="s">
        <v>3836</v>
      </c>
      <c r="AD611" s="3" t="s">
        <v>3837</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1556</v>
      </c>
      <c r="AI611" s="3" t="s">
        <v>3838</v>
      </c>
      <c r="AJ611" s="3" t="s">
        <v>3839</v>
      </c>
      <c r="AK611" s="3">
        <f>IF(AND(G612&lt;&gt;"LIBSETS_SETTYPE_BATTLEGROUND",G612&lt;&gt;"LIBSETS_SETTYPE_SPECIAL"),IF(AL611&lt;&gt;"",VLOOKUP(AL611,'ESO zone constants'!$D$5:$H$4955,5,FALSE),""),"")</f>
        <v>1301</v>
      </c>
      <c r="AL611" t="s">
        <v>2708</v>
      </c>
      <c r="AM611" s="33" t="s">
        <v>3280</v>
      </c>
      <c r="AN611" s="3" t="s">
        <v>3840</v>
      </c>
      <c r="AO611" s="3" t="s">
        <v>3841</v>
      </c>
      <c r="AP611" s="3">
        <f>IF(AND(G612&lt;&gt;"LIBSETS_SETTYPE_BATTLEGROUND",G612&lt;&gt;"LIBSETS_SETTYPE_SPECIAL"),IF(AQ611&lt;&gt;"",VLOOKUP(AQ611,'ESO zone constants'!$D$5:$H$4955,5,FALSE),""),"")</f>
        <v>1361</v>
      </c>
      <c r="AQ611" t="s">
        <v>3382</v>
      </c>
      <c r="AR611" s="33" t="s">
        <v>3280</v>
      </c>
      <c r="AS611" s="3" t="s">
        <v>3842</v>
      </c>
      <c r="AT611" s="3" t="s">
        <v>3843</v>
      </c>
      <c r="AU611" s="3" t="str">
        <f>IF(AND(G611&lt;&gt;"LIBSETS_SETTYPE_BATTLEGROUND",G611&lt;&gt;"LIBSETS_SETTYPE_SPECIAL"),IF(AV611&lt;&gt;"",VLOOKUP(AV611,'ESO zone constants'!$D$5:$H$4955,5,FALSE),""),"")</f>
        <v/>
      </c>
      <c r="BA611" s="96" t="s">
        <v>3884</v>
      </c>
      <c r="BB611" s="96" t="s">
        <v>3884</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3654</v>
      </c>
      <c r="C612" s="36" t="s">
        <v>3654</v>
      </c>
      <c r="D612" s="3">
        <f t="shared" si="64"/>
        <v>694</v>
      </c>
      <c r="G612" s="95" t="s">
        <v>1675</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3639</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constants'!$B$4:$C$1012,2,FALSE),"")</f>
        <v>Necrom</v>
      </c>
      <c r="V612" s="33" t="s">
        <v>1554</v>
      </c>
      <c r="W612" s="3" t="s">
        <v>3709</v>
      </c>
      <c r="X612" s="3" t="s">
        <v>3709</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1555</v>
      </c>
      <c r="AC612" s="3" t="s">
        <v>3845</v>
      </c>
      <c r="AD612" s="3" t="s">
        <v>3851</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1556</v>
      </c>
      <c r="AI612" s="3" t="s">
        <v>3690</v>
      </c>
      <c r="AJ612" s="3" t="s">
        <v>3846</v>
      </c>
      <c r="AK612" s="3">
        <f>IF(AND(G613&lt;&gt;"LIBSETS_SETTYPE_BATTLEGROUND",G613&lt;&gt;"LIBSETS_SETTYPE_SPECIAL"),IF(AL612&lt;&gt;"",VLOOKUP(AL612,'ESO zone constants'!$D$5:$H$4955,5,FALSE),""),"")</f>
        <v>849</v>
      </c>
      <c r="AL612" t="s">
        <v>530</v>
      </c>
      <c r="AM612" s="33" t="s">
        <v>3207</v>
      </c>
      <c r="AN612" s="3" t="s">
        <v>3847</v>
      </c>
      <c r="AO612" s="3" t="s">
        <v>3848</v>
      </c>
      <c r="AP612" s="3">
        <f>IF(AND(G613&lt;&gt;"LIBSETS_SETTYPE_BATTLEGROUND",G613&lt;&gt;"LIBSETS_SETTYPE_SPECIAL"),IF(AQ612&lt;&gt;"",VLOOKUP(AQ612,'ESO zone constants'!$D$5:$H$4955,5,FALSE),""),"")</f>
        <v>1390</v>
      </c>
      <c r="AQ612" t="s">
        <v>3575</v>
      </c>
      <c r="AR612" s="33" t="s">
        <v>3204</v>
      </c>
      <c r="AS612" s="3" t="s">
        <v>3849</v>
      </c>
      <c r="AT612" s="3" t="s">
        <v>3850</v>
      </c>
      <c r="AU612" s="3" t="str">
        <f>IF(AND(G612&lt;&gt;"LIBSETS_SETTYPE_BATTLEGROUND",G612&lt;&gt;"LIBSETS_SETTYPE_SPECIAL"),IF(AV612&lt;&gt;"",VLOOKUP(AV612,'ESO zone constants'!$D$5:$H$4955,5,FALSE),""),"")</f>
        <v/>
      </c>
      <c r="BA612" s="96" t="s">
        <v>3885</v>
      </c>
      <c r="BB612" s="96" t="s">
        <v>3885</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3643</v>
      </c>
      <c r="C613" s="36" t="s">
        <v>3643</v>
      </c>
      <c r="D613" s="3">
        <f t="shared" si="64"/>
        <v>695</v>
      </c>
      <c r="G613" s="8" t="s">
        <v>1470</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3639</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constants'!$B$4:$C$1012,2,FALSE),"")</f>
        <v>Necrom</v>
      </c>
      <c r="V613" s="89" t="s">
        <v>3283</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3644</v>
      </c>
      <c r="C614" s="36" t="s">
        <v>3644</v>
      </c>
      <c r="D614" s="3">
        <f t="shared" si="64"/>
        <v>696</v>
      </c>
      <c r="G614" s="8" t="s">
        <v>1470</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3639</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constants'!$B$4:$C$1012,2,FALSE),"")</f>
        <v>Necrom</v>
      </c>
      <c r="V614" s="89" t="s">
        <v>3283</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3645</v>
      </c>
      <c r="C615" s="36" t="s">
        <v>3645</v>
      </c>
      <c r="D615" s="3">
        <f t="shared" si="64"/>
        <v>697</v>
      </c>
      <c r="G615" s="8" t="s">
        <v>1470</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3639</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constants'!$B$4:$C$1012,2,FALSE),"")</f>
        <v>Necrom</v>
      </c>
      <c r="V615" s="89" t="s">
        <v>3283</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3656</v>
      </c>
      <c r="C616" s="36" t="s">
        <v>3656</v>
      </c>
      <c r="D616" s="3">
        <f t="shared" si="64"/>
        <v>698</v>
      </c>
      <c r="G616" s="8" t="s">
        <v>1476</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3639</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constants'!$B$4:$C$1012,2,FALSE),"")</f>
        <v>Necrom</v>
      </c>
      <c r="V616" s="89" t="s">
        <v>3283</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1554</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1557</v>
      </c>
      <c r="AK616" s="3">
        <f>IF(AND(G616&lt;&gt;"LIBSETS_SETTYPE_BATTLEGROUND",G616&lt;&gt;"LIBSETS_SETTYPE_SPECIAL"),IF(AL616&lt;&gt;"",VLOOKUP(AL616,'ESO zone constants'!$D$5:$H$4955,5,FALSE),""),"")</f>
        <v>1416</v>
      </c>
      <c r="AL616" t="s">
        <v>3690</v>
      </c>
      <c r="AM616" s="42" t="s">
        <v>1556</v>
      </c>
      <c r="AP616" s="3">
        <f>IF(AND(G616&lt;&gt;"LIBSETS_SETTYPE_BATTLEGROUND",G616&lt;&gt;"LIBSETS_SETTYPE_SPECIAL"),IF(AQ616&lt;&gt;"",VLOOKUP(AQ616,'ESO zone constants'!$D$5:$H$4955,5,FALSE),""),"")</f>
        <v>1413</v>
      </c>
      <c r="AQ616" t="s">
        <v>3619</v>
      </c>
      <c r="AR616" s="42" t="s">
        <v>3218</v>
      </c>
      <c r="AU616" s="3">
        <f>IF(AND(G616&lt;&gt;"LIBSETS_SETTYPE_BATTLEGROUND",G616&lt;&gt;"LIBSETS_SETTYPE_SPECIAL"),IF(AV616&lt;&gt;"",VLOOKUP(AV616,'ESO zone constants'!$D$5:$H$4955,5,FALSE),""),"")</f>
        <v>1413</v>
      </c>
      <c r="AV616" t="s">
        <v>3619</v>
      </c>
      <c r="AW616" s="33" t="s">
        <v>1555</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3646</v>
      </c>
      <c r="C617" s="36" t="s">
        <v>3646</v>
      </c>
      <c r="D617" s="3">
        <f t="shared" si="64"/>
        <v>699</v>
      </c>
      <c r="G617" s="8" t="s">
        <v>1476</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3639</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constants'!$B$4:$C$1012,2,FALSE),"")</f>
        <v>Necrom</v>
      </c>
      <c r="V617" s="33" t="s">
        <v>1555</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1554</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1557</v>
      </c>
      <c r="AK617" s="3">
        <f>IF(AND(G617&lt;&gt;"LIBSETS_SETTYPE_BATTLEGROUND",G617&lt;&gt;"LIBSETS_SETTYPE_SPECIAL"),IF(AL617&lt;&gt;"",VLOOKUP(AL617,'ESO zone constants'!$D$5:$H$4955,5,FALSE),""),"")</f>
        <v>1416</v>
      </c>
      <c r="AL617" t="s">
        <v>3690</v>
      </c>
      <c r="AM617" s="42" t="s">
        <v>1556</v>
      </c>
      <c r="AP617" s="3">
        <f>IF(AND(G617&lt;&gt;"LIBSETS_SETTYPE_BATTLEGROUND",G617&lt;&gt;"LIBSETS_SETTYPE_SPECIAL"),IF(AQ617&lt;&gt;"",VLOOKUP(AQ617,'ESO zone constants'!$D$5:$H$4955,5,FALSE),""),"")</f>
        <v>1413</v>
      </c>
      <c r="AQ617" t="s">
        <v>3619</v>
      </c>
      <c r="AR617" s="42" t="s">
        <v>3218</v>
      </c>
      <c r="AU617" s="3">
        <f>IF(AND(G617&lt;&gt;"LIBSETS_SETTYPE_BATTLEGROUND",G617&lt;&gt;"LIBSETS_SETTYPE_SPECIAL"),IF(AV617&lt;&gt;"",VLOOKUP(AV617,'ESO zone constants'!$D$5:$H$4955,5,FALSE),""),"")</f>
        <v>1413</v>
      </c>
      <c r="AV617" t="s">
        <v>3619</v>
      </c>
      <c r="AW617" s="33" t="s">
        <v>1555</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3647</v>
      </c>
      <c r="C618" s="36" t="s">
        <v>3647</v>
      </c>
      <c r="D618" s="3">
        <f t="shared" si="64"/>
        <v>700</v>
      </c>
      <c r="G618" s="8" t="s">
        <v>1476</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3639</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constants'!$B$4:$C$1012,2,FALSE),"")</f>
        <v>Necrom</v>
      </c>
      <c r="V618" s="33" t="s">
        <v>1555</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1554</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1557</v>
      </c>
      <c r="AK618" s="3">
        <f>IF(AND(G618&lt;&gt;"LIBSETS_SETTYPE_BATTLEGROUND",G618&lt;&gt;"LIBSETS_SETTYPE_SPECIAL"),IF(AL618&lt;&gt;"",VLOOKUP(AL618,'ESO zone constants'!$D$5:$H$4955,5,FALSE),""),"")</f>
        <v>1416</v>
      </c>
      <c r="AL618" t="s">
        <v>3690</v>
      </c>
      <c r="AM618" s="42" t="s">
        <v>1556</v>
      </c>
      <c r="AP618" s="3">
        <f>IF(AND(G618&lt;&gt;"LIBSETS_SETTYPE_BATTLEGROUND",G618&lt;&gt;"LIBSETS_SETTYPE_SPECIAL"),IF(AQ618&lt;&gt;"",VLOOKUP(AQ618,'ESO zone constants'!$D$5:$H$4955,5,FALSE),""),"")</f>
        <v>1413</v>
      </c>
      <c r="AQ618" t="s">
        <v>3619</v>
      </c>
      <c r="AR618" s="42" t="s">
        <v>3218</v>
      </c>
      <c r="AU618" s="3">
        <f>IF(AND(G618&lt;&gt;"LIBSETS_SETTYPE_BATTLEGROUND",G618&lt;&gt;"LIBSETS_SETTYPE_SPECIAL"),IF(AV618&lt;&gt;"",VLOOKUP(AV618,'ESO zone constants'!$D$5:$H$4955,5,FALSE),""),"")</f>
        <v>1413</v>
      </c>
      <c r="AV618" t="s">
        <v>3619</v>
      </c>
      <c r="AW618" s="33" t="s">
        <v>1555</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3648</v>
      </c>
      <c r="C619" s="36" t="s">
        <v>3648</v>
      </c>
      <c r="D619" s="3">
        <f t="shared" si="64"/>
        <v>701</v>
      </c>
      <c r="G619" s="8" t="s">
        <v>1477</v>
      </c>
      <c r="I619" t="s">
        <v>91</v>
      </c>
      <c r="J619" t="s">
        <v>91</v>
      </c>
      <c r="K619">
        <v>534</v>
      </c>
      <c r="L619">
        <v>534</v>
      </c>
      <c r="M619">
        <v>534</v>
      </c>
      <c r="O619" s="61" t="s">
        <v>3682</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constants'!$B$4:$C$1012,2,FALSE),"")</f>
        <v>Scribes of Fate</v>
      </c>
      <c r="V619" s="33" t="s">
        <v>3261</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3261</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3261</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6">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3655</v>
      </c>
      <c r="C620" s="36" t="s">
        <v>3655</v>
      </c>
      <c r="D620" s="3">
        <f t="shared" si="64"/>
        <v>702</v>
      </c>
      <c r="G620" s="8" t="s">
        <v>1477</v>
      </c>
      <c r="I620" t="s">
        <v>91</v>
      </c>
      <c r="J620" t="s">
        <v>91</v>
      </c>
      <c r="K620">
        <v>534</v>
      </c>
      <c r="L620">
        <v>534</v>
      </c>
      <c r="M620">
        <v>534</v>
      </c>
      <c r="O620" s="61" t="s">
        <v>3682</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constants'!$B$4:$C$1012,2,FALSE),"")</f>
        <v>Scribes of Fate</v>
      </c>
      <c r="V620" s="33" t="s">
        <v>3261</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3261</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3261</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6">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3649</v>
      </c>
      <c r="C621" s="36" t="s">
        <v>3649</v>
      </c>
      <c r="D621" s="3">
        <f t="shared" si="64"/>
        <v>703</v>
      </c>
      <c r="G621" s="8" t="s">
        <v>1477</v>
      </c>
      <c r="I621" t="s">
        <v>91</v>
      </c>
      <c r="J621" t="s">
        <v>91</v>
      </c>
      <c r="K621">
        <v>534</v>
      </c>
      <c r="L621">
        <v>534</v>
      </c>
      <c r="M621">
        <v>534</v>
      </c>
      <c r="O621" s="61" t="s">
        <v>3682</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constants'!$B$4:$C$1012,2,FALSE),"")</f>
        <v>Scribes of Fate</v>
      </c>
      <c r="V621" s="33" t="s">
        <v>3261</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3261</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3261</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6">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3650</v>
      </c>
      <c r="C622" s="36" t="s">
        <v>3650</v>
      </c>
      <c r="D622" s="3">
        <f t="shared" si="64"/>
        <v>704</v>
      </c>
      <c r="G622" s="8" t="s">
        <v>1477</v>
      </c>
      <c r="I622" t="s">
        <v>91</v>
      </c>
      <c r="J622" t="s">
        <v>91</v>
      </c>
      <c r="K622">
        <v>534</v>
      </c>
      <c r="L622">
        <v>534</v>
      </c>
      <c r="M622">
        <v>534</v>
      </c>
      <c r="O622" s="61" t="s">
        <v>3682</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constants'!$B$4:$C$1012,2,FALSE),"")</f>
        <v>Scribes of Fate</v>
      </c>
      <c r="V622" s="33" t="s">
        <v>3261</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3261</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3261</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6">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3651</v>
      </c>
      <c r="C623" s="36" t="s">
        <v>3651</v>
      </c>
      <c r="D623" s="3">
        <f t="shared" si="64"/>
        <v>705</v>
      </c>
      <c r="G623" s="8" t="s">
        <v>1477</v>
      </c>
      <c r="I623" t="s">
        <v>92</v>
      </c>
      <c r="J623" t="s">
        <v>91</v>
      </c>
      <c r="K623">
        <v>534</v>
      </c>
      <c r="L623">
        <v>534</v>
      </c>
      <c r="M623">
        <v>534</v>
      </c>
      <c r="O623" s="61" t="s">
        <v>3682</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constants'!$B$4:$C$1012,2,FALSE),"")</f>
        <v>Scribes of Fate</v>
      </c>
      <c r="V623" s="33" t="s">
        <v>3261</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3261</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3261</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6" t="s">
        <v>3823</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3652</v>
      </c>
      <c r="C624" s="36" t="s">
        <v>3652</v>
      </c>
      <c r="D624" s="3">
        <f t="shared" si="64"/>
        <v>706</v>
      </c>
      <c r="G624" s="8" t="s">
        <v>1477</v>
      </c>
      <c r="I624" t="s">
        <v>92</v>
      </c>
      <c r="J624" t="s">
        <v>91</v>
      </c>
      <c r="K624">
        <v>534</v>
      </c>
      <c r="L624">
        <v>534</v>
      </c>
      <c r="M624">
        <v>534</v>
      </c>
      <c r="O624" s="61" t="s">
        <v>3682</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constants'!$B$4:$C$1012,2,FALSE),"")</f>
        <v>Scribes of Fate</v>
      </c>
      <c r="V624" s="33" t="s">
        <v>3261</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3261</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3261</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6" t="s">
        <v>3823</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3657</v>
      </c>
      <c r="C625" s="36" t="s">
        <v>3657</v>
      </c>
      <c r="D625" s="3">
        <f t="shared" si="64"/>
        <v>707</v>
      </c>
      <c r="G625" s="8" t="s">
        <v>1477</v>
      </c>
      <c r="I625" t="s">
        <v>92</v>
      </c>
      <c r="J625" t="s">
        <v>91</v>
      </c>
      <c r="K625">
        <v>534</v>
      </c>
      <c r="L625">
        <v>534</v>
      </c>
      <c r="M625">
        <v>534</v>
      </c>
      <c r="O625" s="61" t="s">
        <v>3682</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constants'!$B$4:$C$1012,2,FALSE),"")</f>
        <v>Scribes of Fate</v>
      </c>
      <c r="V625" s="33" t="s">
        <v>3261</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3261</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3261</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6" t="s">
        <v>3823</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3653</v>
      </c>
      <c r="C626" s="36" t="s">
        <v>3653</v>
      </c>
      <c r="D626" s="3">
        <f t="shared" si="64"/>
        <v>708</v>
      </c>
      <c r="G626" s="8" t="s">
        <v>1477</v>
      </c>
      <c r="I626" t="s">
        <v>92</v>
      </c>
      <c r="J626" t="s">
        <v>91</v>
      </c>
      <c r="K626">
        <v>534</v>
      </c>
      <c r="L626">
        <v>534</v>
      </c>
      <c r="M626">
        <v>534</v>
      </c>
      <c r="O626" s="61" t="s">
        <v>3682</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constants'!$B$4:$C$1012,2,FALSE),"")</f>
        <v>Scribes of Fate</v>
      </c>
      <c r="V626" s="33" t="s">
        <v>3261</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3261</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3261</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6" t="s">
        <v>3823</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3710</v>
      </c>
      <c r="C627" s="36" t="s">
        <v>3710</v>
      </c>
      <c r="D627" s="3">
        <f t="shared" si="64"/>
        <v>711</v>
      </c>
      <c r="F627" t="s">
        <v>3714</v>
      </c>
      <c r="G627" s="8" t="s">
        <v>3713</v>
      </c>
      <c r="I627" t="s">
        <v>3720</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3719</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constants'!$B$4:$C$1012,2,FALSE),"")</f>
        <v>Patch 39, QOL and other</v>
      </c>
      <c r="V627" s="89" t="s">
        <v>2760</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2649</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3711</v>
      </c>
      <c r="C628" s="36" t="s">
        <v>3711</v>
      </c>
      <c r="D628" s="3">
        <f t="shared" si="64"/>
        <v>712</v>
      </c>
      <c r="F628" t="s">
        <v>3714</v>
      </c>
      <c r="G628" s="8" t="s">
        <v>3713</v>
      </c>
      <c r="I628" t="s">
        <v>3720</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3719</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constants'!$B$4:$C$1012,2,FALSE),"")</f>
        <v>Patch 39, QOL and other</v>
      </c>
      <c r="V628" s="89" t="s">
        <v>2760</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2649</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3712</v>
      </c>
      <c r="C629" s="36" t="s">
        <v>3712</v>
      </c>
      <c r="D629" s="3">
        <f t="shared" si="64"/>
        <v>713</v>
      </c>
      <c r="F629" t="s">
        <v>3714</v>
      </c>
      <c r="G629" s="8" t="s">
        <v>3713</v>
      </c>
      <c r="I629" t="s">
        <v>3720</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3719</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constants'!$B$4:$C$1012,2,FALSE),"")</f>
        <v>Patch 39, QOL and other</v>
      </c>
      <c r="V629" s="89" t="s">
        <v>2760</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2649</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3756</v>
      </c>
      <c r="C630" t="s">
        <v>3756</v>
      </c>
      <c r="D630" s="3">
        <f t="shared" si="64"/>
        <v>722</v>
      </c>
      <c r="E630" s="36" t="s">
        <v>3768</v>
      </c>
      <c r="G630" s="3" t="s">
        <v>3748</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3743</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constants'!$B$4:$C$1012,2,FALSE),"")</f>
        <v>Secret of the Telvanni</v>
      </c>
      <c r="V630" s="89" t="s">
        <v>3745</v>
      </c>
      <c r="W630" s="3" t="s">
        <v>3768</v>
      </c>
      <c r="X630" s="3" t="s">
        <v>3876</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2649</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3755</v>
      </c>
      <c r="C631" t="s">
        <v>3755</v>
      </c>
      <c r="D631" s="3">
        <f t="shared" si="64"/>
        <v>723</v>
      </c>
      <c r="E631" s="36" t="s">
        <v>3762</v>
      </c>
      <c r="G631" s="3" t="s">
        <v>3748</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3743</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constants'!$B$4:$C$1012,2,FALSE),"")</f>
        <v>Secret of the Telvanni</v>
      </c>
      <c r="V631" s="89" t="s">
        <v>3745</v>
      </c>
      <c r="W631" s="3" t="s">
        <v>3762</v>
      </c>
      <c r="X631" s="3" t="s">
        <v>3877</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2649</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3757</v>
      </c>
      <c r="C632" t="s">
        <v>3754</v>
      </c>
      <c r="D632" s="3">
        <f t="shared" si="64"/>
        <v>724</v>
      </c>
      <c r="E632" s="36" t="s">
        <v>3767</v>
      </c>
      <c r="G632" s="3" t="s">
        <v>3748</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3743</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constants'!$B$4:$C$1012,2,FALSE),"")</f>
        <v>Secret of the Telvanni</v>
      </c>
      <c r="V632" s="89" t="s">
        <v>3745</v>
      </c>
      <c r="W632" s="3" t="s">
        <v>3767</v>
      </c>
      <c r="X632" s="3" t="s">
        <v>3878</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2649</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3758</v>
      </c>
      <c r="C633" t="s">
        <v>3753</v>
      </c>
      <c r="D633" s="3">
        <f t="shared" si="64"/>
        <v>726</v>
      </c>
      <c r="E633" s="36" t="s">
        <v>3765</v>
      </c>
      <c r="G633" s="3" t="s">
        <v>3748</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3743</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constants'!$B$4:$C$1012,2,FALSE),"")</f>
        <v>Secret of the Telvanni</v>
      </c>
      <c r="V633" s="89" t="s">
        <v>3745</v>
      </c>
      <c r="W633" s="3" t="s">
        <v>3765</v>
      </c>
      <c r="X633" s="3" t="s">
        <v>3882</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2649</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3759</v>
      </c>
      <c r="C634" t="s">
        <v>3752</v>
      </c>
      <c r="D634" s="3">
        <f t="shared" si="64"/>
        <v>727</v>
      </c>
      <c r="E634" s="36" t="s">
        <v>3764</v>
      </c>
      <c r="G634" s="3" t="s">
        <v>3748</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3743</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constants'!$B$4:$C$1012,2,FALSE),"")</f>
        <v>Secret of the Telvanni</v>
      </c>
      <c r="V634" s="89" t="s">
        <v>3745</v>
      </c>
      <c r="W634" s="3" t="s">
        <v>3764</v>
      </c>
      <c r="X634" s="3" t="s">
        <v>3879</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2649</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3760</v>
      </c>
      <c r="C635" t="s">
        <v>3751</v>
      </c>
      <c r="D635" s="3">
        <f t="shared" si="64"/>
        <v>728</v>
      </c>
      <c r="E635" s="36" t="s">
        <v>3763</v>
      </c>
      <c r="G635" s="3" t="s">
        <v>3748</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3743</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constants'!$B$4:$C$1012,2,FALSE),"")</f>
        <v>Secret of the Telvanni</v>
      </c>
      <c r="V635" s="89" t="s">
        <v>3745</v>
      </c>
      <c r="W635" s="3" t="s">
        <v>3763</v>
      </c>
      <c r="X635" s="3" t="s">
        <v>3880</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2649</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3761</v>
      </c>
      <c r="C636" t="s">
        <v>3750</v>
      </c>
      <c r="D636" s="3">
        <f t="shared" si="64"/>
        <v>729</v>
      </c>
      <c r="E636" s="36" t="s">
        <v>3766</v>
      </c>
      <c r="G636" s="3" t="s">
        <v>3748</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3743</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constants'!$B$4:$C$1012,2,FALSE),"")</f>
        <v>Secret of the Telvanni</v>
      </c>
      <c r="V636" s="89" t="s">
        <v>3745</v>
      </c>
      <c r="W636" s="3" t="s">
        <v>3766</v>
      </c>
      <c r="X636" s="3" t="s">
        <v>3881</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2649</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3">
        <v>735</v>
      </c>
      <c r="B637" s="53" t="s">
        <v>3890</v>
      </c>
      <c r="C637" s="53" t="s">
        <v>3890</v>
      </c>
      <c r="D637" s="3">
        <f t="shared" si="64"/>
        <v>735</v>
      </c>
      <c r="G637" s="8" t="s">
        <v>1473</v>
      </c>
      <c r="I637" t="s">
        <v>91</v>
      </c>
      <c r="J637" t="s">
        <v>91</v>
      </c>
      <c r="K637" s="53">
        <v>-1</v>
      </c>
      <c r="L637" s="53">
        <v>-1</v>
      </c>
      <c r="M637" s="53">
        <v>-1</v>
      </c>
      <c r="O637" s="61" t="s">
        <v>3887</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S637" s="61" t="s">
        <v>3888</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constants'!$B$4:$C$1012,2,FALSE),"")</f>
        <v>Scions of Ithelia</v>
      </c>
      <c r="V637" s="89" t="s">
        <v>3280</v>
      </c>
      <c r="Y637" s="61"/>
      <c r="Z637" s="3" t="str">
        <f>IF(AND(G637&lt;&gt;"LIBSETS_SETTYPE_BATTLEGROUND",G637&lt;&gt;"LIBSETS_SETTYPE_SPECIAL"),
IF(AND(Y637&lt;&gt;"",ISNUMBER(Y637),NOT(ISNA(Y637))),Y637,
   IF(AND(L637&lt;&gt;"",ISNUMBER(L637),L637&gt;0,NOT(ISNA(L637))),VLOOKUP(L637,'ESO dumped WayshrineInfo'!$K$3:$L$9972,2,FALSE),"")
),"")</f>
        <v/>
      </c>
      <c r="AA637" t="str">
        <f>IF(AND(Z637&lt;&gt;"",ISNUMBER(Z637),NOT(ISNA(Z637))),VLOOKUP(Z637,'ESO zone constants'!$A$5:$D$10001,4,FALSE),"")</f>
        <v/>
      </c>
      <c r="AB637" s="89"/>
      <c r="AC637" s="39"/>
      <c r="AD637" s="39"/>
      <c r="AE637" s="39"/>
      <c r="AF637" s="3" t="str">
        <f>IF(AND(G637&lt;&gt;"LIBSETS_SETTYPE_BATTLEGROUND",G637&lt;&gt;"LIBSETS_SETTYPE_SPECIAL"),
IF(AND(AE637&lt;&gt;"",ISNUMBER(AE637),NOT(ISNA(AE637))),AE637,
   IF(AND(M637&lt;&gt;"",ISNUMBER(M637),M637&gt;0,NOT(ISNA(M637))),VLOOKUP(M637,'ESO dumped WayshrineInfo'!$K$3:$L$9972,2,FALSE),"")
),"")</f>
        <v/>
      </c>
      <c r="AG637" t="str">
        <f>IF(AND(AF637&lt;&gt;"",ISNUMBER(AF637),NOT(ISNA(AF637))),VLOOKUP(AF637,'ESO zone constants'!$A$5:$D$10001,4,FALSE),"")</f>
        <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2649</v>
      </c>
      <c r="BA637" s="78"/>
      <c r="BB637" s="78"/>
      <c r="BC637"/>
      <c r="BD637"/>
      <c r="BE637" s="21" t="str">
        <f t="shared" si="59"/>
        <v>[735] = {wayshrines={-1,-1,-1,}, dlcId=DLC_SCIONS_OF_ITHELIA</v>
      </c>
      <c r="BF637" s="21" t="str">
        <f t="shared" si="60"/>
        <v>, zoneIds={1471}, veteran=false</v>
      </c>
      <c r="BG637" s="21" t="str">
        <f t="shared" si="61"/>
        <v>, setType=LIBSETS_SETTYPE_DUNGEON</v>
      </c>
      <c r="BH637" s="21" t="str">
        <f t="shared" si="62"/>
        <v>, dropMechanic={LIBSETS_DROP_MECHANIC_GROUP_DUNGEON_BOSS}</v>
      </c>
      <c r="BI637" s="21" t="str">
        <f t="shared" si="63"/>
        <v>}, --Blind Path Induction / Blind Path Induction   [Bedlam Veil]</v>
      </c>
    </row>
    <row r="638" spans="1:61" x14ac:dyDescent="0.25">
      <c r="A638" s="53">
        <v>736</v>
      </c>
      <c r="B638" s="53" t="s">
        <v>3891</v>
      </c>
      <c r="C638" s="53" t="s">
        <v>3891</v>
      </c>
      <c r="D638" s="3">
        <f t="shared" si="64"/>
        <v>736</v>
      </c>
      <c r="G638" s="8" t="s">
        <v>1473</v>
      </c>
      <c r="I638" t="s">
        <v>91</v>
      </c>
      <c r="J638" t="s">
        <v>91</v>
      </c>
      <c r="K638" s="53">
        <v>-1</v>
      </c>
      <c r="L638" s="53">
        <v>-1</v>
      </c>
      <c r="M638" s="53">
        <v>-1</v>
      </c>
      <c r="O638" s="61" t="s">
        <v>3887</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S638" s="61" t="s">
        <v>3888</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constants'!$B$4:$C$1012,2,FALSE),"")</f>
        <v>Scions of Ithelia</v>
      </c>
      <c r="V638" s="89" t="s">
        <v>3280</v>
      </c>
      <c r="Y638" s="61"/>
      <c r="Z638" s="3" t="str">
        <f>IF(AND(G638&lt;&gt;"LIBSETS_SETTYPE_BATTLEGROUND",G638&lt;&gt;"LIBSETS_SETTYPE_SPECIAL"),
IF(AND(Y638&lt;&gt;"",ISNUMBER(Y638),NOT(ISNA(Y638))),Y638,
   IF(AND(L638&lt;&gt;"",ISNUMBER(L638),L638&gt;0,NOT(ISNA(L638))),VLOOKUP(L638,'ESO dumped WayshrineInfo'!$K$3:$L$9972,2,FALSE),"")
),"")</f>
        <v/>
      </c>
      <c r="AA638" t="str">
        <f>IF(AND(Z638&lt;&gt;"",ISNUMBER(Z638),NOT(ISNA(Z638))),VLOOKUP(Z638,'ESO zone constants'!$A$5:$D$10001,4,FALSE),"")</f>
        <v/>
      </c>
      <c r="AB638" s="89"/>
      <c r="AC638" s="39"/>
      <c r="AD638" s="39"/>
      <c r="AE638" s="39"/>
      <c r="AF638" s="3" t="str">
        <f>IF(AND(G638&lt;&gt;"LIBSETS_SETTYPE_BATTLEGROUND",G638&lt;&gt;"LIBSETS_SETTYPE_SPECIAL"),
IF(AND(AE638&lt;&gt;"",ISNUMBER(AE638),NOT(ISNA(AE638))),AE638,
   IF(AND(M638&lt;&gt;"",ISNUMBER(M638),M638&gt;0,NOT(ISNA(M638))),VLOOKUP(M638,'ESO dumped WayshrineInfo'!$K$3:$L$9972,2,FALSE),"")
),"")</f>
        <v/>
      </c>
      <c r="AG638" t="str">
        <f>IF(AND(AF638&lt;&gt;"",ISNUMBER(AF638),NOT(ISNA(AF638))),VLOOKUP(AF638,'ESO zone constants'!$A$5:$D$10001,4,FALSE),"")</f>
        <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2649</v>
      </c>
      <c r="BA638" s="78"/>
      <c r="BB638" s="78"/>
      <c r="BC638"/>
      <c r="BD638"/>
      <c r="BE638" s="21" t="str">
        <f t="shared" si="59"/>
        <v>[736] = {wayshrines={-1,-1,-1,}, dlcId=DLC_SCIONS_OF_ITHELIA</v>
      </c>
      <c r="BF638" s="21" t="str">
        <f t="shared" si="60"/>
        <v>, zoneIds={1471}, veteran=false</v>
      </c>
      <c r="BG638" s="21" t="str">
        <f t="shared" si="61"/>
        <v>, setType=LIBSETS_SETTYPE_DUNGEON</v>
      </c>
      <c r="BH638" s="21" t="str">
        <f t="shared" si="62"/>
        <v>, dropMechanic={LIBSETS_DROP_MECHANIC_GROUP_DUNGEON_BOSS}</v>
      </c>
      <c r="BI638" s="21" t="str">
        <f t="shared" si="63"/>
        <v>}, --Tarnished Nightmare / Tarnished Nightmare   [Bedlam Veil]</v>
      </c>
    </row>
    <row r="639" spans="1:61" x14ac:dyDescent="0.25">
      <c r="A639" s="53">
        <v>737</v>
      </c>
      <c r="B639" s="53" t="s">
        <v>3892</v>
      </c>
      <c r="C639" s="53" t="s">
        <v>3892</v>
      </c>
      <c r="D639" s="3">
        <f t="shared" si="64"/>
        <v>737</v>
      </c>
      <c r="G639" s="8" t="s">
        <v>1473</v>
      </c>
      <c r="I639" t="s">
        <v>91</v>
      </c>
      <c r="J639" t="s">
        <v>91</v>
      </c>
      <c r="K639" s="53">
        <v>-1</v>
      </c>
      <c r="L639" s="53">
        <v>-1</v>
      </c>
      <c r="M639" s="53">
        <v>-1</v>
      </c>
      <c r="O639" s="61" t="s">
        <v>3887</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S639" s="61" t="s">
        <v>3888</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constants'!$B$4:$C$1012,2,FALSE),"")</f>
        <v>Scions of Ithelia</v>
      </c>
      <c r="V639" s="89" t="s">
        <v>3280</v>
      </c>
      <c r="Y639" s="61"/>
      <c r="Z639" s="3" t="str">
        <f>IF(AND(G639&lt;&gt;"LIBSETS_SETTYPE_BATTLEGROUND",G639&lt;&gt;"LIBSETS_SETTYPE_SPECIAL"),
IF(AND(Y639&lt;&gt;"",ISNUMBER(Y639),NOT(ISNA(Y639))),Y639,
   IF(AND(L639&lt;&gt;"",ISNUMBER(L639),L639&gt;0,NOT(ISNA(L639))),VLOOKUP(L639,'ESO dumped WayshrineInfo'!$K$3:$L$9972,2,FALSE),"")
),"")</f>
        <v/>
      </c>
      <c r="AA639" t="str">
        <f>IF(AND(Z639&lt;&gt;"",ISNUMBER(Z639),NOT(ISNA(Z639))),VLOOKUP(Z639,'ESO zone constants'!$A$5:$D$10001,4,FALSE),"")</f>
        <v/>
      </c>
      <c r="AB639" s="89"/>
      <c r="AC639" s="39"/>
      <c r="AD639" s="39"/>
      <c r="AE639" s="39"/>
      <c r="AF639" s="3" t="str">
        <f>IF(AND(G639&lt;&gt;"LIBSETS_SETTYPE_BATTLEGROUND",G639&lt;&gt;"LIBSETS_SETTYPE_SPECIAL"),
IF(AND(AE639&lt;&gt;"",ISNUMBER(AE639),NOT(ISNA(AE639))),AE639,
   IF(AND(M639&lt;&gt;"",ISNUMBER(M639),M639&gt;0,NOT(ISNA(M639))),VLOOKUP(M639,'ESO dumped WayshrineInfo'!$K$3:$L$9972,2,FALSE),"")
),"")</f>
        <v/>
      </c>
      <c r="AG639" t="str">
        <f>IF(AND(AF639&lt;&gt;"",ISNUMBER(AF639),NOT(ISNA(AF639))),VLOOKUP(AF639,'ESO zone constants'!$A$5:$D$10001,4,FALSE),"")</f>
        <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2649</v>
      </c>
      <c r="BA639" s="78"/>
      <c r="BB639" s="78"/>
      <c r="BC639"/>
      <c r="BD639"/>
      <c r="BE639" s="21" t="str">
        <f t="shared" si="59"/>
        <v>[737] = {wayshrines={-1,-1,-1,}, dlcId=DLC_SCIONS_OF_ITHELIA</v>
      </c>
      <c r="BF639" s="21" t="str">
        <f t="shared" si="60"/>
        <v>, zoneIds={1471}, veteran=false</v>
      </c>
      <c r="BG639" s="21" t="str">
        <f t="shared" si="61"/>
        <v>, setType=LIBSETS_SETTYPE_DUNGEON</v>
      </c>
      <c r="BH639" s="21" t="str">
        <f t="shared" si="62"/>
        <v>, dropMechanic={LIBSETS_DROP_MECHANIC_GROUP_DUNGEON_BOSS}</v>
      </c>
      <c r="BI639" s="21" t="str">
        <f t="shared" si="63"/>
        <v>}, --Reflected Fury / Reflected Fury   [Bedlam Veil]</v>
      </c>
    </row>
    <row r="640" spans="1:61" x14ac:dyDescent="0.25">
      <c r="A640" s="53">
        <v>730</v>
      </c>
      <c r="B640" s="53" t="s">
        <v>3893</v>
      </c>
      <c r="C640" s="53" t="s">
        <v>3893</v>
      </c>
      <c r="D640" s="3">
        <f t="shared" si="64"/>
        <v>730</v>
      </c>
      <c r="G640" s="8" t="s">
        <v>1473</v>
      </c>
      <c r="I640" t="s">
        <v>91</v>
      </c>
      <c r="J640" t="s">
        <v>91</v>
      </c>
      <c r="K640" s="53">
        <v>-1</v>
      </c>
      <c r="L640" s="53">
        <v>-1</v>
      </c>
      <c r="M640" s="53">
        <v>-1</v>
      </c>
      <c r="O640" s="61" t="s">
        <v>3886</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S640" s="61" t="s">
        <v>3888</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constants'!$B$4:$C$1012,2,FALSE),"")</f>
        <v>Scions of Ithelia</v>
      </c>
      <c r="V640" s="89" t="s">
        <v>3280</v>
      </c>
      <c r="Y640" s="61"/>
      <c r="Z640" s="3" t="str">
        <f>IF(AND(G640&lt;&gt;"LIBSETS_SETTYPE_BATTLEGROUND",G640&lt;&gt;"LIBSETS_SETTYPE_SPECIAL"),
IF(AND(Y640&lt;&gt;"",ISNUMBER(Y640),NOT(ISNA(Y640))),Y640,
   IF(AND(L640&lt;&gt;"",ISNUMBER(L640),L640&gt;0,NOT(ISNA(L640))),VLOOKUP(L640,'ESO dumped WayshrineInfo'!$K$3:$L$9972,2,FALSE),"")
),"")</f>
        <v/>
      </c>
      <c r="AA640" t="str">
        <f>IF(AND(Z640&lt;&gt;"",ISNUMBER(Z640),NOT(ISNA(Z640))),VLOOKUP(Z640,'ESO zone constants'!$A$5:$D$10001,4,FALSE),"")</f>
        <v/>
      </c>
      <c r="AB640" s="89"/>
      <c r="AC640" s="39"/>
      <c r="AD640" s="39"/>
      <c r="AE640" s="39"/>
      <c r="AF640" s="3" t="str">
        <f>IF(AND(G640&lt;&gt;"LIBSETS_SETTYPE_BATTLEGROUND",G640&lt;&gt;"LIBSETS_SETTYPE_SPECIAL"),
IF(AND(AE640&lt;&gt;"",ISNUMBER(AE640),NOT(ISNA(AE640))),AE640,
   IF(AND(M640&lt;&gt;"",ISNUMBER(M640),M640&gt;0,NOT(ISNA(M640))),VLOOKUP(M640,'ESO dumped WayshrineInfo'!$K$3:$L$9972,2,FALSE),"")
),"")</f>
        <v/>
      </c>
      <c r="AG640" t="str">
        <f>IF(AND(AF640&lt;&gt;"",ISNUMBER(AF640),NOT(ISNA(AF640))),VLOOKUP(AF640,'ESO zone constants'!$A$5:$D$10001,4,FALSE),"")</f>
        <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2649</v>
      </c>
      <c r="BA640" s="78"/>
      <c r="BB640" s="78"/>
      <c r="BC640"/>
      <c r="BD640"/>
      <c r="BE640" s="21" t="str">
        <f t="shared" si="59"/>
        <v>[730] = {wayshrines={-1,-1,-1,}, dlcId=DLC_SCIONS_OF_ITHELIA</v>
      </c>
      <c r="BF640" s="21" t="str">
        <f t="shared" si="60"/>
        <v>, zoneIds={1470}, veteran=false</v>
      </c>
      <c r="BG640" s="21" t="str">
        <f t="shared" si="61"/>
        <v>, setType=LIBSETS_SETTYPE_DUNGEON</v>
      </c>
      <c r="BH640" s="21" t="str">
        <f t="shared" si="62"/>
        <v>, dropMechanic={LIBSETS_DROP_MECHANIC_GROUP_DUNGEON_BOSS}</v>
      </c>
      <c r="BI640" s="21" t="str">
        <f t="shared" si="63"/>
        <v>}, --Cinders of Anthelmir / Cinders of Anthelmir   [Oathsworn Pit]</v>
      </c>
    </row>
    <row r="641" spans="1:61" x14ac:dyDescent="0.25">
      <c r="A641" s="53">
        <v>731</v>
      </c>
      <c r="B641" s="53" t="s">
        <v>3895</v>
      </c>
      <c r="C641" s="53" t="s">
        <v>3895</v>
      </c>
      <c r="D641" s="3">
        <f t="shared" si="64"/>
        <v>731</v>
      </c>
      <c r="G641" s="8" t="s">
        <v>1473</v>
      </c>
      <c r="I641" t="s">
        <v>91</v>
      </c>
      <c r="J641" t="s">
        <v>91</v>
      </c>
      <c r="K641" s="53">
        <v>-1</v>
      </c>
      <c r="L641" s="53">
        <v>-1</v>
      </c>
      <c r="M641" s="53">
        <v>-1</v>
      </c>
      <c r="O641" s="61" t="s">
        <v>3886</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S641" s="61" t="s">
        <v>3888</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constants'!$B$4:$C$1012,2,FALSE),"")</f>
        <v>Scions of Ithelia</v>
      </c>
      <c r="V641" s="89" t="s">
        <v>3280</v>
      </c>
      <c r="Y641" s="61"/>
      <c r="Z641" s="3" t="str">
        <f>IF(AND(G641&lt;&gt;"LIBSETS_SETTYPE_BATTLEGROUND",G641&lt;&gt;"LIBSETS_SETTYPE_SPECIAL"),
IF(AND(Y641&lt;&gt;"",ISNUMBER(Y641),NOT(ISNA(Y641))),Y641,
   IF(AND(L641&lt;&gt;"",ISNUMBER(L641),L641&gt;0,NOT(ISNA(L641))),VLOOKUP(L641,'ESO dumped WayshrineInfo'!$K$3:$L$9972,2,FALSE),"")
),"")</f>
        <v/>
      </c>
      <c r="AA641" t="str">
        <f>IF(AND(Z641&lt;&gt;"",ISNUMBER(Z641),NOT(ISNA(Z641))),VLOOKUP(Z641,'ESO zone constants'!$A$5:$D$10001,4,FALSE),"")</f>
        <v/>
      </c>
      <c r="AB641" s="89"/>
      <c r="AC641" s="39"/>
      <c r="AD641" s="39"/>
      <c r="AE641" s="39"/>
      <c r="AF641" s="3" t="str">
        <f>IF(AND(G641&lt;&gt;"LIBSETS_SETTYPE_BATTLEGROUND",G641&lt;&gt;"LIBSETS_SETTYPE_SPECIAL"),
IF(AND(AE641&lt;&gt;"",ISNUMBER(AE641),NOT(ISNA(AE641))),AE641,
   IF(AND(M641&lt;&gt;"",ISNUMBER(M641),M641&gt;0,NOT(ISNA(M641))),VLOOKUP(M641,'ESO dumped WayshrineInfo'!$K$3:$L$9972,2,FALSE),"")
),"")</f>
        <v/>
      </c>
      <c r="AG641" t="str">
        <f>IF(AND(AF641&lt;&gt;"",ISNUMBER(AF641),NOT(ISNA(AF641))),VLOOKUP(AF641,'ESO zone constants'!$A$5:$D$10001,4,FALSE),"")</f>
        <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2649</v>
      </c>
      <c r="BA641" s="78"/>
      <c r="BB641" s="78"/>
      <c r="BC641"/>
      <c r="BD641"/>
      <c r="BE641" s="21" t="str">
        <f t="shared" si="59"/>
        <v>[731] = {wayshrines={-1,-1,-1,}, dlcId=DLC_SCIONS_OF_ITHELIA</v>
      </c>
      <c r="BF641" s="21" t="str">
        <f t="shared" si="60"/>
        <v>, zoneIds={1470}, veteran=false</v>
      </c>
      <c r="BG641" s="21" t="str">
        <f t="shared" si="61"/>
        <v>, setType=LIBSETS_SETTYPE_DUNGEON</v>
      </c>
      <c r="BH641" s="21" t="str">
        <f t="shared" si="62"/>
        <v>, dropMechanic={LIBSETS_DROP_MECHANIC_GROUP_DUNGEON_BOSS}</v>
      </c>
      <c r="BI641" s="21" t="str">
        <f t="shared" si="63"/>
        <v>}, --Sluthrug\'s Hunger / Sluthrug\'s Hunger   [Oathsworn Pit]</v>
      </c>
    </row>
    <row r="642" spans="1:61" x14ac:dyDescent="0.25">
      <c r="A642" s="53">
        <v>732</v>
      </c>
      <c r="B642" s="53" t="s">
        <v>3894</v>
      </c>
      <c r="C642" s="53" t="s">
        <v>3894</v>
      </c>
      <c r="D642" s="3">
        <f t="shared" si="64"/>
        <v>732</v>
      </c>
      <c r="G642" s="8" t="s">
        <v>1473</v>
      </c>
      <c r="I642" t="s">
        <v>91</v>
      </c>
      <c r="J642" t="s">
        <v>91</v>
      </c>
      <c r="K642" s="53">
        <v>-1</v>
      </c>
      <c r="L642" s="53">
        <v>-1</v>
      </c>
      <c r="M642" s="53">
        <v>-1</v>
      </c>
      <c r="O642" s="61" t="s">
        <v>3886</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S642" s="61" t="s">
        <v>3888</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constants'!$B$4:$C$1012,2,FALSE),"")</f>
        <v>Scions of Ithelia</v>
      </c>
      <c r="V642" s="89" t="s">
        <v>3280</v>
      </c>
      <c r="Y642" s="61"/>
      <c r="Z642" s="3" t="str">
        <f>IF(AND(G642&lt;&gt;"LIBSETS_SETTYPE_BATTLEGROUND",G642&lt;&gt;"LIBSETS_SETTYPE_SPECIAL"),
IF(AND(Y642&lt;&gt;"",ISNUMBER(Y642),NOT(ISNA(Y642))),Y642,
   IF(AND(L642&lt;&gt;"",ISNUMBER(L642),L642&gt;0,NOT(ISNA(L642))),VLOOKUP(L642,'ESO dumped WayshrineInfo'!$K$3:$L$9972,2,FALSE),"")
),"")</f>
        <v/>
      </c>
      <c r="AA642" t="str">
        <f>IF(AND(Z642&lt;&gt;"",ISNUMBER(Z642),NOT(ISNA(Z642))),VLOOKUP(Z642,'ESO zone constants'!$A$5:$D$10001,4,FALSE),"")</f>
        <v/>
      </c>
      <c r="AB642" s="89"/>
      <c r="AC642" s="39"/>
      <c r="AD642" s="39"/>
      <c r="AE642" s="39"/>
      <c r="AF642" s="3" t="str">
        <f>IF(AND(G642&lt;&gt;"LIBSETS_SETTYPE_BATTLEGROUND",G642&lt;&gt;"LIBSETS_SETTYPE_SPECIAL"),
IF(AND(AE642&lt;&gt;"",ISNUMBER(AE642),NOT(ISNA(AE642))),AE642,
   IF(AND(M642&lt;&gt;"",ISNUMBER(M642),M642&gt;0,NOT(ISNA(M642))),VLOOKUP(M642,'ESO dumped WayshrineInfo'!$K$3:$L$9972,2,FALSE),"")
),"")</f>
        <v/>
      </c>
      <c r="AG642" t="str">
        <f>IF(AND(AF642&lt;&gt;"",ISNUMBER(AF642),NOT(ISNA(AF642))),VLOOKUP(AF642,'ESO zone constants'!$A$5:$D$10001,4,FALSE),"")</f>
        <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2649</v>
      </c>
      <c r="BA642" s="78"/>
      <c r="BB642" s="78"/>
      <c r="BC642"/>
      <c r="BD642"/>
      <c r="BE642" s="21" t="str">
        <f t="shared" si="59"/>
        <v>[732] = {wayshrines={-1,-1,-1,}, dlcId=DLC_SCIONS_OF_ITHELIA</v>
      </c>
      <c r="BF642" s="21" t="str">
        <f t="shared" si="60"/>
        <v>, zoneIds={1470}, veteran=false</v>
      </c>
      <c r="BG642" s="21" t="str">
        <f t="shared" si="61"/>
        <v>, setType=LIBSETS_SETTYPE_DUNGEON</v>
      </c>
      <c r="BH642" s="21" t="str">
        <f t="shared" si="62"/>
        <v>, dropMechanic={LIBSETS_DROP_MECHANIC_GROUP_DUNGEON_BOSS}</v>
      </c>
      <c r="BI642" s="21" t="str">
        <f t="shared" si="63"/>
        <v>}, --Black-Grove Grounding / Black-Grove Grounding   [Oathsworn Pit]</v>
      </c>
    </row>
    <row r="643" spans="1:61" x14ac:dyDescent="0.25">
      <c r="A643" s="53">
        <v>738</v>
      </c>
      <c r="B643" s="53" t="s">
        <v>3897</v>
      </c>
      <c r="C643" s="53" t="s">
        <v>3896</v>
      </c>
      <c r="D643" s="3">
        <f t="shared" si="64"/>
        <v>738</v>
      </c>
      <c r="G643" s="8" t="s">
        <v>1475</v>
      </c>
      <c r="I643" t="s">
        <v>91</v>
      </c>
      <c r="J643" t="s">
        <v>91</v>
      </c>
      <c r="K643" s="53">
        <v>-1</v>
      </c>
      <c r="L643" s="53">
        <v>-1</v>
      </c>
      <c r="M643" s="53">
        <v>-1</v>
      </c>
      <c r="O643" s="61" t="s">
        <v>3887</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S643" s="61" t="s">
        <v>3888</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constants'!$B$4:$C$1012,2,FALSE),"")</f>
        <v>Scions of Ithelia</v>
      </c>
      <c r="V643" s="33" t="s">
        <v>1538</v>
      </c>
      <c r="W643" s="3" t="s">
        <v>3896</v>
      </c>
      <c r="X643" s="3" t="s">
        <v>3897</v>
      </c>
      <c r="Y643" s="61"/>
      <c r="Z643" s="3" t="str">
        <f>IF(AND(G643&lt;&gt;"LIBSETS_SETTYPE_BATTLEGROUND",G643&lt;&gt;"LIBSETS_SETTYPE_SPECIAL"),
IF(AND(Y643&lt;&gt;"",ISNUMBER(Y643),NOT(ISNA(Y643))),Y643,
   IF(AND(L643&lt;&gt;"",ISNUMBER(L643),L643&gt;0,NOT(ISNA(L643))),VLOOKUP(L643,'ESO dumped WayshrineInfo'!$K$3:$L$9972,2,FALSE),"")
),"")</f>
        <v/>
      </c>
      <c r="AA643" t="str">
        <f>IF(AND(Z643&lt;&gt;"",ISNUMBER(Z643),NOT(ISNA(Z643))),VLOOKUP(Z643,'ESO zone constants'!$A$5:$D$10001,4,FALSE),"")</f>
        <v/>
      </c>
      <c r="AB643" s="89"/>
      <c r="AC643" s="39"/>
      <c r="AD643" s="39"/>
      <c r="AE643" s="39"/>
      <c r="AF643" s="3" t="str">
        <f>IF(AND(G643&lt;&gt;"LIBSETS_SETTYPE_BATTLEGROUND",G643&lt;&gt;"LIBSETS_SETTYPE_SPECIAL"),
IF(AND(AE643&lt;&gt;"",ISNUMBER(AE643),NOT(ISNA(AE643))),AE643,
   IF(AND(M643&lt;&gt;"",ISNUMBER(M643),M643&gt;0,NOT(ISNA(M643))),VLOOKUP(M643,'ESO dumped WayshrineInfo'!$K$3:$L$9972,2,FALSE),"")
),"")</f>
        <v/>
      </c>
      <c r="AG643" t="str">
        <f>IF(AND(AF643&lt;&gt;"",ISNUMBER(AF643),NOT(ISNA(AF643))),VLOOKUP(AF643,'ESO zone constants'!$A$5:$D$10001,4,FALSE),"")</f>
        <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2649</v>
      </c>
      <c r="BA643" s="78"/>
      <c r="BB643" s="78"/>
      <c r="BC643"/>
      <c r="BD643"/>
      <c r="BE643" s="21" t="str">
        <f t="shared" si="59"/>
        <v>[738] = {wayshrines={-1,-1,-1,}, dlcId=DLC_SCIONS_OF_ITHELIA</v>
      </c>
      <c r="BF643" s="21" t="str">
        <f t="shared" si="60"/>
        <v>, zoneIds={1471},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v>
      </c>
    </row>
    <row r="644" spans="1:61" x14ac:dyDescent="0.25">
      <c r="A644" s="53">
        <v>734</v>
      </c>
      <c r="B644" s="53" t="s">
        <v>3898</v>
      </c>
      <c r="C644" s="53" t="s">
        <v>3899</v>
      </c>
      <c r="D644" s="3">
        <f t="shared" si="64"/>
        <v>734</v>
      </c>
      <c r="G644" s="8" t="s">
        <v>1475</v>
      </c>
      <c r="I644" t="s">
        <v>91</v>
      </c>
      <c r="J644" t="s">
        <v>91</v>
      </c>
      <c r="K644" s="53">
        <v>-1</v>
      </c>
      <c r="L644" s="53">
        <v>-1</v>
      </c>
      <c r="M644" s="53">
        <v>-1</v>
      </c>
      <c r="O644" s="61" t="s">
        <v>3886</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S644" s="61" t="s">
        <v>3888</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constants'!$B$4:$C$1012,2,FALSE),"")</f>
        <v>Scions of Ithelia</v>
      </c>
      <c r="V644" s="33" t="s">
        <v>1538</v>
      </c>
      <c r="W644" s="3" t="s">
        <v>3898</v>
      </c>
      <c r="X644" s="3" t="s">
        <v>3899</v>
      </c>
      <c r="Y644" s="61"/>
      <c r="Z644" s="3" t="str">
        <f>IF(AND(G644&lt;&gt;"LIBSETS_SETTYPE_BATTLEGROUND",G644&lt;&gt;"LIBSETS_SETTYPE_SPECIAL"),
IF(AND(Y644&lt;&gt;"",ISNUMBER(Y644),NOT(ISNA(Y644))),Y644,
   IF(AND(L644&lt;&gt;"",ISNUMBER(L644),L644&gt;0,NOT(ISNA(L644))),VLOOKUP(L644,'ESO dumped WayshrineInfo'!$K$3:$L$9972,2,FALSE),"")
),"")</f>
        <v/>
      </c>
      <c r="AA644" t="str">
        <f>IF(AND(Z644&lt;&gt;"",ISNUMBER(Z644),NOT(ISNA(Z644))),VLOOKUP(Z644,'ESO zone constants'!$A$5:$D$10001,4,FALSE),"")</f>
        <v/>
      </c>
      <c r="AB644" s="89"/>
      <c r="AC644" s="39"/>
      <c r="AD644" s="39"/>
      <c r="AE644" s="39"/>
      <c r="AF644" s="3" t="str">
        <f>IF(AND(G644&lt;&gt;"LIBSETS_SETTYPE_BATTLEGROUND",G644&lt;&gt;"LIBSETS_SETTYPE_SPECIAL"),
IF(AND(AE644&lt;&gt;"",ISNUMBER(AE644),NOT(ISNA(AE644))),AE644,
   IF(AND(M644&lt;&gt;"",ISNUMBER(M644),M644&gt;0,NOT(ISNA(M644))),VLOOKUP(M644,'ESO dumped WayshrineInfo'!$K$3:$L$9972,2,FALSE),"")
),"")</f>
        <v/>
      </c>
      <c r="AG644" t="str">
        <f>IF(AND(AF644&lt;&gt;"",ISNUMBER(AF644),NOT(ISNA(AF644))),VLOOKUP(AF644,'ESO zone constants'!$A$5:$D$10001,4,FALSE),"")</f>
        <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2649</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{wayshrines={-1,-1,-1,},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v>
      </c>
    </row>
    <row r="645" spans="1:61" x14ac:dyDescent="0.25">
      <c r="A645" s="53">
        <v>693</v>
      </c>
      <c r="B645" s="53" t="s">
        <v>3900</v>
      </c>
      <c r="C645" s="53" t="s">
        <v>3900</v>
      </c>
      <c r="D645" s="3">
        <f t="shared" si="64"/>
        <v>693</v>
      </c>
      <c r="G645" s="8" t="s">
        <v>1675</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3888</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constants'!$B$4:$C$1012,2,FALSE),"")</f>
        <v>Scions of Ithelia</v>
      </c>
      <c r="V645" s="33" t="s">
        <v>3745</v>
      </c>
      <c r="W645" s="3" t="s">
        <v>3951</v>
      </c>
      <c r="X645" s="3" t="s">
        <v>3952</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3745</v>
      </c>
      <c r="AC645" s="3" t="s">
        <v>3951</v>
      </c>
      <c r="AD645" s="3" t="s">
        <v>3952</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3745</v>
      </c>
      <c r="AI645" s="3" t="s">
        <v>3951</v>
      </c>
      <c r="AJ645" s="3" t="s">
        <v>3952</v>
      </c>
      <c r="AK645" s="3">
        <f>IF(AND(G645&lt;&gt;"LIBSETS_SETTYPE_BATTLEGROUND",G645&lt;&gt;"LIBSETS_SETTYPE_SPECIAL"),IF(AL645&lt;&gt;"",VLOOKUP(AL645,'ESO zone constants'!$D$5:$H$4955,5,FALSE),""),"")</f>
        <v>1413</v>
      </c>
      <c r="AL645" t="s">
        <v>3619</v>
      </c>
      <c r="AM645" s="33" t="s">
        <v>3745</v>
      </c>
      <c r="AN645" s="3" t="s">
        <v>3951</v>
      </c>
      <c r="AO645" s="3" t="s">
        <v>3952</v>
      </c>
      <c r="AP645" s="3">
        <f>IF(AND(G645&lt;&gt;"LIBSETS_SETTYPE_BATTLEGROUND",G645&lt;&gt;"LIBSETS_SETTYPE_SPECIAL"),IF(AQ645&lt;&gt;"",VLOOKUP(AQ645,'ESO zone constants'!$D$5:$H$4955,5,FALSE),""),"")</f>
        <v>1413</v>
      </c>
      <c r="AQ645" t="s">
        <v>3619</v>
      </c>
      <c r="AR645" s="33" t="s">
        <v>3745</v>
      </c>
      <c r="AS645" s="3" t="s">
        <v>3951</v>
      </c>
      <c r="AT645" s="3" t="s">
        <v>3952</v>
      </c>
      <c r="AU645" s="3" t="str">
        <f>IF(AND(G645&lt;&gt;"LIBSETS_SETTYPE_BATTLEGROUND",G645&lt;&gt;"LIBSETS_SETTYPE_SPECIAL"),IF(AV645&lt;&gt;"",VLOOKUP(AV645,'ESO zone constants'!$D$5:$H$4955,5,FALSE),""),"")</f>
        <v/>
      </c>
      <c r="AW645" s="42"/>
      <c r="AX645" s="39"/>
      <c r="AY645" s="39"/>
      <c r="AZ645" s="78" t="s">
        <v>2649</v>
      </c>
      <c r="BA645" s="78" t="s">
        <v>3950</v>
      </c>
      <c r="BB645" s="78" t="s">
        <v>3950</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3">
        <v>754</v>
      </c>
      <c r="B646" s="53" t="s">
        <v>3901</v>
      </c>
      <c r="C646" s="53" t="s">
        <v>3901</v>
      </c>
      <c r="D646" s="3">
        <f t="shared" si="64"/>
        <v>754</v>
      </c>
      <c r="G646" s="3" t="s">
        <v>1471</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3888</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constants'!$B$4:$C$1012,2,FALSE),"")</f>
        <v>Scions of Ithelia</v>
      </c>
      <c r="V646" s="89" t="s">
        <v>1535</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3728</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2760</v>
      </c>
      <c r="AI646" s="39"/>
      <c r="AJ646" s="39"/>
      <c r="AK646" s="3">
        <f>IF(AND(G646&lt;&gt;"LIBSETS_SETTYPE_BATTLEGROUND",G646&lt;&gt;"LIBSETS_SETTYPE_SPECIAL"),IF(AL646&lt;&gt;"",VLOOKUP(AL646,'ESO zone constants'!$D$5:$H$4955,5,FALSE),""),"")</f>
        <v>181</v>
      </c>
      <c r="AL646" t="s">
        <v>125</v>
      </c>
      <c r="AM646" s="33" t="s">
        <v>3731</v>
      </c>
      <c r="AN646" s="39"/>
      <c r="AO646" s="39"/>
      <c r="AP646" s="3">
        <f>IF(AND(G646&lt;&gt;"LIBSETS_SETTYPE_BATTLEGROUND",G646&lt;&gt;"LIBSETS_SETTYPE_SPECIAL"),IF(AQ646&lt;&gt;"",VLOOKUP(AQ646,'ESO zone constants'!$D$5:$H$4955,5,FALSE),""),"")</f>
        <v>181</v>
      </c>
      <c r="AQ646" t="s">
        <v>125</v>
      </c>
      <c r="AR646" s="33" t="s">
        <v>1554</v>
      </c>
      <c r="AS646" s="39"/>
      <c r="AT646" s="39"/>
      <c r="AU646" s="3">
        <f>IF(AND(G646&lt;&gt;"LIBSETS_SETTYPE_BATTLEGROUND",G646&lt;&gt;"LIBSETS_SETTYPE_SPECIAL"),IF(AV646&lt;&gt;"",VLOOKUP(AV646,'ESO zone constants'!$D$5:$H$4955,5,FALSE),""),"")</f>
        <v>181</v>
      </c>
      <c r="AV646" t="s">
        <v>125</v>
      </c>
      <c r="AW646" s="33" t="s">
        <v>3231</v>
      </c>
      <c r="AX646" s="39"/>
      <c r="AY646" s="39"/>
      <c r="AZ646" s="78" t="s">
        <v>2649</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3">
        <v>755</v>
      </c>
      <c r="B647" s="53" t="s">
        <v>3902</v>
      </c>
      <c r="C647" s="53" t="s">
        <v>3902</v>
      </c>
      <c r="D647" s="3">
        <f t="shared" si="64"/>
        <v>755</v>
      </c>
      <c r="G647" s="3" t="s">
        <v>1471</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3888</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constants'!$B$4:$C$1012,2,FALSE),"")</f>
        <v>Scions of Ithelia</v>
      </c>
      <c r="V647" s="89" t="s">
        <v>1535</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3728</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2760</v>
      </c>
      <c r="AI647" s="39"/>
      <c r="AJ647" s="39"/>
      <c r="AK647" s="3">
        <f>IF(AND(G647&lt;&gt;"LIBSETS_SETTYPE_BATTLEGROUND",G647&lt;&gt;"LIBSETS_SETTYPE_SPECIAL"),IF(AL647&lt;&gt;"",VLOOKUP(AL647,'ESO zone constants'!$D$5:$H$4955,5,FALSE),""),"")</f>
        <v>181</v>
      </c>
      <c r="AL647" t="s">
        <v>125</v>
      </c>
      <c r="AM647" s="33" t="s">
        <v>3731</v>
      </c>
      <c r="AN647" s="39"/>
      <c r="AO647" s="39"/>
      <c r="AP647" s="3">
        <f>IF(AND(G647&lt;&gt;"LIBSETS_SETTYPE_BATTLEGROUND",G647&lt;&gt;"LIBSETS_SETTYPE_SPECIAL"),IF(AQ647&lt;&gt;"",VLOOKUP(AQ647,'ESO zone constants'!$D$5:$H$4955,5,FALSE),""),"")</f>
        <v>181</v>
      </c>
      <c r="AQ647" t="s">
        <v>125</v>
      </c>
      <c r="AR647" s="33" t="s">
        <v>1554</v>
      </c>
      <c r="AS647" s="39"/>
      <c r="AT647" s="39"/>
      <c r="AU647" s="3">
        <f>IF(AND(G647&lt;&gt;"LIBSETS_SETTYPE_BATTLEGROUND",G647&lt;&gt;"LIBSETS_SETTYPE_SPECIAL"),IF(AV647&lt;&gt;"",VLOOKUP(AV647,'ESO zone constants'!$D$5:$H$4955,5,FALSE),""),"")</f>
        <v>181</v>
      </c>
      <c r="AV647" t="s">
        <v>125</v>
      </c>
      <c r="AW647" s="33" t="s">
        <v>3231</v>
      </c>
      <c r="AX647" s="39"/>
      <c r="AY647" s="39"/>
      <c r="AZ647" s="78" t="s">
        <v>2649</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3">
        <v>756</v>
      </c>
      <c r="B648" s="53" t="s">
        <v>3903</v>
      </c>
      <c r="C648" s="53" t="s">
        <v>3903</v>
      </c>
      <c r="D648" s="3">
        <f t="shared" si="64"/>
        <v>756</v>
      </c>
      <c r="G648" s="3" t="s">
        <v>1471</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3888</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constants'!$B$4:$C$1012,2,FALSE),"")</f>
        <v>Scions of Ithelia</v>
      </c>
      <c r="V648" s="89" t="s">
        <v>1535</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3728</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3731</v>
      </c>
      <c r="AN648" s="39"/>
      <c r="AO648" s="39"/>
      <c r="AP648" s="3">
        <f>IF(AND(G648&lt;&gt;"LIBSETS_SETTYPE_BATTLEGROUND",G648&lt;&gt;"LIBSETS_SETTYPE_SPECIAL"),IF(AQ648&lt;&gt;"",VLOOKUP(AQ648,'ESO zone constants'!$D$5:$H$4955,5,FALSE),""),"")</f>
        <v>181</v>
      </c>
      <c r="AQ648" t="s">
        <v>125</v>
      </c>
      <c r="AR648" s="33" t="s">
        <v>1554</v>
      </c>
      <c r="AS648" s="39"/>
      <c r="AT648" s="39"/>
      <c r="AU648" s="3">
        <f>IF(AND(G648&lt;&gt;"LIBSETS_SETTYPE_BATTLEGROUND",G648&lt;&gt;"LIBSETS_SETTYPE_SPECIAL"),IF(AV648&lt;&gt;"",VLOOKUP(AV648,'ESO zone constants'!$D$5:$H$4955,5,FALSE),""),"")</f>
        <v>181</v>
      </c>
      <c r="AV648" t="s">
        <v>125</v>
      </c>
      <c r="AW648" s="33" t="s">
        <v>3231</v>
      </c>
      <c r="AX648" s="39"/>
      <c r="AY648" s="39"/>
      <c r="AZ648" s="78" t="s">
        <v>2649</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sheetData>
  <autoFilter ref="A2:BI648"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56"/>
  <sheetViews>
    <sheetView zoomScale="70" zoomScaleNormal="70" workbookViewId="0">
      <pane xSplit="3" ySplit="2" topLeftCell="D616" activePane="bottomRight" state="frozen"/>
      <selection pane="topRight" activeCell="D1" sqref="D1"/>
      <selection pane="bottomLeft" activeCell="A3" sqref="A3"/>
      <selection pane="bottomRight" activeCell="B644" sqref="B644:C656"/>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3" t="s">
        <v>1669</v>
      </c>
      <c r="B1" s="113"/>
      <c r="C1" s="113"/>
      <c r="D1" s="44" t="s">
        <v>1670</v>
      </c>
    </row>
    <row r="2" spans="1:4" x14ac:dyDescent="0.25">
      <c r="A2" s="6" t="s">
        <v>83</v>
      </c>
      <c r="B2" s="7" t="s">
        <v>1667</v>
      </c>
      <c r="C2" s="7" t="s">
        <v>1668</v>
      </c>
      <c r="D2" s="1" t="s">
        <v>1666</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3">
        <v>693</v>
      </c>
      <c r="B645" s="8" t="str">
        <f>VLOOKUP(A645,'Sets data'!$A$3:$C$9918,3,FALSE)</f>
        <v>Torc of the Last Ayleid King</v>
      </c>
      <c r="C645" s="8" t="str">
        <f>VLOOKUP(A645,'Sets data'!$A$3:$C$9918,2,FALSE)</f>
        <v>Torc of the Last Ayleid King</v>
      </c>
    </row>
    <row r="646" spans="1:3" x14ac:dyDescent="0.25">
      <c r="A646" s="53">
        <v>730</v>
      </c>
      <c r="B646" s="8" t="str">
        <f>VLOOKUP(A646,'Sets data'!$A$3:$C$9918,3,FALSE)</f>
        <v>Cinders of Anthelmir</v>
      </c>
      <c r="C646" s="8" t="str">
        <f>VLOOKUP(A646,'Sets data'!$A$3:$C$9918,2,FALSE)</f>
        <v>Cinders of Anthelmir</v>
      </c>
    </row>
    <row r="647" spans="1:3" x14ac:dyDescent="0.25">
      <c r="A647" s="53">
        <v>731</v>
      </c>
      <c r="B647" s="8" t="str">
        <f>VLOOKUP(A647,'Sets data'!$A$3:$C$9918,3,FALSE)</f>
        <v>Sluthrug\'s Hunger</v>
      </c>
      <c r="C647" s="8" t="str">
        <f>VLOOKUP(A647,'Sets data'!$A$3:$C$9918,2,FALSE)</f>
        <v>Sluthrug\'s Hunger</v>
      </c>
    </row>
    <row r="648" spans="1:3" x14ac:dyDescent="0.25">
      <c r="A648" s="53">
        <v>732</v>
      </c>
      <c r="B648" s="8" t="str">
        <f>VLOOKUP(A648,'Sets data'!$A$3:$C$9918,3,FALSE)</f>
        <v>Black-Grove Grounding</v>
      </c>
      <c r="C648" s="8" t="str">
        <f>VLOOKUP(A648,'Sets data'!$A$3:$C$9918,2,FALSE)</f>
        <v>Black-Grove Grounding</v>
      </c>
    </row>
    <row r="649" spans="1:3" x14ac:dyDescent="0.25">
      <c r="A649" s="53">
        <v>734</v>
      </c>
      <c r="B649" s="8" t="str">
        <f>VLOOKUP(A649,'Sets data'!$A$3:$C$9918,3,FALSE)</f>
        <v>Anthelmir\'s Construct</v>
      </c>
      <c r="C649" s="8" t="str">
        <f>VLOOKUP(A649,'Sets data'!$A$3:$C$9918,2,FALSE)</f>
        <v>Anthelmirs Konstrukt</v>
      </c>
    </row>
    <row r="650" spans="1:3" x14ac:dyDescent="0.25">
      <c r="A650" s="53">
        <v>735</v>
      </c>
      <c r="B650" s="8" t="str">
        <f>VLOOKUP(A650,'Sets data'!$A$3:$C$9918,3,FALSE)</f>
        <v>Blind Path Induction</v>
      </c>
      <c r="C650" s="8" t="str">
        <f>VLOOKUP(A650,'Sets data'!$A$3:$C$9918,2,FALSE)</f>
        <v>Blind Path Induction</v>
      </c>
    </row>
    <row r="651" spans="1:3" x14ac:dyDescent="0.25">
      <c r="A651" s="53">
        <v>736</v>
      </c>
      <c r="B651" s="8" t="str">
        <f>VLOOKUP(A651,'Sets data'!$A$3:$C$9918,3,FALSE)</f>
        <v>Tarnished Nightmare</v>
      </c>
      <c r="C651" s="8" t="str">
        <f>VLOOKUP(A651,'Sets data'!$A$3:$C$9918,2,FALSE)</f>
        <v>Tarnished Nightmare</v>
      </c>
    </row>
    <row r="652" spans="1:3" x14ac:dyDescent="0.25">
      <c r="A652" s="53">
        <v>737</v>
      </c>
      <c r="B652" s="8" t="str">
        <f>VLOOKUP(A652,'Sets data'!$A$3:$C$9918,3,FALSE)</f>
        <v>Reflected Fury</v>
      </c>
      <c r="C652" s="8" t="str">
        <f>VLOOKUP(A652,'Sets data'!$A$3:$C$9918,2,FALSE)</f>
        <v>Reflected Fury</v>
      </c>
    </row>
    <row r="653" spans="1:3" x14ac:dyDescent="0.25">
      <c r="A653" s="53">
        <v>738</v>
      </c>
      <c r="B653" s="8" t="str">
        <f>VLOOKUP(A653,'Sets data'!$A$3:$C$9918,3,FALSE)</f>
        <v>The Blind</v>
      </c>
      <c r="C653" s="8" t="str">
        <f>VLOOKUP(A653,'Sets data'!$A$3:$C$9918,2,FALSE)</f>
        <v>Der Blinde</v>
      </c>
    </row>
    <row r="654" spans="1:3" x14ac:dyDescent="0.25">
      <c r="A654" s="53">
        <v>754</v>
      </c>
      <c r="B654" s="8" t="str">
        <f>VLOOKUP(A654,'Sets data'!$A$3:$C$9918,3,FALSE)</f>
        <v>Oakfather\'s Retribution</v>
      </c>
      <c r="C654" s="8" t="str">
        <f>VLOOKUP(A654,'Sets data'!$A$3:$C$9918,2,FALSE)</f>
        <v>Oakfather\'s Retribution</v>
      </c>
    </row>
    <row r="655" spans="1:3" x14ac:dyDescent="0.25">
      <c r="A655" s="53">
        <v>755</v>
      </c>
      <c r="B655" s="8" t="str">
        <f>VLOOKUP(A655,'Sets data'!$A$3:$C$9918,3,FALSE)</f>
        <v>Blunted Blades</v>
      </c>
      <c r="C655" s="8" t="str">
        <f>VLOOKUP(A655,'Sets data'!$A$3:$C$9918,2,FALSE)</f>
        <v>Blunted Blades</v>
      </c>
    </row>
    <row r="656" spans="1:3" x14ac:dyDescent="0.25">
      <c r="A656" s="53">
        <v>756</v>
      </c>
      <c r="B656" s="8" t="str">
        <f>VLOOKUP(A656,'Sets data'!$A$3:$C$9918,3,FALSE)</f>
        <v>Baan Dar\'s Blessing</v>
      </c>
      <c r="C656" s="8" t="str">
        <f>VLOOKUP(A656,'Sets data'!$A$3:$C$9918,2,FALSE)</f>
        <v>Baan Dar\'s Blessing</v>
      </c>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0"/>
  <sheetViews>
    <sheetView workbookViewId="0">
      <pane xSplit="3" ySplit="2" topLeftCell="D39" activePane="bottomRight" state="frozen"/>
      <selection pane="topRight" activeCell="D1" sqref="D1"/>
      <selection pane="bottomLeft" activeCell="A3" sqref="A3"/>
      <selection pane="bottomRight" activeCell="A91" sqref="A9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4" t="s">
        <v>3918</v>
      </c>
      <c r="B1" s="114"/>
      <c r="C1" s="114"/>
      <c r="D1" s="114"/>
      <c r="E1" s="114"/>
      <c r="F1" s="114"/>
      <c r="G1" s="114"/>
      <c r="H1" s="114"/>
      <c r="I1" s="114"/>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5"/>
    </row>
    <row r="2" spans="1:52" ht="30" x14ac:dyDescent="0.25">
      <c r="A2" s="10" t="s">
        <v>95</v>
      </c>
      <c r="B2" s="1" t="s">
        <v>93</v>
      </c>
      <c r="C2" s="1" t="s">
        <v>1342</v>
      </c>
      <c r="D2" s="3" t="s">
        <v>94</v>
      </c>
      <c r="E2" s="3" t="s">
        <v>1611</v>
      </c>
      <c r="F2" s="3" t="s">
        <v>1487</v>
      </c>
      <c r="G2" s="3" t="s">
        <v>1612</v>
      </c>
      <c r="H2" s="15" t="s">
        <v>1341</v>
      </c>
      <c r="I2" s="18" t="s">
        <v>1507</v>
      </c>
      <c r="J2" s="17" t="s">
        <v>1340</v>
      </c>
      <c r="K2" s="102" t="s">
        <v>3863</v>
      </c>
    </row>
    <row r="3" spans="1:52" x14ac:dyDescent="0.25">
      <c r="A3" s="2" t="s">
        <v>442</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constants'!$A$4:$B$1012,2,FALSE)</f>
        <v>DLC_BASE_GAME</v>
      </c>
      <c r="J3" s="17" t="str">
        <f>VLOOKUP(H3,'LibSets constants'!$A$4:$C$1012,3,FALSE)</f>
        <v>Included in base game</v>
      </c>
      <c r="K3" s="21" t="str">
        <f t="shared" ref="K3:K34" si="0">IF(B3="false","["&amp;D3&amp;"]={parentZoneId="&amp;F3&amp;",isTrial="&amp;C3&amp;"},   --"&amp;E3,"")</f>
        <v>[638]={parentZoneId=888,isTrial=true},   --Aetherian Archive</v>
      </c>
    </row>
    <row r="4" spans="1:52" hidden="1" x14ac:dyDescent="0.25">
      <c r="A4" s="2" t="s">
        <v>442</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constants'!$A$4:$B$1012,2,FALSE)</f>
        <v>DLC_BASE_GAME</v>
      </c>
      <c r="J4" s="17" t="str">
        <f>VLOOKUP(H4,'LibSets constants'!$A$4:$C$1012,3,FALSE)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constants'!$A$4:$B$1012,2,FALSE)</f>
        <v>DLC_BASE_GAME</v>
      </c>
      <c r="J5" s="17" t="str">
        <f>VLOOKUP(H5,'LibSets constants'!$A$4:$C$1012,3,FALSE)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constants'!$A$4:$B$1012,2,FALSE)</f>
        <v>DLC_BASE_GAME</v>
      </c>
      <c r="J6" s="17" t="str">
        <f>VLOOKUP(H6,'LibSets constants'!$A$4:$C$1012,3,FALSE)</f>
        <v>Included in base game</v>
      </c>
      <c r="K6" s="21" t="str">
        <f t="shared" si="0"/>
        <v/>
      </c>
    </row>
    <row r="7" spans="1:52" x14ac:dyDescent="0.25">
      <c r="A7" s="2" t="s">
        <v>658</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constants'!$A$4:$B$1012,2,FALSE)</f>
        <v>DLC_CLOCKWORK_CITY</v>
      </c>
      <c r="J7" s="17" t="str">
        <f>VLOOKUP(H7,'LibSets constants'!$A$4:$C$1012,3,FALSE)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constants'!$A$4:$B$1012,2,FALSE)</f>
        <v>DLC_BASE_GAME</v>
      </c>
      <c r="J8" s="17" t="str">
        <f>VLOOKUP(H8,'LibSets constants'!$A$4:$C$1012,3,FALSE)</f>
        <v>Included in base game</v>
      </c>
      <c r="K8" s="21" t="str">
        <f t="shared" si="0"/>
        <v/>
      </c>
    </row>
    <row r="9" spans="1:52" x14ac:dyDescent="0.25">
      <c r="A9" s="81" t="s">
        <v>3548</v>
      </c>
      <c r="B9" s="9" t="s">
        <v>91</v>
      </c>
      <c r="C9" s="29" t="s">
        <v>92</v>
      </c>
      <c r="D9" s="103">
        <v>1389</v>
      </c>
      <c r="E9" s="3" t="str">
        <f>VLOOKUP(D9,'ESO zone constants'!$A$5:$D$9989,4,FALSE)</f>
        <v>Bal Sunnar</v>
      </c>
      <c r="F9" s="3">
        <f>VLOOKUP(D9,'ESO zone constants'!$A$5:$C$9954,3,FALSE)</f>
        <v>41</v>
      </c>
      <c r="G9" s="3" t="str">
        <f>VLOOKUP(F9,'ESO zone constants'!$A$5:$D$9989,4,FALSE)</f>
        <v>Stonefalls</v>
      </c>
      <c r="H9" s="4">
        <v>29</v>
      </c>
      <c r="I9" s="17" t="str">
        <f>VLOOKUP(H9,'LibSets constants'!$A$4:$B$1012,2,FALSE)</f>
        <v>DLC_SCRIBES_OF_FATE</v>
      </c>
      <c r="J9" s="17" t="str">
        <f>VLOOKUP(H9,'LibSets constants'!$A$4:$C$1012,3,FALSE)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constants'!$A$4:$B$1012,2,FALSE)</f>
        <v>DLC_BASE_GAME</v>
      </c>
      <c r="J10" s="17" t="str">
        <f>VLOOKUP(H10,'LibSets constants'!$A$4:$C$1012,3,FALSE)</f>
        <v>Included in base game</v>
      </c>
      <c r="K10" s="21" t="str">
        <f t="shared" si="0"/>
        <v/>
      </c>
    </row>
    <row r="11" spans="1:52" x14ac:dyDescent="0.25">
      <c r="A11" s="109" t="s">
        <v>3887</v>
      </c>
      <c r="B11" s="9" t="s">
        <v>91</v>
      </c>
      <c r="C11" s="29" t="s">
        <v>91</v>
      </c>
      <c r="D11" s="103">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constants'!$A$4:$B$1012,2,FALSE)</f>
        <v>DLC_SCIONS_OF_ITHELIA</v>
      </c>
      <c r="J11" s="17" t="str">
        <f>VLOOKUP(H11,'LibSets constants'!$A$4:$C$1012,3,FALSE)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constants'!$A$4:$B$1012,2,FALSE)</f>
        <v>DLC_BASE_GAME</v>
      </c>
      <c r="J12" s="17" t="str">
        <f>VLOOKUP(H12,'LibSets constants'!$A$4:$C$1012,3,FALSE)</f>
        <v>Included in base game</v>
      </c>
      <c r="K12" s="21" t="str">
        <f t="shared" si="0"/>
        <v/>
      </c>
    </row>
    <row r="13" spans="1:52" x14ac:dyDescent="0.25">
      <c r="A13" s="2" t="s">
        <v>2388</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constants'!$A$4:$B$1012,2,FALSE)</f>
        <v>DLC_FLAMES_OF_AMBITION</v>
      </c>
      <c r="J13" s="17" t="str">
        <f>VLOOKUP(H13,'LibSets constants'!$A$4:$C$1012,3,FALSE)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constants'!$A$4:$B$1012,2,FALSE)</f>
        <v>DLC_BASE_GAME</v>
      </c>
      <c r="J14" s="17" t="str">
        <f>VLOOKUP(H14,'LibSets constants'!$A$4:$C$1012,3,FALSE)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constants'!$A$4:$B$1012,2,FALSE)</f>
        <v>DLC_BASE_GAME</v>
      </c>
      <c r="J15" s="17" t="str">
        <f>VLOOKUP(H15,'LibSets constants'!$A$4:$C$1012,3,FALSE)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constants'!$A$4:$B$1012,2,FALSE)</f>
        <v>DLC_BASE_GAME</v>
      </c>
      <c r="J16" s="17" t="str">
        <f>VLOOKUP(H16,'LibSets constants'!$A$4:$C$1012,3,FALSE)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constants'!$A$4:$B$1012,2,FALSE)</f>
        <v>DLC_BASE_GAME</v>
      </c>
      <c r="J17" s="17" t="str">
        <f>VLOOKUP(H17,'LibSets constants'!$A$4:$C$1012,3,FALSE)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constants'!$A$4:$B$1012,2,FALSE)</f>
        <v>DLC_BASE_GAME</v>
      </c>
      <c r="J18" s="17" t="str">
        <f>VLOOKUP(H18,'LibSets constants'!$A$4:$C$1012,3,FALSE)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constants'!$A$4:$B$1012,2,FALSE)</f>
        <v>DLC_HORNS_OF_THE_REACH</v>
      </c>
      <c r="J19" s="17" t="str">
        <f>VLOOKUP(H19,'LibSets constants'!$A$4:$C$1012,3,FALSE)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constants'!$A$4:$B$1012,2,FALSE)</f>
        <v>DLC_BASE_GAME</v>
      </c>
      <c r="J20" s="17" t="str">
        <f>VLOOKUP(H20,'LibSets constants'!$A$4:$C$1012,3,FALSE)</f>
        <v>Included in base game</v>
      </c>
      <c r="K20" s="21" t="str">
        <f t="shared" si="0"/>
        <v/>
      </c>
    </row>
    <row r="21" spans="1:11" x14ac:dyDescent="0.25">
      <c r="A21" s="2" t="s">
        <v>1796</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constants'!$A$4:$B$1012,2,FALSE)</f>
        <v>DLC_STONETHORN</v>
      </c>
      <c r="J21" s="17" t="str">
        <f>VLOOKUP(H21,'LibSets constants'!$A$4:$C$1012,3,FALSE)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constants'!$A$4:$B$1012,2,FALSE)</f>
        <v>DLC_BASE_GAME</v>
      </c>
      <c r="J22" s="17" t="str">
        <f>VLOOKUP(H22,'LibSets constants'!$A$4:$C$1012,3,FALSE)</f>
        <v>Included in base game</v>
      </c>
      <c r="K22" s="21" t="str">
        <f t="shared" si="0"/>
        <v/>
      </c>
    </row>
    <row r="23" spans="1:11" x14ac:dyDescent="0.25">
      <c r="A23" s="2" t="s">
        <v>1796</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constants'!$A$4:$B$1012,2,FALSE)</f>
        <v>DLC_STONETHORN</v>
      </c>
      <c r="J23" s="17" t="str">
        <f>VLOOKUP(H23,'LibSets constants'!$A$4:$C$1012,3,FALSE)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constants'!$A$4:$B$1012,2,FALSE)</f>
        <v>DLC_BASE_GAME</v>
      </c>
      <c r="J24" s="17" t="str">
        <f>VLOOKUP(H24,'LibSets constants'!$A$4:$C$1012,3,FALSE)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constants'!$A$4:$B$1012,2,FALSE)</f>
        <v>DLC_BASE_GAME</v>
      </c>
      <c r="J25" s="17" t="str">
        <f>VLOOKUP(H25,'LibSets constants'!$A$4:$C$1012,3,FALSE)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constants'!$A$4:$B$1012,2,FALSE)</f>
        <v>DLC_BASE_GAME</v>
      </c>
      <c r="J26" s="17" t="str">
        <f>VLOOKUP(H26,'LibSets constants'!$A$4:$C$1012,3,FALSE)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constants'!$A$4:$B$1012,2,FALSE)</f>
        <v>DLC_BASE_GAME</v>
      </c>
      <c r="J27" s="17" t="str">
        <f>VLOOKUP(H27,'LibSets constants'!$A$4:$C$1012,3,FALSE)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constants'!$A$4:$B$1012,2,FALSE)</f>
        <v>DLC_BASE_GAME</v>
      </c>
      <c r="J28" s="17" t="str">
        <f>VLOOKUP(H28,'LibSets constants'!$A$4:$C$1012,3,FALSE)</f>
        <v>Included in base game</v>
      </c>
      <c r="K28" s="21" t="str">
        <f t="shared" si="0"/>
        <v/>
      </c>
    </row>
    <row r="29" spans="1:11" x14ac:dyDescent="0.25">
      <c r="A29" s="2" t="s">
        <v>698</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constants'!$A$4:$B$1012,2,FALSE)</f>
        <v>DLC_SUMMERSET</v>
      </c>
      <c r="J29" s="17" t="str">
        <f>VLOOKUP(H29,'LibSets constants'!$A$4:$C$1012,3,FALSE)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constants'!$A$4:$B$1012,2,FALSE)</f>
        <v>DLC_BASE_GAME</v>
      </c>
      <c r="J30" s="17" t="str">
        <f>VLOOKUP(H30,'LibSets constants'!$A$4:$C$1012,3,FALSE)</f>
        <v>Included in base game</v>
      </c>
      <c r="K30" s="21" t="str">
        <f t="shared" si="0"/>
        <v/>
      </c>
    </row>
    <row r="31" spans="1:11" x14ac:dyDescent="0.25">
      <c r="A31" s="81" t="s">
        <v>2708</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constants'!$A$4:$B$1012,2,FALSE)</f>
        <v>DLC_ASCENDING_TIDE</v>
      </c>
      <c r="J31" s="17" t="str">
        <f>VLOOKUP(H31,'LibSets constants'!$A$4:$C$1012,3,FALSE)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constants'!$A$4:$B$1012,2,FALSE)</f>
        <v>DLC_BASE_GAME</v>
      </c>
      <c r="J32" s="17" t="str">
        <f>VLOOKUP(H32,'LibSets constants'!$A$4:$C$1012,3,FALSE)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constants'!$A$4:$B$1012,2,FALSE)</f>
        <v>DLC_SHADOWS_OF_THE_HIST</v>
      </c>
      <c r="J33" s="17" t="str">
        <f>VLOOKUP(H33,'LibSets constants'!$A$4:$C$1012,3,FALSE)</f>
        <v>Shadows of the Hist</v>
      </c>
      <c r="K33" s="21" t="str">
        <f t="shared" si="0"/>
        <v>[848]={parentZoneId=117,isTrial=false},   --Cradle of Shadows</v>
      </c>
    </row>
    <row r="34" spans="1:11" hidden="1" x14ac:dyDescent="0.25">
      <c r="A34" s="2" t="s">
        <v>440</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constants'!$A$4:$B$1012,2,FALSE)</f>
        <v>DLC_BASE_GAME</v>
      </c>
      <c r="J34" s="17" t="str">
        <f>VLOOKUP(H34,'LibSets constants'!$A$4:$C$1012,3,FALSE)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constants'!$A$4:$B$1012,2,FALSE)</f>
        <v>DLC_BASE_GAME</v>
      </c>
      <c r="J35" s="17" t="str">
        <f>VLOOKUP(H35,'LibSets constants'!$A$4:$C$1012,3,FALSE)</f>
        <v>Included in base game</v>
      </c>
      <c r="K35" s="21" t="str">
        <f t="shared" ref="K35:K66" si="1">IF(B35="false","["&amp;D35&amp;"]={parentZoneId="&amp;F35&amp;",isTrial="&amp;C35&amp;"},   --"&amp;E35,"")</f>
        <v>[130]={parentZoneId=20,isTrial=false},   --Crypt of Hearts I</v>
      </c>
    </row>
    <row r="36" spans="1:11" hidden="1" x14ac:dyDescent="0.25">
      <c r="A36" s="2" t="s">
        <v>443</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constants'!$A$4:$B$1012,2,FALSE)</f>
        <v>DLC_BASE_GAME</v>
      </c>
      <c r="J36" s="17" t="str">
        <f>VLOOKUP(H36,'LibSets constants'!$A$4:$C$1012,3,FALSE)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constants'!$A$4:$B$1012,2,FALSE)</f>
        <v>DLC_BASE_GAME</v>
      </c>
      <c r="J37" s="17" t="str">
        <f>VLOOKUP(H37,'LibSets constants'!$A$4:$C$1012,3,FALSE)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constants'!$A$4:$B$1012,2,FALSE)</f>
        <v>DLC_BASE_GAME</v>
      </c>
      <c r="J38" s="17" t="str">
        <f>VLOOKUP(H38,'LibSets constants'!$A$4:$C$1012,3,FALSE)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constants'!$A$4:$B$1012,2,FALSE)</f>
        <v>DLC_BASE_GAME</v>
      </c>
      <c r="J39" s="17" t="str">
        <f>VLOOKUP(H39,'LibSets constants'!$A$4:$C$1012,3,FALSE)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constants'!$A$4:$B$1012,2,FALSE)</f>
        <v>DLC_BASE_GAME</v>
      </c>
      <c r="J40" s="17" t="str">
        <f>VLOOKUP(H40,'LibSets constants'!$A$4:$C$1012,3,FALSE)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constants'!$A$4:$B$1012,2,FALSE)</f>
        <v>DLC_BASE_GAME</v>
      </c>
      <c r="J41" s="17" t="str">
        <f>VLOOKUP(H41,'LibSets constants'!$A$4:$C$1012,3,FALSE)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constants'!$A$4:$B$1012,2,FALSE)</f>
        <v>DLC_BASE_GAME</v>
      </c>
      <c r="J42" s="17" t="str">
        <f>VLOOKUP(H42,'LibSets constants'!$A$4:$C$1012,3,FALSE)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constants'!$A$4:$B$1012,2,FALSE)</f>
        <v>DLC_WRATHSTONE</v>
      </c>
      <c r="J43" s="17" t="str">
        <f>VLOOKUP(H43,'LibSets constants'!$A$4:$C$1012,3,FALSE)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constants'!$A$4:$B$1012,2,FALSE)</f>
        <v>DLC_BASE_GAME</v>
      </c>
      <c r="J44" s="17" t="str">
        <f>VLOOKUP(H44,'LibSets constants'!$A$4:$C$1012,3,FALSE)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constants'!$A$4:$B$1012,2,FALSE)</f>
        <v>DLC_BASE_GAME</v>
      </c>
      <c r="J45" s="17" t="str">
        <f>VLOOKUP(H45,'LibSets constants'!$A$4:$C$1012,3,FALSE)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constants'!$A$4:$B$1012,2,FALSE)</f>
        <v>DLC_BASE_GAME</v>
      </c>
      <c r="J46" s="17" t="str">
        <f>VLOOKUP(H46,'LibSets constants'!$A$4:$C$1012,3,FALSE)</f>
        <v>Included in base game</v>
      </c>
      <c r="K46" s="21" t="str">
        <f t="shared" si="1"/>
        <v/>
      </c>
    </row>
    <row r="47" spans="1:11" x14ac:dyDescent="0.25">
      <c r="A47" s="2" t="s">
        <v>2487</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constants'!$A$4:$B$1012,2,FALSE)</f>
        <v>DLC_WAKING_FLAME</v>
      </c>
      <c r="J47" s="17" t="str">
        <f>VLOOKUP(H47,'LibSets constants'!$A$4:$C$1012,3,FALSE)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constants'!$A$4:$B$1012,2,FALSE)</f>
        <v>DLC_BASE_GAME</v>
      </c>
      <c r="J48" s="17" t="str">
        <f>VLOOKUP(H48,'LibSets constants'!$A$4:$C$1012,3,FALSE)</f>
        <v>Included in base game</v>
      </c>
      <c r="K48" s="21" t="str">
        <f t="shared" si="1"/>
        <v/>
      </c>
    </row>
    <row r="49" spans="1:11" x14ac:dyDescent="0.25">
      <c r="A49" t="s">
        <v>3344</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constants'!$A$4:$B$1012,2,FALSE)</f>
        <v>DLC_HIGH_ISLE</v>
      </c>
      <c r="J49" s="17" t="str">
        <f>VLOOKUP(H49,'LibSets constants'!$A$4:$C$1012,3,FALSE)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constants'!$A$4:$B$1012,2,FALSE)</f>
        <v>DLC_BASE_GAME</v>
      </c>
      <c r="J50" s="17" t="str">
        <f>VLOOKUP(H50,'LibSets constants'!$A$4:$C$1012,3,FALSE)</f>
        <v>Included in base game</v>
      </c>
      <c r="K50" s="21" t="str">
        <f t="shared" si="1"/>
        <v/>
      </c>
    </row>
    <row r="51" spans="1:11" x14ac:dyDescent="0.25">
      <c r="A51" s="81" t="s">
        <v>3381</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constants'!$A$4:$B$1012,2,FALSE)</f>
        <v>DLC_LOST_DEPTHS</v>
      </c>
      <c r="J51" s="17" t="str">
        <f>VLOOKUP(H51,'LibSets constants'!$A$4:$C$1012,3,FALSE)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constants'!$A$4:$B$1012,2,FALSE)</f>
        <v>DLC_BASE_GAME</v>
      </c>
      <c r="J52" s="17" t="str">
        <f>VLOOKUP(H52,'LibSets constants'!$A$4:$C$1012,3,FALSE)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constants'!$A$4:$B$1012,2,FALSE)</f>
        <v>DLC_BASE_GAME</v>
      </c>
      <c r="J53" s="17" t="str">
        <f>VLOOKUP(H53,'LibSets constants'!$A$4:$C$1012,3,FALSE)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constants'!$A$4:$B$1012,2,FALSE)</f>
        <v>DLC_BASE_GAME</v>
      </c>
      <c r="J54" s="17" t="str">
        <f>VLOOKUP(H54,'LibSets constants'!$A$4:$C$1012,3,FALSE)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constants'!$A$4:$B$1012,2,FALSE)</f>
        <v>DLC_BASE_GAME</v>
      </c>
      <c r="J55" s="17" t="str">
        <f>VLOOKUP(H55,'LibSets constants'!$A$4:$C$1012,3,FALSE)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constants'!$A$4:$B$1012,2,FALSE)</f>
        <v>DLC_BASE_GAME</v>
      </c>
      <c r="J56" s="17" t="str">
        <f>VLOOKUP(H56,'LibSets constants'!$A$4:$C$1012,3,FALSE)</f>
        <v>Included in base game</v>
      </c>
      <c r="K56" s="21" t="str">
        <f t="shared" si="1"/>
        <v/>
      </c>
    </row>
    <row r="57" spans="1:11" x14ac:dyDescent="0.25">
      <c r="A57" s="2" t="s">
        <v>3746</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constants'!$A$4:$B$1012,2,FALSE)</f>
        <v>DLC_SCRIBES_OF_FATE</v>
      </c>
      <c r="J57" s="17" t="str">
        <f>VLOOKUP(H57,'LibSets constants'!$A$4:$C$1012,3,FALSE)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constants'!$A$4:$B$1012,2,FALSE)</f>
        <v>DLC_IMPERIAL_CITY</v>
      </c>
      <c r="J58" s="17" t="str">
        <f>VLOOKUP(H58,'LibSets constants'!$A$4:$C$1012,3,FALSE)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constants'!$A$4:$B$1012,2,FALSE)</f>
        <v>DLC_HORNS_OF_THE_REACH</v>
      </c>
      <c r="J59" s="17" t="str">
        <f>VLOOKUP(H59,'LibSets constants'!$A$4:$C$1012,3,FALSE)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constants'!$A$4:$B$1012,2,FALSE)</f>
        <v>DLC_IMPERIAL_CITY</v>
      </c>
      <c r="J60" s="17" t="str">
        <f>VLOOKUP(H60,'LibSets constants'!$A$4:$C$1012,3,FALSE)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constants'!$A$4:$B$1012,2,FALSE)</f>
        <v>DLC_DRAGON_BONES</v>
      </c>
      <c r="J61" s="17" t="str">
        <f>VLOOKUP(H61,'LibSets constants'!$A$4:$C$1012,3,FALSE)</f>
        <v>Dragon Bones</v>
      </c>
      <c r="K61" s="21" t="str">
        <f t="shared" si="1"/>
        <v>[1009]={parentZoneId=92,isTrial=false},   --Fang Lair</v>
      </c>
    </row>
    <row r="62" spans="1:11" hidden="1" x14ac:dyDescent="0.25">
      <c r="A62" s="2" t="s">
        <v>475</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constants'!$A$4:$B$1012,2,FALSE)</f>
        <v>DLC_THIEVES_GUILD</v>
      </c>
      <c r="J62" s="17" t="str">
        <f>VLOOKUP(H62,'LibSets constants'!$A$4:$C$1012,3,FALSE)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constants'!$A$4:$B$1012,2,FALSE)</f>
        <v>DLC_WRATHSTONE</v>
      </c>
      <c r="J63" s="17" t="str">
        <f>VLOOKUP(H63,'LibSets constants'!$A$4:$C$1012,3,FALSE)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constants'!$A$4:$B$1012,2,FALSE)</f>
        <v>DLC_SHADOWS_OF_THE_HIST</v>
      </c>
      <c r="J64" s="17" t="str">
        <f>VLOOKUP(H64,'LibSets constants'!$A$4:$C$1012,3,FALSE)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constants'!$A$4:$B$1012,2,FALSE)</f>
        <v>DLC_BASE_GAME</v>
      </c>
      <c r="J65" s="17" t="str">
        <f>VLOOKUP(H65,'LibSets constants'!$A$4:$C$1012,3,FALSE)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constants'!$A$4:$B$1012,2,FALSE)</f>
        <v>DLC_SHADOWS_OF_THE_HIST</v>
      </c>
      <c r="J66" s="17" t="str">
        <f>VLOOKUP(H66,'LibSets constants'!$A$4:$C$1012,3,FALSE)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constants'!$A$4:$B$1012,2,FALSE)</f>
        <v>DLC_BASE_GAME</v>
      </c>
      <c r="J67" s="17" t="str">
        <f>VLOOKUP(H67,'LibSets constants'!$A$4:$C$1012,3,FALSE)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constants'!$A$4:$B$1012,2,FALSE)</f>
        <v>DLC_HORNS_OF_THE_REACH</v>
      </c>
      <c r="J68" s="17" t="str">
        <f>VLOOKUP(H68,'LibSets constants'!$A$4:$C$1012,3,FALSE)</f>
        <v>Horns of the Reach</v>
      </c>
      <c r="K68" s="21" t="str">
        <f t="shared" si="2"/>
        <v/>
      </c>
    </row>
    <row r="69" spans="1:11" x14ac:dyDescent="0.25">
      <c r="A69" s="81" t="s">
        <v>3382</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constants'!$A$4:$B$1012,2,FALSE)</f>
        <v>DLC_LOST_DEPTHS</v>
      </c>
      <c r="J69" s="17" t="str">
        <f>VLOOKUP(H69,'LibSets constants'!$A$4:$C$1012,3,FALSE)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constants'!$A$4:$B$1012,2,FALSE)</f>
        <v>DLC_HORNS_OF_THE_REACH</v>
      </c>
      <c r="J70" s="17" t="str">
        <f>VLOOKUP(H70,'LibSets constants'!$A$4:$C$1012,3,FALSE)</f>
        <v>Horns of the Reach</v>
      </c>
      <c r="K70" s="21" t="str">
        <f t="shared" si="2"/>
        <v/>
      </c>
    </row>
    <row r="71" spans="1:11" x14ac:dyDescent="0.25">
      <c r="A71" s="2" t="s">
        <v>638</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constants'!$A$4:$B$1012,2,FALSE)</f>
        <v>DLC_CLOCKWORK_CITY</v>
      </c>
      <c r="J71" s="17" t="str">
        <f>VLOOKUP(H71,'LibSets constants'!$A$4:$C$1012,3,FALSE)</f>
        <v>Clockwork City</v>
      </c>
      <c r="K71" s="21" t="str">
        <f t="shared" si="2"/>
        <v>[975]={parentZoneId=849,isTrial=true},   --Halls of Fabrication</v>
      </c>
    </row>
    <row r="72" spans="1:11" hidden="1" x14ac:dyDescent="0.25">
      <c r="A72" s="2" t="s">
        <v>658</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constants'!$A$4:$B$1012,2,FALSE)</f>
        <v>DLC_CLOCKWORK_CITY</v>
      </c>
      <c r="J72" s="17" t="str">
        <f>VLOOKUP(H72,'LibSets constants'!$A$4:$C$1012,3,FALSE)</f>
        <v>Clockwork City</v>
      </c>
      <c r="K72" s="21" t="str">
        <f t="shared" si="2"/>
        <v/>
      </c>
    </row>
    <row r="73" spans="1:11" x14ac:dyDescent="0.25">
      <c r="A73" s="2" t="s">
        <v>440</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constants'!$A$4:$B$1012,2,FALSE)</f>
        <v>DLC_BASE_GAME</v>
      </c>
      <c r="J73" s="17" t="str">
        <f>VLOOKUP(H73,'LibSets constants'!$A$4:$C$1012,3,FALSE)</f>
        <v>Included in base game</v>
      </c>
      <c r="K73" s="21" t="str">
        <f t="shared" si="2"/>
        <v>[636]={parentZoneId=888,isTrial=true},   --Hel Ra Citadel</v>
      </c>
    </row>
    <row r="74" spans="1:11" hidden="1" x14ac:dyDescent="0.25">
      <c r="A74" s="2" t="s">
        <v>638</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constants'!$A$4:$B$1012,2,FALSE)</f>
        <v>DLC_CLOCKWORK_CITY</v>
      </c>
      <c r="J74" s="17" t="str">
        <f>VLOOKUP(H74,'LibSets constants'!$A$4:$C$1012,3,FALSE)</f>
        <v>Clockwork City</v>
      </c>
      <c r="K74" s="21" t="str">
        <f t="shared" si="2"/>
        <v/>
      </c>
    </row>
    <row r="75" spans="1:11" x14ac:dyDescent="0.25">
      <c r="A75" s="2" t="s">
        <v>1642</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constants'!$A$4:$B$1012,2,FALSE)</f>
        <v>DLC_HARROWSTORM</v>
      </c>
      <c r="J75" s="17" t="str">
        <f>VLOOKUP(H75,'LibSets constants'!$A$4:$C$1012,3,FALSE)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constants'!$A$4:$B$1012,2,FALSE)</f>
        <v>DLC_DRAGON_BONES</v>
      </c>
      <c r="J76" s="17" t="str">
        <f>VLOOKUP(H76,'LibSets constants'!$A$4:$C$1012,3,FALSE)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constants'!$A$4:$B$1012,2,FALSE)</f>
        <v>DLC_IMPERIAL_CITY</v>
      </c>
      <c r="J77" s="17" t="str">
        <f>VLOOKUP(H77,'LibSets constants'!$A$4:$C$1012,3,FALSE)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constants'!$A$4:$B$1012,2,FALSE)</f>
        <v>DLC_DRAGON_BONES</v>
      </c>
      <c r="J78" s="17" t="str">
        <f>VLOOKUP(H78,'LibSets constants'!$A$4:$C$1012,3,FALSE)</f>
        <v>Dragon Bones</v>
      </c>
      <c r="K78" s="21" t="str">
        <f t="shared" si="2"/>
        <v/>
      </c>
    </row>
    <row r="79" spans="1:11" x14ac:dyDescent="0.25">
      <c r="A79" s="2" t="s">
        <v>1700</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constants'!$A$4:$B$1012,2,FALSE)</f>
        <v>DLC_GREYMOOR</v>
      </c>
      <c r="J79" s="17" t="str">
        <f>VLOOKUP(H79,'LibSets constants'!$A$4:$C$1012,3,FALSE)</f>
        <v>Greymoor</v>
      </c>
      <c r="K79" s="21" t="str">
        <f t="shared" si="2"/>
        <v>[1196]={parentZoneId=1160,isTrial=false},   --Kyne's Aegis</v>
      </c>
    </row>
    <row r="80" spans="1:11" hidden="1" x14ac:dyDescent="0.25">
      <c r="A80" s="2" t="s">
        <v>698</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constants'!$A$4:$B$1012,2,FALSE)</f>
        <v>DLC_SUMMERSET</v>
      </c>
      <c r="J80" s="17" t="str">
        <f>VLOOKUP(H80,'LibSets constants'!$A$4:$C$1012,3,FALSE)</f>
        <v>Summerset</v>
      </c>
      <c r="K80" s="21" t="str">
        <f t="shared" si="2"/>
        <v/>
      </c>
    </row>
    <row r="81" spans="1:11" x14ac:dyDescent="0.25">
      <c r="A81" s="2" t="s">
        <v>1483</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constants'!$A$4:$B$1012,2,FALSE)</f>
        <v>DLC_SCALEBREAKER</v>
      </c>
      <c r="J81" s="17" t="str">
        <f>VLOOKUP(H81,'LibSets constants'!$A$4:$C$1012,3,FALSE)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constants'!$A$4:$B$1012,2,FALSE)</f>
        <v>DLC_WOLFHUNTER</v>
      </c>
      <c r="J82" s="17" t="str">
        <f>VLOOKUP(H82,'LibSets constants'!$A$4:$C$1012,3,FALSE)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constants'!$A$4:$B$1012,2,FALSE)</f>
        <v>DLC_WOLFHUNTER</v>
      </c>
      <c r="J83" s="17" t="str">
        <f>VLOOKUP(H83,'LibSets constants'!$A$4:$C$1012,3,FALSE)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constants'!$A$4:$B$1012,2,FALSE)</f>
        <v>DLC_WOLFHUNTER</v>
      </c>
      <c r="J84" s="17" t="str">
        <f>VLOOKUP(H84,'LibSets constants'!$A$4:$C$1012,3,FALSE)</f>
        <v>Wolfhunter</v>
      </c>
      <c r="K84" s="21" t="str">
        <f t="shared" si="2"/>
        <v/>
      </c>
    </row>
    <row r="85" spans="1:11" x14ac:dyDescent="0.25">
      <c r="A85" s="2" t="s">
        <v>475</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constants'!$A$4:$B$1012,2,FALSE)</f>
        <v>DLC_THIEVES_GUILD</v>
      </c>
      <c r="J85" s="17" t="str">
        <f>VLOOKUP(H85,'LibSets constants'!$A$4:$C$1012,3,FALSE)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constants'!$A$4:$B$1012,2,FALSE)</f>
        <v>DLC_WRATHSTONE</v>
      </c>
      <c r="J86" s="17" t="str">
        <f>VLOOKUP(H86,'LibSets constants'!$A$4:$C$1012,3,FALSE)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constants'!$A$4:$B$1012,2,FALSE)</f>
        <v>DLC_WOLFHUNTER</v>
      </c>
      <c r="J87" s="17" t="str">
        <f>VLOOKUP(H87,'LibSets constants'!$A$4:$C$1012,3,FALSE)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constants'!$A$4:$B$1012,2,FALSE)</f>
        <v>DLC_WRATHSTONE</v>
      </c>
      <c r="J88" s="17" t="str">
        <f>VLOOKUP(H88,'LibSets constants'!$A$4:$C$1012,3,FALSE)</f>
        <v>Wrathstone</v>
      </c>
      <c r="K88" s="21" t="str">
        <f t="shared" si="2"/>
        <v/>
      </c>
    </row>
    <row r="89" spans="1:11" x14ac:dyDescent="0.25">
      <c r="A89" s="2" t="s">
        <v>1482</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constants'!$A$4:$B$1012,2,FALSE)</f>
        <v>DLC_SCALEBREAKER</v>
      </c>
      <c r="J89" s="17" t="str">
        <f>VLOOKUP(H89,'LibSets constants'!$A$4:$C$1012,3,FALSE)</f>
        <v>Scalebraker</v>
      </c>
      <c r="K89" s="21" t="str">
        <f t="shared" si="2"/>
        <v>[1122]={parentZoneId=1086,isTrial=false},   --Moongrave Fane</v>
      </c>
    </row>
    <row r="90" spans="1:11" hidden="1" x14ac:dyDescent="0.25">
      <c r="A90" s="2" t="s">
        <v>1343</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constants'!$A$4:$B$1012,2,FALSE)</f>
        <v>DLC_ELSWEYR</v>
      </c>
      <c r="J90" s="17" t="str">
        <f>VLOOKUP(H90,'LibSets constants'!$A$4:$C$1012,3,FALSE)</f>
        <v>Elsweyr</v>
      </c>
      <c r="K90" s="21" t="str">
        <f t="shared" si="2"/>
        <v/>
      </c>
    </row>
    <row r="91" spans="1:11" x14ac:dyDescent="0.25">
      <c r="A91" s="53" t="s">
        <v>3886</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constants'!$A$4:$B$1012,2,FALSE)</f>
        <v>DLC_SCIONS_OF_ITHELIA</v>
      </c>
      <c r="J91" s="17" t="str">
        <f>VLOOKUP(H91,'LibSets constants'!$A$4:$C$1012,3,FALSE)</f>
        <v>Scions of Ithelia</v>
      </c>
      <c r="K91" s="21" t="str">
        <f t="shared" si="2"/>
        <v>[1470]={parentZoneId=1207,isTrial=false},   --Oathsworn Pit</v>
      </c>
    </row>
    <row r="92" spans="1:11" hidden="1" x14ac:dyDescent="0.25">
      <c r="A92" s="2" t="s">
        <v>1483</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constants'!$A$4:$B$1012,2,FALSE)</f>
        <v>DLC_SCALEBREAKER</v>
      </c>
      <c r="J92" s="17" t="str">
        <f>VLOOKUP(H92,'LibSets constants'!$A$4:$C$1012,3,FALSE)</f>
        <v>Scalebraker</v>
      </c>
      <c r="K92" s="21" t="str">
        <f t="shared" si="2"/>
        <v/>
      </c>
    </row>
    <row r="93" spans="1:11" x14ac:dyDescent="0.25">
      <c r="A93" s="2" t="s">
        <v>2490</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constants'!$A$4:$B$1012,2,FALSE)</f>
        <v>DLC_WAKING_FLAME</v>
      </c>
      <c r="J93" s="17" t="str">
        <f>VLOOKUP(H93,'LibSets constants'!$A$4:$C$1012,3,FALSE)</f>
        <v>Waking Flame</v>
      </c>
      <c r="K93" s="21" t="str">
        <f t="shared" si="2"/>
        <v>[1267]={parentZoneId=3,isTrial=false},   --Red Petal Bastion</v>
      </c>
    </row>
    <row r="94" spans="1:11" hidden="1" x14ac:dyDescent="0.25">
      <c r="A94" s="2" t="s">
        <v>1482</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constants'!$A$4:$B$1012,2,FALSE)</f>
        <v>DLC_SCALEBREAKER</v>
      </c>
      <c r="J94" s="17" t="str">
        <f>VLOOKUP(H94,'LibSets constants'!$A$4:$C$1012,3,FALSE)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constants'!$A$4:$B$1012,2,FALSE)</f>
        <v>DLC_SHADOWS_OF_THE_HIST</v>
      </c>
      <c r="J95" s="17" t="str">
        <f>VLOOKUP(H95,'LibSets constants'!$A$4:$C$1012,3,FALSE)</f>
        <v>Shadows of the Hist</v>
      </c>
      <c r="K95" s="21" t="str">
        <f t="shared" si="2"/>
        <v>[843]={parentZoneId=117,isTrial=false},   --Ruins of Mazzatun</v>
      </c>
    </row>
    <row r="96" spans="1:11" hidden="1" x14ac:dyDescent="0.25">
      <c r="A96" s="2" t="s">
        <v>1642</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constants'!$A$4:$B$1012,2,FALSE)</f>
        <v>DLC_HARROWSTORM</v>
      </c>
      <c r="J96" s="17" t="str">
        <f>VLOOKUP(H96,'LibSets constants'!$A$4:$C$1012,3,FALSE)</f>
        <v>Harrowstorm</v>
      </c>
      <c r="K96" s="21" t="str">
        <f t="shared" si="2"/>
        <v/>
      </c>
    </row>
    <row r="97" spans="1:11" x14ac:dyDescent="0.25">
      <c r="A97" s="2" t="s">
        <v>443</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constants'!$A$4:$B$1012,2,FALSE)</f>
        <v>DLC_BASE_GAME</v>
      </c>
      <c r="J97" s="17" t="str">
        <f>VLOOKUP(H97,'LibSets constants'!$A$4:$C$1012,3,FALSE)</f>
        <v>Included in base game</v>
      </c>
      <c r="K97" s="21" t="str">
        <f t="shared" si="2"/>
        <v>[639]={parentZoneId=888,isTrial=true},   --Sanctum Ophidia</v>
      </c>
    </row>
    <row r="98" spans="1:11" hidden="1" x14ac:dyDescent="0.25">
      <c r="A98" s="2" t="s">
        <v>1641</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constants'!$A$4:$B$1012,2,FALSE)</f>
        <v>DLC_HARROWSTORM</v>
      </c>
      <c r="J98" s="17" t="str">
        <f>VLOOKUP(H98,'LibSets constants'!$A$4:$C$1012,3,FALSE)</f>
        <v>Harrowstorm</v>
      </c>
      <c r="K98" s="21" t="str">
        <f t="shared" si="2"/>
        <v/>
      </c>
    </row>
    <row r="99" spans="1:11" x14ac:dyDescent="0.25">
      <c r="A99" s="2" t="s">
        <v>3682</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constants'!$A$4:$B$1012,2,FALSE)</f>
        <v>DLC_SCRIBES_OF_FATE</v>
      </c>
      <c r="J99" s="17" t="str">
        <f>VLOOKUP(H99,'LibSets constants'!$A$4:$C$1012,3,FALSE)</f>
        <v>Scribes of Fate</v>
      </c>
      <c r="K99" s="21" t="str">
        <f t="shared" ref="K99:K130" si="3">IF(B99="false","["&amp;D99&amp;"]={parentZoneId="&amp;F99&amp;",isTrial="&amp;C99&amp;"},   --"&amp;E99,"")</f>
        <v>[1427]={parentZoneId=1414,isTrial=true},   --Sanity's Edge</v>
      </c>
    </row>
    <row r="100" spans="1:11" hidden="1" x14ac:dyDescent="0.25">
      <c r="A100" s="2" t="s">
        <v>1700</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constants'!$A$4:$B$1012,2,FALSE)</f>
        <v>DLC_GREYMOOR</v>
      </c>
      <c r="J100" s="17" t="str">
        <f>VLOOKUP(H100,'LibSets constants'!$A$4:$C$1012,3,FALSE)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constants'!$A$4:$B$1012,2,FALSE)</f>
        <v>DLC_DRAGON_BONES</v>
      </c>
      <c r="J101" s="17" t="str">
        <f>VLOOKUP(H101,'LibSets constants'!$A$4:$C$1012,3,FALSE)</f>
        <v>Dragon Bones</v>
      </c>
      <c r="K101" s="21" t="str">
        <f t="shared" si="3"/>
        <v>[1010]={parentZoneId=19,isTrial=false},   --Scalecaller Peak</v>
      </c>
    </row>
    <row r="102" spans="1:11" x14ac:dyDescent="0.25">
      <c r="A102" s="81" t="s">
        <v>3551</v>
      </c>
      <c r="B102" s="9" t="s">
        <v>91</v>
      </c>
      <c r="C102" t="s">
        <v>91</v>
      </c>
      <c r="D102" s="103">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constants'!$A$4:$B$1012,2,FALSE)</f>
        <v>DLC_SCRIBES_OF_FATE</v>
      </c>
      <c r="J102" s="17" t="str">
        <f>VLOOKUP(H102,'LibSets constants'!$A$4:$C$1012,3,FALSE)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constants'!$A$4:$B$1012,2,FALSE)</f>
        <v>DLC_BASE_GAME</v>
      </c>
      <c r="J103" s="17" t="str">
        <f>VLOOKUP(H103,'LibSets constants'!$A$4:$C$1012,3,FALSE)</f>
        <v>Included in base game</v>
      </c>
      <c r="K103" s="21" t="str">
        <f t="shared" si="3"/>
        <v>[31]={parentZoneId=382,isTrial=false},   --Selene's Web</v>
      </c>
    </row>
    <row r="104" spans="1:11" hidden="1" x14ac:dyDescent="0.25">
      <c r="A104" s="2" t="s">
        <v>1801</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constants'!$A$4:$B$1012,2,FALSE)</f>
        <v>DLC_STONETHORN</v>
      </c>
      <c r="J104" s="17" t="str">
        <f>VLOOKUP(H104,'LibSets constants'!$A$4:$C$1012,3,FALSE)</f>
        <v>Stonethorn</v>
      </c>
      <c r="K104" s="21" t="str">
        <f t="shared" si="3"/>
        <v/>
      </c>
    </row>
    <row r="105" spans="1:11" x14ac:dyDescent="0.25">
      <c r="A105" s="81" t="s">
        <v>2709</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constants'!$A$4:$B$1012,2,FALSE)</f>
        <v>DLC_ASCENDING_TIDE</v>
      </c>
      <c r="J105" s="17" t="str">
        <f>VLOOKUP(H105,'LibSets constants'!$A$4:$C$1012,3,FALSE)</f>
        <v>Ascending Tide</v>
      </c>
      <c r="K105" s="21" t="str">
        <f t="shared" si="3"/>
        <v>[1302]={parentZoneId=20,isTrial=false},   --Shipwright's Regret</v>
      </c>
    </row>
    <row r="106" spans="1:11" hidden="1" x14ac:dyDescent="0.25">
      <c r="A106" s="2" t="s">
        <v>2388</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constants'!$A$4:$B$1012,2,FALSE)</f>
        <v>DLC_FLAMES_OF_AMBITION</v>
      </c>
      <c r="J106" s="17" t="str">
        <f>VLOOKUP(H106,'LibSets constants'!$A$4:$C$1012,3,FALSE)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constants'!$A$4:$B$1012,2,FALSE)</f>
        <v>DLC_BASE_GAME</v>
      </c>
      <c r="J107" s="17" t="str">
        <f>VLOOKUP(H107,'LibSets constants'!$A$4:$C$1012,3,FALSE)</f>
        <v>Included in base game</v>
      </c>
      <c r="K107" s="21" t="str">
        <f t="shared" si="3"/>
        <v>[144]={parentZoneId=3,isTrial=false},   --Spindleclutch I</v>
      </c>
    </row>
    <row r="108" spans="1:11" hidden="1" x14ac:dyDescent="0.25">
      <c r="A108" s="2" t="s">
        <v>2389</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constants'!$A$4:$B$1012,2,FALSE)</f>
        <v>DLC_BLACKWOOD</v>
      </c>
      <c r="J108" s="17" t="str">
        <f>VLOOKUP(H108,'LibSets constants'!$A$4:$C$1012,3,FALSE)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constants'!$A$4:$B$1012,2,FALSE)</f>
        <v>DLC_BASE_GAME</v>
      </c>
      <c r="J109" s="17" t="str">
        <f>VLOOKUP(H109,'LibSets constants'!$A$4:$C$1012,3,FALSE)</f>
        <v>Included in base game</v>
      </c>
      <c r="K109" s="21" t="str">
        <f t="shared" si="3"/>
        <v>[936]={parentZoneId=3,isTrial=false},   --Spindleclutch II</v>
      </c>
    </row>
    <row r="110" spans="1:11" hidden="1" x14ac:dyDescent="0.25">
      <c r="A110" s="2" t="s">
        <v>2487</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constants'!$A$4:$B$1012,2,FALSE)</f>
        <v>DLC_WAKING_FLAME</v>
      </c>
      <c r="J110" s="17" t="str">
        <f>VLOOKUP(H110,'LibSets constants'!$A$4:$C$1012,3,FALSE)</f>
        <v>Waking Flame</v>
      </c>
      <c r="K110" s="21" t="str">
        <f t="shared" si="3"/>
        <v/>
      </c>
    </row>
    <row r="111" spans="1:11" x14ac:dyDescent="0.25">
      <c r="A111" s="2" t="s">
        <v>1801</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constants'!$A$4:$B$1012,2,FALSE)</f>
        <v>DLC_STONETHORN</v>
      </c>
      <c r="J111" s="17" t="str">
        <f>VLOOKUP(H111,'LibSets constants'!$A$4:$C$1012,3,FALSE)</f>
        <v>Stonethorn</v>
      </c>
      <c r="K111" s="21" t="str">
        <f t="shared" si="3"/>
        <v>[1197]={parentZoneId=1161,isTrial=false},   --Stone Garden</v>
      </c>
    </row>
    <row r="112" spans="1:11" hidden="1" x14ac:dyDescent="0.25">
      <c r="A112" s="2" t="s">
        <v>2490</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constants'!$A$4:$B$1012,2,FALSE)</f>
        <v>DLC_WAKING_FLAME</v>
      </c>
      <c r="J112" s="17" t="str">
        <f>VLOOKUP(H112,'LibSets constants'!$A$4:$C$1012,3,FALSE)</f>
        <v>Waking Flame</v>
      </c>
      <c r="K112" s="21" t="str">
        <f t="shared" si="3"/>
        <v/>
      </c>
    </row>
    <row r="113" spans="1:11" x14ac:dyDescent="0.25">
      <c r="A113" s="2" t="s">
        <v>1343</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constants'!$A$4:$B$1012,2,FALSE)</f>
        <v>DLC_ELSWEYR</v>
      </c>
      <c r="J113" s="17" t="str">
        <f>VLOOKUP(H113,'LibSets constants'!$A$4:$C$1012,3,FALSE)</f>
        <v>Elsweyr</v>
      </c>
      <c r="K113" s="21" t="str">
        <f t="shared" si="3"/>
        <v>[1121]={parentZoneId=1086,isTrial=true},   --Sunspire</v>
      </c>
    </row>
    <row r="114" spans="1:11" hidden="1" x14ac:dyDescent="0.25">
      <c r="A114" s="81" t="s">
        <v>2708</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constants'!$A$4:$B$1012,2,FALSE)</f>
        <v>DLC_ASCENDING_TIDE</v>
      </c>
      <c r="J114" s="17" t="str">
        <f>VLOOKUP(H114,'LibSets constants'!$A$4:$C$1012,3,FALSE)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constants'!$A$4:$B$1012,2,FALSE)</f>
        <v>DLC_BASE_GAME</v>
      </c>
      <c r="J115" s="17" t="str">
        <f>VLOOKUP(H115,'LibSets constants'!$A$4:$C$1012,3,FALSE)</f>
        <v>Included in base game</v>
      </c>
      <c r="K115" s="21" t="str">
        <f t="shared" si="3"/>
        <v>[131]={parentZoneId=58,isTrial=false},   --Tempest Island</v>
      </c>
    </row>
    <row r="116" spans="1:11" hidden="1" x14ac:dyDescent="0.25">
      <c r="A116" s="81" t="s">
        <v>2709</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constants'!$A$4:$B$1012,2,FALSE)</f>
        <v>DLC_ASCENDING_TIDE</v>
      </c>
      <c r="J116" s="17" t="str">
        <f>VLOOKUP(H116,'LibSets constants'!$A$4:$C$1012,3,FALSE)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constants'!$A$4:$B$1012,2,FALSE)</f>
        <v>DLC_BASE_GAME</v>
      </c>
      <c r="J117" s="17" t="str">
        <f>VLOOKUP(H117,'LibSets constants'!$A$4:$C$1012,3,FALSE)</f>
        <v>Included in base game</v>
      </c>
      <c r="K117" s="21" t="str">
        <f t="shared" si="3"/>
        <v>[380]={parentZoneId=381,isTrial=false},   --The Banished Cells I</v>
      </c>
    </row>
    <row r="118" spans="1:11" hidden="1" x14ac:dyDescent="0.25">
      <c r="A118" t="s">
        <v>3344</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constants'!$A$4:$B$1012,2,FALSE)</f>
        <v>DLC_HIGH_ISLE</v>
      </c>
      <c r="J118" s="17" t="str">
        <f>VLOOKUP(H118,'LibSets constants'!$A$4:$C$1012,3,FALSE)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constants'!$A$4:$B$1012,2,FALSE)</f>
        <v>DLC_BASE_GAME</v>
      </c>
      <c r="J119" s="17" t="str">
        <f>VLOOKUP(H119,'LibSets constants'!$A$4:$C$1012,3,FALSE)</f>
        <v>Included in base game</v>
      </c>
      <c r="K119" s="21" t="str">
        <f t="shared" si="3"/>
        <v>[935]={parentZoneId=381,isTrial=false},   --The Banished Cells II</v>
      </c>
    </row>
    <row r="120" spans="1:11" hidden="1" x14ac:dyDescent="0.25">
      <c r="A120" s="81" t="s">
        <v>3381</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constants'!$A$4:$B$1012,2,FALSE)</f>
        <v>DLC_LOST_DEPTHS</v>
      </c>
      <c r="J120" s="17" t="str">
        <f>VLOOKUP(H120,'LibSets constants'!$A$4:$C$1012,3,FALSE)</f>
        <v>Lost Depths</v>
      </c>
      <c r="K120" s="21" t="str">
        <f t="shared" si="3"/>
        <v/>
      </c>
    </row>
    <row r="121" spans="1:11" x14ac:dyDescent="0.25">
      <c r="A121" s="2" t="s">
        <v>2389</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constants'!$A$4:$B$1012,2,FALSE)</f>
        <v>DLC_FLAMES_OF_AMBITION</v>
      </c>
      <c r="J121" s="17" t="str">
        <f>VLOOKUP(H121,'LibSets constants'!$A$4:$C$1012,3,FALSE)</f>
        <v>Flames of Ambition</v>
      </c>
      <c r="K121" s="21" t="str">
        <f t="shared" si="3"/>
        <v>[1229]={parentZoneId=57,isTrial=false},   --The Cauldron</v>
      </c>
    </row>
    <row r="122" spans="1:11" hidden="1" x14ac:dyDescent="0.25">
      <c r="A122" s="81" t="s">
        <v>3382</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constants'!$A$4:$B$1012,2,FALSE)</f>
        <v>DLC_LOST_DEPTHS</v>
      </c>
      <c r="J122" s="17" t="str">
        <f>VLOOKUP(H122,'LibSets constants'!$A$4:$C$1012,3,FALSE)</f>
        <v>Lost Depths</v>
      </c>
      <c r="K122" s="21" t="str">
        <f t="shared" si="3"/>
        <v/>
      </c>
    </row>
    <row r="123" spans="1:11" x14ac:dyDescent="0.25">
      <c r="A123" s="2" t="s">
        <v>1641</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constants'!$A$4:$B$1012,2,FALSE)</f>
        <v>DLC_HARROWSTORM</v>
      </c>
      <c r="J123" s="17" t="str">
        <f>VLOOKUP(H123,'LibSets constants'!$A$4:$C$1012,3,FALSE)</f>
        <v>Harrowstorm</v>
      </c>
      <c r="K123" s="21" t="str">
        <f t="shared" si="3"/>
        <v>[1153]={parentZoneId=92,isTrial=false},   --Unhallowed Grave</v>
      </c>
    </row>
    <row r="124" spans="1:11" hidden="1" x14ac:dyDescent="0.25">
      <c r="A124" s="81" t="s">
        <v>3548</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constants'!$A$4:$B$1012,2,FALSE)</f>
        <v>DLC_SCRIBES_OF_FATE</v>
      </c>
      <c r="J124" s="17" t="str">
        <f>VLOOKUP(H124,'LibSets constants'!$A$4:$C$1012,3,FALSE)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constants'!$A$4:$B$1012,2,FALSE)</f>
        <v>DLC_BASE_GAME</v>
      </c>
      <c r="J125" s="17" t="str">
        <f>VLOOKUP(H125,'LibSets constants'!$A$4:$C$1012,3,FALSE)</f>
        <v>Included in base game</v>
      </c>
      <c r="K125" s="21" t="str">
        <f t="shared" si="3"/>
        <v>[11]={parentZoneId=347,isTrial=false},   --Vaults of Madness</v>
      </c>
    </row>
    <row r="126" spans="1:11" hidden="1" x14ac:dyDescent="0.25">
      <c r="A126" s="81" t="s">
        <v>3551</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constants'!$A$4:$B$1012,2,FALSE)</f>
        <v>DLC_SCRIBES_OF_FATE</v>
      </c>
      <c r="J126" s="17" t="str">
        <f>VLOOKUP(H126,'LibSets constants'!$A$4:$C$1012,3,FALSE)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constants'!$A$4:$B$1012,2,FALSE)</f>
        <v>DLC_BASE_GAME</v>
      </c>
      <c r="J127" s="17" t="str">
        <f>VLOOKUP(H127,'LibSets constants'!$A$4:$C$1012,3,FALSE)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constants'!$A$4:$B$1012,2,FALSE)</f>
        <v>DLC_BASE_GAME</v>
      </c>
      <c r="J128" s="17" t="str">
        <f>VLOOKUP(H128,'LibSets constants'!$A$4:$C$1012,3,FALSE)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constants'!$A$4:$B$1012,2,FALSE)</f>
        <v>DLC_BASE_GAME</v>
      </c>
      <c r="J129" s="17" t="str">
        <f>VLOOKUP(H129,'LibSets constants'!$A$4:$C$1012,3,FALSE)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constants'!$A$4:$B$1012,2,FALSE)</f>
        <v>DLC_IMPERIAL_CITY</v>
      </c>
      <c r="J130" s="17" t="str">
        <f>VLOOKUP(H130,'LibSets constants'!$A$4:$C$1012,3,FALSE)</f>
        <v>Imperial City</v>
      </c>
      <c r="K130" s="21" t="str">
        <f t="shared" si="3"/>
        <v>[688]={parentZoneId=584,isTrial=false},   --White-Gold Tower</v>
      </c>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tabColor rgb="FFFFC000"/>
  </sheetPr>
  <dimension ref="A1:L987"/>
  <sheetViews>
    <sheetView zoomScale="85" zoomScaleNormal="85" workbookViewId="0">
      <pane xSplit="3" ySplit="2" topLeftCell="D38" activePane="bottomRight" state="frozen"/>
      <selection pane="topRight" activeCell="D1" sqref="D1"/>
      <selection pane="bottomLeft" activeCell="A2" sqref="A2"/>
      <selection pane="bottomRight" activeCell="D984" sqref="D984"/>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16" t="s">
        <v>3919</v>
      </c>
      <c r="B1" s="116"/>
      <c r="C1" s="116"/>
      <c r="D1" s="116"/>
      <c r="E1" s="116"/>
      <c r="F1" s="116"/>
      <c r="G1" s="116"/>
      <c r="H1" s="116"/>
      <c r="I1" s="116"/>
      <c r="J1" s="116"/>
      <c r="K1" s="116"/>
      <c r="L1" s="117"/>
    </row>
    <row r="2" spans="1:12" ht="90" x14ac:dyDescent="0.25">
      <c r="A2" s="5" t="s">
        <v>94</v>
      </c>
      <c r="B2" s="5" t="s">
        <v>101</v>
      </c>
      <c r="C2" s="5" t="s">
        <v>98</v>
      </c>
      <c r="D2" s="62" t="s">
        <v>99</v>
      </c>
      <c r="E2" s="7" t="s">
        <v>100</v>
      </c>
      <c r="F2" s="7" t="s">
        <v>1339</v>
      </c>
      <c r="G2" s="7" t="s">
        <v>725</v>
      </c>
      <c r="H2" s="63" t="s">
        <v>1372</v>
      </c>
      <c r="I2" s="64" t="s">
        <v>1371</v>
      </c>
      <c r="J2" s="1" t="s">
        <v>1417</v>
      </c>
      <c r="K2" s="7" t="s">
        <v>1506</v>
      </c>
      <c r="L2" s="7" t="s">
        <v>1418</v>
      </c>
    </row>
    <row r="3" spans="1:12" x14ac:dyDescent="0.25">
      <c r="A3" s="110">
        <v>-99</v>
      </c>
      <c r="B3" s="110" t="s">
        <v>3826</v>
      </c>
      <c r="C3" s="110"/>
      <c r="D3" s="104" t="s">
        <v>3825</v>
      </c>
      <c r="E3" s="104"/>
      <c r="F3" s="104" t="s">
        <v>3823</v>
      </c>
      <c r="G3" s="104" t="s">
        <v>3825</v>
      </c>
      <c r="H3" s="106">
        <v>-99</v>
      </c>
      <c r="I3" s="106">
        <v>-99</v>
      </c>
      <c r="J3" s="104"/>
      <c r="K3" s="104" t="str">
        <f>VLOOKUP(J3,'LibSets constants'!$A$4:$B$1012,2,FALSE)</f>
        <v>DLC_BASE_GAME</v>
      </c>
      <c r="L3" s="104" t="str">
        <f>VLOOKUP(J3,'LibSets constants'!$A$4:$C$1012,3,FALSE)</f>
        <v>Included in base game</v>
      </c>
    </row>
    <row r="4" spans="1:12" x14ac:dyDescent="0.25">
      <c r="A4" s="110">
        <v>-98</v>
      </c>
      <c r="B4" s="110" t="s">
        <v>3826</v>
      </c>
      <c r="C4" s="110"/>
      <c r="D4" s="105" t="s">
        <v>2369</v>
      </c>
      <c r="E4" s="104"/>
      <c r="F4" s="104" t="s">
        <v>3823</v>
      </c>
      <c r="G4" s="104" t="s">
        <v>3824</v>
      </c>
      <c r="H4" s="106">
        <v>-98</v>
      </c>
      <c r="I4" s="108">
        <v>-98</v>
      </c>
      <c r="J4" s="104"/>
      <c r="K4" s="104" t="str">
        <f>VLOOKUP(J4,'LibSets constants'!$A$4:$B$1012,2,FALSE)</f>
        <v>DLC_BASE_GAME</v>
      </c>
      <c r="L4" s="104" t="str">
        <f>VLOOKUP(J4,'LibSets constants'!$A$4:$C$1012,3,FALSE)</f>
        <v>Included in base game</v>
      </c>
    </row>
    <row r="5" spans="1:12" x14ac:dyDescent="0.25">
      <c r="A5" s="111">
        <v>0</v>
      </c>
      <c r="B5" s="111">
        <v>4294967296</v>
      </c>
      <c r="C5" s="111">
        <v>0</v>
      </c>
      <c r="D5" s="41" t="s">
        <v>2224</v>
      </c>
      <c r="E5" s="41" t="str">
        <f t="array" ref="E5">IF(OR(EXACT(A5,'ESO Dungeon constants'!$D$3:$D$987)),"X","")</f>
        <v/>
      </c>
      <c r="F5" s="41" t="str">
        <f t="shared" ref="F5:F68" si="0">IF(EXACT(A5,C5),"X","")</f>
        <v>X</v>
      </c>
      <c r="G5" s="41" t="str">
        <f t="shared" ref="G5:G68" si="1">IF(A5&lt;&gt;C5,VLOOKUP(C5,$A$5:$D$9954,4,FALSE),"")</f>
        <v/>
      </c>
      <c r="H5" s="107">
        <f t="shared" ref="H5:H68" si="2">A5</f>
        <v>0</v>
      </c>
      <c r="I5" s="107">
        <f t="shared" ref="I5:I68" si="3">C5</f>
        <v>0</v>
      </c>
      <c r="J5" s="40">
        <v>0</v>
      </c>
      <c r="K5" s="41" t="str">
        <f>VLOOKUP(J5,'LibSets constants'!$A$4:$B$1012,2,FALSE)</f>
        <v>DLC_BASE_GAME</v>
      </c>
      <c r="L5" s="41" t="str">
        <f>VLOOKUP(J5,'LibSets constants'!$A$4:$C$1012,3,FALSE)</f>
        <v>Included in base game</v>
      </c>
    </row>
    <row r="6" spans="1:12" x14ac:dyDescent="0.25">
      <c r="A6" s="5">
        <v>2</v>
      </c>
      <c r="B6" s="5">
        <v>1</v>
      </c>
      <c r="C6" s="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constants'!$A$4:$B$1012,2,FALSE)</f>
        <v>DLC_BASE_GAME</v>
      </c>
      <c r="L6" s="3" t="str">
        <f>VLOOKUP(J6,'LibSets constants'!$A$4:$C$1012,3,FALSE)</f>
        <v>Included in base game</v>
      </c>
    </row>
    <row r="7" spans="1:12" x14ac:dyDescent="0.25">
      <c r="A7" s="5">
        <v>3</v>
      </c>
      <c r="B7" s="5">
        <v>2</v>
      </c>
      <c r="C7" s="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constants'!$A$4:$B$1012,2,FALSE)</f>
        <v>DLC_BASE_GAME</v>
      </c>
      <c r="L7" s="3" t="str">
        <f>VLOOKUP(J7,'LibSets constants'!$A$4:$C$1012,3,FALSE)</f>
        <v>Included in base game</v>
      </c>
    </row>
    <row r="8" spans="1:12" x14ac:dyDescent="0.25">
      <c r="A8" s="5">
        <v>11</v>
      </c>
      <c r="B8" s="5">
        <v>3</v>
      </c>
      <c r="C8" s="5">
        <v>347</v>
      </c>
      <c r="D8" t="s">
        <v>47</v>
      </c>
      <c r="E8" s="3" t="str">
        <f t="array" ref="E8">IF(OR(EXACT(A8,'ESO Dungeon constants'!$D$3:$D$987)),"X","")</f>
        <v>X</v>
      </c>
      <c r="F8" s="3" t="str">
        <f t="shared" si="0"/>
        <v/>
      </c>
      <c r="G8" s="3" t="str">
        <f t="shared" si="1"/>
        <v>Coldharbour</v>
      </c>
      <c r="H8" s="17">
        <f t="shared" si="2"/>
        <v>11</v>
      </c>
      <c r="I8" s="17">
        <f t="shared" si="3"/>
        <v>347</v>
      </c>
      <c r="J8">
        <v>0</v>
      </c>
      <c r="K8" s="3" t="str">
        <f>VLOOKUP(J8,'LibSets constants'!$A$4:$B$1012,2,FALSE)</f>
        <v>DLC_BASE_GAME</v>
      </c>
      <c r="L8" s="3" t="str">
        <f>VLOOKUP(J8,'LibSets constants'!$A$4:$C$1012,3,FALSE)</f>
        <v>Included in base game</v>
      </c>
    </row>
    <row r="9" spans="1:12" x14ac:dyDescent="0.25">
      <c r="A9" s="5">
        <v>19</v>
      </c>
      <c r="B9" s="5">
        <v>4</v>
      </c>
      <c r="C9" s="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constants'!$A$4:$B$1012,2,FALSE)</f>
        <v>DLC_BASE_GAME</v>
      </c>
      <c r="L9" s="3" t="str">
        <f>VLOOKUP(J9,'LibSets constants'!$A$4:$C$1012,3,FALSE)</f>
        <v>Included in base game</v>
      </c>
    </row>
    <row r="10" spans="1:12" x14ac:dyDescent="0.25">
      <c r="A10" s="5">
        <v>20</v>
      </c>
      <c r="B10" s="5">
        <v>5</v>
      </c>
      <c r="C10" s="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constants'!$A$4:$B$1012,2,FALSE)</f>
        <v>DLC_BASE_GAME</v>
      </c>
      <c r="L10" s="3" t="str">
        <f>VLOOKUP(J10,'LibSets constants'!$A$4:$C$1012,3,FALSE)</f>
        <v>Included in base game</v>
      </c>
    </row>
    <row r="11" spans="1:12" x14ac:dyDescent="0.25">
      <c r="A11" s="5">
        <v>22</v>
      </c>
      <c r="B11" s="5">
        <v>6</v>
      </c>
      <c r="C11" s="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constants'!$A$4:$B$1012,2,FALSE)</f>
        <v>DLC_BASE_GAME</v>
      </c>
      <c r="L11" s="3" t="str">
        <f>VLOOKUP(J11,'LibSets constants'!$A$4:$C$1012,3,FALSE)</f>
        <v>Included in base game</v>
      </c>
    </row>
    <row r="12" spans="1:12" x14ac:dyDescent="0.25">
      <c r="A12" s="5">
        <v>31</v>
      </c>
      <c r="B12" s="5">
        <v>7</v>
      </c>
      <c r="C12" s="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constants'!$A$4:$B$1012,2,FALSE)</f>
        <v>DLC_BASE_GAME</v>
      </c>
      <c r="L12" s="3" t="str">
        <f>VLOOKUP(J12,'LibSets constants'!$A$4:$C$1012,3,FALSE)</f>
        <v>Included in base game</v>
      </c>
    </row>
    <row r="13" spans="1:12" x14ac:dyDescent="0.25">
      <c r="A13" s="5">
        <v>38</v>
      </c>
      <c r="B13" s="5">
        <v>8</v>
      </c>
      <c r="C13" s="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constants'!$A$4:$B$1012,2,FALSE)</f>
        <v>DLC_BASE_GAME</v>
      </c>
      <c r="L13" s="3" t="str">
        <f>VLOOKUP(J13,'LibSets constants'!$A$4:$C$1012,3,FALSE)</f>
        <v>Included in base game</v>
      </c>
    </row>
    <row r="14" spans="1:12" x14ac:dyDescent="0.25">
      <c r="A14" s="5">
        <v>41</v>
      </c>
      <c r="B14" s="5">
        <v>9</v>
      </c>
      <c r="C14" s="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constants'!$A$4:$B$1012,2,FALSE)</f>
        <v>DLC_BASE_GAME</v>
      </c>
      <c r="L14" s="3" t="str">
        <f>VLOOKUP(J14,'LibSets constants'!$A$4:$C$1012,3,FALSE)</f>
        <v>Included in base game</v>
      </c>
    </row>
    <row r="15" spans="1:12" x14ac:dyDescent="0.25">
      <c r="A15" s="5">
        <v>57</v>
      </c>
      <c r="B15" s="5">
        <v>10</v>
      </c>
      <c r="C15" s="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constants'!$A$4:$B$1012,2,FALSE)</f>
        <v>DLC_BASE_GAME</v>
      </c>
      <c r="L15" s="3" t="str">
        <f>VLOOKUP(J15,'LibSets constants'!$A$4:$C$1012,3,FALSE)</f>
        <v>Included in base game</v>
      </c>
    </row>
    <row r="16" spans="1:12" x14ac:dyDescent="0.25">
      <c r="A16" s="5">
        <v>58</v>
      </c>
      <c r="B16" s="5">
        <v>11</v>
      </c>
      <c r="C16" s="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constants'!$A$4:$B$1012,2,FALSE)</f>
        <v>DLC_BASE_GAME</v>
      </c>
      <c r="L16" s="3" t="str">
        <f>VLOOKUP(J16,'LibSets constants'!$A$4:$C$1012,3,FALSE)</f>
        <v>Included in base game</v>
      </c>
    </row>
    <row r="17" spans="1:12" x14ac:dyDescent="0.25">
      <c r="A17" s="5">
        <v>63</v>
      </c>
      <c r="B17" s="5">
        <v>12</v>
      </c>
      <c r="C17" s="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constants'!$A$4:$B$1012,2,FALSE)</f>
        <v>DLC_BASE_GAME</v>
      </c>
      <c r="L17" s="3" t="str">
        <f>VLOOKUP(J17,'LibSets constants'!$A$4:$C$1012,3,FALSE)</f>
        <v>Included in base game</v>
      </c>
    </row>
    <row r="18" spans="1:12" x14ac:dyDescent="0.25">
      <c r="A18" s="5">
        <v>64</v>
      </c>
      <c r="B18" s="5">
        <v>13</v>
      </c>
      <c r="C18" s="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constants'!$A$4:$B$1012,2,FALSE)</f>
        <v>DLC_BASE_GAME</v>
      </c>
      <c r="L18" s="3" t="str">
        <f>VLOOKUP(J18,'LibSets constants'!$A$4:$C$1012,3,FALSE)</f>
        <v>Included in base game</v>
      </c>
    </row>
    <row r="19" spans="1:12" x14ac:dyDescent="0.25">
      <c r="A19" s="5">
        <v>92</v>
      </c>
      <c r="B19" s="5">
        <v>14</v>
      </c>
      <c r="C19" s="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constants'!$A$4:$B$1012,2,FALSE)</f>
        <v>DLC_BASE_GAME</v>
      </c>
      <c r="L19" s="3" t="str">
        <f>VLOOKUP(J19,'LibSets constants'!$A$4:$C$1012,3,FALSE)</f>
        <v>Included in base game</v>
      </c>
    </row>
    <row r="20" spans="1:12" x14ac:dyDescent="0.25">
      <c r="A20" s="5">
        <v>101</v>
      </c>
      <c r="B20" s="5">
        <v>15</v>
      </c>
      <c r="C20" s="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constants'!$A$4:$B$1012,2,FALSE)</f>
        <v>DLC_BASE_GAME</v>
      </c>
      <c r="L20" s="3" t="str">
        <f>VLOOKUP(J20,'LibSets constants'!$A$4:$C$1012,3,FALSE)</f>
        <v>Included in base game</v>
      </c>
    </row>
    <row r="21" spans="1:12" x14ac:dyDescent="0.25">
      <c r="A21" s="5">
        <v>103</v>
      </c>
      <c r="B21" s="5">
        <v>16</v>
      </c>
      <c r="C21" s="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constants'!$A$4:$B$1012,2,FALSE)</f>
        <v>DLC_BASE_GAME</v>
      </c>
      <c r="L21" s="3" t="str">
        <f>VLOOKUP(J21,'LibSets constants'!$A$4:$C$1012,3,FALSE)</f>
        <v>Included in base game</v>
      </c>
    </row>
    <row r="22" spans="1:12" x14ac:dyDescent="0.25">
      <c r="A22" s="5">
        <v>104</v>
      </c>
      <c r="B22" s="5">
        <v>17</v>
      </c>
      <c r="C22" s="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constants'!$A$4:$B$1012,2,FALSE)</f>
        <v>DLC_BASE_GAME</v>
      </c>
      <c r="L22" s="3" t="str">
        <f>VLOOKUP(J22,'LibSets constants'!$A$4:$C$1012,3,FALSE)</f>
        <v>Included in base game</v>
      </c>
    </row>
    <row r="23" spans="1:12" x14ac:dyDescent="0.25">
      <c r="A23" s="5">
        <v>108</v>
      </c>
      <c r="B23" s="5">
        <v>18</v>
      </c>
      <c r="C23" s="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constants'!$A$4:$B$1012,2,FALSE)</f>
        <v>DLC_BASE_GAME</v>
      </c>
      <c r="L23" s="3" t="str">
        <f>VLOOKUP(J23,'LibSets constants'!$A$4:$C$1012,3,FALSE)</f>
        <v>Included in base game</v>
      </c>
    </row>
    <row r="24" spans="1:12" x14ac:dyDescent="0.25">
      <c r="A24" s="5">
        <v>117</v>
      </c>
      <c r="B24" s="5">
        <v>19</v>
      </c>
      <c r="C24" s="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constants'!$A$4:$B$1012,2,FALSE)</f>
        <v>DLC_BASE_GAME</v>
      </c>
      <c r="L24" s="3" t="str">
        <f>VLOOKUP(J24,'LibSets constants'!$A$4:$C$1012,3,FALSE)</f>
        <v>Included in base game</v>
      </c>
    </row>
    <row r="25" spans="1:12" x14ac:dyDescent="0.25">
      <c r="A25" s="5">
        <v>124</v>
      </c>
      <c r="B25" s="5">
        <v>20</v>
      </c>
      <c r="C25" s="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constants'!$A$4:$B$1012,2,FALSE)</f>
        <v>DLC_BASE_GAME</v>
      </c>
      <c r="L25" s="3" t="str">
        <f>VLOOKUP(J25,'LibSets constants'!$A$4:$C$1012,3,FALSE)</f>
        <v>Included in base game</v>
      </c>
    </row>
    <row r="26" spans="1:12" x14ac:dyDescent="0.25">
      <c r="A26" s="5">
        <v>126</v>
      </c>
      <c r="B26" s="5">
        <v>21</v>
      </c>
      <c r="C26" s="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constants'!$A$4:$B$1012,2,FALSE)</f>
        <v>DLC_BASE_GAME</v>
      </c>
      <c r="L26" s="3" t="str">
        <f>VLOOKUP(J26,'LibSets constants'!$A$4:$C$1012,3,FALSE)</f>
        <v>Included in base game</v>
      </c>
    </row>
    <row r="27" spans="1:12" x14ac:dyDescent="0.25">
      <c r="A27" s="5">
        <v>130</v>
      </c>
      <c r="B27" s="5">
        <v>22</v>
      </c>
      <c r="C27" s="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constants'!$A$4:$B$1012,2,FALSE)</f>
        <v>DLC_BASE_GAME</v>
      </c>
      <c r="L27" s="3" t="str">
        <f>VLOOKUP(J27,'LibSets constants'!$A$4:$C$1012,3,FALSE)</f>
        <v>Included in base game</v>
      </c>
    </row>
    <row r="28" spans="1:12" x14ac:dyDescent="0.25">
      <c r="A28" s="5">
        <v>131</v>
      </c>
      <c r="B28" s="5">
        <v>23</v>
      </c>
      <c r="C28" s="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constants'!$A$4:$B$1012,2,FALSE)</f>
        <v>DLC_BASE_GAME</v>
      </c>
      <c r="L28" s="3" t="str">
        <f>VLOOKUP(J28,'LibSets constants'!$A$4:$C$1012,3,FALSE)</f>
        <v>Included in base game</v>
      </c>
    </row>
    <row r="29" spans="1:12" x14ac:dyDescent="0.25">
      <c r="A29" s="5">
        <v>134</v>
      </c>
      <c r="B29" s="5">
        <v>24</v>
      </c>
      <c r="C29" s="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constants'!$A$4:$B$1012,2,FALSE)</f>
        <v>DLC_BASE_GAME</v>
      </c>
      <c r="L29" s="3" t="str">
        <f>VLOOKUP(J29,'LibSets constants'!$A$4:$C$1012,3,FALSE)</f>
        <v>Included in base game</v>
      </c>
    </row>
    <row r="30" spans="1:12" x14ac:dyDescent="0.25">
      <c r="A30" s="5">
        <v>137</v>
      </c>
      <c r="B30" s="5">
        <v>25</v>
      </c>
      <c r="C30" s="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constants'!$A$4:$B$1012,2,FALSE)</f>
        <v>DLC_BASE_GAME</v>
      </c>
      <c r="L30" s="3" t="str">
        <f>VLOOKUP(J30,'LibSets constants'!$A$4:$C$1012,3,FALSE)</f>
        <v>Included in base game</v>
      </c>
    </row>
    <row r="31" spans="1:12" x14ac:dyDescent="0.25">
      <c r="A31" s="5">
        <v>138</v>
      </c>
      <c r="B31" s="5">
        <v>26</v>
      </c>
      <c r="C31" s="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constants'!$A$4:$B$1012,2,FALSE)</f>
        <v>DLC_BASE_GAME</v>
      </c>
      <c r="L31" s="3" t="str">
        <f>VLOOKUP(J31,'LibSets constants'!$A$4:$C$1012,3,FALSE)</f>
        <v>Included in base game</v>
      </c>
    </row>
    <row r="32" spans="1:12" x14ac:dyDescent="0.25">
      <c r="A32" s="5">
        <v>142</v>
      </c>
      <c r="B32" s="5">
        <v>27</v>
      </c>
      <c r="C32" s="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constants'!$A$4:$B$1012,2,FALSE)</f>
        <v>DLC_BASE_GAME</v>
      </c>
      <c r="L32" s="3" t="str">
        <f>VLOOKUP(J32,'LibSets constants'!$A$4:$C$1012,3,FALSE)</f>
        <v>Included in base game</v>
      </c>
    </row>
    <row r="33" spans="1:12" x14ac:dyDescent="0.25">
      <c r="A33" s="5">
        <v>144</v>
      </c>
      <c r="B33" s="5">
        <v>28</v>
      </c>
      <c r="C33" s="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constants'!$A$4:$B$1012,2,FALSE)</f>
        <v>DLC_BASE_GAME</v>
      </c>
      <c r="L33" s="3" t="str">
        <f>VLOOKUP(J33,'LibSets constants'!$A$4:$C$1012,3,FALSE)</f>
        <v>Included in base game</v>
      </c>
    </row>
    <row r="34" spans="1:12" x14ac:dyDescent="0.25">
      <c r="A34" s="5">
        <v>146</v>
      </c>
      <c r="B34" s="5">
        <v>29</v>
      </c>
      <c r="C34" s="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constants'!$A$4:$B$1012,2,FALSE)</f>
        <v>DLC_BASE_GAME</v>
      </c>
      <c r="L34" s="3" t="str">
        <f>VLOOKUP(J34,'LibSets constants'!$A$4:$C$1012,3,FALSE)</f>
        <v>Included in base game</v>
      </c>
    </row>
    <row r="35" spans="1:12" x14ac:dyDescent="0.25">
      <c r="A35" s="5">
        <v>148</v>
      </c>
      <c r="B35" s="5">
        <v>30</v>
      </c>
      <c r="C35" s="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constants'!$A$4:$B$1012,2,FALSE)</f>
        <v>DLC_BASE_GAME</v>
      </c>
      <c r="L35" s="3" t="str">
        <f>VLOOKUP(J35,'LibSets constants'!$A$4:$C$1012,3,FALSE)</f>
        <v>Included in base game</v>
      </c>
    </row>
    <row r="36" spans="1:12" x14ac:dyDescent="0.25">
      <c r="A36" s="5">
        <v>159</v>
      </c>
      <c r="B36" s="5">
        <v>31</v>
      </c>
      <c r="C36" s="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constants'!$A$4:$B$1012,2,FALSE)</f>
        <v>DLC_BASE_GAME</v>
      </c>
      <c r="L36" s="3" t="str">
        <f>VLOOKUP(J36,'LibSets constants'!$A$4:$C$1012,3,FALSE)</f>
        <v>Included in base game</v>
      </c>
    </row>
    <row r="37" spans="1:12" x14ac:dyDescent="0.25">
      <c r="A37" s="5">
        <v>162</v>
      </c>
      <c r="B37" s="5">
        <v>32</v>
      </c>
      <c r="C37" s="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constants'!$A$4:$B$1012,2,FALSE)</f>
        <v>DLC_BASE_GAME</v>
      </c>
      <c r="L37" s="3" t="str">
        <f>VLOOKUP(J37,'LibSets constants'!$A$4:$C$1012,3,FALSE)</f>
        <v>Included in base game</v>
      </c>
    </row>
    <row r="38" spans="1:12" x14ac:dyDescent="0.25">
      <c r="A38" s="5">
        <v>166</v>
      </c>
      <c r="B38" s="5">
        <v>33</v>
      </c>
      <c r="C38" s="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constants'!$A$4:$B$1012,2,FALSE)</f>
        <v>DLC_BASE_GAME</v>
      </c>
      <c r="L38" s="3" t="str">
        <f>VLOOKUP(J38,'LibSets constants'!$A$4:$C$1012,3,FALSE)</f>
        <v>Included in base game</v>
      </c>
    </row>
    <row r="39" spans="1:12" x14ac:dyDescent="0.25">
      <c r="A39" s="5">
        <v>168</v>
      </c>
      <c r="B39" s="5">
        <v>34</v>
      </c>
      <c r="C39" s="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constants'!$A$4:$B$1012,2,FALSE)</f>
        <v>DLC_BASE_GAME</v>
      </c>
      <c r="L39" s="3" t="str">
        <f>VLOOKUP(J39,'LibSets constants'!$A$4:$C$1012,3,FALSE)</f>
        <v>Included in base game</v>
      </c>
    </row>
    <row r="40" spans="1:12" x14ac:dyDescent="0.25">
      <c r="A40" s="5">
        <v>169</v>
      </c>
      <c r="B40" s="5">
        <v>35</v>
      </c>
      <c r="C40" s="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constants'!$A$4:$B$1012,2,FALSE)</f>
        <v>DLC_BASE_GAME</v>
      </c>
      <c r="L40" s="3" t="str">
        <f>VLOOKUP(J40,'LibSets constants'!$A$4:$C$1012,3,FALSE)</f>
        <v>Included in base game</v>
      </c>
    </row>
    <row r="41" spans="1:12" x14ac:dyDescent="0.25">
      <c r="A41" s="5">
        <v>174</v>
      </c>
      <c r="B41" s="5">
        <v>36</v>
      </c>
      <c r="C41" s="5">
        <v>174</v>
      </c>
      <c r="D41" t="s">
        <v>3904</v>
      </c>
      <c r="E41" s="3" t="str">
        <f t="array" ref="E41">IF(OR(EXACT(A41,'ESO Dungeon constants'!$D$3:$D$987)),"X","")</f>
        <v/>
      </c>
      <c r="F41" s="3" t="str">
        <f t="shared" si="0"/>
        <v>X</v>
      </c>
      <c r="G41" s="3" t="str">
        <f t="shared" si="1"/>
        <v/>
      </c>
      <c r="H41" s="17">
        <f t="shared" si="2"/>
        <v>174</v>
      </c>
      <c r="I41" s="17">
        <f t="shared" si="3"/>
        <v>174</v>
      </c>
      <c r="J41">
        <v>0</v>
      </c>
      <c r="K41" s="3" t="str">
        <f>VLOOKUP(J41,'LibSets constants'!$A$4:$B$1012,2,FALSE)</f>
        <v>DLC_BASE_GAME</v>
      </c>
      <c r="L41" s="3" t="str">
        <f>VLOOKUP(J41,'LibSets constants'!$A$4:$C$1012,3,FALSE)</f>
        <v>Included in base game</v>
      </c>
    </row>
    <row r="42" spans="1:12" x14ac:dyDescent="0.25">
      <c r="A42" s="5">
        <v>176</v>
      </c>
      <c r="B42" s="5">
        <v>37</v>
      </c>
      <c r="C42" s="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constants'!$A$4:$B$1012,2,FALSE)</f>
        <v>DLC_BASE_GAME</v>
      </c>
      <c r="L42" s="3" t="str">
        <f>VLOOKUP(J42,'LibSets constants'!$A$4:$C$1012,3,FALSE)</f>
        <v>Included in base game</v>
      </c>
    </row>
    <row r="43" spans="1:12" x14ac:dyDescent="0.25">
      <c r="A43" s="5">
        <v>181</v>
      </c>
      <c r="B43" s="5">
        <v>38</v>
      </c>
      <c r="C43" s="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constants'!$A$4:$B$1012,2,FALSE)</f>
        <v>DLC_BASE_GAME</v>
      </c>
      <c r="L43" s="3" t="str">
        <f>VLOOKUP(J43,'LibSets constants'!$A$4:$C$1012,3,FALSE)</f>
        <v>Included in base game</v>
      </c>
    </row>
    <row r="44" spans="1:12" x14ac:dyDescent="0.25">
      <c r="A44" s="5">
        <v>187</v>
      </c>
      <c r="B44" s="5">
        <v>39</v>
      </c>
      <c r="C44" s="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constants'!$A$4:$B$1012,2,FALSE)</f>
        <v>DLC_BASE_GAME</v>
      </c>
      <c r="L44" s="3" t="str">
        <f>VLOOKUP(J44,'LibSets constants'!$A$4:$C$1012,3,FALSE)</f>
        <v>Included in base game</v>
      </c>
    </row>
    <row r="45" spans="1:12" x14ac:dyDescent="0.25">
      <c r="A45" s="5">
        <v>188</v>
      </c>
      <c r="B45" s="5">
        <v>40</v>
      </c>
      <c r="C45" s="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constants'!$A$4:$B$1012,2,FALSE)</f>
        <v>DLC_BASE_GAME</v>
      </c>
      <c r="L45" s="3" t="str">
        <f>VLOOKUP(J45,'LibSets constants'!$A$4:$C$1012,3,FALSE)</f>
        <v>Included in base game</v>
      </c>
    </row>
    <row r="46" spans="1:12" x14ac:dyDescent="0.25">
      <c r="A46" s="5">
        <v>189</v>
      </c>
      <c r="B46" s="5">
        <v>41</v>
      </c>
      <c r="C46" s="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constants'!$A$4:$B$1012,2,FALSE)</f>
        <v>DLC_BASE_GAME</v>
      </c>
      <c r="L46" s="3" t="str">
        <f>VLOOKUP(J46,'LibSets constants'!$A$4:$C$1012,3,FALSE)</f>
        <v>Included in base game</v>
      </c>
    </row>
    <row r="47" spans="1:12" x14ac:dyDescent="0.25">
      <c r="A47" s="5">
        <v>190</v>
      </c>
      <c r="B47" s="5">
        <v>42</v>
      </c>
      <c r="C47" s="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constants'!$A$4:$B$1012,2,FALSE)</f>
        <v>DLC_BASE_GAME</v>
      </c>
      <c r="L47" s="3" t="str">
        <f>VLOOKUP(J47,'LibSets constants'!$A$4:$C$1012,3,FALSE)</f>
        <v>Included in base game</v>
      </c>
    </row>
    <row r="48" spans="1:12" x14ac:dyDescent="0.25">
      <c r="A48" s="5">
        <v>191</v>
      </c>
      <c r="B48" s="5">
        <v>43</v>
      </c>
      <c r="C48" s="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constants'!$A$4:$B$1012,2,FALSE)</f>
        <v>DLC_BASE_GAME</v>
      </c>
      <c r="L48" s="3" t="str">
        <f>VLOOKUP(J48,'LibSets constants'!$A$4:$C$1012,3,FALSE)</f>
        <v>Included in base game</v>
      </c>
    </row>
    <row r="49" spans="1:12" x14ac:dyDescent="0.25">
      <c r="A49" s="5">
        <v>192</v>
      </c>
      <c r="B49" s="5">
        <v>44</v>
      </c>
      <c r="C49" s="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constants'!$A$4:$B$1012,2,FALSE)</f>
        <v>DLC_BASE_GAME</v>
      </c>
      <c r="L49" s="3" t="str">
        <f>VLOOKUP(J49,'LibSets constants'!$A$4:$C$1012,3,FALSE)</f>
        <v>Included in base game</v>
      </c>
    </row>
    <row r="50" spans="1:12" x14ac:dyDescent="0.25">
      <c r="A50" s="5">
        <v>193</v>
      </c>
      <c r="B50" s="5">
        <v>45</v>
      </c>
      <c r="C50" s="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constants'!$A$4:$B$1012,2,FALSE)</f>
        <v>DLC_BASE_GAME</v>
      </c>
      <c r="L50" s="3" t="str">
        <f>VLOOKUP(J50,'LibSets constants'!$A$4:$C$1012,3,FALSE)</f>
        <v>Included in base game</v>
      </c>
    </row>
    <row r="51" spans="1:12" x14ac:dyDescent="0.25">
      <c r="A51" s="5">
        <v>199</v>
      </c>
      <c r="B51" s="5">
        <v>46</v>
      </c>
      <c r="C51" s="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constants'!$A$4:$B$1012,2,FALSE)</f>
        <v>DLC_BASE_GAME</v>
      </c>
      <c r="L51" s="3" t="str">
        <f>VLOOKUP(J51,'LibSets constants'!$A$4:$C$1012,3,FALSE)</f>
        <v>Included in base game</v>
      </c>
    </row>
    <row r="52" spans="1:12" x14ac:dyDescent="0.25">
      <c r="A52" s="5">
        <v>200</v>
      </c>
      <c r="B52" s="5">
        <v>47</v>
      </c>
      <c r="C52" s="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constants'!$A$4:$B$1012,2,FALSE)</f>
        <v>DLC_BASE_GAME</v>
      </c>
      <c r="L52" s="3" t="str">
        <f>VLOOKUP(J52,'LibSets constants'!$A$4:$C$1012,3,FALSE)</f>
        <v>Included in base game</v>
      </c>
    </row>
    <row r="53" spans="1:12" x14ac:dyDescent="0.25">
      <c r="A53" s="5">
        <v>201</v>
      </c>
      <c r="B53" s="5">
        <v>48</v>
      </c>
      <c r="C53" s="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constants'!$A$4:$B$1012,2,FALSE)</f>
        <v>DLC_BASE_GAME</v>
      </c>
      <c r="L53" s="3" t="str">
        <f>VLOOKUP(J53,'LibSets constants'!$A$4:$C$1012,3,FALSE)</f>
        <v>Included in base game</v>
      </c>
    </row>
    <row r="54" spans="1:12" x14ac:dyDescent="0.25">
      <c r="A54" s="5">
        <v>203</v>
      </c>
      <c r="B54" s="5">
        <v>49</v>
      </c>
      <c r="C54" s="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constants'!$A$4:$B$1012,2,FALSE)</f>
        <v>DLC_BASE_GAME</v>
      </c>
      <c r="L54" s="3" t="str">
        <f>VLOOKUP(J54,'LibSets constants'!$A$4:$C$1012,3,FALSE)</f>
        <v>Included in base game</v>
      </c>
    </row>
    <row r="55" spans="1:12" x14ac:dyDescent="0.25">
      <c r="A55" s="5">
        <v>207</v>
      </c>
      <c r="B55" s="5">
        <v>50</v>
      </c>
      <c r="C55" s="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constants'!$A$4:$B$1012,2,FALSE)</f>
        <v>DLC_BASE_GAME</v>
      </c>
      <c r="L55" s="3" t="str">
        <f>VLOOKUP(J55,'LibSets constants'!$A$4:$C$1012,3,FALSE)</f>
        <v>Included in base game</v>
      </c>
    </row>
    <row r="56" spans="1:12" x14ac:dyDescent="0.25">
      <c r="A56" s="5">
        <v>208</v>
      </c>
      <c r="B56" s="5">
        <v>51</v>
      </c>
      <c r="C56" s="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constants'!$A$4:$B$1012,2,FALSE)</f>
        <v>DLC_BASE_GAME</v>
      </c>
      <c r="L56" s="3" t="str">
        <f>VLOOKUP(J56,'LibSets constants'!$A$4:$C$1012,3,FALSE)</f>
        <v>Included in base game</v>
      </c>
    </row>
    <row r="57" spans="1:12" x14ac:dyDescent="0.25">
      <c r="A57" s="5">
        <v>209</v>
      </c>
      <c r="B57" s="5">
        <v>52</v>
      </c>
      <c r="C57" s="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constants'!$A$4:$B$1012,2,FALSE)</f>
        <v>DLC_BASE_GAME</v>
      </c>
      <c r="L57" s="3" t="str">
        <f>VLOOKUP(J57,'LibSets constants'!$A$4:$C$1012,3,FALSE)</f>
        <v>Included in base game</v>
      </c>
    </row>
    <row r="58" spans="1:12" x14ac:dyDescent="0.25">
      <c r="A58" s="5">
        <v>212</v>
      </c>
      <c r="B58" s="5">
        <v>53</v>
      </c>
      <c r="C58" s="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constants'!$A$4:$B$1012,2,FALSE)</f>
        <v>DLC_BASE_GAME</v>
      </c>
      <c r="L58" s="3" t="str">
        <f>VLOOKUP(J58,'LibSets constants'!$A$4:$C$1012,3,FALSE)</f>
        <v>Included in base game</v>
      </c>
    </row>
    <row r="59" spans="1:12" x14ac:dyDescent="0.25">
      <c r="A59" s="5">
        <v>213</v>
      </c>
      <c r="B59" s="5">
        <v>54</v>
      </c>
      <c r="C59" s="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constants'!$A$4:$B$1012,2,FALSE)</f>
        <v>DLC_BASE_GAME</v>
      </c>
      <c r="L59" s="3" t="str">
        <f>VLOOKUP(J59,'LibSets constants'!$A$4:$C$1012,3,FALSE)</f>
        <v>Included in base game</v>
      </c>
    </row>
    <row r="60" spans="1:12" x14ac:dyDescent="0.25">
      <c r="A60" s="5">
        <v>214</v>
      </c>
      <c r="B60" s="5">
        <v>55</v>
      </c>
      <c r="C60" s="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constants'!$A$4:$B$1012,2,FALSE)</f>
        <v>DLC_BASE_GAME</v>
      </c>
      <c r="L60" s="3" t="str">
        <f>VLOOKUP(J60,'LibSets constants'!$A$4:$C$1012,3,FALSE)</f>
        <v>Included in base game</v>
      </c>
    </row>
    <row r="61" spans="1:12" x14ac:dyDescent="0.25">
      <c r="A61" s="5">
        <v>215</v>
      </c>
      <c r="B61" s="5">
        <v>56</v>
      </c>
      <c r="C61" s="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constants'!$A$4:$B$1012,2,FALSE)</f>
        <v>DLC_BASE_GAME</v>
      </c>
      <c r="L61" s="3" t="str">
        <f>VLOOKUP(J61,'LibSets constants'!$A$4:$C$1012,3,FALSE)</f>
        <v>Included in base game</v>
      </c>
    </row>
    <row r="62" spans="1:12" x14ac:dyDescent="0.25">
      <c r="A62" s="5">
        <v>216</v>
      </c>
      <c r="B62" s="5">
        <v>57</v>
      </c>
      <c r="C62" s="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constants'!$A$4:$B$1012,2,FALSE)</f>
        <v>DLC_BASE_GAME</v>
      </c>
      <c r="L62" s="3" t="str">
        <f>VLOOKUP(J62,'LibSets constants'!$A$4:$C$1012,3,FALSE)</f>
        <v>Included in base game</v>
      </c>
    </row>
    <row r="63" spans="1:12" x14ac:dyDescent="0.25">
      <c r="A63" s="5">
        <v>217</v>
      </c>
      <c r="B63" s="5">
        <v>58</v>
      </c>
      <c r="C63" s="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constants'!$A$4:$B$1012,2,FALSE)</f>
        <v>DLC_BASE_GAME</v>
      </c>
      <c r="L63" s="3" t="str">
        <f>VLOOKUP(J63,'LibSets constants'!$A$4:$C$1012,3,FALSE)</f>
        <v>Included in base game</v>
      </c>
    </row>
    <row r="64" spans="1:12" x14ac:dyDescent="0.25">
      <c r="A64" s="5">
        <v>218</v>
      </c>
      <c r="B64" s="5">
        <v>59</v>
      </c>
      <c r="C64" s="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constants'!$A$4:$B$1012,2,FALSE)</f>
        <v>DLC_BASE_GAME</v>
      </c>
      <c r="L64" s="3" t="str">
        <f>VLOOKUP(J64,'LibSets constants'!$A$4:$C$1012,3,FALSE)</f>
        <v>Included in base game</v>
      </c>
    </row>
    <row r="65" spans="1:12" x14ac:dyDescent="0.25">
      <c r="A65" s="5">
        <v>219</v>
      </c>
      <c r="B65" s="5">
        <v>60</v>
      </c>
      <c r="C65" s="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constants'!$A$4:$B$1012,2,FALSE)</f>
        <v>DLC_BASE_GAME</v>
      </c>
      <c r="L65" s="3" t="str">
        <f>VLOOKUP(J65,'LibSets constants'!$A$4:$C$1012,3,FALSE)</f>
        <v>Included in base game</v>
      </c>
    </row>
    <row r="66" spans="1:12" x14ac:dyDescent="0.25">
      <c r="A66" s="5">
        <v>222</v>
      </c>
      <c r="B66" s="5">
        <v>61</v>
      </c>
      <c r="C66" s="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constants'!$A$4:$B$1012,2,FALSE)</f>
        <v>DLC_BASE_GAME</v>
      </c>
      <c r="L66" s="3" t="str">
        <f>VLOOKUP(J66,'LibSets constants'!$A$4:$C$1012,3,FALSE)</f>
        <v>Included in base game</v>
      </c>
    </row>
    <row r="67" spans="1:12" x14ac:dyDescent="0.25">
      <c r="A67" s="5">
        <v>223</v>
      </c>
      <c r="B67" s="5">
        <v>62</v>
      </c>
      <c r="C67" s="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constants'!$A$4:$B$1012,2,FALSE)</f>
        <v>DLC_BASE_GAME</v>
      </c>
      <c r="L67" s="3" t="str">
        <f>VLOOKUP(J67,'LibSets constants'!$A$4:$C$1012,3,FALSE)</f>
        <v>Included in base game</v>
      </c>
    </row>
    <row r="68" spans="1:12" x14ac:dyDescent="0.25">
      <c r="A68" s="5">
        <v>224</v>
      </c>
      <c r="B68" s="5">
        <v>63</v>
      </c>
      <c r="C68" s="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constants'!$A$4:$B$1012,2,FALSE)</f>
        <v>DLC_BASE_GAME</v>
      </c>
      <c r="L68" s="3" t="str">
        <f>VLOOKUP(J68,'LibSets constants'!$A$4:$C$1012,3,FALSE)</f>
        <v>Included in base game</v>
      </c>
    </row>
    <row r="69" spans="1:12" x14ac:dyDescent="0.25">
      <c r="A69" s="5">
        <v>227</v>
      </c>
      <c r="B69" s="5">
        <v>64</v>
      </c>
      <c r="C69" s="5">
        <v>92</v>
      </c>
      <c r="D69" t="s">
        <v>3905</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constants'!$A$4:$B$1012,2,FALSE)</f>
        <v>DLC_BASE_GAME</v>
      </c>
      <c r="L69" s="3" t="str">
        <f>VLOOKUP(J69,'LibSets constants'!$A$4:$C$1012,3,FALSE)</f>
        <v>Included in base game</v>
      </c>
    </row>
    <row r="70" spans="1:12" x14ac:dyDescent="0.25">
      <c r="A70" s="5">
        <v>228</v>
      </c>
      <c r="B70" s="5">
        <v>65</v>
      </c>
      <c r="C70" s="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constants'!$A$4:$B$1012,2,FALSE)</f>
        <v>DLC_BASE_GAME</v>
      </c>
      <c r="L70" s="3" t="str">
        <f>VLOOKUP(J70,'LibSets constants'!$A$4:$C$1012,3,FALSE)</f>
        <v>Included in base game</v>
      </c>
    </row>
    <row r="71" spans="1:12" x14ac:dyDescent="0.25">
      <c r="A71" s="5">
        <v>229</v>
      </c>
      <c r="B71" s="5">
        <v>66</v>
      </c>
      <c r="C71" s="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constants'!$A$4:$B$1012,2,FALSE)</f>
        <v>DLC_BASE_GAME</v>
      </c>
      <c r="L71" s="3" t="str">
        <f>VLOOKUP(J71,'LibSets constants'!$A$4:$C$1012,3,FALSE)</f>
        <v>Included in base game</v>
      </c>
    </row>
    <row r="72" spans="1:12" x14ac:dyDescent="0.25">
      <c r="A72" s="5">
        <v>231</v>
      </c>
      <c r="B72" s="5">
        <v>67</v>
      </c>
      <c r="C72" s="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constants'!$A$4:$B$1012,2,FALSE)</f>
        <v>DLC_BASE_GAME</v>
      </c>
      <c r="L72" s="3" t="str">
        <f>VLOOKUP(J72,'LibSets constants'!$A$4:$C$1012,3,FALSE)</f>
        <v>Included in base game</v>
      </c>
    </row>
    <row r="73" spans="1:12" x14ac:dyDescent="0.25">
      <c r="A73" s="5">
        <v>232</v>
      </c>
      <c r="B73" s="5">
        <v>68</v>
      </c>
      <c r="C73" s="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constants'!$A$4:$B$1012,2,FALSE)</f>
        <v>DLC_BASE_GAME</v>
      </c>
      <c r="L73" s="3" t="str">
        <f>VLOOKUP(J73,'LibSets constants'!$A$4:$C$1012,3,FALSE)</f>
        <v>Included in base game</v>
      </c>
    </row>
    <row r="74" spans="1:12" x14ac:dyDescent="0.25">
      <c r="A74" s="5">
        <v>233</v>
      </c>
      <c r="B74" s="5">
        <v>69</v>
      </c>
      <c r="C74" s="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constants'!$A$4:$B$1012,2,FALSE)</f>
        <v>DLC_BASE_GAME</v>
      </c>
      <c r="L74" s="3" t="str">
        <f>VLOOKUP(J74,'LibSets constants'!$A$4:$C$1012,3,FALSE)</f>
        <v>Included in base game</v>
      </c>
    </row>
    <row r="75" spans="1:12" x14ac:dyDescent="0.25">
      <c r="A75" s="5">
        <v>234</v>
      </c>
      <c r="B75" s="5">
        <v>70</v>
      </c>
      <c r="C75" s="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constants'!$A$4:$B$1012,2,FALSE)</f>
        <v>DLC_BASE_GAME</v>
      </c>
      <c r="L75" s="3" t="str">
        <f>VLOOKUP(J75,'LibSets constants'!$A$4:$C$1012,3,FALSE)</f>
        <v>Included in base game</v>
      </c>
    </row>
    <row r="76" spans="1:12" x14ac:dyDescent="0.25">
      <c r="A76" s="5">
        <v>235</v>
      </c>
      <c r="B76" s="5">
        <v>71</v>
      </c>
      <c r="C76" s="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constants'!$A$4:$B$1012,2,FALSE)</f>
        <v>DLC_BASE_GAME</v>
      </c>
      <c r="L76" s="3" t="str">
        <f>VLOOKUP(J76,'LibSets constants'!$A$4:$C$1012,3,FALSE)</f>
        <v>Included in base game</v>
      </c>
    </row>
    <row r="77" spans="1:12" x14ac:dyDescent="0.25">
      <c r="A77" s="5">
        <v>236</v>
      </c>
      <c r="B77" s="5">
        <v>72</v>
      </c>
      <c r="C77" s="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constants'!$A$4:$B$1012,2,FALSE)</f>
        <v>DLC_BASE_GAME</v>
      </c>
      <c r="L77" s="3" t="str">
        <f>VLOOKUP(J77,'LibSets constants'!$A$4:$C$1012,3,FALSE)</f>
        <v>Included in base game</v>
      </c>
    </row>
    <row r="78" spans="1:12" x14ac:dyDescent="0.25">
      <c r="A78" s="5">
        <v>237</v>
      </c>
      <c r="B78" s="5">
        <v>73</v>
      </c>
      <c r="C78" s="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constants'!$A$4:$B$1012,2,FALSE)</f>
        <v>DLC_BASE_GAME</v>
      </c>
      <c r="L78" s="3" t="str">
        <f>VLOOKUP(J78,'LibSets constants'!$A$4:$C$1012,3,FALSE)</f>
        <v>Included in base game</v>
      </c>
    </row>
    <row r="79" spans="1:12" x14ac:dyDescent="0.25">
      <c r="A79" s="5">
        <v>238</v>
      </c>
      <c r="B79" s="5">
        <v>74</v>
      </c>
      <c r="C79" s="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constants'!$A$4:$B$1012,2,FALSE)</f>
        <v>DLC_BASE_GAME</v>
      </c>
      <c r="L79" s="3" t="str">
        <f>VLOOKUP(J79,'LibSets constants'!$A$4:$C$1012,3,FALSE)</f>
        <v>Included in base game</v>
      </c>
    </row>
    <row r="80" spans="1:12" x14ac:dyDescent="0.25">
      <c r="A80" s="5">
        <v>239</v>
      </c>
      <c r="B80" s="5">
        <v>75</v>
      </c>
      <c r="C80" s="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constants'!$A$4:$B$1012,2,FALSE)</f>
        <v>DLC_BASE_GAME</v>
      </c>
      <c r="L80" s="3" t="str">
        <f>VLOOKUP(J80,'LibSets constants'!$A$4:$C$1012,3,FALSE)</f>
        <v>Included in base game</v>
      </c>
    </row>
    <row r="81" spans="1:12" x14ac:dyDescent="0.25">
      <c r="A81" s="5">
        <v>241</v>
      </c>
      <c r="B81" s="5">
        <v>76</v>
      </c>
      <c r="C81" s="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constants'!$A$4:$B$1012,2,FALSE)</f>
        <v>DLC_BASE_GAME</v>
      </c>
      <c r="L81" s="3" t="str">
        <f>VLOOKUP(J81,'LibSets constants'!$A$4:$C$1012,3,FALSE)</f>
        <v>Included in base game</v>
      </c>
    </row>
    <row r="82" spans="1:12" x14ac:dyDescent="0.25">
      <c r="A82" s="5">
        <v>242</v>
      </c>
      <c r="B82" s="5">
        <v>77</v>
      </c>
      <c r="C82" s="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constants'!$A$4:$B$1012,2,FALSE)</f>
        <v>DLC_BASE_GAME</v>
      </c>
      <c r="L82" s="3" t="str">
        <f>VLOOKUP(J82,'LibSets constants'!$A$4:$C$1012,3,FALSE)</f>
        <v>Included in base game</v>
      </c>
    </row>
    <row r="83" spans="1:12" x14ac:dyDescent="0.25">
      <c r="A83" s="5">
        <v>243</v>
      </c>
      <c r="B83" s="5">
        <v>78</v>
      </c>
      <c r="C83" s="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constants'!$A$4:$B$1012,2,FALSE)</f>
        <v>DLC_BASE_GAME</v>
      </c>
      <c r="L83" s="3" t="str">
        <f>VLOOKUP(J83,'LibSets constants'!$A$4:$C$1012,3,FALSE)</f>
        <v>Included in base game</v>
      </c>
    </row>
    <row r="84" spans="1:12" x14ac:dyDescent="0.25">
      <c r="A84" s="5">
        <v>245</v>
      </c>
      <c r="B84" s="5">
        <v>79</v>
      </c>
      <c r="C84" s="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constants'!$A$4:$B$1012,2,FALSE)</f>
        <v>DLC_BASE_GAME</v>
      </c>
      <c r="L84" s="3" t="str">
        <f>VLOOKUP(J84,'LibSets constants'!$A$4:$C$1012,3,FALSE)</f>
        <v>Included in base game</v>
      </c>
    </row>
    <row r="85" spans="1:12" x14ac:dyDescent="0.25">
      <c r="A85" s="5">
        <v>246</v>
      </c>
      <c r="B85" s="5">
        <v>80</v>
      </c>
      <c r="C85" s="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constants'!$A$4:$B$1012,2,FALSE)</f>
        <v>DLC_BASE_GAME</v>
      </c>
      <c r="L85" s="3" t="str">
        <f>VLOOKUP(J85,'LibSets constants'!$A$4:$C$1012,3,FALSE)</f>
        <v>Included in base game</v>
      </c>
    </row>
    <row r="86" spans="1:12" x14ac:dyDescent="0.25">
      <c r="A86" s="5">
        <v>247</v>
      </c>
      <c r="B86" s="5">
        <v>81</v>
      </c>
      <c r="C86" s="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constants'!$A$4:$B$1012,2,FALSE)</f>
        <v>DLC_BASE_GAME</v>
      </c>
      <c r="L86" s="3" t="str">
        <f>VLOOKUP(J86,'LibSets constants'!$A$4:$C$1012,3,FALSE)</f>
        <v>Included in base game</v>
      </c>
    </row>
    <row r="87" spans="1:12" x14ac:dyDescent="0.25">
      <c r="A87" s="5">
        <v>248</v>
      </c>
      <c r="B87" s="5">
        <v>82</v>
      </c>
      <c r="C87" s="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constants'!$A$4:$B$1012,2,FALSE)</f>
        <v>DLC_BASE_GAME</v>
      </c>
      <c r="L87" s="3" t="str">
        <f>VLOOKUP(J87,'LibSets constants'!$A$4:$C$1012,3,FALSE)</f>
        <v>Included in base game</v>
      </c>
    </row>
    <row r="88" spans="1:12" x14ac:dyDescent="0.25">
      <c r="A88" s="5">
        <v>249</v>
      </c>
      <c r="B88" s="5">
        <v>83</v>
      </c>
      <c r="C88" s="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constants'!$A$4:$B$1012,2,FALSE)</f>
        <v>DLC_BASE_GAME</v>
      </c>
      <c r="L88" s="3" t="str">
        <f>VLOOKUP(J88,'LibSets constants'!$A$4:$C$1012,3,FALSE)</f>
        <v>Included in base game</v>
      </c>
    </row>
    <row r="89" spans="1:12" x14ac:dyDescent="0.25">
      <c r="A89" s="5">
        <v>250</v>
      </c>
      <c r="B89" s="5">
        <v>84</v>
      </c>
      <c r="C89" s="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constants'!$A$4:$B$1012,2,FALSE)</f>
        <v>DLC_BASE_GAME</v>
      </c>
      <c r="L89" s="3" t="str">
        <f>VLOOKUP(J89,'LibSets constants'!$A$4:$C$1012,3,FALSE)</f>
        <v>Included in base game</v>
      </c>
    </row>
    <row r="90" spans="1:12" x14ac:dyDescent="0.25">
      <c r="A90" s="5">
        <v>252</v>
      </c>
      <c r="B90" s="5">
        <v>85</v>
      </c>
      <c r="C90" s="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constants'!$A$4:$B$1012,2,FALSE)</f>
        <v>DLC_BASE_GAME</v>
      </c>
      <c r="L90" s="3" t="str">
        <f>VLOOKUP(J90,'LibSets constants'!$A$4:$C$1012,3,FALSE)</f>
        <v>Included in base game</v>
      </c>
    </row>
    <row r="91" spans="1:12" x14ac:dyDescent="0.25">
      <c r="A91" s="5">
        <v>253</v>
      </c>
      <c r="B91" s="5">
        <v>86</v>
      </c>
      <c r="C91" s="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constants'!$A$4:$B$1012,2,FALSE)</f>
        <v>DLC_BASE_GAME</v>
      </c>
      <c r="L91" s="3" t="str">
        <f>VLOOKUP(J91,'LibSets constants'!$A$4:$C$1012,3,FALSE)</f>
        <v>Included in base game</v>
      </c>
    </row>
    <row r="92" spans="1:12" x14ac:dyDescent="0.25">
      <c r="A92" s="5">
        <v>254</v>
      </c>
      <c r="B92" s="5">
        <v>87</v>
      </c>
      <c r="C92" s="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constants'!$A$4:$B$1012,2,FALSE)</f>
        <v>DLC_BASE_GAME</v>
      </c>
      <c r="L92" s="3" t="str">
        <f>VLOOKUP(J92,'LibSets constants'!$A$4:$C$1012,3,FALSE)</f>
        <v>Included in base game</v>
      </c>
    </row>
    <row r="93" spans="1:12" x14ac:dyDescent="0.25">
      <c r="A93" s="5">
        <v>255</v>
      </c>
      <c r="B93" s="5">
        <v>88</v>
      </c>
      <c r="C93" s="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constants'!$A$4:$B$1012,2,FALSE)</f>
        <v>DLC_BASE_GAME</v>
      </c>
      <c r="L93" s="3" t="str">
        <f>VLOOKUP(J93,'LibSets constants'!$A$4:$C$1012,3,FALSE)</f>
        <v>Included in base game</v>
      </c>
    </row>
    <row r="94" spans="1:12" x14ac:dyDescent="0.25">
      <c r="A94" s="5">
        <v>256</v>
      </c>
      <c r="B94" s="5">
        <v>89</v>
      </c>
      <c r="C94" s="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constants'!$A$4:$B$1012,2,FALSE)</f>
        <v>DLC_BASE_GAME</v>
      </c>
      <c r="L94" s="3" t="str">
        <f>VLOOKUP(J94,'LibSets constants'!$A$4:$C$1012,3,FALSE)</f>
        <v>Included in base game</v>
      </c>
    </row>
    <row r="95" spans="1:12" x14ac:dyDescent="0.25">
      <c r="A95" s="5">
        <v>257</v>
      </c>
      <c r="B95" s="5">
        <v>90</v>
      </c>
      <c r="C95" s="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constants'!$A$4:$B$1012,2,FALSE)</f>
        <v>DLC_BASE_GAME</v>
      </c>
      <c r="L95" s="3" t="str">
        <f>VLOOKUP(J95,'LibSets constants'!$A$4:$C$1012,3,FALSE)</f>
        <v>Included in base game</v>
      </c>
    </row>
    <row r="96" spans="1:12" x14ac:dyDescent="0.25">
      <c r="A96" s="5">
        <v>258</v>
      </c>
      <c r="B96" s="5">
        <v>91</v>
      </c>
      <c r="C96" s="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constants'!$A$4:$B$1012,2,FALSE)</f>
        <v>DLC_BASE_GAME</v>
      </c>
      <c r="L96" s="3" t="str">
        <f>VLOOKUP(J96,'LibSets constants'!$A$4:$C$1012,3,FALSE)</f>
        <v>Included in base game</v>
      </c>
    </row>
    <row r="97" spans="1:12" x14ac:dyDescent="0.25">
      <c r="A97" s="5">
        <v>259</v>
      </c>
      <c r="B97" s="5">
        <v>92</v>
      </c>
      <c r="C97" s="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constants'!$A$4:$B$1012,2,FALSE)</f>
        <v>DLC_BASE_GAME</v>
      </c>
      <c r="L97" s="3" t="str">
        <f>VLOOKUP(J97,'LibSets constants'!$A$4:$C$1012,3,FALSE)</f>
        <v>Included in base game</v>
      </c>
    </row>
    <row r="98" spans="1:12" x14ac:dyDescent="0.25">
      <c r="A98" s="5">
        <v>260</v>
      </c>
      <c r="B98" s="5">
        <v>93</v>
      </c>
      <c r="C98" s="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constants'!$A$4:$B$1012,2,FALSE)</f>
        <v>DLC_BASE_GAME</v>
      </c>
      <c r="L98" s="3" t="str">
        <f>VLOOKUP(J98,'LibSets constants'!$A$4:$C$1012,3,FALSE)</f>
        <v>Included in base game</v>
      </c>
    </row>
    <row r="99" spans="1:12" x14ac:dyDescent="0.25">
      <c r="A99" s="5">
        <v>261</v>
      </c>
      <c r="B99" s="5">
        <v>94</v>
      </c>
      <c r="C99" s="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constants'!$A$4:$B$1012,2,FALSE)</f>
        <v>DLC_BASE_GAME</v>
      </c>
      <c r="L99" s="3" t="str">
        <f>VLOOKUP(J99,'LibSets constants'!$A$4:$C$1012,3,FALSE)</f>
        <v>Included in base game</v>
      </c>
    </row>
    <row r="100" spans="1:12" x14ac:dyDescent="0.25">
      <c r="A100" s="5">
        <v>262</v>
      </c>
      <c r="B100" s="5">
        <v>95</v>
      </c>
      <c r="C100" s="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constants'!$A$4:$B$1012,2,FALSE)</f>
        <v>DLC_BASE_GAME</v>
      </c>
      <c r="L100" s="3" t="str">
        <f>VLOOKUP(J100,'LibSets constants'!$A$4:$C$1012,3,FALSE)</f>
        <v>Included in base game</v>
      </c>
    </row>
    <row r="101" spans="1:12" x14ac:dyDescent="0.25">
      <c r="A101" s="5">
        <v>263</v>
      </c>
      <c r="B101" s="5">
        <v>96</v>
      </c>
      <c r="C101" s="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constants'!$A$4:$B$1012,2,FALSE)</f>
        <v>DLC_BASE_GAME</v>
      </c>
      <c r="L101" s="3" t="str">
        <f>VLOOKUP(J101,'LibSets constants'!$A$4:$C$1012,3,FALSE)</f>
        <v>Included in base game</v>
      </c>
    </row>
    <row r="102" spans="1:12" x14ac:dyDescent="0.25">
      <c r="A102" s="5">
        <v>264</v>
      </c>
      <c r="B102" s="5">
        <v>97</v>
      </c>
      <c r="C102" s="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constants'!$A$4:$B$1012,2,FALSE)</f>
        <v>DLC_BASE_GAME</v>
      </c>
      <c r="L102" s="3" t="str">
        <f>VLOOKUP(J102,'LibSets constants'!$A$4:$C$1012,3,FALSE)</f>
        <v>Included in base game</v>
      </c>
    </row>
    <row r="103" spans="1:12" x14ac:dyDescent="0.25">
      <c r="A103" s="5">
        <v>265</v>
      </c>
      <c r="B103" s="5">
        <v>98</v>
      </c>
      <c r="C103" s="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constants'!$A$4:$B$1012,2,FALSE)</f>
        <v>DLC_BASE_GAME</v>
      </c>
      <c r="L103" s="3" t="str">
        <f>VLOOKUP(J103,'LibSets constants'!$A$4:$C$1012,3,FALSE)</f>
        <v>Included in base game</v>
      </c>
    </row>
    <row r="104" spans="1:12" x14ac:dyDescent="0.25">
      <c r="A104" s="5">
        <v>266</v>
      </c>
      <c r="B104" s="5">
        <v>99</v>
      </c>
      <c r="C104" s="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constants'!$A$4:$B$1012,2,FALSE)</f>
        <v>DLC_BASE_GAME</v>
      </c>
      <c r="L104" s="3" t="str">
        <f>VLOOKUP(J104,'LibSets constants'!$A$4:$C$1012,3,FALSE)</f>
        <v>Included in base game</v>
      </c>
    </row>
    <row r="105" spans="1:12" x14ac:dyDescent="0.25">
      <c r="A105" s="5">
        <v>267</v>
      </c>
      <c r="B105" s="5">
        <v>100</v>
      </c>
      <c r="C105" s="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constants'!$A$4:$B$1012,2,FALSE)</f>
        <v>DLC_BASE_GAME</v>
      </c>
      <c r="L105" s="3" t="str">
        <f>VLOOKUP(J105,'LibSets constants'!$A$4:$C$1012,3,FALSE)</f>
        <v>Included in base game</v>
      </c>
    </row>
    <row r="106" spans="1:12" x14ac:dyDescent="0.25">
      <c r="A106" s="5">
        <v>268</v>
      </c>
      <c r="B106" s="5">
        <v>101</v>
      </c>
      <c r="C106" s="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constants'!$A$4:$B$1012,2,FALSE)</f>
        <v>DLC_BASE_GAME</v>
      </c>
      <c r="L106" s="3" t="str">
        <f>VLOOKUP(J106,'LibSets constants'!$A$4:$C$1012,3,FALSE)</f>
        <v>Included in base game</v>
      </c>
    </row>
    <row r="107" spans="1:12" x14ac:dyDescent="0.25">
      <c r="A107" s="5">
        <v>269</v>
      </c>
      <c r="B107" s="5">
        <v>102</v>
      </c>
      <c r="C107" s="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constants'!$A$4:$B$1012,2,FALSE)</f>
        <v>DLC_BASE_GAME</v>
      </c>
      <c r="L107" s="3" t="str">
        <f>VLOOKUP(J107,'LibSets constants'!$A$4:$C$1012,3,FALSE)</f>
        <v>Included in base game</v>
      </c>
    </row>
    <row r="108" spans="1:12" x14ac:dyDescent="0.25">
      <c r="A108" s="5">
        <v>270</v>
      </c>
      <c r="B108" s="5">
        <v>103</v>
      </c>
      <c r="C108" s="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constants'!$A$4:$B$1012,2,FALSE)</f>
        <v>DLC_BASE_GAME</v>
      </c>
      <c r="L108" s="3" t="str">
        <f>VLOOKUP(J108,'LibSets constants'!$A$4:$C$1012,3,FALSE)</f>
        <v>Included in base game</v>
      </c>
    </row>
    <row r="109" spans="1:12" x14ac:dyDescent="0.25">
      <c r="A109" s="5">
        <v>271</v>
      </c>
      <c r="B109" s="5">
        <v>104</v>
      </c>
      <c r="C109" s="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constants'!$A$4:$B$1012,2,FALSE)</f>
        <v>DLC_BASE_GAME</v>
      </c>
      <c r="L109" s="3" t="str">
        <f>VLOOKUP(J109,'LibSets constants'!$A$4:$C$1012,3,FALSE)</f>
        <v>Included in base game</v>
      </c>
    </row>
    <row r="110" spans="1:12" x14ac:dyDescent="0.25">
      <c r="A110" s="5">
        <v>272</v>
      </c>
      <c r="B110" s="5">
        <v>105</v>
      </c>
      <c r="C110" s="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constants'!$A$4:$B$1012,2,FALSE)</f>
        <v>DLC_BASE_GAME</v>
      </c>
      <c r="L110" s="3" t="str">
        <f>VLOOKUP(J110,'LibSets constants'!$A$4:$C$1012,3,FALSE)</f>
        <v>Included in base game</v>
      </c>
    </row>
    <row r="111" spans="1:12" x14ac:dyDescent="0.25">
      <c r="A111" s="5">
        <v>273</v>
      </c>
      <c r="B111" s="5">
        <v>106</v>
      </c>
      <c r="C111" s="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constants'!$A$4:$B$1012,2,FALSE)</f>
        <v>DLC_BASE_GAME</v>
      </c>
      <c r="L111" s="3" t="str">
        <f>VLOOKUP(J111,'LibSets constants'!$A$4:$C$1012,3,FALSE)</f>
        <v>Included in base game</v>
      </c>
    </row>
    <row r="112" spans="1:12" x14ac:dyDescent="0.25">
      <c r="A112" s="5">
        <v>274</v>
      </c>
      <c r="B112" s="5">
        <v>107</v>
      </c>
      <c r="C112" s="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constants'!$A$4:$B$1012,2,FALSE)</f>
        <v>DLC_BASE_GAME</v>
      </c>
      <c r="L112" s="3" t="str">
        <f>VLOOKUP(J112,'LibSets constants'!$A$4:$C$1012,3,FALSE)</f>
        <v>Included in base game</v>
      </c>
    </row>
    <row r="113" spans="1:12" x14ac:dyDescent="0.25">
      <c r="A113" s="5">
        <v>275</v>
      </c>
      <c r="B113" s="5">
        <v>108</v>
      </c>
      <c r="C113" s="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constants'!$A$4:$B$1012,2,FALSE)</f>
        <v>DLC_BASE_GAME</v>
      </c>
      <c r="L113" s="3" t="str">
        <f>VLOOKUP(J113,'LibSets constants'!$A$4:$C$1012,3,FALSE)</f>
        <v>Included in base game</v>
      </c>
    </row>
    <row r="114" spans="1:12" x14ac:dyDescent="0.25">
      <c r="A114" s="5">
        <v>279</v>
      </c>
      <c r="B114" s="5">
        <v>109</v>
      </c>
      <c r="C114" s="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constants'!$A$4:$B$1012,2,FALSE)</f>
        <v>DLC_BASE_GAME</v>
      </c>
      <c r="L114" s="3" t="str">
        <f>VLOOKUP(J114,'LibSets constants'!$A$4:$C$1012,3,FALSE)</f>
        <v>Included in base game</v>
      </c>
    </row>
    <row r="115" spans="1:12" x14ac:dyDescent="0.25">
      <c r="A115" s="5">
        <v>280</v>
      </c>
      <c r="B115" s="5">
        <v>110</v>
      </c>
      <c r="C115" s="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constants'!$A$4:$B$1012,2,FALSE)</f>
        <v>DLC_BASE_GAME</v>
      </c>
      <c r="L115" s="3" t="str">
        <f>VLOOKUP(J115,'LibSets constants'!$A$4:$C$1012,3,FALSE)</f>
        <v>Included in base game</v>
      </c>
    </row>
    <row r="116" spans="1:12" x14ac:dyDescent="0.25">
      <c r="A116" s="5">
        <v>281</v>
      </c>
      <c r="B116" s="5">
        <v>111</v>
      </c>
      <c r="C116" s="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constants'!$A$4:$B$1012,2,FALSE)</f>
        <v>DLC_BASE_GAME</v>
      </c>
      <c r="L116" s="3" t="str">
        <f>VLOOKUP(J116,'LibSets constants'!$A$4:$C$1012,3,FALSE)</f>
        <v>Included in base game</v>
      </c>
    </row>
    <row r="117" spans="1:12" x14ac:dyDescent="0.25">
      <c r="A117" s="5">
        <v>283</v>
      </c>
      <c r="B117" s="5">
        <v>112</v>
      </c>
      <c r="C117" s="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constants'!$A$4:$B$1012,2,FALSE)</f>
        <v>DLC_BASE_GAME</v>
      </c>
      <c r="L117" s="3" t="str">
        <f>VLOOKUP(J117,'LibSets constants'!$A$4:$C$1012,3,FALSE)</f>
        <v>Included in base game</v>
      </c>
    </row>
    <row r="118" spans="1:12" x14ac:dyDescent="0.25">
      <c r="A118" s="5">
        <v>284</v>
      </c>
      <c r="B118" s="5">
        <v>113</v>
      </c>
      <c r="C118" s="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constants'!$A$4:$B$1012,2,FALSE)</f>
        <v>DLC_BASE_GAME</v>
      </c>
      <c r="L118" s="3" t="str">
        <f>VLOOKUP(J118,'LibSets constants'!$A$4:$C$1012,3,FALSE)</f>
        <v>Included in base game</v>
      </c>
    </row>
    <row r="119" spans="1:12" x14ac:dyDescent="0.25">
      <c r="A119" s="5">
        <v>287</v>
      </c>
      <c r="B119" s="5">
        <v>114</v>
      </c>
      <c r="C119" s="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constants'!$A$4:$B$1012,2,FALSE)</f>
        <v>DLC_BASE_GAME</v>
      </c>
      <c r="L119" s="3" t="str">
        <f>VLOOKUP(J119,'LibSets constants'!$A$4:$C$1012,3,FALSE)</f>
        <v>Included in base game</v>
      </c>
    </row>
    <row r="120" spans="1:12" x14ac:dyDescent="0.25">
      <c r="A120" s="5">
        <v>288</v>
      </c>
      <c r="B120" s="5">
        <v>115</v>
      </c>
      <c r="C120" s="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constants'!$A$4:$B$1012,2,FALSE)</f>
        <v>DLC_BASE_GAME</v>
      </c>
      <c r="L120" s="3" t="str">
        <f>VLOOKUP(J120,'LibSets constants'!$A$4:$C$1012,3,FALSE)</f>
        <v>Included in base game</v>
      </c>
    </row>
    <row r="121" spans="1:12" x14ac:dyDescent="0.25">
      <c r="A121" s="5">
        <v>289</v>
      </c>
      <c r="B121" s="5">
        <v>116</v>
      </c>
      <c r="C121" s="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constants'!$A$4:$B$1012,2,FALSE)</f>
        <v>DLC_BASE_GAME</v>
      </c>
      <c r="L121" s="3" t="str">
        <f>VLOOKUP(J121,'LibSets constants'!$A$4:$C$1012,3,FALSE)</f>
        <v>Included in base game</v>
      </c>
    </row>
    <row r="122" spans="1:12" x14ac:dyDescent="0.25">
      <c r="A122" s="5">
        <v>290</v>
      </c>
      <c r="B122" s="5">
        <v>117</v>
      </c>
      <c r="C122" s="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constants'!$A$4:$B$1012,2,FALSE)</f>
        <v>DLC_BASE_GAME</v>
      </c>
      <c r="L122" s="3" t="str">
        <f>VLOOKUP(J122,'LibSets constants'!$A$4:$C$1012,3,FALSE)</f>
        <v>Included in base game</v>
      </c>
    </row>
    <row r="123" spans="1:12" x14ac:dyDescent="0.25">
      <c r="A123" s="5">
        <v>291</v>
      </c>
      <c r="B123" s="5">
        <v>118</v>
      </c>
      <c r="C123" s="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constants'!$A$4:$B$1012,2,FALSE)</f>
        <v>DLC_BASE_GAME</v>
      </c>
      <c r="L123" s="3" t="str">
        <f>VLOOKUP(J123,'LibSets constants'!$A$4:$C$1012,3,FALSE)</f>
        <v>Included in base game</v>
      </c>
    </row>
    <row r="124" spans="1:12" x14ac:dyDescent="0.25">
      <c r="A124" s="5">
        <v>296</v>
      </c>
      <c r="B124" s="5">
        <v>119</v>
      </c>
      <c r="C124" s="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constants'!$A$4:$B$1012,2,FALSE)</f>
        <v>DLC_BASE_GAME</v>
      </c>
      <c r="L124" s="3" t="str">
        <f>VLOOKUP(J124,'LibSets constants'!$A$4:$C$1012,3,FALSE)</f>
        <v>Included in base game</v>
      </c>
    </row>
    <row r="125" spans="1:12" x14ac:dyDescent="0.25">
      <c r="A125" s="5">
        <v>306</v>
      </c>
      <c r="B125" s="5">
        <v>120</v>
      </c>
      <c r="C125" s="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constants'!$A$4:$B$1012,2,FALSE)</f>
        <v>DLC_BASE_GAME</v>
      </c>
      <c r="L125" s="3" t="str">
        <f>VLOOKUP(J125,'LibSets constants'!$A$4:$C$1012,3,FALSE)</f>
        <v>Included in base game</v>
      </c>
    </row>
    <row r="126" spans="1:12" x14ac:dyDescent="0.25">
      <c r="A126" s="5">
        <v>308</v>
      </c>
      <c r="B126" s="5">
        <v>121</v>
      </c>
      <c r="C126" s="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constants'!$A$4:$B$1012,2,FALSE)</f>
        <v>DLC_BASE_GAME</v>
      </c>
      <c r="L126" s="3" t="str">
        <f>VLOOKUP(J126,'LibSets constants'!$A$4:$C$1012,3,FALSE)</f>
        <v>Included in base game</v>
      </c>
    </row>
    <row r="127" spans="1:12" x14ac:dyDescent="0.25">
      <c r="A127" s="5">
        <v>309</v>
      </c>
      <c r="B127" s="5">
        <v>122</v>
      </c>
      <c r="C127" s="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constants'!$A$4:$B$1012,2,FALSE)</f>
        <v>DLC_BASE_GAME</v>
      </c>
      <c r="L127" s="3" t="str">
        <f>VLOOKUP(J127,'LibSets constants'!$A$4:$C$1012,3,FALSE)</f>
        <v>Included in base game</v>
      </c>
    </row>
    <row r="128" spans="1:12" x14ac:dyDescent="0.25">
      <c r="A128" s="5">
        <v>310</v>
      </c>
      <c r="B128" s="5">
        <v>123</v>
      </c>
      <c r="C128" s="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constants'!$A$4:$B$1012,2,FALSE)</f>
        <v>DLC_MORROWIND</v>
      </c>
      <c r="L128" s="3" t="str">
        <f>VLOOKUP(J128,'LibSets constants'!$A$4:$C$1012,3,FALSE)</f>
        <v>Morrowind</v>
      </c>
    </row>
    <row r="129" spans="1:12" x14ac:dyDescent="0.25">
      <c r="A129" s="5">
        <v>311</v>
      </c>
      <c r="B129" s="5">
        <v>124</v>
      </c>
      <c r="C129" s="5">
        <v>3</v>
      </c>
      <c r="D129" t="s">
        <v>3907</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constants'!$A$4:$B$1012,2,FALSE)</f>
        <v>DLC_MORROWIND</v>
      </c>
      <c r="L129" s="3" t="str">
        <f>VLOOKUP(J129,'LibSets constants'!$A$4:$C$1012,3,FALSE)</f>
        <v>Morrowind</v>
      </c>
    </row>
    <row r="130" spans="1:12" x14ac:dyDescent="0.25">
      <c r="A130" s="5">
        <v>312</v>
      </c>
      <c r="B130" s="5">
        <v>125</v>
      </c>
      <c r="C130" s="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constants'!$A$4:$B$1012,2,FALSE)</f>
        <v>DLC_MORROWIND</v>
      </c>
      <c r="L130" s="3" t="str">
        <f>VLOOKUP(J130,'LibSets constants'!$A$4:$C$1012,3,FALSE)</f>
        <v>Morrowind</v>
      </c>
    </row>
    <row r="131" spans="1:12" x14ac:dyDescent="0.25">
      <c r="A131" s="5">
        <v>313</v>
      </c>
      <c r="B131" s="5">
        <v>126</v>
      </c>
      <c r="C131" s="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constants'!$A$4:$B$1012,2,FALSE)</f>
        <v>DLC_ORSINIUM</v>
      </c>
      <c r="L131" s="3" t="str">
        <f>VLOOKUP(J131,'LibSets constants'!$A$4:$C$1012,3,FALSE)</f>
        <v>Orsinium</v>
      </c>
    </row>
    <row r="132" spans="1:12" x14ac:dyDescent="0.25">
      <c r="A132" s="5">
        <v>314</v>
      </c>
      <c r="B132" s="5">
        <v>127</v>
      </c>
      <c r="C132" s="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constants'!$A$4:$B$1012,2,FALSE)</f>
        <v>DLC_ORSINIUM</v>
      </c>
      <c r="L132" s="3" t="str">
        <f>VLOOKUP(J132,'LibSets constants'!$A$4:$C$1012,3,FALSE)</f>
        <v>Orsinium</v>
      </c>
    </row>
    <row r="133" spans="1:12" x14ac:dyDescent="0.25">
      <c r="A133" s="5">
        <v>315</v>
      </c>
      <c r="B133" s="5">
        <v>128</v>
      </c>
      <c r="C133" s="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constants'!$A$4:$B$1012,2,FALSE)</f>
        <v>DLC_GREYMOOR</v>
      </c>
      <c r="L133" s="3" t="str">
        <f>VLOOKUP(J133,'LibSets constants'!$A$4:$C$1012,3,FALSE)</f>
        <v>Greymoor</v>
      </c>
    </row>
    <row r="134" spans="1:12" x14ac:dyDescent="0.25">
      <c r="A134" s="5">
        <v>316</v>
      </c>
      <c r="B134" s="5">
        <v>129</v>
      </c>
      <c r="C134" s="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constants'!$A$4:$B$1012,2,FALSE)</f>
        <v>DLC_WOLFHUNTER</v>
      </c>
      <c r="L134" s="3" t="str">
        <f>VLOOKUP(J134,'LibSets constants'!$A$4:$C$1012,3,FALSE)</f>
        <v>Wolfhunter</v>
      </c>
    </row>
    <row r="135" spans="1:12" x14ac:dyDescent="0.25">
      <c r="A135" s="5">
        <v>317</v>
      </c>
      <c r="B135" s="5">
        <v>130</v>
      </c>
      <c r="C135" s="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constants'!$A$4:$B$1012,2,FALSE)</f>
        <v>DLC_WOLFHUNTER</v>
      </c>
      <c r="L135" s="3" t="str">
        <f>VLOOKUP(J135,'LibSets constants'!$A$4:$C$1012,3,FALSE)</f>
        <v>Wolfhunter</v>
      </c>
    </row>
    <row r="136" spans="1:12" x14ac:dyDescent="0.25">
      <c r="A136" s="5">
        <v>318</v>
      </c>
      <c r="B136" s="5">
        <v>131</v>
      </c>
      <c r="C136" s="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constants'!$A$4:$B$1012,2,FALSE)</f>
        <v>DLC_MORROWIND</v>
      </c>
      <c r="L136" s="3" t="str">
        <f>VLOOKUP(J136,'LibSets constants'!$A$4:$C$1012,3,FALSE)</f>
        <v>Morrowind</v>
      </c>
    </row>
    <row r="137" spans="1:12" x14ac:dyDescent="0.25">
      <c r="A137" s="5">
        <v>319</v>
      </c>
      <c r="B137" s="5">
        <v>132</v>
      </c>
      <c r="C137" s="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constants'!$A$4:$B$1012,2,FALSE)</f>
        <v>DLC_WRATHSTONE</v>
      </c>
      <c r="L137" s="3" t="str">
        <f>VLOOKUP(J137,'LibSets constants'!$A$4:$C$1012,3,FALSE)</f>
        <v>Wrathstone</v>
      </c>
    </row>
    <row r="138" spans="1:12" x14ac:dyDescent="0.25">
      <c r="A138" s="5">
        <v>320</v>
      </c>
      <c r="B138" s="5">
        <v>133</v>
      </c>
      <c r="C138" s="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constants'!$A$4:$B$1012,2,FALSE)</f>
        <v>DLC_WRATHSTONE</v>
      </c>
      <c r="L138" s="3" t="str">
        <f>VLOOKUP(J138,'LibSets constants'!$A$4:$C$1012,3,FALSE)</f>
        <v>Wrathstone</v>
      </c>
    </row>
    <row r="139" spans="1:12" x14ac:dyDescent="0.25">
      <c r="A139" s="5">
        <v>321</v>
      </c>
      <c r="B139" s="5">
        <v>134</v>
      </c>
      <c r="C139" s="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constants'!$A$4:$B$1012,2,FALSE)</f>
        <v>DLC_BASE_GAME</v>
      </c>
      <c r="L139" s="3" t="str">
        <f>VLOOKUP(J139,'LibSets constants'!$A$4:$C$1012,3,FALSE)</f>
        <v>Included in base game</v>
      </c>
    </row>
    <row r="140" spans="1:12" x14ac:dyDescent="0.25">
      <c r="A140" s="5">
        <v>322</v>
      </c>
      <c r="B140" s="5">
        <v>135</v>
      </c>
      <c r="C140" s="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constants'!$A$4:$B$1012,2,FALSE)</f>
        <v>DLC_BASE_GAME</v>
      </c>
      <c r="L140" s="3" t="str">
        <f>VLOOKUP(J140,'LibSets constants'!$A$4:$C$1012,3,FALSE)</f>
        <v>Included in base game</v>
      </c>
    </row>
    <row r="141" spans="1:12" x14ac:dyDescent="0.25">
      <c r="A141" s="5">
        <v>323</v>
      </c>
      <c r="B141" s="5">
        <v>136</v>
      </c>
      <c r="C141" s="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constants'!$A$4:$B$1012,2,FALSE)</f>
        <v>DLC_BASE_GAME</v>
      </c>
      <c r="L141" s="3" t="str">
        <f>VLOOKUP(J141,'LibSets constants'!$A$4:$C$1012,3,FALSE)</f>
        <v>Included in base game</v>
      </c>
    </row>
    <row r="142" spans="1:12" x14ac:dyDescent="0.25">
      <c r="A142" s="5">
        <v>324</v>
      </c>
      <c r="B142" s="5">
        <v>137</v>
      </c>
      <c r="C142" s="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constants'!$A$4:$B$1012,2,FALSE)</f>
        <v>DLC_BASE_GAME</v>
      </c>
      <c r="L142" s="3" t="str">
        <f>VLOOKUP(J142,'LibSets constants'!$A$4:$C$1012,3,FALSE)</f>
        <v>Included in base game</v>
      </c>
    </row>
    <row r="143" spans="1:12" x14ac:dyDescent="0.25">
      <c r="A143" s="5">
        <v>325</v>
      </c>
      <c r="B143" s="5">
        <v>138</v>
      </c>
      <c r="C143" s="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constants'!$A$4:$B$1012,2,FALSE)</f>
        <v>DLC_BASE_GAME</v>
      </c>
      <c r="L143" s="3" t="str">
        <f>VLOOKUP(J143,'LibSets constants'!$A$4:$C$1012,3,FALSE)</f>
        <v>Included in base game</v>
      </c>
    </row>
    <row r="144" spans="1:12" x14ac:dyDescent="0.25">
      <c r="A144" s="5">
        <v>326</v>
      </c>
      <c r="B144" s="5">
        <v>139</v>
      </c>
      <c r="C144" s="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constants'!$A$4:$B$1012,2,FALSE)</f>
        <v>DLC_BASE_GAME</v>
      </c>
      <c r="L144" s="3" t="str">
        <f>VLOOKUP(J144,'LibSets constants'!$A$4:$C$1012,3,FALSE)</f>
        <v>Included in base game</v>
      </c>
    </row>
    <row r="145" spans="1:12" x14ac:dyDescent="0.25">
      <c r="A145" s="5">
        <v>327</v>
      </c>
      <c r="B145" s="5">
        <v>140</v>
      </c>
      <c r="C145" s="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constants'!$A$4:$B$1012,2,FALSE)</f>
        <v>DLC_BASE_GAME</v>
      </c>
      <c r="L145" s="3" t="str">
        <f>VLOOKUP(J145,'LibSets constants'!$A$4:$C$1012,3,FALSE)</f>
        <v>Included in base game</v>
      </c>
    </row>
    <row r="146" spans="1:12" x14ac:dyDescent="0.25">
      <c r="A146" s="5">
        <v>328</v>
      </c>
      <c r="B146" s="5">
        <v>141</v>
      </c>
      <c r="C146" s="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constants'!$A$4:$B$1012,2,FALSE)</f>
        <v>DLC_BASE_GAME</v>
      </c>
      <c r="L146" s="3" t="str">
        <f>VLOOKUP(J146,'LibSets constants'!$A$4:$C$1012,3,FALSE)</f>
        <v>Included in base game</v>
      </c>
    </row>
    <row r="147" spans="1:12" x14ac:dyDescent="0.25">
      <c r="A147" s="5">
        <v>329</v>
      </c>
      <c r="B147" s="5">
        <v>142</v>
      </c>
      <c r="C147" s="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constants'!$A$4:$B$1012,2,FALSE)</f>
        <v>DLC_BASE_GAME</v>
      </c>
      <c r="L147" s="3" t="str">
        <f>VLOOKUP(J147,'LibSets constants'!$A$4:$C$1012,3,FALSE)</f>
        <v>Included in base game</v>
      </c>
    </row>
    <row r="148" spans="1:12" x14ac:dyDescent="0.25">
      <c r="A148" s="5">
        <v>330</v>
      </c>
      <c r="B148" s="5">
        <v>143</v>
      </c>
      <c r="C148" s="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constants'!$A$4:$B$1012,2,FALSE)</f>
        <v>DLC_BASE_GAME</v>
      </c>
      <c r="L148" s="3" t="str">
        <f>VLOOKUP(J148,'LibSets constants'!$A$4:$C$1012,3,FALSE)</f>
        <v>Included in base game</v>
      </c>
    </row>
    <row r="149" spans="1:12" x14ac:dyDescent="0.25">
      <c r="A149" s="5">
        <v>331</v>
      </c>
      <c r="B149" s="5">
        <v>144</v>
      </c>
      <c r="C149" s="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constants'!$A$4:$B$1012,2,FALSE)</f>
        <v>DLC_BASE_GAME</v>
      </c>
      <c r="L149" s="3" t="str">
        <f>VLOOKUP(J149,'LibSets constants'!$A$4:$C$1012,3,FALSE)</f>
        <v>Included in base game</v>
      </c>
    </row>
    <row r="150" spans="1:12" x14ac:dyDescent="0.25">
      <c r="A150" s="5">
        <v>332</v>
      </c>
      <c r="B150" s="5">
        <v>145</v>
      </c>
      <c r="C150" s="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constants'!$A$4:$B$1012,2,FALSE)</f>
        <v>DLC_BASE_GAME</v>
      </c>
      <c r="L150" s="3" t="str">
        <f>VLOOKUP(J150,'LibSets constants'!$A$4:$C$1012,3,FALSE)</f>
        <v>Included in base game</v>
      </c>
    </row>
    <row r="151" spans="1:12" x14ac:dyDescent="0.25">
      <c r="A151" s="5">
        <v>333</v>
      </c>
      <c r="B151" s="5">
        <v>146</v>
      </c>
      <c r="C151" s="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constants'!$A$4:$B$1012,2,FALSE)</f>
        <v>DLC_BASE_GAME</v>
      </c>
      <c r="L151" s="3" t="str">
        <f>VLOOKUP(J151,'LibSets constants'!$A$4:$C$1012,3,FALSE)</f>
        <v>Included in base game</v>
      </c>
    </row>
    <row r="152" spans="1:12" x14ac:dyDescent="0.25">
      <c r="A152" s="5">
        <v>334</v>
      </c>
      <c r="B152" s="5">
        <v>147</v>
      </c>
      <c r="C152" s="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constants'!$A$4:$B$1012,2,FALSE)</f>
        <v>DLC_BASE_GAME</v>
      </c>
      <c r="L152" s="3" t="str">
        <f>VLOOKUP(J152,'LibSets constants'!$A$4:$C$1012,3,FALSE)</f>
        <v>Included in base game</v>
      </c>
    </row>
    <row r="153" spans="1:12" x14ac:dyDescent="0.25">
      <c r="A153" s="5">
        <v>335</v>
      </c>
      <c r="B153" s="5">
        <v>148</v>
      </c>
      <c r="C153" s="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constants'!$A$4:$B$1012,2,FALSE)</f>
        <v>DLC_BASE_GAME</v>
      </c>
      <c r="L153" s="3" t="str">
        <f>VLOOKUP(J153,'LibSets constants'!$A$4:$C$1012,3,FALSE)</f>
        <v>Included in base game</v>
      </c>
    </row>
    <row r="154" spans="1:12" x14ac:dyDescent="0.25">
      <c r="A154" s="5">
        <v>336</v>
      </c>
      <c r="B154" s="5">
        <v>149</v>
      </c>
      <c r="C154" s="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constants'!$A$4:$B$1012,2,FALSE)</f>
        <v>DLC_BASE_GAME</v>
      </c>
      <c r="L154" s="3" t="str">
        <f>VLOOKUP(J154,'LibSets constants'!$A$4:$C$1012,3,FALSE)</f>
        <v>Included in base game</v>
      </c>
    </row>
    <row r="155" spans="1:12" x14ac:dyDescent="0.25">
      <c r="A155" s="5">
        <v>337</v>
      </c>
      <c r="B155" s="5">
        <v>150</v>
      </c>
      <c r="C155" s="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constants'!$A$4:$B$1012,2,FALSE)</f>
        <v>DLC_BASE_GAME</v>
      </c>
      <c r="L155" s="3" t="str">
        <f>VLOOKUP(J155,'LibSets constants'!$A$4:$C$1012,3,FALSE)</f>
        <v>Included in base game</v>
      </c>
    </row>
    <row r="156" spans="1:12" x14ac:dyDescent="0.25">
      <c r="A156" s="5">
        <v>338</v>
      </c>
      <c r="B156" s="5">
        <v>151</v>
      </c>
      <c r="C156" s="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constants'!$A$4:$B$1012,2,FALSE)</f>
        <v>DLC_BASE_GAME</v>
      </c>
      <c r="L156" s="3" t="str">
        <f>VLOOKUP(J156,'LibSets constants'!$A$4:$C$1012,3,FALSE)</f>
        <v>Included in base game</v>
      </c>
    </row>
    <row r="157" spans="1:12" x14ac:dyDescent="0.25">
      <c r="A157" s="5">
        <v>339</v>
      </c>
      <c r="B157" s="5">
        <v>152</v>
      </c>
      <c r="C157" s="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constants'!$A$4:$B$1012,2,FALSE)</f>
        <v>DLC_BASE_GAME</v>
      </c>
      <c r="L157" s="3" t="str">
        <f>VLOOKUP(J157,'LibSets constants'!$A$4:$C$1012,3,FALSE)</f>
        <v>Included in base game</v>
      </c>
    </row>
    <row r="158" spans="1:12" x14ac:dyDescent="0.25">
      <c r="A158" s="5">
        <v>341</v>
      </c>
      <c r="B158" s="5">
        <v>153</v>
      </c>
      <c r="C158" s="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constants'!$A$4:$B$1012,2,FALSE)</f>
        <v>DLC_BASE_GAME</v>
      </c>
      <c r="L158" s="3" t="str">
        <f>VLOOKUP(J158,'LibSets constants'!$A$4:$C$1012,3,FALSE)</f>
        <v>Included in base game</v>
      </c>
    </row>
    <row r="159" spans="1:12" x14ac:dyDescent="0.25">
      <c r="A159" s="5">
        <v>346</v>
      </c>
      <c r="B159" s="5">
        <v>154</v>
      </c>
      <c r="C159" s="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constants'!$A$4:$B$1012,2,FALSE)</f>
        <v>DLC_BASE_GAME</v>
      </c>
      <c r="L159" s="3" t="str">
        <f>VLOOKUP(J159,'LibSets constants'!$A$4:$C$1012,3,FALSE)</f>
        <v>Included in base game</v>
      </c>
    </row>
    <row r="160" spans="1:12" x14ac:dyDescent="0.25">
      <c r="A160" s="5">
        <v>347</v>
      </c>
      <c r="B160" s="5">
        <v>155</v>
      </c>
      <c r="C160" s="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constants'!$A$4:$B$1012,2,FALSE)</f>
        <v>DLC_BASE_GAME</v>
      </c>
      <c r="L160" s="3" t="str">
        <f>VLOOKUP(J160,'LibSets constants'!$A$4:$C$1012,3,FALSE)</f>
        <v>Included in base game</v>
      </c>
    </row>
    <row r="161" spans="1:12" x14ac:dyDescent="0.25">
      <c r="A161" s="5">
        <v>353</v>
      </c>
      <c r="B161" s="5">
        <v>156</v>
      </c>
      <c r="C161" s="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constants'!$A$4:$B$1012,2,FALSE)</f>
        <v>DLC_BASE_GAME</v>
      </c>
      <c r="L161" s="3" t="str">
        <f>VLOOKUP(J161,'LibSets constants'!$A$4:$C$1012,3,FALSE)</f>
        <v>Included in base game</v>
      </c>
    </row>
    <row r="162" spans="1:12" x14ac:dyDescent="0.25">
      <c r="A162" s="5">
        <v>354</v>
      </c>
      <c r="B162" s="5">
        <v>157</v>
      </c>
      <c r="C162" s="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constants'!$A$4:$B$1012,2,FALSE)</f>
        <v>DLC_BASE_GAME</v>
      </c>
      <c r="L162" s="3" t="str">
        <f>VLOOKUP(J162,'LibSets constants'!$A$4:$C$1012,3,FALSE)</f>
        <v>Included in base game</v>
      </c>
    </row>
    <row r="163" spans="1:12" x14ac:dyDescent="0.25">
      <c r="A163" s="5">
        <v>359</v>
      </c>
      <c r="B163" s="5">
        <v>158</v>
      </c>
      <c r="C163" s="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constants'!$A$4:$B$1012,2,FALSE)</f>
        <v>DLC_BASE_GAME</v>
      </c>
      <c r="L163" s="3" t="str">
        <f>VLOOKUP(J163,'LibSets constants'!$A$4:$C$1012,3,FALSE)</f>
        <v>Included in base game</v>
      </c>
    </row>
    <row r="164" spans="1:12" x14ac:dyDescent="0.25">
      <c r="A164" s="5">
        <v>360</v>
      </c>
      <c r="B164" s="5">
        <v>159</v>
      </c>
      <c r="C164" s="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constants'!$A$4:$B$1012,2,FALSE)</f>
        <v>DLC_BASE_GAME</v>
      </c>
      <c r="L164" s="3" t="str">
        <f>VLOOKUP(J164,'LibSets constants'!$A$4:$C$1012,3,FALSE)</f>
        <v>Included in base game</v>
      </c>
    </row>
    <row r="165" spans="1:12" x14ac:dyDescent="0.25">
      <c r="A165" s="5">
        <v>361</v>
      </c>
      <c r="B165" s="5">
        <v>160</v>
      </c>
      <c r="C165" s="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constants'!$A$4:$B$1012,2,FALSE)</f>
        <v>DLC_BASE_GAME</v>
      </c>
      <c r="L165" s="3" t="str">
        <f>VLOOKUP(J165,'LibSets constants'!$A$4:$C$1012,3,FALSE)</f>
        <v>Included in base game</v>
      </c>
    </row>
    <row r="166" spans="1:12" x14ac:dyDescent="0.25">
      <c r="A166" s="5">
        <v>362</v>
      </c>
      <c r="B166" s="5">
        <v>161</v>
      </c>
      <c r="C166" s="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constants'!$A$4:$B$1012,2,FALSE)</f>
        <v>DLC_BASE_GAME</v>
      </c>
      <c r="L166" s="3" t="str">
        <f>VLOOKUP(J166,'LibSets constants'!$A$4:$C$1012,3,FALSE)</f>
        <v>Included in base game</v>
      </c>
    </row>
    <row r="167" spans="1:12" x14ac:dyDescent="0.25">
      <c r="A167" s="5">
        <v>363</v>
      </c>
      <c r="B167" s="5">
        <v>162</v>
      </c>
      <c r="C167" s="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constants'!$A$4:$B$1012,2,FALSE)</f>
        <v>DLC_BASE_GAME</v>
      </c>
      <c r="L167" s="3" t="str">
        <f>VLOOKUP(J167,'LibSets constants'!$A$4:$C$1012,3,FALSE)</f>
        <v>Included in base game</v>
      </c>
    </row>
    <row r="168" spans="1:12" x14ac:dyDescent="0.25">
      <c r="A168" s="5">
        <v>364</v>
      </c>
      <c r="B168" s="5">
        <v>163</v>
      </c>
      <c r="C168" s="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constants'!$A$4:$B$1012,2,FALSE)</f>
        <v>DLC_BASE_GAME</v>
      </c>
      <c r="L168" s="3" t="str">
        <f>VLOOKUP(J168,'LibSets constants'!$A$4:$C$1012,3,FALSE)</f>
        <v>Included in base game</v>
      </c>
    </row>
    <row r="169" spans="1:12" x14ac:dyDescent="0.25">
      <c r="A169" s="5">
        <v>365</v>
      </c>
      <c r="B169" s="5">
        <v>164</v>
      </c>
      <c r="C169" s="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constants'!$A$4:$B$1012,2,FALSE)</f>
        <v>DLC_BASE_GAME</v>
      </c>
      <c r="L169" s="3" t="str">
        <f>VLOOKUP(J169,'LibSets constants'!$A$4:$C$1012,3,FALSE)</f>
        <v>Included in base game</v>
      </c>
    </row>
    <row r="170" spans="1:12" x14ac:dyDescent="0.25">
      <c r="A170" s="5">
        <v>366</v>
      </c>
      <c r="B170" s="5">
        <v>165</v>
      </c>
      <c r="C170" s="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constants'!$A$4:$B$1012,2,FALSE)</f>
        <v>DLC_BASE_GAME</v>
      </c>
      <c r="L170" s="3" t="str">
        <f>VLOOKUP(J170,'LibSets constants'!$A$4:$C$1012,3,FALSE)</f>
        <v>Included in base game</v>
      </c>
    </row>
    <row r="171" spans="1:12" x14ac:dyDescent="0.25">
      <c r="A171" s="5">
        <v>367</v>
      </c>
      <c r="B171" s="5">
        <v>166</v>
      </c>
      <c r="C171" s="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constants'!$A$4:$B$1012,2,FALSE)</f>
        <v>DLC_BASE_GAME</v>
      </c>
      <c r="L171" s="3" t="str">
        <f>VLOOKUP(J171,'LibSets constants'!$A$4:$C$1012,3,FALSE)</f>
        <v>Included in base game</v>
      </c>
    </row>
    <row r="172" spans="1:12" x14ac:dyDescent="0.25">
      <c r="A172" s="5">
        <v>368</v>
      </c>
      <c r="B172" s="5">
        <v>167</v>
      </c>
      <c r="C172" s="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constants'!$A$4:$B$1012,2,FALSE)</f>
        <v>DLC_BASE_GAME</v>
      </c>
      <c r="L172" s="3" t="str">
        <f>VLOOKUP(J172,'LibSets constants'!$A$4:$C$1012,3,FALSE)</f>
        <v>Included in base game</v>
      </c>
    </row>
    <row r="173" spans="1:12" x14ac:dyDescent="0.25">
      <c r="A173" s="5">
        <v>369</v>
      </c>
      <c r="B173" s="5">
        <v>168</v>
      </c>
      <c r="C173" s="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constants'!$A$4:$B$1012,2,FALSE)</f>
        <v>DLC_BASE_GAME</v>
      </c>
      <c r="L173" s="3" t="str">
        <f>VLOOKUP(J173,'LibSets constants'!$A$4:$C$1012,3,FALSE)</f>
        <v>Included in base game</v>
      </c>
    </row>
    <row r="174" spans="1:12" x14ac:dyDescent="0.25">
      <c r="A174" s="5">
        <v>370</v>
      </c>
      <c r="B174" s="5">
        <v>169</v>
      </c>
      <c r="C174" s="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constants'!$A$4:$B$1012,2,FALSE)</f>
        <v>DLC_BASE_GAME</v>
      </c>
      <c r="L174" s="3" t="str">
        <f>VLOOKUP(J174,'LibSets constants'!$A$4:$C$1012,3,FALSE)</f>
        <v>Included in base game</v>
      </c>
    </row>
    <row r="175" spans="1:12" x14ac:dyDescent="0.25">
      <c r="A175" s="5">
        <v>371</v>
      </c>
      <c r="B175" s="5">
        <v>170</v>
      </c>
      <c r="C175" s="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constants'!$A$4:$B$1012,2,FALSE)</f>
        <v>DLC_BASE_GAME</v>
      </c>
      <c r="L175" s="3" t="str">
        <f>VLOOKUP(J175,'LibSets constants'!$A$4:$C$1012,3,FALSE)</f>
        <v>Included in base game</v>
      </c>
    </row>
    <row r="176" spans="1:12" x14ac:dyDescent="0.25">
      <c r="A176" s="5">
        <v>372</v>
      </c>
      <c r="B176" s="5">
        <v>171</v>
      </c>
      <c r="C176" s="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constants'!$A$4:$B$1012,2,FALSE)</f>
        <v>DLC_BASE_GAME</v>
      </c>
      <c r="L176" s="3" t="str">
        <f>VLOOKUP(J176,'LibSets constants'!$A$4:$C$1012,3,FALSE)</f>
        <v>Included in base game</v>
      </c>
    </row>
    <row r="177" spans="1:12" x14ac:dyDescent="0.25">
      <c r="A177" s="5">
        <v>374</v>
      </c>
      <c r="B177" s="5">
        <v>172</v>
      </c>
      <c r="C177" s="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constants'!$A$4:$B$1012,2,FALSE)</f>
        <v>DLC_BASE_GAME</v>
      </c>
      <c r="L177" s="3" t="str">
        <f>VLOOKUP(J177,'LibSets constants'!$A$4:$C$1012,3,FALSE)</f>
        <v>Included in base game</v>
      </c>
    </row>
    <row r="178" spans="1:12" x14ac:dyDescent="0.25">
      <c r="A178" s="5">
        <v>375</v>
      </c>
      <c r="B178" s="5">
        <v>173</v>
      </c>
      <c r="C178" s="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constants'!$A$4:$B$1012,2,FALSE)</f>
        <v>DLC_BASE_GAME</v>
      </c>
      <c r="L178" s="3" t="str">
        <f>VLOOKUP(J178,'LibSets constants'!$A$4:$C$1012,3,FALSE)</f>
        <v>Included in base game</v>
      </c>
    </row>
    <row r="179" spans="1:12" x14ac:dyDescent="0.25">
      <c r="A179" s="5">
        <v>376</v>
      </c>
      <c r="B179" s="5">
        <v>174</v>
      </c>
      <c r="C179" s="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constants'!$A$4:$B$1012,2,FALSE)</f>
        <v>DLC_BASE_GAME</v>
      </c>
      <c r="L179" s="3" t="str">
        <f>VLOOKUP(J179,'LibSets constants'!$A$4:$C$1012,3,FALSE)</f>
        <v>Included in base game</v>
      </c>
    </row>
    <row r="180" spans="1:12" x14ac:dyDescent="0.25">
      <c r="A180" s="5">
        <v>377</v>
      </c>
      <c r="B180" s="5">
        <v>175</v>
      </c>
      <c r="C180" s="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constants'!$A$4:$B$1012,2,FALSE)</f>
        <v>DLC_BASE_GAME</v>
      </c>
      <c r="L180" s="3" t="str">
        <f>VLOOKUP(J180,'LibSets constants'!$A$4:$C$1012,3,FALSE)</f>
        <v>Included in base game</v>
      </c>
    </row>
    <row r="181" spans="1:12" x14ac:dyDescent="0.25">
      <c r="A181" s="5">
        <v>378</v>
      </c>
      <c r="B181" s="5">
        <v>176</v>
      </c>
      <c r="C181" s="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constants'!$A$4:$B$1012,2,FALSE)</f>
        <v>DLC_BASE_GAME</v>
      </c>
      <c r="L181" s="3" t="str">
        <f>VLOOKUP(J181,'LibSets constants'!$A$4:$C$1012,3,FALSE)</f>
        <v>Included in base game</v>
      </c>
    </row>
    <row r="182" spans="1:12" x14ac:dyDescent="0.25">
      <c r="A182" s="5">
        <v>379</v>
      </c>
      <c r="B182" s="5">
        <v>177</v>
      </c>
      <c r="C182" s="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constants'!$A$4:$B$1012,2,FALSE)</f>
        <v>DLC_BASE_GAME</v>
      </c>
      <c r="L182" s="3" t="str">
        <f>VLOOKUP(J182,'LibSets constants'!$A$4:$C$1012,3,FALSE)</f>
        <v>Included in base game</v>
      </c>
    </row>
    <row r="183" spans="1:12" x14ac:dyDescent="0.25">
      <c r="A183" s="5">
        <v>380</v>
      </c>
      <c r="B183" s="5">
        <v>178</v>
      </c>
      <c r="C183" s="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constants'!$A$4:$B$1012,2,FALSE)</f>
        <v>DLC_BASE_GAME</v>
      </c>
      <c r="L183" s="3" t="str">
        <f>VLOOKUP(J183,'LibSets constants'!$A$4:$C$1012,3,FALSE)</f>
        <v>Included in base game</v>
      </c>
    </row>
    <row r="184" spans="1:12" x14ac:dyDescent="0.25">
      <c r="A184" s="5">
        <v>381</v>
      </c>
      <c r="B184" s="5">
        <v>179</v>
      </c>
      <c r="C184" s="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constants'!$A$4:$B$1012,2,FALSE)</f>
        <v>DLC_BASE_GAME</v>
      </c>
      <c r="L184" s="3" t="str">
        <f>VLOOKUP(J184,'LibSets constants'!$A$4:$C$1012,3,FALSE)</f>
        <v>Included in base game</v>
      </c>
    </row>
    <row r="185" spans="1:12" x14ac:dyDescent="0.25">
      <c r="A185" s="5">
        <v>382</v>
      </c>
      <c r="B185" s="5">
        <v>180</v>
      </c>
      <c r="C185" s="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constants'!$A$4:$B$1012,2,FALSE)</f>
        <v>DLC_BASE_GAME</v>
      </c>
      <c r="L185" s="3" t="str">
        <f>VLOOKUP(J185,'LibSets constants'!$A$4:$C$1012,3,FALSE)</f>
        <v>Included in base game</v>
      </c>
    </row>
    <row r="186" spans="1:12" x14ac:dyDescent="0.25">
      <c r="A186" s="5">
        <v>383</v>
      </c>
      <c r="B186" s="5">
        <v>181</v>
      </c>
      <c r="C186" s="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constants'!$A$4:$B$1012,2,FALSE)</f>
        <v>DLC_BASE_GAME</v>
      </c>
      <c r="L186" s="3" t="str">
        <f>VLOOKUP(J186,'LibSets constants'!$A$4:$C$1012,3,FALSE)</f>
        <v>Included in base game</v>
      </c>
    </row>
    <row r="187" spans="1:12" x14ac:dyDescent="0.25">
      <c r="A187" s="5">
        <v>385</v>
      </c>
      <c r="B187" s="5">
        <v>182</v>
      </c>
      <c r="C187" s="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constants'!$A$4:$B$1012,2,FALSE)</f>
        <v>DLC_BASE_GAME</v>
      </c>
      <c r="L187" s="3" t="str">
        <f>VLOOKUP(J187,'LibSets constants'!$A$4:$C$1012,3,FALSE)</f>
        <v>Included in base game</v>
      </c>
    </row>
    <row r="188" spans="1:12" x14ac:dyDescent="0.25">
      <c r="A188" s="5">
        <v>386</v>
      </c>
      <c r="B188" s="5">
        <v>183</v>
      </c>
      <c r="C188" s="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constants'!$A$4:$B$1012,2,FALSE)</f>
        <v>DLC_BASE_GAME</v>
      </c>
      <c r="L188" s="3" t="str">
        <f>VLOOKUP(J188,'LibSets constants'!$A$4:$C$1012,3,FALSE)</f>
        <v>Included in base game</v>
      </c>
    </row>
    <row r="189" spans="1:12" x14ac:dyDescent="0.25">
      <c r="A189" s="5">
        <v>387</v>
      </c>
      <c r="B189" s="5">
        <v>184</v>
      </c>
      <c r="C189" s="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constants'!$A$4:$B$1012,2,FALSE)</f>
        <v>DLC_BASE_GAME</v>
      </c>
      <c r="L189" s="3" t="str">
        <f>VLOOKUP(J189,'LibSets constants'!$A$4:$C$1012,3,FALSE)</f>
        <v>Included in base game</v>
      </c>
    </row>
    <row r="190" spans="1:12" x14ac:dyDescent="0.25">
      <c r="A190" s="5">
        <v>388</v>
      </c>
      <c r="B190" s="5">
        <v>185</v>
      </c>
      <c r="C190" s="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constants'!$A$4:$B$1012,2,FALSE)</f>
        <v>DLC_BASE_GAME</v>
      </c>
      <c r="L190" s="3" t="str">
        <f>VLOOKUP(J190,'LibSets constants'!$A$4:$C$1012,3,FALSE)</f>
        <v>Included in base game</v>
      </c>
    </row>
    <row r="191" spans="1:12" x14ac:dyDescent="0.25">
      <c r="A191" s="5">
        <v>389</v>
      </c>
      <c r="B191" s="5">
        <v>186</v>
      </c>
      <c r="C191" s="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constants'!$A$4:$B$1012,2,FALSE)</f>
        <v>DLC_BASE_GAME</v>
      </c>
      <c r="L191" s="3" t="str">
        <f>VLOOKUP(J191,'LibSets constants'!$A$4:$C$1012,3,FALSE)</f>
        <v>Included in base game</v>
      </c>
    </row>
    <row r="192" spans="1:12" x14ac:dyDescent="0.25">
      <c r="A192" s="5">
        <v>390</v>
      </c>
      <c r="B192" s="5">
        <v>187</v>
      </c>
      <c r="C192" s="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constants'!$A$4:$B$1012,2,FALSE)</f>
        <v>DLC_BASE_GAME</v>
      </c>
      <c r="L192" s="3" t="str">
        <f>VLOOKUP(J192,'LibSets constants'!$A$4:$C$1012,3,FALSE)</f>
        <v>Included in base game</v>
      </c>
    </row>
    <row r="193" spans="1:12" x14ac:dyDescent="0.25">
      <c r="A193" s="5">
        <v>392</v>
      </c>
      <c r="B193" s="5">
        <v>188</v>
      </c>
      <c r="C193" s="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constants'!$A$4:$B$1012,2,FALSE)</f>
        <v>DLC_BASE_GAME</v>
      </c>
      <c r="L193" s="3" t="str">
        <f>VLOOKUP(J193,'LibSets constants'!$A$4:$C$1012,3,FALSE)</f>
        <v>Included in base game</v>
      </c>
    </row>
    <row r="194" spans="1:12" x14ac:dyDescent="0.25">
      <c r="A194" s="5">
        <v>393</v>
      </c>
      <c r="B194" s="5">
        <v>189</v>
      </c>
      <c r="C194" s="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constants'!$A$4:$B$1012,2,FALSE)</f>
        <v>DLC_BASE_GAME</v>
      </c>
      <c r="L194" s="3" t="str">
        <f>VLOOKUP(J194,'LibSets constants'!$A$4:$C$1012,3,FALSE)</f>
        <v>Included in base game</v>
      </c>
    </row>
    <row r="195" spans="1:12" x14ac:dyDescent="0.25">
      <c r="A195" s="5">
        <v>394</v>
      </c>
      <c r="B195" s="5">
        <v>190</v>
      </c>
      <c r="C195" s="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constants'!$A$4:$B$1012,2,FALSE)</f>
        <v>DLC_BASE_GAME</v>
      </c>
      <c r="L195" s="3" t="str">
        <f>VLOOKUP(J195,'LibSets constants'!$A$4:$C$1012,3,FALSE)</f>
        <v>Included in base game</v>
      </c>
    </row>
    <row r="196" spans="1:12" x14ac:dyDescent="0.25">
      <c r="A196" s="5">
        <v>395</v>
      </c>
      <c r="B196" s="5">
        <v>191</v>
      </c>
      <c r="C196" s="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constants'!$A$4:$B$1012,2,FALSE)</f>
        <v>DLC_BASE_GAME</v>
      </c>
      <c r="L196" s="3" t="str">
        <f>VLOOKUP(J196,'LibSets constants'!$A$4:$C$1012,3,FALSE)</f>
        <v>Included in base game</v>
      </c>
    </row>
    <row r="197" spans="1:12" x14ac:dyDescent="0.25">
      <c r="A197" s="5">
        <v>396</v>
      </c>
      <c r="B197" s="5">
        <v>192</v>
      </c>
      <c r="C197" s="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constants'!$A$4:$B$1012,2,FALSE)</f>
        <v>DLC_BASE_GAME</v>
      </c>
      <c r="L197" s="3" t="str">
        <f>VLOOKUP(J197,'LibSets constants'!$A$4:$C$1012,3,FALSE)</f>
        <v>Included in base game</v>
      </c>
    </row>
    <row r="198" spans="1:12" x14ac:dyDescent="0.25">
      <c r="A198" s="5">
        <v>397</v>
      </c>
      <c r="B198" s="5">
        <v>193</v>
      </c>
      <c r="C198" s="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constants'!$A$4:$B$1012,2,FALSE)</f>
        <v>DLC_BASE_GAME</v>
      </c>
      <c r="L198" s="3" t="str">
        <f>VLOOKUP(J198,'LibSets constants'!$A$4:$C$1012,3,FALSE)</f>
        <v>Included in base game</v>
      </c>
    </row>
    <row r="199" spans="1:12" x14ac:dyDescent="0.25">
      <c r="A199" s="5">
        <v>398</v>
      </c>
      <c r="B199" s="5">
        <v>194</v>
      </c>
      <c r="C199" s="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constants'!$A$4:$B$1012,2,FALSE)</f>
        <v>DLC_IMPERIAL_CITY</v>
      </c>
      <c r="L199" s="3" t="str">
        <f>VLOOKUP(J199,'LibSets constants'!$A$4:$C$1012,3,FALSE)</f>
        <v>Imperial City</v>
      </c>
    </row>
    <row r="200" spans="1:12" x14ac:dyDescent="0.25">
      <c r="A200" s="5">
        <v>399</v>
      </c>
      <c r="B200" s="5">
        <v>195</v>
      </c>
      <c r="C200" s="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constants'!$A$4:$B$1012,2,FALSE)</f>
        <v>DLC_IMPERIAL_CITY</v>
      </c>
      <c r="L200" s="3" t="str">
        <f>VLOOKUP(J200,'LibSets constants'!$A$4:$C$1012,3,FALSE)</f>
        <v>Imperial City</v>
      </c>
    </row>
    <row r="201" spans="1:12" x14ac:dyDescent="0.25">
      <c r="A201" s="5">
        <v>400</v>
      </c>
      <c r="B201" s="5">
        <v>196</v>
      </c>
      <c r="C201" s="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constants'!$A$4:$B$1012,2,FALSE)</f>
        <v>DLC_THIEVES_GUILD</v>
      </c>
      <c r="L201" s="3" t="str">
        <f>VLOOKUP(J201,'LibSets constants'!$A$4:$C$1012,3,FALSE)</f>
        <v>Thieves Guild</v>
      </c>
    </row>
    <row r="202" spans="1:12" x14ac:dyDescent="0.25">
      <c r="A202" s="5">
        <v>401</v>
      </c>
      <c r="B202" s="5">
        <v>197</v>
      </c>
      <c r="C202" s="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constants'!$A$4:$B$1012,2,FALSE)</f>
        <v>DLC_ORSINIUM</v>
      </c>
      <c r="L202" s="3" t="str">
        <f>VLOOKUP(J202,'LibSets constants'!$A$4:$C$1012,3,FALSE)</f>
        <v>Orsinium</v>
      </c>
    </row>
    <row r="203" spans="1:12" x14ac:dyDescent="0.25">
      <c r="A203" s="5">
        <v>402</v>
      </c>
      <c r="B203" s="5">
        <v>198</v>
      </c>
      <c r="C203" s="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constants'!$A$4:$B$1012,2,FALSE)</f>
        <v>DLC_IMPERIAL_CITY</v>
      </c>
      <c r="L203" s="3" t="str">
        <f>VLOOKUP(J203,'LibSets constants'!$A$4:$C$1012,3,FALSE)</f>
        <v>Imperial City</v>
      </c>
    </row>
    <row r="204" spans="1:12" x14ac:dyDescent="0.25">
      <c r="A204" s="5">
        <v>403</v>
      </c>
      <c r="B204" s="5">
        <v>199</v>
      </c>
      <c r="C204" s="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constants'!$A$4:$B$1012,2,FALSE)</f>
        <v>DLC_BASE_GAME</v>
      </c>
      <c r="L204" s="3" t="str">
        <f>VLOOKUP(J204,'LibSets constants'!$A$4:$C$1012,3,FALSE)</f>
        <v>Included in base game</v>
      </c>
    </row>
    <row r="205" spans="1:12" x14ac:dyDescent="0.25">
      <c r="A205" s="5">
        <v>404</v>
      </c>
      <c r="B205" s="5">
        <v>200</v>
      </c>
      <c r="C205" s="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constants'!$A$4:$B$1012,2,FALSE)</f>
        <v>DLC_ORSINIUM</v>
      </c>
      <c r="L205" s="3" t="str">
        <f>VLOOKUP(J205,'LibSets constants'!$A$4:$C$1012,3,FALSE)</f>
        <v>Orsinium</v>
      </c>
    </row>
    <row r="206" spans="1:12" x14ac:dyDescent="0.25">
      <c r="A206" s="5">
        <v>405</v>
      </c>
      <c r="B206" s="5">
        <v>201</v>
      </c>
      <c r="C206" s="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constants'!$A$4:$B$1012,2,FALSE)</f>
        <v>DLC_IMPERIAL_CITY</v>
      </c>
      <c r="L206" s="3" t="str">
        <f>VLOOKUP(J206,'LibSets constants'!$A$4:$C$1012,3,FALSE)</f>
        <v>Imperial City</v>
      </c>
    </row>
    <row r="207" spans="1:12" x14ac:dyDescent="0.25">
      <c r="A207" s="5">
        <v>406</v>
      </c>
      <c r="B207" s="5">
        <v>202</v>
      </c>
      <c r="C207" s="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constants'!$A$4:$B$1012,2,FALSE)</f>
        <v>DLC_ORSINIUM</v>
      </c>
      <c r="L207" s="3" t="str">
        <f>VLOOKUP(J207,'LibSets constants'!$A$4:$C$1012,3,FALSE)</f>
        <v>Orsinium</v>
      </c>
    </row>
    <row r="208" spans="1:12" x14ac:dyDescent="0.25">
      <c r="A208" s="5">
        <v>407</v>
      </c>
      <c r="B208" s="5">
        <v>203</v>
      </c>
      <c r="C208" s="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constants'!$A$4:$B$1012,2,FALSE)</f>
        <v>DLC_ORSINIUM</v>
      </c>
      <c r="L208" s="3" t="str">
        <f>VLOOKUP(J208,'LibSets constants'!$A$4:$C$1012,3,FALSE)</f>
        <v>Orsinium</v>
      </c>
    </row>
    <row r="209" spans="1:12" x14ac:dyDescent="0.25">
      <c r="A209" s="5">
        <v>408</v>
      </c>
      <c r="B209" s="5">
        <v>204</v>
      </c>
      <c r="C209" s="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constants'!$A$4:$B$1012,2,FALSE)</f>
        <v>DLC_ORSINIUM</v>
      </c>
      <c r="L209" s="3" t="str">
        <f>VLOOKUP(J209,'LibSets constants'!$A$4:$C$1012,3,FALSE)</f>
        <v>Orsinium</v>
      </c>
    </row>
    <row r="210" spans="1:12" x14ac:dyDescent="0.25">
      <c r="A210" s="5">
        <v>409</v>
      </c>
      <c r="B210" s="5">
        <v>205</v>
      </c>
      <c r="C210" s="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constants'!$A$4:$B$1012,2,FALSE)</f>
        <v>DLC_ORSINIUM</v>
      </c>
      <c r="L210" s="3" t="str">
        <f>VLOOKUP(J210,'LibSets constants'!$A$4:$C$1012,3,FALSE)</f>
        <v>Orsinium</v>
      </c>
    </row>
    <row r="211" spans="1:12" x14ac:dyDescent="0.25">
      <c r="A211" s="5">
        <v>410</v>
      </c>
      <c r="B211" s="5">
        <v>206</v>
      </c>
      <c r="C211" s="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constants'!$A$4:$B$1012,2,FALSE)</f>
        <v>DLC_ORSINIUM</v>
      </c>
      <c r="L211" s="3" t="str">
        <f>VLOOKUP(J211,'LibSets constants'!$A$4:$C$1012,3,FALSE)</f>
        <v>Orsinium</v>
      </c>
    </row>
    <row r="212" spans="1:12" x14ac:dyDescent="0.25">
      <c r="A212" s="5">
        <v>411</v>
      </c>
      <c r="B212" s="5">
        <v>207</v>
      </c>
      <c r="C212" s="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constants'!$A$4:$B$1012,2,FALSE)</f>
        <v>DLC_ORSINIUM</v>
      </c>
      <c r="L212" s="3" t="str">
        <f>VLOOKUP(J212,'LibSets constants'!$A$4:$C$1012,3,FALSE)</f>
        <v>Orsinium</v>
      </c>
    </row>
    <row r="213" spans="1:12" x14ac:dyDescent="0.25">
      <c r="A213" s="5">
        <v>412</v>
      </c>
      <c r="B213" s="5">
        <v>208</v>
      </c>
      <c r="C213" s="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constants'!$A$4:$B$1012,2,FALSE)</f>
        <v>DLC_ORSINIUM</v>
      </c>
      <c r="L213" s="3" t="str">
        <f>VLOOKUP(J213,'LibSets constants'!$A$4:$C$1012,3,FALSE)</f>
        <v>Orsinium</v>
      </c>
    </row>
    <row r="214" spans="1:12" x14ac:dyDescent="0.25">
      <c r="A214" s="5">
        <v>413</v>
      </c>
      <c r="B214" s="5">
        <v>209</v>
      </c>
      <c r="C214" s="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constants'!$A$4:$B$1012,2,FALSE)</f>
        <v>DLC_ORSINIUM</v>
      </c>
      <c r="L214" s="3" t="str">
        <f>VLOOKUP(J214,'LibSets constants'!$A$4:$C$1012,3,FALSE)</f>
        <v>Orsinium</v>
      </c>
    </row>
    <row r="215" spans="1:12" x14ac:dyDescent="0.25">
      <c r="A215" s="5">
        <v>414</v>
      </c>
      <c r="B215" s="5">
        <v>210</v>
      </c>
      <c r="C215" s="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constants'!$A$4:$B$1012,2,FALSE)</f>
        <v>DLC_ORSINIUM</v>
      </c>
      <c r="L215" s="3" t="str">
        <f>VLOOKUP(J215,'LibSets constants'!$A$4:$C$1012,3,FALSE)</f>
        <v>Orsinium</v>
      </c>
    </row>
    <row r="216" spans="1:12" x14ac:dyDescent="0.25">
      <c r="A216" s="5">
        <v>415</v>
      </c>
      <c r="B216" s="5">
        <v>211</v>
      </c>
      <c r="C216" s="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constants'!$A$4:$B$1012,2,FALSE)</f>
        <v>DLC_ORSINIUM</v>
      </c>
      <c r="L216" s="3" t="str">
        <f>VLOOKUP(J216,'LibSets constants'!$A$4:$C$1012,3,FALSE)</f>
        <v>Orsinium</v>
      </c>
    </row>
    <row r="217" spans="1:12" x14ac:dyDescent="0.25">
      <c r="A217" s="5">
        <v>416</v>
      </c>
      <c r="B217" s="5">
        <v>212</v>
      </c>
      <c r="C217" s="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constants'!$A$4:$B$1012,2,FALSE)</f>
        <v>DLC_ORSINIUM</v>
      </c>
      <c r="L217" s="3" t="str">
        <f>VLOOKUP(J217,'LibSets constants'!$A$4:$C$1012,3,FALSE)</f>
        <v>Orsinium</v>
      </c>
    </row>
    <row r="218" spans="1:12" x14ac:dyDescent="0.25">
      <c r="A218" s="5">
        <v>417</v>
      </c>
      <c r="B218" s="5">
        <v>213</v>
      </c>
      <c r="C218" s="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constants'!$A$4:$B$1012,2,FALSE)</f>
        <v>DLC_ORSINIUM</v>
      </c>
      <c r="L218" s="3" t="str">
        <f>VLOOKUP(J218,'LibSets constants'!$A$4:$C$1012,3,FALSE)</f>
        <v>Orsinium</v>
      </c>
    </row>
    <row r="219" spans="1:12" x14ac:dyDescent="0.25">
      <c r="A219" s="5">
        <v>418</v>
      </c>
      <c r="B219" s="5">
        <v>214</v>
      </c>
      <c r="C219" s="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constants'!$A$4:$B$1012,2,FALSE)</f>
        <v>DLC_ORSINIUM</v>
      </c>
      <c r="L219" s="3" t="str">
        <f>VLOOKUP(J219,'LibSets constants'!$A$4:$C$1012,3,FALSE)</f>
        <v>Orsinium</v>
      </c>
    </row>
    <row r="220" spans="1:12" x14ac:dyDescent="0.25">
      <c r="A220" s="5">
        <v>419</v>
      </c>
      <c r="B220" s="5">
        <v>215</v>
      </c>
      <c r="C220" s="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constants'!$A$4:$B$1012,2,FALSE)</f>
        <v>DLC_ORSINIUM</v>
      </c>
      <c r="L220" s="3" t="str">
        <f>VLOOKUP(J220,'LibSets constants'!$A$4:$C$1012,3,FALSE)</f>
        <v>Orsinium</v>
      </c>
    </row>
    <row r="221" spans="1:12" x14ac:dyDescent="0.25">
      <c r="A221" s="5">
        <v>420</v>
      </c>
      <c r="B221" s="5">
        <v>216</v>
      </c>
      <c r="C221" s="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constants'!$A$4:$B$1012,2,FALSE)</f>
        <v>DLC_ORSINIUM</v>
      </c>
      <c r="L221" s="3" t="str">
        <f>VLOOKUP(J221,'LibSets constants'!$A$4:$C$1012,3,FALSE)</f>
        <v>Orsinium</v>
      </c>
    </row>
    <row r="222" spans="1:12" x14ac:dyDescent="0.25">
      <c r="A222" s="5">
        <v>421</v>
      </c>
      <c r="B222" s="5">
        <v>217</v>
      </c>
      <c r="C222" s="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constants'!$A$4:$B$1012,2,FALSE)</f>
        <v>DLC_ORSINIUM</v>
      </c>
      <c r="L222" s="3" t="str">
        <f>VLOOKUP(J222,'LibSets constants'!$A$4:$C$1012,3,FALSE)</f>
        <v>Orsinium</v>
      </c>
    </row>
    <row r="223" spans="1:12" x14ac:dyDescent="0.25">
      <c r="A223" s="5">
        <v>422</v>
      </c>
      <c r="B223" s="5">
        <v>218</v>
      </c>
      <c r="C223" s="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constants'!$A$4:$B$1012,2,FALSE)</f>
        <v>DLC_ORSINIUM</v>
      </c>
      <c r="L223" s="3" t="str">
        <f>VLOOKUP(J223,'LibSets constants'!$A$4:$C$1012,3,FALSE)</f>
        <v>Orsinium</v>
      </c>
    </row>
    <row r="224" spans="1:12" x14ac:dyDescent="0.25">
      <c r="A224" s="5">
        <v>424</v>
      </c>
      <c r="B224" s="5">
        <v>219</v>
      </c>
      <c r="C224" s="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constants'!$A$4:$B$1012,2,FALSE)</f>
        <v>DLC_ORSINIUM</v>
      </c>
      <c r="L224" s="3" t="str">
        <f>VLOOKUP(J224,'LibSets constants'!$A$4:$C$1012,3,FALSE)</f>
        <v>Orsinium</v>
      </c>
    </row>
    <row r="225" spans="1:12" x14ac:dyDescent="0.25">
      <c r="A225" s="5">
        <v>425</v>
      </c>
      <c r="B225" s="5">
        <v>220</v>
      </c>
      <c r="C225" s="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constants'!$A$4:$B$1012,2,FALSE)</f>
        <v>DLC_ORSINIUM</v>
      </c>
      <c r="L225" s="3" t="str">
        <f>VLOOKUP(J225,'LibSets constants'!$A$4:$C$1012,3,FALSE)</f>
        <v>Orsinium</v>
      </c>
    </row>
    <row r="226" spans="1:12" x14ac:dyDescent="0.25">
      <c r="A226" s="5">
        <v>426</v>
      </c>
      <c r="B226" s="5">
        <v>221</v>
      </c>
      <c r="C226" s="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constants'!$A$4:$B$1012,2,FALSE)</f>
        <v>DLC_ORSINIUM</v>
      </c>
      <c r="L226" s="3" t="str">
        <f>VLOOKUP(J226,'LibSets constants'!$A$4:$C$1012,3,FALSE)</f>
        <v>Orsinium</v>
      </c>
    </row>
    <row r="227" spans="1:12" x14ac:dyDescent="0.25">
      <c r="A227" s="5">
        <v>429</v>
      </c>
      <c r="B227" s="5">
        <v>222</v>
      </c>
      <c r="C227" s="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constants'!$A$4:$B$1012,2,FALSE)</f>
        <v>DLC_ORSINIUM</v>
      </c>
      <c r="L227" s="3" t="str">
        <f>VLOOKUP(J227,'LibSets constants'!$A$4:$C$1012,3,FALSE)</f>
        <v>Orsinium</v>
      </c>
    </row>
    <row r="228" spans="1:12" x14ac:dyDescent="0.25">
      <c r="A228" s="5">
        <v>430</v>
      </c>
      <c r="B228" s="5">
        <v>223</v>
      </c>
      <c r="C228" s="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constants'!$A$4:$B$1012,2,FALSE)</f>
        <v>DLC_ORSINIUM</v>
      </c>
      <c r="L228" s="3" t="str">
        <f>VLOOKUP(J228,'LibSets constants'!$A$4:$C$1012,3,FALSE)</f>
        <v>Orsinium</v>
      </c>
    </row>
    <row r="229" spans="1:12" x14ac:dyDescent="0.25">
      <c r="A229" s="5">
        <v>431</v>
      </c>
      <c r="B229" s="5">
        <v>224</v>
      </c>
      <c r="C229" s="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constants'!$A$4:$B$1012,2,FALSE)</f>
        <v>DLC_SUMMERSET</v>
      </c>
      <c r="L229" s="3" t="str">
        <f>VLOOKUP(J229,'LibSets constants'!$A$4:$C$1012,3,FALSE)</f>
        <v>Summerset</v>
      </c>
    </row>
    <row r="230" spans="1:12" x14ac:dyDescent="0.25">
      <c r="A230" s="5">
        <v>433</v>
      </c>
      <c r="B230" s="5">
        <v>225</v>
      </c>
      <c r="C230" s="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constants'!$A$4:$B$1012,2,FALSE)</f>
        <v>DLC_BASE_GAME</v>
      </c>
      <c r="L230" s="3" t="str">
        <f>VLOOKUP(J230,'LibSets constants'!$A$4:$C$1012,3,FALSE)</f>
        <v>Included in base game</v>
      </c>
    </row>
    <row r="231" spans="1:12" x14ac:dyDescent="0.25">
      <c r="A231" s="5">
        <v>434</v>
      </c>
      <c r="B231" s="5">
        <v>226</v>
      </c>
      <c r="C231" s="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constants'!$A$4:$B$1012,2,FALSE)</f>
        <v>DLC_ORSINIUM</v>
      </c>
      <c r="L231" s="3" t="str">
        <f>VLOOKUP(J231,'LibSets constants'!$A$4:$C$1012,3,FALSE)</f>
        <v>Orsinium</v>
      </c>
    </row>
    <row r="232" spans="1:12" x14ac:dyDescent="0.25">
      <c r="A232" s="5">
        <v>435</v>
      </c>
      <c r="B232" s="5">
        <v>227</v>
      </c>
      <c r="C232" s="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constants'!$A$4:$B$1012,2,FALSE)</f>
        <v>DLC_THIEVES_GUILD</v>
      </c>
      <c r="L232" s="3" t="str">
        <f>VLOOKUP(J232,'LibSets constants'!$A$4:$C$1012,3,FALSE)</f>
        <v>Thieves Guild</v>
      </c>
    </row>
    <row r="233" spans="1:12" x14ac:dyDescent="0.25">
      <c r="A233" s="5">
        <v>436</v>
      </c>
      <c r="B233" s="5">
        <v>228</v>
      </c>
      <c r="C233" s="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constants'!$A$4:$B$1012,2,FALSE)</f>
        <v>DLC_MURKMIRE</v>
      </c>
      <c r="L233" s="3" t="str">
        <f>VLOOKUP(J233,'LibSets constants'!$A$4:$C$1012,3,FALSE)</f>
        <v>Murkmire</v>
      </c>
    </row>
    <row r="234" spans="1:12" x14ac:dyDescent="0.25">
      <c r="A234" s="5">
        <v>437</v>
      </c>
      <c r="B234" s="5">
        <v>229</v>
      </c>
      <c r="C234" s="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constants'!$A$4:$B$1012,2,FALSE)</f>
        <v>DLC_BASE_GAME</v>
      </c>
      <c r="L234" s="3" t="str">
        <f>VLOOKUP(J234,'LibSets constants'!$A$4:$C$1012,3,FALSE)</f>
        <v>Included in base game</v>
      </c>
    </row>
    <row r="235" spans="1:12" x14ac:dyDescent="0.25">
      <c r="A235" s="5">
        <v>438</v>
      </c>
      <c r="B235" s="5">
        <v>230</v>
      </c>
      <c r="C235" s="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constants'!$A$4:$B$1012,2,FALSE)</f>
        <v>DLC_BASE_GAME</v>
      </c>
      <c r="L235" s="3" t="str">
        <f>VLOOKUP(J235,'LibSets constants'!$A$4:$C$1012,3,FALSE)</f>
        <v>Included in base game</v>
      </c>
    </row>
    <row r="236" spans="1:12" x14ac:dyDescent="0.25">
      <c r="A236" s="5">
        <v>439</v>
      </c>
      <c r="B236" s="5">
        <v>231</v>
      </c>
      <c r="C236" s="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constants'!$A$4:$B$1012,2,FALSE)</f>
        <v>DLC_BASE_GAME</v>
      </c>
      <c r="L236" s="3" t="str">
        <f>VLOOKUP(J236,'LibSets constants'!$A$4:$C$1012,3,FALSE)</f>
        <v>Included in base game</v>
      </c>
    </row>
    <row r="237" spans="1:12" x14ac:dyDescent="0.25">
      <c r="A237" s="5">
        <v>440</v>
      </c>
      <c r="B237" s="5">
        <v>232</v>
      </c>
      <c r="C237" s="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constants'!$A$4:$B$1012,2,FALSE)</f>
        <v>DLC_BASE_GAME</v>
      </c>
      <c r="L237" s="3" t="str">
        <f>VLOOKUP(J237,'LibSets constants'!$A$4:$C$1012,3,FALSE)</f>
        <v>Included in base game</v>
      </c>
    </row>
    <row r="238" spans="1:12" x14ac:dyDescent="0.25">
      <c r="A238" s="5">
        <v>442</v>
      </c>
      <c r="B238" s="5">
        <v>233</v>
      </c>
      <c r="C238" s="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constants'!$A$4:$B$1012,2,FALSE)</f>
        <v>DLC_BASE_GAME</v>
      </c>
      <c r="L238" s="3" t="str">
        <f>VLOOKUP(J238,'LibSets constants'!$A$4:$C$1012,3,FALSE)</f>
        <v>Included in base game</v>
      </c>
    </row>
    <row r="239" spans="1:12" x14ac:dyDescent="0.25">
      <c r="A239" s="5">
        <v>444</v>
      </c>
      <c r="B239" s="5">
        <v>234</v>
      </c>
      <c r="C239" s="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constants'!$A$4:$B$1012,2,FALSE)</f>
        <v>DLC_BASE_GAME</v>
      </c>
      <c r="L239" s="3" t="str">
        <f>VLOOKUP(J239,'LibSets constants'!$A$4:$C$1012,3,FALSE)</f>
        <v>Included in base game</v>
      </c>
    </row>
    <row r="240" spans="1:12" x14ac:dyDescent="0.25">
      <c r="A240" s="5">
        <v>447</v>
      </c>
      <c r="B240" s="5">
        <v>235</v>
      </c>
      <c r="C240" s="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constants'!$A$4:$B$1012,2,FALSE)</f>
        <v>DLC_BASE_GAME</v>
      </c>
      <c r="L240" s="3" t="str">
        <f>VLOOKUP(J240,'LibSets constants'!$A$4:$C$1012,3,FALSE)</f>
        <v>Included in base game</v>
      </c>
    </row>
    <row r="241" spans="1:12" x14ac:dyDescent="0.25">
      <c r="A241" s="5">
        <v>449</v>
      </c>
      <c r="B241" s="5">
        <v>236</v>
      </c>
      <c r="C241" s="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constants'!$A$4:$B$1012,2,FALSE)</f>
        <v>DLC_BASE_GAME</v>
      </c>
      <c r="L241" s="3" t="str">
        <f>VLOOKUP(J241,'LibSets constants'!$A$4:$C$1012,3,FALSE)</f>
        <v>Included in base game</v>
      </c>
    </row>
    <row r="242" spans="1:12" x14ac:dyDescent="0.25">
      <c r="A242" s="5">
        <v>451</v>
      </c>
      <c r="B242" s="5">
        <v>237</v>
      </c>
      <c r="C242" s="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constants'!$A$4:$B$1012,2,FALSE)</f>
        <v>DLC_BASE_GAME</v>
      </c>
      <c r="L242" s="3" t="str">
        <f>VLOOKUP(J242,'LibSets constants'!$A$4:$C$1012,3,FALSE)</f>
        <v>Included in base game</v>
      </c>
    </row>
    <row r="243" spans="1:12" x14ac:dyDescent="0.25">
      <c r="A243" s="5">
        <v>452</v>
      </c>
      <c r="B243" s="5">
        <v>238</v>
      </c>
      <c r="C243" s="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constants'!$A$4:$B$1012,2,FALSE)</f>
        <v>DLC_BASE_GAME</v>
      </c>
      <c r="L243" s="3" t="str">
        <f>VLOOKUP(J243,'LibSets constants'!$A$4:$C$1012,3,FALSE)</f>
        <v>Included in base game</v>
      </c>
    </row>
    <row r="244" spans="1:12" x14ac:dyDescent="0.25">
      <c r="A244" s="5">
        <v>453</v>
      </c>
      <c r="B244" s="5">
        <v>239</v>
      </c>
      <c r="C244" s="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constants'!$A$4:$B$1012,2,FALSE)</f>
        <v>DLC_BASE_GAME</v>
      </c>
      <c r="L244" s="3" t="str">
        <f>VLOOKUP(J244,'LibSets constants'!$A$4:$C$1012,3,FALSE)</f>
        <v>Included in base game</v>
      </c>
    </row>
    <row r="245" spans="1:12" x14ac:dyDescent="0.25">
      <c r="A245" s="5">
        <v>454</v>
      </c>
      <c r="B245" s="5">
        <v>240</v>
      </c>
      <c r="C245" s="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constants'!$A$4:$B$1012,2,FALSE)</f>
        <v>DLC_BASE_GAME</v>
      </c>
      <c r="L245" s="3" t="str">
        <f>VLOOKUP(J245,'LibSets constants'!$A$4:$C$1012,3,FALSE)</f>
        <v>Included in base game</v>
      </c>
    </row>
    <row r="246" spans="1:12" x14ac:dyDescent="0.25">
      <c r="A246" s="5">
        <v>455</v>
      </c>
      <c r="B246" s="5">
        <v>241</v>
      </c>
      <c r="C246" s="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constants'!$A$4:$B$1012,2,FALSE)</f>
        <v>DLC_BASE_GAME</v>
      </c>
      <c r="L246" s="3" t="str">
        <f>VLOOKUP(J246,'LibSets constants'!$A$4:$C$1012,3,FALSE)</f>
        <v>Included in base game</v>
      </c>
    </row>
    <row r="247" spans="1:12" x14ac:dyDescent="0.25">
      <c r="A247" s="5">
        <v>456</v>
      </c>
      <c r="B247" s="5">
        <v>242</v>
      </c>
      <c r="C247" s="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constants'!$A$4:$B$1012,2,FALSE)</f>
        <v>DLC_BASE_GAME</v>
      </c>
      <c r="L247" s="3" t="str">
        <f>VLOOKUP(J247,'LibSets constants'!$A$4:$C$1012,3,FALSE)</f>
        <v>Included in base game</v>
      </c>
    </row>
    <row r="248" spans="1:12" x14ac:dyDescent="0.25">
      <c r="A248" s="5">
        <v>457</v>
      </c>
      <c r="B248" s="5">
        <v>243</v>
      </c>
      <c r="C248" s="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constants'!$A$4:$B$1012,2,FALSE)</f>
        <v>DLC_BASE_GAME</v>
      </c>
      <c r="L248" s="3" t="str">
        <f>VLOOKUP(J248,'LibSets constants'!$A$4:$C$1012,3,FALSE)</f>
        <v>Included in base game</v>
      </c>
    </row>
    <row r="249" spans="1:12" x14ac:dyDescent="0.25">
      <c r="A249" s="5">
        <v>458</v>
      </c>
      <c r="B249" s="5">
        <v>244</v>
      </c>
      <c r="C249" s="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constants'!$A$4:$B$1012,2,FALSE)</f>
        <v>DLC_THIEVES_GUILD</v>
      </c>
      <c r="L249" s="3" t="str">
        <f>VLOOKUP(J249,'LibSets constants'!$A$4:$C$1012,3,FALSE)</f>
        <v>Thieves Guild</v>
      </c>
    </row>
    <row r="250" spans="1:12" x14ac:dyDescent="0.25">
      <c r="A250" s="5">
        <v>459</v>
      </c>
      <c r="B250" s="5">
        <v>245</v>
      </c>
      <c r="C250" s="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constants'!$A$4:$B$1012,2,FALSE)</f>
        <v>DLC_THIEVES_GUILD</v>
      </c>
      <c r="L250" s="3" t="str">
        <f>VLOOKUP(J250,'LibSets constants'!$A$4:$C$1012,3,FALSE)</f>
        <v>Thieves Guild</v>
      </c>
    </row>
    <row r="251" spans="1:12" x14ac:dyDescent="0.25">
      <c r="A251" s="5">
        <v>460</v>
      </c>
      <c r="B251" s="5">
        <v>246</v>
      </c>
      <c r="C251" s="5">
        <v>382</v>
      </c>
      <c r="D251" t="s">
        <v>328</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constants'!$A$4:$B$1012,2,FALSE)</f>
        <v>DLC_DARK_BROTHERHOOD</v>
      </c>
      <c r="L251" s="3" t="str">
        <f>VLOOKUP(J251,'LibSets constants'!$A$4:$C$1012,3,FALSE)</f>
        <v>Dark Brotherhood</v>
      </c>
    </row>
    <row r="252" spans="1:12" x14ac:dyDescent="0.25">
      <c r="A252" s="5">
        <v>461</v>
      </c>
      <c r="B252" s="5">
        <v>247</v>
      </c>
      <c r="C252" s="5">
        <v>382</v>
      </c>
      <c r="D252" t="s">
        <v>329</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constants'!$A$4:$B$1012,2,FALSE)</f>
        <v>DLC_DARK_BROTHERHOOD</v>
      </c>
      <c r="L252" s="3" t="str">
        <f>VLOOKUP(J252,'LibSets constants'!$A$4:$C$1012,3,FALSE)</f>
        <v>Dark Brotherhood</v>
      </c>
    </row>
    <row r="253" spans="1:12" x14ac:dyDescent="0.25">
      <c r="A253" s="5">
        <v>462</v>
      </c>
      <c r="B253" s="5">
        <v>248</v>
      </c>
      <c r="C253" s="5">
        <v>382</v>
      </c>
      <c r="D253" t="s">
        <v>330</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constants'!$A$4:$B$1012,2,FALSE)</f>
        <v>DLC_THIEVES_GUILD</v>
      </c>
      <c r="L253" s="3" t="str">
        <f>VLOOKUP(J253,'LibSets constants'!$A$4:$C$1012,3,FALSE)</f>
        <v>Thieves Guild</v>
      </c>
    </row>
    <row r="254" spans="1:12" x14ac:dyDescent="0.25">
      <c r="A254" s="5">
        <v>463</v>
      </c>
      <c r="B254" s="5">
        <v>249</v>
      </c>
      <c r="C254" s="5">
        <v>382</v>
      </c>
      <c r="D254" t="s">
        <v>331</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constants'!$A$4:$B$1012,2,FALSE)</f>
        <v>DLC_DARK_BROTHERHOOD</v>
      </c>
      <c r="L254" s="3" t="str">
        <f>VLOOKUP(J254,'LibSets constants'!$A$4:$C$1012,3,FALSE)</f>
        <v>Dark Brotherhood</v>
      </c>
    </row>
    <row r="255" spans="1:12" x14ac:dyDescent="0.25">
      <c r="A255" s="5">
        <v>464</v>
      </c>
      <c r="B255" s="5">
        <v>250</v>
      </c>
      <c r="C255" s="5">
        <v>382</v>
      </c>
      <c r="D255" t="s">
        <v>332</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constants'!$A$4:$B$1012,2,FALSE)</f>
        <v>DLC_THIEVES_GUILD</v>
      </c>
      <c r="L255" s="3" t="str">
        <f>VLOOKUP(J255,'LibSets constants'!$A$4:$C$1012,3,FALSE)</f>
        <v>Thieves Guild</v>
      </c>
    </row>
    <row r="256" spans="1:12" x14ac:dyDescent="0.25">
      <c r="A256" s="5">
        <v>465</v>
      </c>
      <c r="B256" s="5">
        <v>251</v>
      </c>
      <c r="C256" s="5">
        <v>382</v>
      </c>
      <c r="D256" t="s">
        <v>333</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constants'!$A$4:$B$1012,2,FALSE)</f>
        <v>DLC_THIEVES_GUILD</v>
      </c>
      <c r="L256" s="3" t="str">
        <f>VLOOKUP(J256,'LibSets constants'!$A$4:$C$1012,3,FALSE)</f>
        <v>Thieves Guild</v>
      </c>
    </row>
    <row r="257" spans="1:12" x14ac:dyDescent="0.25">
      <c r="A257" s="5">
        <v>466</v>
      </c>
      <c r="B257" s="5">
        <v>252</v>
      </c>
      <c r="C257" s="5">
        <v>382</v>
      </c>
      <c r="D257" t="s">
        <v>334</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constants'!$A$4:$B$1012,2,FALSE)</f>
        <v>DLC_BASE_GAME</v>
      </c>
      <c r="L257" s="3" t="str">
        <f>VLOOKUP(J257,'LibSets constants'!$A$4:$C$1012,3,FALSE)</f>
        <v>Included in base game</v>
      </c>
    </row>
    <row r="258" spans="1:12" x14ac:dyDescent="0.25">
      <c r="A258" s="5">
        <v>467</v>
      </c>
      <c r="B258" s="5">
        <v>253</v>
      </c>
      <c r="C258" s="5">
        <v>382</v>
      </c>
      <c r="D258" t="s">
        <v>335</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constants'!$A$4:$B$1012,2,FALSE)</f>
        <v>DLC_ELSWEYR</v>
      </c>
      <c r="L258" s="3" t="str">
        <f>VLOOKUP(J258,'LibSets constants'!$A$4:$C$1012,3,FALSE)</f>
        <v>Elsweyr</v>
      </c>
    </row>
    <row r="259" spans="1:12" x14ac:dyDescent="0.25">
      <c r="A259" s="5">
        <v>468</v>
      </c>
      <c r="B259" s="5">
        <v>254</v>
      </c>
      <c r="C259" s="5">
        <v>58</v>
      </c>
      <c r="D259" t="s">
        <v>336</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constants'!$A$4:$B$1012,2,FALSE)</f>
        <v>DLC_ORSINIUM</v>
      </c>
      <c r="L259" s="3" t="str">
        <f>VLOOKUP(J259,'LibSets constants'!$A$4:$C$1012,3,FALSE)</f>
        <v>Orsinium</v>
      </c>
    </row>
    <row r="260" spans="1:12" x14ac:dyDescent="0.25">
      <c r="A260" s="5">
        <v>469</v>
      </c>
      <c r="B260" s="5">
        <v>255</v>
      </c>
      <c r="C260" s="5">
        <v>58</v>
      </c>
      <c r="D260" t="s">
        <v>337</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constants'!$A$4:$B$1012,2,FALSE)</f>
        <v>DLC_GREYMOOR</v>
      </c>
      <c r="L260" s="3" t="str">
        <f>VLOOKUP(J260,'LibSets constants'!$A$4:$C$1012,3,FALSE)</f>
        <v>Greymoor</v>
      </c>
    </row>
    <row r="261" spans="1:12" x14ac:dyDescent="0.25">
      <c r="A261" s="5">
        <v>470</v>
      </c>
      <c r="B261" s="5">
        <v>256</v>
      </c>
      <c r="C261" s="5">
        <v>58</v>
      </c>
      <c r="D261" t="s">
        <v>338</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constants'!$A$4:$B$1012,2,FALSE)</f>
        <v>DLC_BASE_GAME</v>
      </c>
      <c r="L261" s="3" t="str">
        <f>VLOOKUP(J261,'LibSets constants'!$A$4:$C$1012,3,FALSE)</f>
        <v>Included in base game</v>
      </c>
    </row>
    <row r="262" spans="1:12" x14ac:dyDescent="0.25">
      <c r="A262" s="5">
        <v>471</v>
      </c>
      <c r="B262" s="5">
        <v>257</v>
      </c>
      <c r="C262" s="5">
        <v>58</v>
      </c>
      <c r="D262" t="s">
        <v>339</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constants'!$A$4:$B$1012,2,FALSE)</f>
        <v>DLC_BASE_GAME</v>
      </c>
      <c r="L262" s="3" t="str">
        <f>VLOOKUP(J262,'LibSets constants'!$A$4:$C$1012,3,FALSE)</f>
        <v>Included in base game</v>
      </c>
    </row>
    <row r="263" spans="1:12" x14ac:dyDescent="0.25">
      <c r="A263" s="5">
        <v>472</v>
      </c>
      <c r="B263" s="5">
        <v>258</v>
      </c>
      <c r="C263" s="5">
        <v>58</v>
      </c>
      <c r="D263" t="s">
        <v>340</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constants'!$A$4:$B$1012,2,FALSE)</f>
        <v>DLC_BASE_GAME</v>
      </c>
      <c r="L263" s="3" t="str">
        <f>VLOOKUP(J263,'LibSets constants'!$A$4:$C$1012,3,FALSE)</f>
        <v>Included in base game</v>
      </c>
    </row>
    <row r="264" spans="1:12" x14ac:dyDescent="0.25">
      <c r="A264" s="5">
        <v>473</v>
      </c>
      <c r="B264" s="5">
        <v>259</v>
      </c>
      <c r="C264" s="5">
        <v>58</v>
      </c>
      <c r="D264" t="s">
        <v>341</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constants'!$A$4:$B$1012,2,FALSE)</f>
        <v>DLC_ORSINIUM</v>
      </c>
      <c r="L264" s="3" t="str">
        <f>VLOOKUP(J264,'LibSets constants'!$A$4:$C$1012,3,FALSE)</f>
        <v>Orsinium</v>
      </c>
    </row>
    <row r="265" spans="1:12" x14ac:dyDescent="0.25">
      <c r="A265" s="5">
        <v>475</v>
      </c>
      <c r="B265" s="5">
        <v>260</v>
      </c>
      <c r="C265" s="5">
        <v>383</v>
      </c>
      <c r="D265" t="s">
        <v>342</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constants'!$A$4:$B$1012,2,FALSE)</f>
        <v>DLC_ORSINIUM</v>
      </c>
      <c r="L265" s="3" t="str">
        <f>VLOOKUP(J265,'LibSets constants'!$A$4:$C$1012,3,FALSE)</f>
        <v>Orsinium</v>
      </c>
    </row>
    <row r="266" spans="1:12" x14ac:dyDescent="0.25">
      <c r="A266" s="5">
        <v>477</v>
      </c>
      <c r="B266" s="5">
        <v>261</v>
      </c>
      <c r="C266" s="5">
        <v>383</v>
      </c>
      <c r="D266" t="s">
        <v>343</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constants'!$A$4:$B$1012,2,FALSE)</f>
        <v>DLC_THIEVES_GUILD</v>
      </c>
      <c r="L266" s="3" t="str">
        <f>VLOOKUP(J266,'LibSets constants'!$A$4:$C$1012,3,FALSE)</f>
        <v>Thieves Guild</v>
      </c>
    </row>
    <row r="267" spans="1:12" x14ac:dyDescent="0.25">
      <c r="A267" s="5">
        <v>478</v>
      </c>
      <c r="B267" s="5">
        <v>262</v>
      </c>
      <c r="C267" s="5">
        <v>383</v>
      </c>
      <c r="D267" t="s">
        <v>344</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constants'!$A$4:$B$1012,2,FALSE)</f>
        <v>DLC_THIEVES_GUILD</v>
      </c>
      <c r="L267" s="3" t="str">
        <f>VLOOKUP(J267,'LibSets constants'!$A$4:$C$1012,3,FALSE)</f>
        <v>Thieves Guild</v>
      </c>
    </row>
    <row r="268" spans="1:12" x14ac:dyDescent="0.25">
      <c r="A268" s="5">
        <v>480</v>
      </c>
      <c r="B268" s="5">
        <v>263</v>
      </c>
      <c r="C268" s="5">
        <v>103</v>
      </c>
      <c r="D268" t="s">
        <v>345</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constants'!$A$4:$B$1012,2,FALSE)</f>
        <v>DLC_THIEVES_GUILD</v>
      </c>
      <c r="L268" s="3" t="str">
        <f>VLOOKUP(J268,'LibSets constants'!$A$4:$C$1012,3,FALSE)</f>
        <v>Thieves Guild</v>
      </c>
    </row>
    <row r="269" spans="1:12" x14ac:dyDescent="0.25">
      <c r="A269" s="5">
        <v>481</v>
      </c>
      <c r="B269" s="5">
        <v>264</v>
      </c>
      <c r="C269" s="5">
        <v>103</v>
      </c>
      <c r="D269" t="s">
        <v>346</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constants'!$A$4:$B$1012,2,FALSE)</f>
        <v>DLC_THIEVES_GUILD</v>
      </c>
      <c r="L269" s="3" t="str">
        <f>VLOOKUP(J269,'LibSets constants'!$A$4:$C$1012,3,FALSE)</f>
        <v>Thieves Guild</v>
      </c>
    </row>
    <row r="270" spans="1:12" x14ac:dyDescent="0.25">
      <c r="A270" s="5">
        <v>482</v>
      </c>
      <c r="B270" s="5">
        <v>265</v>
      </c>
      <c r="C270" s="5">
        <v>103</v>
      </c>
      <c r="D270" t="s">
        <v>347</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constants'!$A$4:$B$1012,2,FALSE)</f>
        <v>DLC_THIEVES_GUILD</v>
      </c>
      <c r="L270" s="3" t="str">
        <f>VLOOKUP(J270,'LibSets constants'!$A$4:$C$1012,3,FALSE)</f>
        <v>Thieves Guild</v>
      </c>
    </row>
    <row r="271" spans="1:12" x14ac:dyDescent="0.25">
      <c r="A271" s="5">
        <v>484</v>
      </c>
      <c r="B271" s="5">
        <v>266</v>
      </c>
      <c r="C271" s="5">
        <v>103</v>
      </c>
      <c r="D271" t="s">
        <v>348</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constants'!$A$4:$B$1012,2,FALSE)</f>
        <v>DLC_THIEVES_GUILD</v>
      </c>
      <c r="L271" s="3" t="str">
        <f>VLOOKUP(J271,'LibSets constants'!$A$4:$C$1012,3,FALSE)</f>
        <v>Thieves Guild</v>
      </c>
    </row>
    <row r="272" spans="1:12" x14ac:dyDescent="0.25">
      <c r="A272" s="5">
        <v>485</v>
      </c>
      <c r="B272" s="5">
        <v>267</v>
      </c>
      <c r="C272" s="5">
        <v>103</v>
      </c>
      <c r="D272" t="s">
        <v>349</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constants'!$A$4:$B$1012,2,FALSE)</f>
        <v>DLC_DARK_BROTHERHOOD</v>
      </c>
      <c r="L272" s="3" t="str">
        <f>VLOOKUP(J272,'LibSets constants'!$A$4:$C$1012,3,FALSE)</f>
        <v>Dark Brotherhood</v>
      </c>
    </row>
    <row r="273" spans="1:12" x14ac:dyDescent="0.25">
      <c r="A273" s="5">
        <v>486</v>
      </c>
      <c r="B273" s="5">
        <v>268</v>
      </c>
      <c r="C273" s="5">
        <v>381</v>
      </c>
      <c r="D273" t="s">
        <v>350</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constants'!$A$4:$B$1012,2,FALSE)</f>
        <v>DLC_DARK_BROTHERHOOD</v>
      </c>
      <c r="L273" s="3" t="str">
        <f>VLOOKUP(J273,'LibSets constants'!$A$4:$C$1012,3,FALSE)</f>
        <v>Dark Brotherhood</v>
      </c>
    </row>
    <row r="274" spans="1:12" x14ac:dyDescent="0.25">
      <c r="A274" s="5">
        <v>487</v>
      </c>
      <c r="B274" s="5">
        <v>269</v>
      </c>
      <c r="C274" s="5">
        <v>382</v>
      </c>
      <c r="D274" t="s">
        <v>351</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constants'!$A$4:$B$1012,2,FALSE)</f>
        <v>DLC_DARK_BROTHERHOOD</v>
      </c>
      <c r="L274" s="3" t="str">
        <f>VLOOKUP(J274,'LibSets constants'!$A$4:$C$1012,3,FALSE)</f>
        <v>Dark Brotherhood</v>
      </c>
    </row>
    <row r="275" spans="1:12" x14ac:dyDescent="0.25">
      <c r="A275" s="5">
        <v>492</v>
      </c>
      <c r="B275" s="5">
        <v>270</v>
      </c>
      <c r="C275" s="5">
        <v>41</v>
      </c>
      <c r="D275" t="s">
        <v>352</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constants'!$A$4:$B$1012,2,FALSE)</f>
        <v>DLC_DARK_BROTHERHOOD</v>
      </c>
      <c r="L275" s="3" t="str">
        <f>VLOOKUP(J275,'LibSets constants'!$A$4:$C$1012,3,FALSE)</f>
        <v>Dark Brotherhood</v>
      </c>
    </row>
    <row r="276" spans="1:12" x14ac:dyDescent="0.25">
      <c r="A276" s="5">
        <v>493</v>
      </c>
      <c r="B276" s="5">
        <v>271</v>
      </c>
      <c r="C276" s="5">
        <v>181</v>
      </c>
      <c r="D276" t="s">
        <v>353</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constants'!$A$4:$B$1012,2,FALSE)</f>
        <v>DLC_DARK_BROTHERHOOD</v>
      </c>
      <c r="L276" s="3" t="str">
        <f>VLOOKUP(J276,'LibSets constants'!$A$4:$C$1012,3,FALSE)</f>
        <v>Dark Brotherhood</v>
      </c>
    </row>
    <row r="277" spans="1:12" x14ac:dyDescent="0.25">
      <c r="A277" s="5">
        <v>494</v>
      </c>
      <c r="B277" s="5">
        <v>272</v>
      </c>
      <c r="C277" s="5">
        <v>181</v>
      </c>
      <c r="D277" t="s">
        <v>354</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constants'!$A$4:$B$1012,2,FALSE)</f>
        <v>DLC_DARK_BROTHERHOOD</v>
      </c>
      <c r="L277" s="3" t="str">
        <f>VLOOKUP(J277,'LibSets constants'!$A$4:$C$1012,3,FALSE)</f>
        <v>Dark Brotherhood</v>
      </c>
    </row>
    <row r="278" spans="1:12" x14ac:dyDescent="0.25">
      <c r="A278" s="5">
        <v>495</v>
      </c>
      <c r="B278" s="5">
        <v>273</v>
      </c>
      <c r="C278" s="5">
        <v>181</v>
      </c>
      <c r="D278" t="s">
        <v>355</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constants'!$A$4:$B$1012,2,FALSE)</f>
        <v>DLC_DARK_BROTHERHOOD</v>
      </c>
      <c r="L278" s="3" t="str">
        <f>VLOOKUP(J278,'LibSets constants'!$A$4:$C$1012,3,FALSE)</f>
        <v>Dark Brotherhood</v>
      </c>
    </row>
    <row r="279" spans="1:12" x14ac:dyDescent="0.25">
      <c r="A279" s="5">
        <v>496</v>
      </c>
      <c r="B279" s="5">
        <v>274</v>
      </c>
      <c r="C279" s="5">
        <v>181</v>
      </c>
      <c r="D279" t="s">
        <v>356</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constants'!$A$4:$B$1012,2,FALSE)</f>
        <v>DLC_DARK_BROTHERHOOD</v>
      </c>
      <c r="L279" s="3" t="str">
        <f>VLOOKUP(J279,'LibSets constants'!$A$4:$C$1012,3,FALSE)</f>
        <v>Dark Brotherhood</v>
      </c>
    </row>
    <row r="280" spans="1:12" x14ac:dyDescent="0.25">
      <c r="A280" s="5">
        <v>497</v>
      </c>
      <c r="B280" s="5">
        <v>275</v>
      </c>
      <c r="C280" s="5">
        <v>181</v>
      </c>
      <c r="D280" t="s">
        <v>357</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constants'!$A$4:$B$1012,2,FALSE)</f>
        <v>DLC_DARK_BROTHERHOOD</v>
      </c>
      <c r="L280" s="3" t="str">
        <f>VLOOKUP(J280,'LibSets constants'!$A$4:$C$1012,3,FALSE)</f>
        <v>Dark Brotherhood</v>
      </c>
    </row>
    <row r="281" spans="1:12" x14ac:dyDescent="0.25">
      <c r="A281" s="5">
        <v>498</v>
      </c>
      <c r="B281" s="5">
        <v>276</v>
      </c>
      <c r="C281" s="5">
        <v>181</v>
      </c>
      <c r="D281" t="s">
        <v>358</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constants'!$A$4:$B$1012,2,FALSE)</f>
        <v>DLC_DARK_BROTHERHOOD</v>
      </c>
      <c r="L281" s="3" t="str">
        <f>VLOOKUP(J281,'LibSets constants'!$A$4:$C$1012,3,FALSE)</f>
        <v>Dark Brotherhood</v>
      </c>
    </row>
    <row r="282" spans="1:12" x14ac:dyDescent="0.25">
      <c r="A282" s="5">
        <v>499</v>
      </c>
      <c r="B282" s="5">
        <v>277</v>
      </c>
      <c r="C282" s="5">
        <v>181</v>
      </c>
      <c r="D282" t="s">
        <v>359</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constants'!$A$4:$B$1012,2,FALSE)</f>
        <v>DLC_THIEVES_GUILD</v>
      </c>
      <c r="L282" s="3" t="str">
        <f>VLOOKUP(J282,'LibSets constants'!$A$4:$C$1012,3,FALSE)</f>
        <v>Thieves Guild</v>
      </c>
    </row>
    <row r="283" spans="1:12" x14ac:dyDescent="0.25">
      <c r="A283" s="5">
        <v>500</v>
      </c>
      <c r="B283" s="5">
        <v>278</v>
      </c>
      <c r="C283" s="5">
        <v>181</v>
      </c>
      <c r="D283" t="s">
        <v>360</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constants'!$A$4:$B$1012,2,FALSE)</f>
        <v>DLC_DARK_BROTHERHOOD</v>
      </c>
      <c r="L283" s="3" t="str">
        <f>VLOOKUP(J283,'LibSets constants'!$A$4:$C$1012,3,FALSE)</f>
        <v>Dark Brotherhood</v>
      </c>
    </row>
    <row r="284" spans="1:12" x14ac:dyDescent="0.25">
      <c r="A284" s="5">
        <v>501</v>
      </c>
      <c r="B284" s="5">
        <v>279</v>
      </c>
      <c r="C284" s="5">
        <v>181</v>
      </c>
      <c r="D284" t="s">
        <v>361</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constants'!$A$4:$B$1012,2,FALSE)</f>
        <v>DLC_DARK_BROTHERHOOD</v>
      </c>
      <c r="L284" s="3" t="str">
        <f>VLOOKUP(J284,'LibSets constants'!$A$4:$C$1012,3,FALSE)</f>
        <v>Dark Brotherhood</v>
      </c>
    </row>
    <row r="285" spans="1:12" x14ac:dyDescent="0.25">
      <c r="A285" s="5">
        <v>502</v>
      </c>
      <c r="B285" s="5">
        <v>280</v>
      </c>
      <c r="C285" s="5">
        <v>181</v>
      </c>
      <c r="D285" t="s">
        <v>362</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constants'!$A$4:$B$1012,2,FALSE)</f>
        <v>DLC_DARK_BROTHERHOOD</v>
      </c>
      <c r="L285" s="3" t="str">
        <f>VLOOKUP(J285,'LibSets constants'!$A$4:$C$1012,3,FALSE)</f>
        <v>Dark Brotherhood</v>
      </c>
    </row>
    <row r="286" spans="1:12" x14ac:dyDescent="0.25">
      <c r="A286" s="5">
        <v>503</v>
      </c>
      <c r="B286" s="5">
        <v>281</v>
      </c>
      <c r="C286" s="5">
        <v>181</v>
      </c>
      <c r="D286" t="s">
        <v>363</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constants'!$A$4:$B$1012,2,FALSE)</f>
        <v>DLC_DARK_BROTHERHOOD</v>
      </c>
      <c r="L286" s="3" t="str">
        <f>VLOOKUP(J286,'LibSets constants'!$A$4:$C$1012,3,FALSE)</f>
        <v>Dark Brotherhood</v>
      </c>
    </row>
    <row r="287" spans="1:12" x14ac:dyDescent="0.25">
      <c r="A287" s="5">
        <v>504</v>
      </c>
      <c r="B287" s="5">
        <v>282</v>
      </c>
      <c r="C287" s="5">
        <v>181</v>
      </c>
      <c r="D287" t="s">
        <v>364</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constants'!$A$4:$B$1012,2,FALSE)</f>
        <v>DLC_SHADOWS_OF_THE_HIST</v>
      </c>
      <c r="L287" s="3" t="str">
        <f>VLOOKUP(J287,'LibSets constants'!$A$4:$C$1012,3,FALSE)</f>
        <v>Shadows of the Hist</v>
      </c>
    </row>
    <row r="288" spans="1:12" x14ac:dyDescent="0.25">
      <c r="A288" s="5">
        <v>505</v>
      </c>
      <c r="B288" s="5">
        <v>283</v>
      </c>
      <c r="C288" s="5">
        <v>181</v>
      </c>
      <c r="D288" t="s">
        <v>365</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constants'!$A$4:$B$1012,2,FALSE)</f>
        <v>DLC_THIEVES_GUILD</v>
      </c>
      <c r="L288" s="3" t="str">
        <f>VLOOKUP(J288,'LibSets constants'!$A$4:$C$1012,3,FALSE)</f>
        <v>Thieves Guild</v>
      </c>
    </row>
    <row r="289" spans="1:12" x14ac:dyDescent="0.25">
      <c r="A289" s="5">
        <v>506</v>
      </c>
      <c r="B289" s="5">
        <v>284</v>
      </c>
      <c r="C289" s="5">
        <v>181</v>
      </c>
      <c r="D289" t="s">
        <v>366</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constants'!$A$4:$B$1012,2,FALSE)</f>
        <v>DLC_THIEVES_GUILD</v>
      </c>
      <c r="L289" s="3" t="str">
        <f>VLOOKUP(J289,'LibSets constants'!$A$4:$C$1012,3,FALSE)</f>
        <v>Thieves Guild</v>
      </c>
    </row>
    <row r="290" spans="1:12" x14ac:dyDescent="0.25">
      <c r="A290" s="5">
        <v>507</v>
      </c>
      <c r="B290" s="5">
        <v>285</v>
      </c>
      <c r="C290" s="5">
        <v>181</v>
      </c>
      <c r="D290" t="s">
        <v>367</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constants'!$A$4:$B$1012,2,FALSE)</f>
        <v>DLC_SHADOWS_OF_THE_HIST</v>
      </c>
      <c r="L290" s="3" t="str">
        <f>VLOOKUP(J290,'LibSets constants'!$A$4:$C$1012,3,FALSE)</f>
        <v>Shadows of the Hist</v>
      </c>
    </row>
    <row r="291" spans="1:12" x14ac:dyDescent="0.25">
      <c r="A291" s="5">
        <v>508</v>
      </c>
      <c r="B291" s="5">
        <v>286</v>
      </c>
      <c r="C291" s="5">
        <v>849</v>
      </c>
      <c r="D291" t="s">
        <v>368</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constants'!$A$4:$B$1012,2,FALSE)</f>
        <v>DLC_MORROWIND</v>
      </c>
      <c r="L291" s="3" t="str">
        <f>VLOOKUP(J291,'LibSets constants'!$A$4:$C$1012,3,FALSE)</f>
        <v>Morrowind</v>
      </c>
    </row>
    <row r="292" spans="1:12" x14ac:dyDescent="0.25">
      <c r="A292" s="5">
        <v>509</v>
      </c>
      <c r="B292" s="5">
        <v>287</v>
      </c>
      <c r="C292" s="5">
        <v>849</v>
      </c>
      <c r="D292" t="s">
        <v>369</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constants'!$A$4:$B$1012,2,FALSE)</f>
        <v>DLC_BASE_GAME</v>
      </c>
      <c r="L292" s="3" t="str">
        <f>VLOOKUP(J292,'LibSets constants'!$A$4:$C$1012,3,FALSE)</f>
        <v>Included in base game</v>
      </c>
    </row>
    <row r="293" spans="1:12" x14ac:dyDescent="0.25">
      <c r="A293" s="5">
        <v>510</v>
      </c>
      <c r="B293" s="5">
        <v>288</v>
      </c>
      <c r="C293" s="5">
        <v>849</v>
      </c>
      <c r="D293" t="s">
        <v>370</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constants'!$A$4:$B$1012,2,FALSE)</f>
        <v>DLC_BASE_GAME</v>
      </c>
      <c r="L293" s="3" t="str">
        <f>VLOOKUP(J293,'LibSets constants'!$A$4:$C$1012,3,FALSE)</f>
        <v>Included in base game</v>
      </c>
    </row>
    <row r="294" spans="1:12" x14ac:dyDescent="0.25">
      <c r="A294" s="5">
        <v>511</v>
      </c>
      <c r="B294" s="5">
        <v>289</v>
      </c>
      <c r="C294" s="5">
        <v>511</v>
      </c>
      <c r="D294" t="s">
        <v>371</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constants'!$A$4:$B$1012,2,FALSE)</f>
        <v>DLC_BASE_GAME</v>
      </c>
      <c r="L294" s="3" t="str">
        <f>VLOOKUP(J294,'LibSets constants'!$A$4:$C$1012,3,FALSE)</f>
        <v>Included in base game</v>
      </c>
    </row>
    <row r="295" spans="1:12" x14ac:dyDescent="0.25">
      <c r="A295" s="5">
        <v>512</v>
      </c>
      <c r="B295" s="5">
        <v>290</v>
      </c>
      <c r="C295" s="5">
        <v>512</v>
      </c>
      <c r="D295" t="s">
        <v>372</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constants'!$A$4:$B$1012,2,FALSE)</f>
        <v>DLC_BASE_GAME</v>
      </c>
      <c r="L295" s="3" t="str">
        <f>VLOOKUP(J295,'LibSets constants'!$A$4:$C$1012,3,FALSE)</f>
        <v>Included in base game</v>
      </c>
    </row>
    <row r="296" spans="1:12" x14ac:dyDescent="0.25">
      <c r="A296" s="5">
        <v>513</v>
      </c>
      <c r="B296" s="5">
        <v>291</v>
      </c>
      <c r="C296" s="5">
        <v>513</v>
      </c>
      <c r="D296" t="s">
        <v>373</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constants'!$A$4:$B$1012,2,FALSE)</f>
        <v>DLC_BASE_GAME</v>
      </c>
      <c r="L296" s="3" t="str">
        <f>VLOOKUP(J296,'LibSets constants'!$A$4:$C$1012,3,FALSE)</f>
        <v>Included in base game</v>
      </c>
    </row>
    <row r="297" spans="1:12" x14ac:dyDescent="0.25">
      <c r="A297" s="5">
        <v>514</v>
      </c>
      <c r="B297" s="5">
        <v>292</v>
      </c>
      <c r="C297" s="5">
        <v>514</v>
      </c>
      <c r="D297" t="s">
        <v>374</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constants'!$A$4:$B$1012,2,FALSE)</f>
        <v>DLC_BASE_GAME</v>
      </c>
      <c r="L297" s="3" t="str">
        <f>VLOOKUP(J297,'LibSets constants'!$A$4:$C$1012,3,FALSE)</f>
        <v>Included in base game</v>
      </c>
    </row>
    <row r="298" spans="1:12" x14ac:dyDescent="0.25">
      <c r="A298" s="5">
        <v>515</v>
      </c>
      <c r="B298" s="5">
        <v>293</v>
      </c>
      <c r="C298" s="5">
        <v>515</v>
      </c>
      <c r="D298" t="s">
        <v>1491</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constants'!$A$4:$B$1012,2,FALSE)</f>
        <v>DLC_BASE_GAME</v>
      </c>
      <c r="L298" s="3" t="str">
        <f>VLOOKUP(J298,'LibSets constants'!$A$4:$C$1012,3,FALSE)</f>
        <v>Included in base game</v>
      </c>
    </row>
    <row r="299" spans="1:12" x14ac:dyDescent="0.25">
      <c r="A299" s="5">
        <v>516</v>
      </c>
      <c r="B299" s="5">
        <v>294</v>
      </c>
      <c r="C299" s="5">
        <v>516</v>
      </c>
      <c r="D299" t="s">
        <v>369</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constants'!$A$4:$B$1012,2,FALSE)</f>
        <v>DLC_BASE_GAME</v>
      </c>
      <c r="L299" s="3" t="str">
        <f>VLOOKUP(J299,'LibSets constants'!$A$4:$C$1012,3,FALSE)</f>
        <v>Included in base game</v>
      </c>
    </row>
    <row r="300" spans="1:12" x14ac:dyDescent="0.25">
      <c r="A300" s="5">
        <v>517</v>
      </c>
      <c r="B300" s="5">
        <v>295</v>
      </c>
      <c r="C300" s="5">
        <v>517</v>
      </c>
      <c r="D300" t="s">
        <v>375</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constants'!$A$4:$B$1012,2,FALSE)</f>
        <v>DLC_BASE_GAME</v>
      </c>
      <c r="L300" s="3" t="str">
        <f>VLOOKUP(J300,'LibSets constants'!$A$4:$C$1012,3,FALSE)</f>
        <v>Included in base game</v>
      </c>
    </row>
    <row r="301" spans="1:12" x14ac:dyDescent="0.25">
      <c r="A301" s="5">
        <v>518</v>
      </c>
      <c r="B301" s="5">
        <v>296</v>
      </c>
      <c r="C301" s="5">
        <v>518</v>
      </c>
      <c r="D301" t="s">
        <v>375</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constants'!$A$4:$B$1012,2,FALSE)</f>
        <v>DLC_BASE_GAME</v>
      </c>
      <c r="L301" s="3" t="str">
        <f>VLOOKUP(J301,'LibSets constants'!$A$4:$C$1012,3,FALSE)</f>
        <v>Included in base game</v>
      </c>
    </row>
    <row r="302" spans="1:12" x14ac:dyDescent="0.25">
      <c r="A302" s="5">
        <v>525</v>
      </c>
      <c r="B302" s="5">
        <v>297</v>
      </c>
      <c r="C302" s="5">
        <v>181</v>
      </c>
      <c r="D302" t="s">
        <v>1412</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constants'!$A$4:$B$1012,2,FALSE)</f>
        <v>DLC_BASE_GAME</v>
      </c>
      <c r="L302" s="3" t="str">
        <f>VLOOKUP(J302,'LibSets constants'!$A$4:$C$1012,3,FALSE)</f>
        <v>Included in base game</v>
      </c>
    </row>
    <row r="303" spans="1:12" x14ac:dyDescent="0.25">
      <c r="A303" s="5">
        <v>526</v>
      </c>
      <c r="B303" s="5">
        <v>298</v>
      </c>
      <c r="C303" s="5">
        <v>382</v>
      </c>
      <c r="D303" t="s">
        <v>376</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constants'!$A$4:$B$1012,2,FALSE)</f>
        <v>DLC_BASE_GAME</v>
      </c>
      <c r="L303" s="3" t="str">
        <f>VLOOKUP(J303,'LibSets constants'!$A$4:$C$1012,3,FALSE)</f>
        <v>Included in base game</v>
      </c>
    </row>
    <row r="304" spans="1:12" x14ac:dyDescent="0.25">
      <c r="A304" s="5">
        <v>527</v>
      </c>
      <c r="B304" s="5">
        <v>299</v>
      </c>
      <c r="C304" s="5">
        <v>199</v>
      </c>
      <c r="D304" t="s">
        <v>377</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constants'!$A$4:$B$1012,2,FALSE)</f>
        <v>DLC_BASE_GAME</v>
      </c>
      <c r="L304" s="3" t="str">
        <f>VLOOKUP(J304,'LibSets constants'!$A$4:$C$1012,3,FALSE)</f>
        <v>Included in base game</v>
      </c>
    </row>
    <row r="305" spans="1:12" x14ac:dyDescent="0.25">
      <c r="A305" s="5">
        <v>529</v>
      </c>
      <c r="B305" s="5">
        <v>300</v>
      </c>
      <c r="C305" s="5">
        <v>267</v>
      </c>
      <c r="D305" t="s">
        <v>378</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constants'!$A$4:$B$1012,2,FALSE)</f>
        <v>DLC_BASE_GAME</v>
      </c>
      <c r="L305" s="3" t="str">
        <f>VLOOKUP(J305,'LibSets constants'!$A$4:$C$1012,3,FALSE)</f>
        <v>Included in base game</v>
      </c>
    </row>
    <row r="306" spans="1:12" x14ac:dyDescent="0.25">
      <c r="A306" s="5">
        <v>530</v>
      </c>
      <c r="B306" s="5">
        <v>301</v>
      </c>
      <c r="C306" s="5">
        <v>347</v>
      </c>
      <c r="D306" t="s">
        <v>379</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constants'!$A$4:$B$1012,2,FALSE)</f>
        <v>DLC_BASE_GAME</v>
      </c>
      <c r="L306" s="3" t="str">
        <f>VLOOKUP(J306,'LibSets constants'!$A$4:$C$1012,3,FALSE)</f>
        <v>Included in base game</v>
      </c>
    </row>
    <row r="307" spans="1:12" x14ac:dyDescent="0.25">
      <c r="A307" s="5">
        <v>531</v>
      </c>
      <c r="B307" s="5">
        <v>302</v>
      </c>
      <c r="C307" s="5">
        <v>181</v>
      </c>
      <c r="D307" t="s">
        <v>380</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constants'!$A$4:$B$1012,2,FALSE)</f>
        <v>DLC_BASE_GAME</v>
      </c>
      <c r="L307" s="3" t="str">
        <f>VLOOKUP(J307,'LibSets constants'!$A$4:$C$1012,3,FALSE)</f>
        <v>Included in base game</v>
      </c>
    </row>
    <row r="308" spans="1:12" x14ac:dyDescent="0.25">
      <c r="A308" s="5">
        <v>532</v>
      </c>
      <c r="B308" s="5">
        <v>303</v>
      </c>
      <c r="C308" s="5">
        <v>181</v>
      </c>
      <c r="D308" t="s">
        <v>381</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constants'!$A$4:$B$1012,2,FALSE)</f>
        <v>DLC_BASE_GAME</v>
      </c>
      <c r="L308" s="3" t="str">
        <f>VLOOKUP(J308,'LibSets constants'!$A$4:$C$1012,3,FALSE)</f>
        <v>Included in base game</v>
      </c>
    </row>
    <row r="309" spans="1:12" x14ac:dyDescent="0.25">
      <c r="A309" s="5">
        <v>533</v>
      </c>
      <c r="B309" s="5">
        <v>304</v>
      </c>
      <c r="C309" s="5">
        <v>181</v>
      </c>
      <c r="D309" t="s">
        <v>382</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constants'!$A$4:$B$1012,2,FALSE)</f>
        <v>DLC_BASE_GAME</v>
      </c>
      <c r="L309" s="3" t="str">
        <f>VLOOKUP(J309,'LibSets constants'!$A$4:$C$1012,3,FALSE)</f>
        <v>Included in base game</v>
      </c>
    </row>
    <row r="310" spans="1:12" x14ac:dyDescent="0.25">
      <c r="A310" s="5">
        <v>534</v>
      </c>
      <c r="B310" s="5">
        <v>305</v>
      </c>
      <c r="C310" s="5">
        <v>534</v>
      </c>
      <c r="D310" t="s">
        <v>383</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constants'!$A$4:$B$1012,2,FALSE)</f>
        <v>DLC_BASE_GAME</v>
      </c>
      <c r="L310" s="3" t="str">
        <f>VLOOKUP(J310,'LibSets constants'!$A$4:$C$1012,3,FALSE)</f>
        <v>Included in base game</v>
      </c>
    </row>
    <row r="311" spans="1:12" x14ac:dyDescent="0.25">
      <c r="A311" s="5">
        <v>535</v>
      </c>
      <c r="B311" s="5">
        <v>306</v>
      </c>
      <c r="C311" s="5">
        <v>535</v>
      </c>
      <c r="D311" t="s">
        <v>384</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constants'!$A$4:$B$1012,2,FALSE)</f>
        <v>DLC_BASE_GAME</v>
      </c>
      <c r="L311" s="3" t="str">
        <f>VLOOKUP(J311,'LibSets constants'!$A$4:$C$1012,3,FALSE)</f>
        <v>Included in base game</v>
      </c>
    </row>
    <row r="312" spans="1:12" x14ac:dyDescent="0.25">
      <c r="A312" s="5">
        <v>537</v>
      </c>
      <c r="B312" s="5">
        <v>307</v>
      </c>
      <c r="C312" s="5">
        <v>537</v>
      </c>
      <c r="D312" t="s">
        <v>385</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constants'!$A$4:$B$1012,2,FALSE)</f>
        <v>DLC_BASE_GAME</v>
      </c>
      <c r="L312" s="3" t="str">
        <f>VLOOKUP(J312,'LibSets constants'!$A$4:$C$1012,3,FALSE)</f>
        <v>Included in base game</v>
      </c>
    </row>
    <row r="313" spans="1:12" x14ac:dyDescent="0.25">
      <c r="A313" s="5">
        <v>539</v>
      </c>
      <c r="B313" s="5">
        <v>308</v>
      </c>
      <c r="C313" s="5">
        <v>535</v>
      </c>
      <c r="D313" t="s">
        <v>386</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constants'!$A$4:$B$1012,2,FALSE)</f>
        <v>DLC_BASE_GAME</v>
      </c>
      <c r="L313" s="3" t="str">
        <f>VLOOKUP(J313,'LibSets constants'!$A$4:$C$1012,3,FALSE)</f>
        <v>Included in base game</v>
      </c>
    </row>
    <row r="314" spans="1:12" x14ac:dyDescent="0.25">
      <c r="A314" s="5">
        <v>541</v>
      </c>
      <c r="B314" s="5">
        <v>309</v>
      </c>
      <c r="C314" s="5">
        <v>267</v>
      </c>
      <c r="D314" t="s">
        <v>387</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constants'!$A$4:$B$1012,2,FALSE)</f>
        <v>DLC_BASE_GAME</v>
      </c>
      <c r="L314" s="3" t="str">
        <f>VLOOKUP(J314,'LibSets constants'!$A$4:$C$1012,3,FALSE)</f>
        <v>Included in base game</v>
      </c>
    </row>
    <row r="315" spans="1:12" x14ac:dyDescent="0.25">
      <c r="A315" s="5">
        <v>542</v>
      </c>
      <c r="B315" s="5">
        <v>310</v>
      </c>
      <c r="C315" s="5">
        <v>208</v>
      </c>
      <c r="D315" t="s">
        <v>388</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constants'!$A$4:$B$1012,2,FALSE)</f>
        <v>DLC_BASE_GAME</v>
      </c>
      <c r="L315" s="3" t="str">
        <f>VLOOKUP(J315,'LibSets constants'!$A$4:$C$1012,3,FALSE)</f>
        <v>Included in base game</v>
      </c>
    </row>
    <row r="316" spans="1:12" x14ac:dyDescent="0.25">
      <c r="A316" s="5">
        <v>543</v>
      </c>
      <c r="B316" s="5">
        <v>311</v>
      </c>
      <c r="C316" s="5">
        <v>208</v>
      </c>
      <c r="D316" t="s">
        <v>389</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constants'!$A$4:$B$1012,2,FALSE)</f>
        <v>DLC_BASE_GAME</v>
      </c>
      <c r="L316" s="3" t="str">
        <f>VLOOKUP(J316,'LibSets constants'!$A$4:$C$1012,3,FALSE)</f>
        <v>Included in base game</v>
      </c>
    </row>
    <row r="317" spans="1:12" x14ac:dyDescent="0.25">
      <c r="A317" s="5">
        <v>544</v>
      </c>
      <c r="B317" s="5">
        <v>312</v>
      </c>
      <c r="C317" s="5">
        <v>208</v>
      </c>
      <c r="D317" t="s">
        <v>390</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constants'!$A$4:$B$1012,2,FALSE)</f>
        <v>DLC_BASE_GAME</v>
      </c>
      <c r="L317" s="3" t="str">
        <f>VLOOKUP(J317,'LibSets constants'!$A$4:$C$1012,3,FALSE)</f>
        <v>Included in base game</v>
      </c>
    </row>
    <row r="318" spans="1:12" x14ac:dyDescent="0.25">
      <c r="A318" s="5">
        <v>545</v>
      </c>
      <c r="B318" s="5">
        <v>313</v>
      </c>
      <c r="C318" s="5">
        <v>19</v>
      </c>
      <c r="D318" t="s">
        <v>391</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constants'!$A$4:$B$1012,2,FALSE)</f>
        <v>DLC_BASE_GAME</v>
      </c>
      <c r="L318" s="3" t="str">
        <f>VLOOKUP(J318,'LibSets constants'!$A$4:$C$1012,3,FALSE)</f>
        <v>Included in base game</v>
      </c>
    </row>
    <row r="319" spans="1:12" x14ac:dyDescent="0.25">
      <c r="A319" s="5">
        <v>546</v>
      </c>
      <c r="B319" s="5">
        <v>314</v>
      </c>
      <c r="C319" s="5">
        <v>19</v>
      </c>
      <c r="D319" t="s">
        <v>392</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constants'!$A$4:$B$1012,2,FALSE)</f>
        <v>DLC_BASE_GAME</v>
      </c>
      <c r="L319" s="3" t="str">
        <f>VLOOKUP(J319,'LibSets constants'!$A$4:$C$1012,3,FALSE)</f>
        <v>Included in base game</v>
      </c>
    </row>
    <row r="320" spans="1:12" x14ac:dyDescent="0.25">
      <c r="A320" s="5">
        <v>547</v>
      </c>
      <c r="B320" s="5">
        <v>315</v>
      </c>
      <c r="C320" s="5">
        <v>108</v>
      </c>
      <c r="D320" t="s">
        <v>393</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constants'!$A$4:$B$1012,2,FALSE)</f>
        <v>DLC_BASE_GAME</v>
      </c>
      <c r="L320" s="3" t="str">
        <f>VLOOKUP(J320,'LibSets constants'!$A$4:$C$1012,3,FALSE)</f>
        <v>Included in base game</v>
      </c>
    </row>
    <row r="321" spans="1:12" x14ac:dyDescent="0.25">
      <c r="A321" s="5">
        <v>548</v>
      </c>
      <c r="B321" s="5">
        <v>316</v>
      </c>
      <c r="C321" s="5">
        <v>108</v>
      </c>
      <c r="D321" t="s">
        <v>394</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constants'!$A$4:$B$1012,2,FALSE)</f>
        <v>DLC_BASE_GAME</v>
      </c>
      <c r="L321" s="3" t="str">
        <f>VLOOKUP(J321,'LibSets constants'!$A$4:$C$1012,3,FALSE)</f>
        <v>Included in base game</v>
      </c>
    </row>
    <row r="322" spans="1:12" x14ac:dyDescent="0.25">
      <c r="A322" s="5">
        <v>549</v>
      </c>
      <c r="B322" s="5">
        <v>317</v>
      </c>
      <c r="C322" s="5">
        <v>383</v>
      </c>
      <c r="D322" t="s">
        <v>395</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constants'!$A$4:$B$1012,2,FALSE)</f>
        <v>DLC_BASE_GAME</v>
      </c>
      <c r="L322" s="3" t="str">
        <f>VLOOKUP(J322,'LibSets constants'!$A$4:$C$1012,3,FALSE)</f>
        <v>Included in base game</v>
      </c>
    </row>
    <row r="323" spans="1:12" x14ac:dyDescent="0.25">
      <c r="A323" s="5">
        <v>551</v>
      </c>
      <c r="B323" s="5">
        <v>318</v>
      </c>
      <c r="C323" s="5">
        <v>108</v>
      </c>
      <c r="D323" t="s">
        <v>396</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constants'!$A$4:$B$1012,2,FALSE)</f>
        <v>DLC_BASE_GAME</v>
      </c>
      <c r="L323" s="3" t="str">
        <f>VLOOKUP(J323,'LibSets constants'!$A$4:$C$1012,3,FALSE)</f>
        <v>Included in base game</v>
      </c>
    </row>
    <row r="324" spans="1:12" x14ac:dyDescent="0.25">
      <c r="A324" s="5">
        <v>552</v>
      </c>
      <c r="B324" s="5">
        <v>319</v>
      </c>
      <c r="C324" s="5">
        <v>108</v>
      </c>
      <c r="D324" t="s">
        <v>397</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constants'!$A$4:$B$1012,2,FALSE)</f>
        <v>DLC_BASE_GAME</v>
      </c>
      <c r="L324" s="3" t="str">
        <f>VLOOKUP(J324,'LibSets constants'!$A$4:$C$1012,3,FALSE)</f>
        <v>Included in base game</v>
      </c>
    </row>
    <row r="325" spans="1:12" x14ac:dyDescent="0.25">
      <c r="A325" s="5">
        <v>553</v>
      </c>
      <c r="B325" s="5">
        <v>320</v>
      </c>
      <c r="C325" s="5">
        <v>108</v>
      </c>
      <c r="D325" t="s">
        <v>398</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constants'!$A$4:$B$1012,2,FALSE)</f>
        <v>DLC_BASE_GAME</v>
      </c>
      <c r="L325" s="3" t="str">
        <f>VLOOKUP(J325,'LibSets constants'!$A$4:$C$1012,3,FALSE)</f>
        <v>Included in base game</v>
      </c>
    </row>
    <row r="326" spans="1:12" x14ac:dyDescent="0.25">
      <c r="A326" s="5">
        <v>554</v>
      </c>
      <c r="B326" s="5">
        <v>321</v>
      </c>
      <c r="C326" s="5">
        <v>108</v>
      </c>
      <c r="D326" t="s">
        <v>399</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constants'!$A$4:$B$1012,2,FALSE)</f>
        <v>DLC_BASE_GAME</v>
      </c>
      <c r="L326" s="3" t="str">
        <f>VLOOKUP(J326,'LibSets constants'!$A$4:$C$1012,3,FALSE)</f>
        <v>Included in base game</v>
      </c>
    </row>
    <row r="327" spans="1:12" x14ac:dyDescent="0.25">
      <c r="A327" s="5">
        <v>555</v>
      </c>
      <c r="B327" s="5">
        <v>322</v>
      </c>
      <c r="C327" s="5">
        <v>108</v>
      </c>
      <c r="D327" t="s">
        <v>400</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constants'!$A$4:$B$1012,2,FALSE)</f>
        <v>DLC_BASE_GAME</v>
      </c>
      <c r="L327" s="3" t="str">
        <f>VLOOKUP(J327,'LibSets constants'!$A$4:$C$1012,3,FALSE)</f>
        <v>Included in base game</v>
      </c>
    </row>
    <row r="328" spans="1:12" x14ac:dyDescent="0.25">
      <c r="A328" s="5">
        <v>556</v>
      </c>
      <c r="B328" s="5">
        <v>323</v>
      </c>
      <c r="C328" s="5">
        <v>108</v>
      </c>
      <c r="D328" t="s">
        <v>401</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constants'!$A$4:$B$1012,2,FALSE)</f>
        <v>DLC_BASE_GAME</v>
      </c>
      <c r="L328" s="3" t="str">
        <f>VLOOKUP(J328,'LibSets constants'!$A$4:$C$1012,3,FALSE)</f>
        <v>Included in base game</v>
      </c>
    </row>
    <row r="329" spans="1:12" x14ac:dyDescent="0.25">
      <c r="A329" s="5">
        <v>557</v>
      </c>
      <c r="B329" s="5">
        <v>324</v>
      </c>
      <c r="C329" s="5">
        <v>347</v>
      </c>
      <c r="D329" t="s">
        <v>402</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constants'!$A$4:$B$1012,2,FALSE)</f>
        <v>DLC_BASE_GAME</v>
      </c>
      <c r="L329" s="3" t="str">
        <f>VLOOKUP(J329,'LibSets constants'!$A$4:$C$1012,3,FALSE)</f>
        <v>Included in base game</v>
      </c>
    </row>
    <row r="330" spans="1:12" x14ac:dyDescent="0.25">
      <c r="A330" s="5">
        <v>558</v>
      </c>
      <c r="B330" s="5">
        <v>325</v>
      </c>
      <c r="C330" s="5">
        <v>108</v>
      </c>
      <c r="D330" t="s">
        <v>403</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constants'!$A$4:$B$1012,2,FALSE)</f>
        <v>DLC_BASE_GAME</v>
      </c>
      <c r="L330" s="3" t="str">
        <f>VLOOKUP(J330,'LibSets constants'!$A$4:$C$1012,3,FALSE)</f>
        <v>Included in base game</v>
      </c>
    </row>
    <row r="331" spans="1:12" x14ac:dyDescent="0.25">
      <c r="A331" s="5">
        <v>559</v>
      </c>
      <c r="B331" s="5">
        <v>326</v>
      </c>
      <c r="C331" s="5">
        <v>108</v>
      </c>
      <c r="D331" t="s">
        <v>404</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constants'!$A$4:$B$1012,2,FALSE)</f>
        <v>DLC_BASE_GAME</v>
      </c>
      <c r="L331" s="3" t="str">
        <f>VLOOKUP(J331,'LibSets constants'!$A$4:$C$1012,3,FALSE)</f>
        <v>Included in base game</v>
      </c>
    </row>
    <row r="332" spans="1:12" x14ac:dyDescent="0.25">
      <c r="A332" s="5">
        <v>560</v>
      </c>
      <c r="B332" s="5">
        <v>327</v>
      </c>
      <c r="C332" s="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constants'!$A$4:$B$1012,2,FALSE)</f>
        <v>DLC_BASE_GAME</v>
      </c>
      <c r="L332" s="3" t="str">
        <f>VLOOKUP(J332,'LibSets constants'!$A$4:$C$1012,3,FALSE)</f>
        <v>Included in base game</v>
      </c>
    </row>
    <row r="333" spans="1:12" x14ac:dyDescent="0.25">
      <c r="A333" s="5">
        <v>561</v>
      </c>
      <c r="B333" s="5">
        <v>328</v>
      </c>
      <c r="C333" s="5">
        <v>108</v>
      </c>
      <c r="D333" t="s">
        <v>405</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constants'!$A$4:$B$1012,2,FALSE)</f>
        <v>DLC_BASE_GAME</v>
      </c>
      <c r="L333" s="3" t="str">
        <f>VLOOKUP(J333,'LibSets constants'!$A$4:$C$1012,3,FALSE)</f>
        <v>Included in base game</v>
      </c>
    </row>
    <row r="334" spans="1:12" x14ac:dyDescent="0.25">
      <c r="A334" s="5">
        <v>562</v>
      </c>
      <c r="B334" s="5">
        <v>329</v>
      </c>
      <c r="C334" s="5">
        <v>382</v>
      </c>
      <c r="D334" t="s">
        <v>406</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constants'!$A$4:$B$1012,2,FALSE)</f>
        <v>DLC_BASE_GAME</v>
      </c>
      <c r="L334" s="3" t="str">
        <f>VLOOKUP(J334,'LibSets constants'!$A$4:$C$1012,3,FALSE)</f>
        <v>Included in base game</v>
      </c>
    </row>
    <row r="335" spans="1:12" x14ac:dyDescent="0.25">
      <c r="A335" s="5">
        <v>565</v>
      </c>
      <c r="B335" s="5">
        <v>330</v>
      </c>
      <c r="C335" s="5">
        <v>382</v>
      </c>
      <c r="D335" t="s">
        <v>407</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constants'!$A$4:$B$1012,2,FALSE)</f>
        <v>DLC_BASE_GAME</v>
      </c>
      <c r="L335" s="3" t="str">
        <f>VLOOKUP(J335,'LibSets constants'!$A$4:$C$1012,3,FALSE)</f>
        <v>Included in base game</v>
      </c>
    </row>
    <row r="336" spans="1:12" x14ac:dyDescent="0.25">
      <c r="A336" s="5">
        <v>566</v>
      </c>
      <c r="B336" s="5">
        <v>331</v>
      </c>
      <c r="C336" s="5">
        <v>3</v>
      </c>
      <c r="D336" t="s">
        <v>408</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constants'!$A$4:$B$1012,2,FALSE)</f>
        <v>DLC_BASE_GAME</v>
      </c>
      <c r="L336" s="3" t="str">
        <f>VLOOKUP(J336,'LibSets constants'!$A$4:$C$1012,3,FALSE)</f>
        <v>Included in base game</v>
      </c>
    </row>
    <row r="337" spans="1:12" x14ac:dyDescent="0.25">
      <c r="A337" s="5">
        <v>567</v>
      </c>
      <c r="B337" s="5">
        <v>332</v>
      </c>
      <c r="C337" s="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constants'!$A$4:$B$1012,2,FALSE)</f>
        <v>DLC_BASE_GAME</v>
      </c>
      <c r="L337" s="3" t="str">
        <f>VLOOKUP(J337,'LibSets constants'!$A$4:$C$1012,3,FALSE)</f>
        <v>Included in base game</v>
      </c>
    </row>
    <row r="338" spans="1:12" x14ac:dyDescent="0.25">
      <c r="A338" s="5">
        <v>569</v>
      </c>
      <c r="B338" s="5">
        <v>333</v>
      </c>
      <c r="C338" s="5">
        <v>104</v>
      </c>
      <c r="D338" t="s">
        <v>409</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constants'!$A$4:$B$1012,2,FALSE)</f>
        <v>DLC_BASE_GAME</v>
      </c>
      <c r="L338" s="3" t="str">
        <f>VLOOKUP(J338,'LibSets constants'!$A$4:$C$1012,3,FALSE)</f>
        <v>Included in base game</v>
      </c>
    </row>
    <row r="339" spans="1:12" x14ac:dyDescent="0.25">
      <c r="A339" s="5">
        <v>570</v>
      </c>
      <c r="B339" s="5">
        <v>334</v>
      </c>
      <c r="C339" s="5">
        <v>104</v>
      </c>
      <c r="D339" t="s">
        <v>410</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constants'!$A$4:$B$1012,2,FALSE)</f>
        <v>DLC_MORROWIND</v>
      </c>
      <c r="L339" s="3" t="str">
        <f>VLOOKUP(J339,'LibSets constants'!$A$4:$C$1012,3,FALSE)</f>
        <v>Morrowind</v>
      </c>
    </row>
    <row r="340" spans="1:12" x14ac:dyDescent="0.25">
      <c r="A340" s="5">
        <v>571</v>
      </c>
      <c r="B340" s="5">
        <v>335</v>
      </c>
      <c r="C340" s="5">
        <v>104</v>
      </c>
      <c r="D340" t="s">
        <v>411</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constants'!$A$4:$B$1012,2,FALSE)</f>
        <v>DLC_MORROWIND</v>
      </c>
      <c r="L340" s="3" t="str">
        <f>VLOOKUP(J340,'LibSets constants'!$A$4:$C$1012,3,FALSE)</f>
        <v>Morrowind</v>
      </c>
    </row>
    <row r="341" spans="1:12" x14ac:dyDescent="0.25">
      <c r="A341" s="5">
        <v>572</v>
      </c>
      <c r="B341" s="5">
        <v>336</v>
      </c>
      <c r="C341" s="5">
        <v>572</v>
      </c>
      <c r="D341" t="s">
        <v>412</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constants'!$A$4:$B$1012,2,FALSE)</f>
        <v>DLC_MORROWIND</v>
      </c>
      <c r="L341" s="3" t="str">
        <f>VLOOKUP(J341,'LibSets constants'!$A$4:$C$1012,3,FALSE)</f>
        <v>Morrowind</v>
      </c>
    </row>
    <row r="342" spans="1:12" x14ac:dyDescent="0.25">
      <c r="A342" s="5">
        <v>573</v>
      </c>
      <c r="B342" s="5">
        <v>337</v>
      </c>
      <c r="C342" s="5">
        <v>199</v>
      </c>
      <c r="D342" t="s">
        <v>413</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constants'!$A$4:$B$1012,2,FALSE)</f>
        <v>DLC_MORROWIND</v>
      </c>
      <c r="L342" s="3" t="str">
        <f>VLOOKUP(J342,'LibSets constants'!$A$4:$C$1012,3,FALSE)</f>
        <v>Morrowind</v>
      </c>
    </row>
    <row r="343" spans="1:12" x14ac:dyDescent="0.25">
      <c r="A343" s="5">
        <v>574</v>
      </c>
      <c r="B343" s="5">
        <v>338</v>
      </c>
      <c r="C343" s="5">
        <v>199</v>
      </c>
      <c r="D343" t="s">
        <v>414</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constants'!$A$4:$B$1012,2,FALSE)</f>
        <v>DLC_MORROWIND</v>
      </c>
      <c r="L343" s="3" t="str">
        <f>VLOOKUP(J343,'LibSets constants'!$A$4:$C$1012,3,FALSE)</f>
        <v>Morrowind</v>
      </c>
    </row>
    <row r="344" spans="1:12" x14ac:dyDescent="0.25">
      <c r="A344" s="5">
        <v>575</v>
      </c>
      <c r="B344" s="5">
        <v>339</v>
      </c>
      <c r="C344" s="5">
        <v>108</v>
      </c>
      <c r="D344" t="s">
        <v>415</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constants'!$A$4:$B$1012,2,FALSE)</f>
        <v>DLC_MORROWIND</v>
      </c>
      <c r="L344" s="3" t="str">
        <f>VLOOKUP(J344,'LibSets constants'!$A$4:$C$1012,3,FALSE)</f>
        <v>Morrowind</v>
      </c>
    </row>
    <row r="345" spans="1:12" x14ac:dyDescent="0.25">
      <c r="A345" s="5">
        <v>576</v>
      </c>
      <c r="B345" s="5">
        <v>340</v>
      </c>
      <c r="C345" s="5">
        <v>108</v>
      </c>
      <c r="D345" t="s">
        <v>416</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constants'!$A$4:$B$1012,2,FALSE)</f>
        <v>DLC_MORROWIND</v>
      </c>
      <c r="L345" s="3" t="str">
        <f>VLOOKUP(J345,'LibSets constants'!$A$4:$C$1012,3,FALSE)</f>
        <v>Morrowind</v>
      </c>
    </row>
    <row r="346" spans="1:12" x14ac:dyDescent="0.25">
      <c r="A346" s="5">
        <v>577</v>
      </c>
      <c r="B346" s="5">
        <v>341</v>
      </c>
      <c r="C346" s="5">
        <v>108</v>
      </c>
      <c r="D346" t="s">
        <v>417</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constants'!$A$4:$B$1012,2,FALSE)</f>
        <v>DLC_MORROWIND</v>
      </c>
      <c r="L346" s="3" t="str">
        <f>VLOOKUP(J346,'LibSets constants'!$A$4:$C$1012,3,FALSE)</f>
        <v>Morrowind</v>
      </c>
    </row>
    <row r="347" spans="1:12" x14ac:dyDescent="0.25">
      <c r="A347" s="5">
        <v>578</v>
      </c>
      <c r="B347" s="5">
        <v>342</v>
      </c>
      <c r="C347" s="5">
        <v>108</v>
      </c>
      <c r="D347" t="s">
        <v>418</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constants'!$A$4:$B$1012,2,FALSE)</f>
        <v>DLC_MORROWIND</v>
      </c>
      <c r="L347" s="3" t="str">
        <f>VLOOKUP(J347,'LibSets constants'!$A$4:$C$1012,3,FALSE)</f>
        <v>Morrowind</v>
      </c>
    </row>
    <row r="348" spans="1:12" x14ac:dyDescent="0.25">
      <c r="A348" s="5">
        <v>579</v>
      </c>
      <c r="B348" s="5">
        <v>343</v>
      </c>
      <c r="C348" s="5">
        <v>108</v>
      </c>
      <c r="D348" t="s">
        <v>419</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constants'!$A$4:$B$1012,2,FALSE)</f>
        <v>DLC_MORROWIND</v>
      </c>
      <c r="L348" s="3" t="str">
        <f>VLOOKUP(J348,'LibSets constants'!$A$4:$C$1012,3,FALSE)</f>
        <v>Morrowind</v>
      </c>
    </row>
    <row r="349" spans="1:12" x14ac:dyDescent="0.25">
      <c r="A349" s="5">
        <v>580</v>
      </c>
      <c r="B349" s="5">
        <v>344</v>
      </c>
      <c r="C349" s="5">
        <v>108</v>
      </c>
      <c r="D349" t="s">
        <v>420</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constants'!$A$4:$B$1012,2,FALSE)</f>
        <v>DLC_MORROWIND</v>
      </c>
      <c r="L349" s="3" t="str">
        <f>VLOOKUP(J349,'LibSets constants'!$A$4:$C$1012,3,FALSE)</f>
        <v>Morrowind</v>
      </c>
    </row>
    <row r="350" spans="1:12" x14ac:dyDescent="0.25">
      <c r="A350" s="5">
        <v>581</v>
      </c>
      <c r="B350" s="5">
        <v>345</v>
      </c>
      <c r="C350" s="5">
        <v>199</v>
      </c>
      <c r="D350" t="s">
        <v>421</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constants'!$A$4:$B$1012,2,FALSE)</f>
        <v>DLC_MORROWIND</v>
      </c>
      <c r="L350" s="3" t="str">
        <f>VLOOKUP(J350,'LibSets constants'!$A$4:$C$1012,3,FALSE)</f>
        <v>Morrowind</v>
      </c>
    </row>
    <row r="351" spans="1:12" x14ac:dyDescent="0.25">
      <c r="A351" s="5">
        <v>582</v>
      </c>
      <c r="B351" s="5">
        <v>346</v>
      </c>
      <c r="C351" s="5">
        <v>381</v>
      </c>
      <c r="D351" t="s">
        <v>422</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constants'!$A$4:$B$1012,2,FALSE)</f>
        <v>DLC_BASE_GAME</v>
      </c>
      <c r="L351" s="3" t="str">
        <f>VLOOKUP(J351,'LibSets constants'!$A$4:$C$1012,3,FALSE)</f>
        <v>Included in base game</v>
      </c>
    </row>
    <row r="352" spans="1:12" x14ac:dyDescent="0.25">
      <c r="A352" s="5">
        <v>584</v>
      </c>
      <c r="B352" s="5">
        <v>347</v>
      </c>
      <c r="C352" s="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constants'!$A$4:$B$1012,2,FALSE)</f>
        <v>DLC_BASE_GAME</v>
      </c>
      <c r="L352" s="3" t="str">
        <f>VLOOKUP(J352,'LibSets constants'!$A$4:$C$1012,3,FALSE)</f>
        <v>Included in base game</v>
      </c>
    </row>
    <row r="353" spans="1:12" x14ac:dyDescent="0.25">
      <c r="A353" s="5">
        <v>585</v>
      </c>
      <c r="B353" s="5">
        <v>348</v>
      </c>
      <c r="C353" s="5">
        <v>92</v>
      </c>
      <c r="D353" t="s">
        <v>423</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constants'!$A$4:$B$1012,2,FALSE)</f>
        <v>DLC_BASE_GAME</v>
      </c>
      <c r="L353" s="3" t="str">
        <f>VLOOKUP(J353,'LibSets constants'!$A$4:$C$1012,3,FALSE)</f>
        <v>Included in base game</v>
      </c>
    </row>
    <row r="354" spans="1:12" x14ac:dyDescent="0.25">
      <c r="A354" s="5">
        <v>586</v>
      </c>
      <c r="B354" s="5">
        <v>349</v>
      </c>
      <c r="C354" s="5">
        <v>586</v>
      </c>
      <c r="D354" t="s">
        <v>424</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constants'!$A$4:$B$1012,2,FALSE)</f>
        <v>DLC_BASE_GAME</v>
      </c>
      <c r="L354" s="3" t="str">
        <f>VLOOKUP(J354,'LibSets constants'!$A$4:$C$1012,3,FALSE)</f>
        <v>Included in base game</v>
      </c>
    </row>
    <row r="355" spans="1:12" x14ac:dyDescent="0.25">
      <c r="A355" s="5">
        <v>587</v>
      </c>
      <c r="B355" s="5">
        <v>350</v>
      </c>
      <c r="C355" s="5">
        <v>20</v>
      </c>
      <c r="D355" t="s">
        <v>425</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constants'!$A$4:$B$1012,2,FALSE)</f>
        <v>DLC_BASE_GAME</v>
      </c>
      <c r="L355" s="3" t="str">
        <f>VLOOKUP(J355,'LibSets constants'!$A$4:$C$1012,3,FALSE)</f>
        <v>Included in base game</v>
      </c>
    </row>
    <row r="356" spans="1:12" x14ac:dyDescent="0.25">
      <c r="A356" s="5">
        <v>588</v>
      </c>
      <c r="B356" s="5">
        <v>351</v>
      </c>
      <c r="C356" s="5">
        <v>20</v>
      </c>
      <c r="D356" t="s">
        <v>426</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constants'!$A$4:$B$1012,2,FALSE)</f>
        <v>DLC_BASE_GAME</v>
      </c>
      <c r="L356" s="3" t="str">
        <f>VLOOKUP(J356,'LibSets constants'!$A$4:$C$1012,3,FALSE)</f>
        <v>Included in base game</v>
      </c>
    </row>
    <row r="357" spans="1:12" x14ac:dyDescent="0.25">
      <c r="A357" s="5">
        <v>589</v>
      </c>
      <c r="B357" s="5">
        <v>352</v>
      </c>
      <c r="C357" s="5">
        <v>20</v>
      </c>
      <c r="D357" t="s">
        <v>427</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constants'!$A$4:$B$1012,2,FALSE)</f>
        <v>DLC_BASE_GAME</v>
      </c>
      <c r="L357" s="3" t="str">
        <f>VLOOKUP(J357,'LibSets constants'!$A$4:$C$1012,3,FALSE)</f>
        <v>Included in base game</v>
      </c>
    </row>
    <row r="358" spans="1:12" x14ac:dyDescent="0.25">
      <c r="A358" s="5">
        <v>590</v>
      </c>
      <c r="B358" s="5">
        <v>353</v>
      </c>
      <c r="C358" s="5">
        <v>20</v>
      </c>
      <c r="D358" t="s">
        <v>428</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constants'!$A$4:$B$1012,2,FALSE)</f>
        <v>DLC_BASE_GAME</v>
      </c>
      <c r="L358" s="3" t="str">
        <f>VLOOKUP(J358,'LibSets constants'!$A$4:$C$1012,3,FALSE)</f>
        <v>Included in base game</v>
      </c>
    </row>
    <row r="359" spans="1:12" x14ac:dyDescent="0.25">
      <c r="A359" s="5">
        <v>591</v>
      </c>
      <c r="B359" s="5">
        <v>354</v>
      </c>
      <c r="C359" s="5">
        <v>20</v>
      </c>
      <c r="D359" t="s">
        <v>429</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constants'!$A$4:$B$1012,2,FALSE)</f>
        <v>DLC_BASE_GAME</v>
      </c>
      <c r="L359" s="3" t="str">
        <f>VLOOKUP(J359,'LibSets constants'!$A$4:$C$1012,3,FALSE)</f>
        <v>Included in base game</v>
      </c>
    </row>
    <row r="360" spans="1:12" x14ac:dyDescent="0.25">
      <c r="A360" s="5">
        <v>592</v>
      </c>
      <c r="B360" s="5">
        <v>355</v>
      </c>
      <c r="C360" s="5">
        <v>20</v>
      </c>
      <c r="D360" t="s">
        <v>430</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constants'!$A$4:$B$1012,2,FALSE)</f>
        <v>DLC_BASE_GAME</v>
      </c>
      <c r="L360" s="3" t="str">
        <f>VLOOKUP(J360,'LibSets constants'!$A$4:$C$1012,3,FALSE)</f>
        <v>Included in base game</v>
      </c>
    </row>
    <row r="361" spans="1:12" x14ac:dyDescent="0.25">
      <c r="A361" s="5">
        <v>593</v>
      </c>
      <c r="B361" s="5">
        <v>356</v>
      </c>
      <c r="C361" s="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constants'!$A$4:$B$1012,2,FALSE)</f>
        <v>DLC_BASE_GAME</v>
      </c>
      <c r="L361" s="3" t="str">
        <f>VLOOKUP(J361,'LibSets constants'!$A$4:$C$1012,3,FALSE)</f>
        <v>Included in base game</v>
      </c>
    </row>
    <row r="362" spans="1:12" x14ac:dyDescent="0.25">
      <c r="A362" s="5">
        <v>594</v>
      </c>
      <c r="B362" s="5">
        <v>357</v>
      </c>
      <c r="C362" s="5">
        <v>92</v>
      </c>
      <c r="D362" t="s">
        <v>431</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constants'!$A$4:$B$1012,2,FALSE)</f>
        <v>DLC_BASE_GAME</v>
      </c>
      <c r="L362" s="3" t="str">
        <f>VLOOKUP(J362,'LibSets constants'!$A$4:$C$1012,3,FALSE)</f>
        <v>Included in base game</v>
      </c>
    </row>
    <row r="363" spans="1:12" x14ac:dyDescent="0.25">
      <c r="A363" s="5">
        <v>595</v>
      </c>
      <c r="B363" s="5">
        <v>358</v>
      </c>
      <c r="C363" s="5">
        <v>208</v>
      </c>
      <c r="D363" t="s">
        <v>432</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constants'!$A$4:$B$1012,2,FALSE)</f>
        <v>DLC_BASE_GAME</v>
      </c>
      <c r="L363" s="3" t="str">
        <f>VLOOKUP(J363,'LibSets constants'!$A$4:$C$1012,3,FALSE)</f>
        <v>Included in base game</v>
      </c>
    </row>
    <row r="364" spans="1:12" x14ac:dyDescent="0.25">
      <c r="A364" s="5">
        <v>596</v>
      </c>
      <c r="B364" s="5">
        <v>359</v>
      </c>
      <c r="C364" s="5">
        <v>103</v>
      </c>
      <c r="D364" t="s">
        <v>433</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constants'!$A$4:$B$1012,2,FALSE)</f>
        <v>DLC_BASE_GAME</v>
      </c>
      <c r="L364" s="3" t="str">
        <f>VLOOKUP(J364,'LibSets constants'!$A$4:$C$1012,3,FALSE)</f>
        <v>Included in base game</v>
      </c>
    </row>
    <row r="365" spans="1:12" x14ac:dyDescent="0.25">
      <c r="A365" s="5">
        <v>598</v>
      </c>
      <c r="B365" s="5">
        <v>360</v>
      </c>
      <c r="C365" s="5">
        <v>199</v>
      </c>
      <c r="D365" t="s">
        <v>434</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constants'!$A$4:$B$1012,2,FALSE)</f>
        <v>DLC_MORROWIND</v>
      </c>
      <c r="L365" s="3" t="str">
        <f>VLOOKUP(J365,'LibSets constants'!$A$4:$C$1012,3,FALSE)</f>
        <v>Morrowind</v>
      </c>
    </row>
    <row r="366" spans="1:12" x14ac:dyDescent="0.25">
      <c r="A366" s="5">
        <v>599</v>
      </c>
      <c r="B366" s="5">
        <v>361</v>
      </c>
      <c r="C366" s="5">
        <v>572</v>
      </c>
      <c r="D366" t="s">
        <v>435</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constants'!$A$4:$B$1012,2,FALSE)</f>
        <v>DLC_MORROWIND</v>
      </c>
      <c r="L366" s="3" t="str">
        <f>VLOOKUP(J366,'LibSets constants'!$A$4:$C$1012,3,FALSE)</f>
        <v>Morrowind</v>
      </c>
    </row>
    <row r="367" spans="1:12" x14ac:dyDescent="0.25">
      <c r="A367" s="5">
        <v>600</v>
      </c>
      <c r="B367" s="5">
        <v>362</v>
      </c>
      <c r="C367" s="5">
        <v>572</v>
      </c>
      <c r="D367" t="s">
        <v>436</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constants'!$A$4:$B$1012,2,FALSE)</f>
        <v>DLC_MORROWIND</v>
      </c>
      <c r="L367" s="3" t="str">
        <f>VLOOKUP(J367,'LibSets constants'!$A$4:$C$1012,3,FALSE)</f>
        <v>Morrowind</v>
      </c>
    </row>
    <row r="368" spans="1:12" x14ac:dyDescent="0.25">
      <c r="A368" s="5">
        <v>601</v>
      </c>
      <c r="B368" s="5">
        <v>363</v>
      </c>
      <c r="C368" s="5">
        <v>572</v>
      </c>
      <c r="D368" t="s">
        <v>437</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constants'!$A$4:$B$1012,2,FALSE)</f>
        <v>DLC_MORROWIND</v>
      </c>
      <c r="L368" s="3" t="str">
        <f>VLOOKUP(J368,'LibSets constants'!$A$4:$C$1012,3,FALSE)</f>
        <v>Morrowind</v>
      </c>
    </row>
    <row r="369" spans="1:12" x14ac:dyDescent="0.25">
      <c r="A369" s="5">
        <v>628</v>
      </c>
      <c r="B369" s="5">
        <v>364</v>
      </c>
      <c r="C369" s="5">
        <v>20</v>
      </c>
      <c r="D369" t="s">
        <v>426</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constants'!$A$4:$B$1012,2,FALSE)</f>
        <v>DLC_MORROWIND</v>
      </c>
      <c r="L369" s="3" t="str">
        <f>VLOOKUP(J369,'LibSets constants'!$A$4:$C$1012,3,FALSE)</f>
        <v>Morrowind</v>
      </c>
    </row>
    <row r="370" spans="1:12" x14ac:dyDescent="0.25">
      <c r="A370" s="5">
        <v>632</v>
      </c>
      <c r="B370" s="5">
        <v>365</v>
      </c>
      <c r="C370" s="5">
        <v>888</v>
      </c>
      <c r="D370" t="s">
        <v>438</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constants'!$A$4:$B$1012,2,FALSE)</f>
        <v>DLC_CLOCKWORK_CITY</v>
      </c>
      <c r="L370" s="3" t="str">
        <f>VLOOKUP(J370,'LibSets constants'!$A$4:$C$1012,3,FALSE)</f>
        <v>Clockwork City</v>
      </c>
    </row>
    <row r="371" spans="1:12" x14ac:dyDescent="0.25">
      <c r="A371" s="5">
        <v>635</v>
      </c>
      <c r="B371" s="5">
        <v>366</v>
      </c>
      <c r="C371" s="5">
        <v>888</v>
      </c>
      <c r="D371" t="s">
        <v>439</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constants'!$A$4:$B$1012,2,FALSE)</f>
        <v>DLC_CLOCKWORK_CITY</v>
      </c>
      <c r="L371" s="3" t="str">
        <f>VLOOKUP(J371,'LibSets constants'!$A$4:$C$1012,3,FALSE)</f>
        <v>Clockwork City</v>
      </c>
    </row>
    <row r="372" spans="1:12" x14ac:dyDescent="0.25">
      <c r="A372" s="5">
        <v>636</v>
      </c>
      <c r="B372" s="5">
        <v>367</v>
      </c>
      <c r="C372" s="5">
        <v>888</v>
      </c>
      <c r="D372" t="s">
        <v>440</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constants'!$A$4:$B$1012,2,FALSE)</f>
        <v>DLC_CLOCKWORK_CITY</v>
      </c>
      <c r="L372" s="3" t="str">
        <f>VLOOKUP(J372,'LibSets constants'!$A$4:$C$1012,3,FALSE)</f>
        <v>Clockwork City</v>
      </c>
    </row>
    <row r="373" spans="1:12" x14ac:dyDescent="0.25">
      <c r="A373" s="5">
        <v>637</v>
      </c>
      <c r="B373" s="5">
        <v>368</v>
      </c>
      <c r="C373" s="5">
        <v>57</v>
      </c>
      <c r="D373" t="s">
        <v>441</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constants'!$A$4:$B$1012,2,FALSE)</f>
        <v>DLC_CLOCKWORK_CITY</v>
      </c>
      <c r="L373" s="3" t="str">
        <f>VLOOKUP(J373,'LibSets constants'!$A$4:$C$1012,3,FALSE)</f>
        <v>Clockwork City</v>
      </c>
    </row>
    <row r="374" spans="1:12" x14ac:dyDescent="0.25">
      <c r="A374" s="5">
        <v>638</v>
      </c>
      <c r="B374" s="5">
        <v>369</v>
      </c>
      <c r="C374" s="5">
        <v>888</v>
      </c>
      <c r="D374" t="s">
        <v>442</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constants'!$A$4:$B$1012,2,FALSE)</f>
        <v>DLC_CLOCKWORK_CITY</v>
      </c>
      <c r="L374" s="3" t="str">
        <f>VLOOKUP(J374,'LibSets constants'!$A$4:$C$1012,3,FALSE)</f>
        <v>Clockwork City</v>
      </c>
    </row>
    <row r="375" spans="1:12" x14ac:dyDescent="0.25">
      <c r="A375" s="5">
        <v>639</v>
      </c>
      <c r="B375" s="5">
        <v>370</v>
      </c>
      <c r="C375" s="5">
        <v>888</v>
      </c>
      <c r="D375" t="s">
        <v>443</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constants'!$A$4:$B$1012,2,FALSE)</f>
        <v>DLC_CLOCKWORK_CITY</v>
      </c>
      <c r="L375" s="3" t="str">
        <f>VLOOKUP(J375,'LibSets constants'!$A$4:$C$1012,3,FALSE)</f>
        <v>Clockwork City</v>
      </c>
    </row>
    <row r="376" spans="1:12" x14ac:dyDescent="0.25">
      <c r="A376" s="5">
        <v>640</v>
      </c>
      <c r="B376" s="5">
        <v>371</v>
      </c>
      <c r="C376" s="5">
        <v>19</v>
      </c>
      <c r="D376" t="s">
        <v>444</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constants'!$A$4:$B$1012,2,FALSE)</f>
        <v>DLC_CLOCKWORK_CITY</v>
      </c>
      <c r="L376" s="3" t="str">
        <f>VLOOKUP(J376,'LibSets constants'!$A$4:$C$1012,3,FALSE)</f>
        <v>Clockwork City</v>
      </c>
    </row>
    <row r="377" spans="1:12" x14ac:dyDescent="0.25">
      <c r="A377" s="5">
        <v>641</v>
      </c>
      <c r="B377" s="5">
        <v>372</v>
      </c>
      <c r="C377" s="5">
        <v>3</v>
      </c>
      <c r="D377" t="s">
        <v>445</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constants'!$A$4:$B$1012,2,FALSE)</f>
        <v>DLC_CLOCKWORK_CITY</v>
      </c>
      <c r="L377" s="3" t="str">
        <f>VLOOKUP(J377,'LibSets constants'!$A$4:$C$1012,3,FALSE)</f>
        <v>Clockwork City</v>
      </c>
    </row>
    <row r="378" spans="1:12" x14ac:dyDescent="0.25">
      <c r="A378" s="5">
        <v>642</v>
      </c>
      <c r="B378" s="5">
        <v>373</v>
      </c>
      <c r="C378" s="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constants'!$A$4:$B$1012,2,FALSE)</f>
        <v>DLC_CLOCKWORK_CITY</v>
      </c>
      <c r="L378" s="3" t="str">
        <f>VLOOKUP(J378,'LibSets constants'!$A$4:$C$1012,3,FALSE)</f>
        <v>Clockwork City</v>
      </c>
    </row>
    <row r="379" spans="1:12" x14ac:dyDescent="0.25">
      <c r="A379" s="5">
        <v>643</v>
      </c>
      <c r="B379" s="5">
        <v>374</v>
      </c>
      <c r="C379" s="5">
        <v>584</v>
      </c>
      <c r="D379" t="s">
        <v>446</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constants'!$A$4:$B$1012,2,FALSE)</f>
        <v>DLC_MORROWIND</v>
      </c>
      <c r="L379" s="3" t="str">
        <f>VLOOKUP(J379,'LibSets constants'!$A$4:$C$1012,3,FALSE)</f>
        <v>Morrowind</v>
      </c>
    </row>
    <row r="380" spans="1:12" x14ac:dyDescent="0.25">
      <c r="A380" s="5">
        <v>649</v>
      </c>
      <c r="B380" s="5">
        <v>375</v>
      </c>
      <c r="C380" s="5">
        <v>584</v>
      </c>
      <c r="D380" t="s">
        <v>447</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constants'!$A$4:$B$1012,2,FALSE)</f>
        <v>DLC_CLOCKWORK_CITY</v>
      </c>
      <c r="L380" s="3" t="str">
        <f>VLOOKUP(J380,'LibSets constants'!$A$4:$C$1012,3,FALSE)</f>
        <v>Clockwork City</v>
      </c>
    </row>
    <row r="381" spans="1:12" x14ac:dyDescent="0.25">
      <c r="A381" s="5">
        <v>676</v>
      </c>
      <c r="B381" s="5">
        <v>376</v>
      </c>
      <c r="C381" s="5">
        <v>816</v>
      </c>
      <c r="D381" t="s">
        <v>448</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constants'!$A$4:$B$1012,2,FALSE)</f>
        <v>DLC_SUMMERSET</v>
      </c>
      <c r="L381" s="3" t="str">
        <f>VLOOKUP(J381,'LibSets constants'!$A$4:$C$1012,3,FALSE)</f>
        <v>Summerset</v>
      </c>
    </row>
    <row r="382" spans="1:12" x14ac:dyDescent="0.25">
      <c r="A382" s="5">
        <v>677</v>
      </c>
      <c r="B382" s="5">
        <v>377</v>
      </c>
      <c r="C382" s="5">
        <v>684</v>
      </c>
      <c r="D382" t="s">
        <v>449</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constants'!$A$4:$B$1012,2,FALSE)</f>
        <v>DLC_SUMMERSET</v>
      </c>
      <c r="L382" s="3" t="str">
        <f>VLOOKUP(J382,'LibSets constants'!$A$4:$C$1012,3,FALSE)</f>
        <v>Summerset</v>
      </c>
    </row>
    <row r="383" spans="1:12" x14ac:dyDescent="0.25">
      <c r="A383" s="5">
        <v>678</v>
      </c>
      <c r="B383" s="5">
        <v>378</v>
      </c>
      <c r="C383" s="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constants'!$A$4:$B$1012,2,FALSE)</f>
        <v>DLC_SUMMERSET</v>
      </c>
      <c r="L383" s="3" t="str">
        <f>VLOOKUP(J383,'LibSets constants'!$A$4:$C$1012,3,FALSE)</f>
        <v>Summerset</v>
      </c>
    </row>
    <row r="384" spans="1:12" x14ac:dyDescent="0.25">
      <c r="A384" s="5">
        <v>681</v>
      </c>
      <c r="B384" s="5">
        <v>379</v>
      </c>
      <c r="C384" s="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constants'!$A$4:$B$1012,2,FALSE)</f>
        <v>DLC_SUMMERSET</v>
      </c>
      <c r="L384" s="3" t="str">
        <f>VLOOKUP(J384,'LibSets constants'!$A$4:$C$1012,3,FALSE)</f>
        <v>Summerset</v>
      </c>
    </row>
    <row r="385" spans="1:12" x14ac:dyDescent="0.25">
      <c r="A385" s="5">
        <v>684</v>
      </c>
      <c r="B385" s="5">
        <v>380</v>
      </c>
      <c r="C385" s="5">
        <v>684</v>
      </c>
      <c r="D385" t="s">
        <v>450</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constants'!$A$4:$B$1012,2,FALSE)</f>
        <v>DLC_SUMMERSET</v>
      </c>
      <c r="L385" s="3" t="str">
        <f>VLOOKUP(J385,'LibSets constants'!$A$4:$C$1012,3,FALSE)</f>
        <v>Summerset</v>
      </c>
    </row>
    <row r="386" spans="1:12" x14ac:dyDescent="0.25">
      <c r="A386" s="5">
        <v>688</v>
      </c>
      <c r="B386" s="5">
        <v>381</v>
      </c>
      <c r="C386" s="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constants'!$A$4:$B$1012,2,FALSE)</f>
        <v>DLC_CLOCKWORK_CITY</v>
      </c>
      <c r="L386" s="3" t="str">
        <f>VLOOKUP(J386,'LibSets constants'!$A$4:$C$1012,3,FALSE)</f>
        <v>Clockwork City</v>
      </c>
    </row>
    <row r="387" spans="1:12" x14ac:dyDescent="0.25">
      <c r="A387" s="5">
        <v>689</v>
      </c>
      <c r="B387" s="5">
        <v>382</v>
      </c>
      <c r="C387" s="5">
        <v>684</v>
      </c>
      <c r="D387" t="s">
        <v>451</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constants'!$A$4:$B$1012,2,FALSE)</f>
        <v>DLC_DARK_BROTHERHOOD</v>
      </c>
      <c r="L387" s="3" t="str">
        <f>VLOOKUP(J387,'LibSets constants'!$A$4:$C$1012,3,FALSE)</f>
        <v>Dark Brotherhood</v>
      </c>
    </row>
    <row r="388" spans="1:12" x14ac:dyDescent="0.25">
      <c r="A388" s="5">
        <v>691</v>
      </c>
      <c r="B388" s="5">
        <v>383</v>
      </c>
      <c r="C388" s="5">
        <v>684</v>
      </c>
      <c r="D388" t="s">
        <v>452</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constants'!$A$4:$B$1012,2,FALSE)</f>
        <v>DLC_SUMMERSET</v>
      </c>
      <c r="L388" s="3" t="str">
        <f>VLOOKUP(J388,'LibSets constants'!$A$4:$C$1012,3,FALSE)</f>
        <v>Summerset</v>
      </c>
    </row>
    <row r="389" spans="1:12" x14ac:dyDescent="0.25">
      <c r="A389" s="5">
        <v>692</v>
      </c>
      <c r="B389" s="5">
        <v>384</v>
      </c>
      <c r="C389" s="5">
        <v>684</v>
      </c>
      <c r="D389" t="s">
        <v>453</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constants'!$A$4:$B$1012,2,FALSE)</f>
        <v>DLC_SUMMERSET</v>
      </c>
      <c r="L389" s="3" t="str">
        <f>VLOOKUP(J389,'LibSets constants'!$A$4:$C$1012,3,FALSE)</f>
        <v>Summerset</v>
      </c>
    </row>
    <row r="390" spans="1:12" x14ac:dyDescent="0.25">
      <c r="A390" s="5">
        <v>693</v>
      </c>
      <c r="B390" s="5">
        <v>385</v>
      </c>
      <c r="C390" s="5">
        <v>684</v>
      </c>
      <c r="D390" t="s">
        <v>454</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constants'!$A$4:$B$1012,2,FALSE)</f>
        <v>DLC_SUMMERSET</v>
      </c>
      <c r="L390" s="3" t="str">
        <f>VLOOKUP(J390,'LibSets constants'!$A$4:$C$1012,3,FALSE)</f>
        <v>Summerset</v>
      </c>
    </row>
    <row r="391" spans="1:12" x14ac:dyDescent="0.25">
      <c r="A391" s="5">
        <v>694</v>
      </c>
      <c r="B391" s="5">
        <v>386</v>
      </c>
      <c r="C391" s="5">
        <v>684</v>
      </c>
      <c r="D391" t="s">
        <v>455</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constants'!$A$4:$B$1012,2,FALSE)</f>
        <v>DLC_SUMMERSET</v>
      </c>
      <c r="L391" s="3" t="str">
        <f>VLOOKUP(J391,'LibSets constants'!$A$4:$C$1012,3,FALSE)</f>
        <v>Summerset</v>
      </c>
    </row>
    <row r="392" spans="1:12" x14ac:dyDescent="0.25">
      <c r="A392" s="5">
        <v>695</v>
      </c>
      <c r="B392" s="5">
        <v>387</v>
      </c>
      <c r="C392" s="5">
        <v>684</v>
      </c>
      <c r="D392" t="s">
        <v>456</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constants'!$A$4:$B$1012,2,FALSE)</f>
        <v>DLC_WOLFHUNTER</v>
      </c>
      <c r="L392" s="3" t="str">
        <f>VLOOKUP(J392,'LibSets constants'!$A$4:$C$1012,3,FALSE)</f>
        <v>Wolfhunter</v>
      </c>
    </row>
    <row r="393" spans="1:12" x14ac:dyDescent="0.25">
      <c r="A393" s="5">
        <v>697</v>
      </c>
      <c r="B393" s="5">
        <v>388</v>
      </c>
      <c r="C393" s="5">
        <v>684</v>
      </c>
      <c r="D393" t="s">
        <v>457</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constants'!$A$4:$B$1012,2,FALSE)</f>
        <v>DLC_SUMMERSET</v>
      </c>
      <c r="L393" s="3" t="str">
        <f>VLOOKUP(J393,'LibSets constants'!$A$4:$C$1012,3,FALSE)</f>
        <v>Summerset</v>
      </c>
    </row>
    <row r="394" spans="1:12" x14ac:dyDescent="0.25">
      <c r="A394" s="5">
        <v>698</v>
      </c>
      <c r="B394" s="5">
        <v>389</v>
      </c>
      <c r="C394" s="5">
        <v>684</v>
      </c>
      <c r="D394" t="s">
        <v>458</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constants'!$A$4:$B$1012,2,FALSE)</f>
        <v>DLC_SUMMERSET</v>
      </c>
      <c r="L394" s="3" t="str">
        <f>VLOOKUP(J394,'LibSets constants'!$A$4:$C$1012,3,FALSE)</f>
        <v>Summerset</v>
      </c>
    </row>
    <row r="395" spans="1:12" x14ac:dyDescent="0.25">
      <c r="A395" s="5">
        <v>699</v>
      </c>
      <c r="B395" s="5">
        <v>390</v>
      </c>
      <c r="C395" s="5">
        <v>684</v>
      </c>
      <c r="D395" t="s">
        <v>459</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constants'!$A$4:$B$1012,2,FALSE)</f>
        <v>DLC_SUMMERSET</v>
      </c>
      <c r="L395" s="3" t="str">
        <f>VLOOKUP(J395,'LibSets constants'!$A$4:$C$1012,3,FALSE)</f>
        <v>Summerset</v>
      </c>
    </row>
    <row r="396" spans="1:12" x14ac:dyDescent="0.25">
      <c r="A396" s="5">
        <v>700</v>
      </c>
      <c r="B396" s="5">
        <v>391</v>
      </c>
      <c r="C396" s="5">
        <v>684</v>
      </c>
      <c r="D396" t="s">
        <v>460</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constants'!$A$4:$B$1012,2,FALSE)</f>
        <v>DLC_SUMMERSET</v>
      </c>
      <c r="L396" s="3" t="str">
        <f>VLOOKUP(J396,'LibSets constants'!$A$4:$C$1012,3,FALSE)</f>
        <v>Summerset</v>
      </c>
    </row>
    <row r="397" spans="1:12" x14ac:dyDescent="0.25">
      <c r="A397" s="5">
        <v>701</v>
      </c>
      <c r="B397" s="5">
        <v>392</v>
      </c>
      <c r="C397" s="5">
        <v>684</v>
      </c>
      <c r="D397" t="s">
        <v>461</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constants'!$A$4:$B$1012,2,FALSE)</f>
        <v>DLC_BASE_GAME</v>
      </c>
      <c r="L397" s="3" t="str">
        <f>VLOOKUP(J397,'LibSets constants'!$A$4:$C$1012,3,FALSE)</f>
        <v>Included in base game</v>
      </c>
    </row>
    <row r="398" spans="1:12" x14ac:dyDescent="0.25">
      <c r="A398" s="5">
        <v>702</v>
      </c>
      <c r="B398" s="5">
        <v>393</v>
      </c>
      <c r="C398" s="5">
        <v>684</v>
      </c>
      <c r="D398" t="s">
        <v>462</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constants'!$A$4:$B$1012,2,FALSE)</f>
        <v>DLC_ELSWEYR</v>
      </c>
      <c r="L398" s="3" t="str">
        <f>VLOOKUP(J398,'LibSets constants'!$A$4:$C$1012,3,FALSE)</f>
        <v>Elsweyr</v>
      </c>
    </row>
    <row r="399" spans="1:12" x14ac:dyDescent="0.25">
      <c r="A399" s="5">
        <v>703</v>
      </c>
      <c r="B399" s="5">
        <v>394</v>
      </c>
      <c r="C399" s="5">
        <v>684</v>
      </c>
      <c r="D399" t="s">
        <v>463</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constants'!$A$4:$B$1012,2,FALSE)</f>
        <v>DLC_BASE_GAME</v>
      </c>
      <c r="L399" s="3" t="str">
        <f>VLOOKUP(J399,'LibSets constants'!$A$4:$C$1012,3,FALSE)</f>
        <v>Included in base game</v>
      </c>
    </row>
    <row r="400" spans="1:12" x14ac:dyDescent="0.25">
      <c r="A400" s="5">
        <v>704</v>
      </c>
      <c r="B400" s="5">
        <v>395</v>
      </c>
      <c r="C400" s="5">
        <v>684</v>
      </c>
      <c r="D400" t="s">
        <v>464</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constants'!$A$4:$B$1012,2,FALSE)</f>
        <v>DLC_BASE_GAME</v>
      </c>
      <c r="L400" s="3" t="str">
        <f>VLOOKUP(J400,'LibSets constants'!$A$4:$C$1012,3,FALSE)</f>
        <v>Included in base game</v>
      </c>
    </row>
    <row r="401" spans="1:12" x14ac:dyDescent="0.25">
      <c r="A401" s="5">
        <v>705</v>
      </c>
      <c r="B401" s="5">
        <v>396</v>
      </c>
      <c r="C401" s="5">
        <v>684</v>
      </c>
      <c r="D401" t="s">
        <v>465</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constants'!$A$4:$B$1012,2,FALSE)</f>
        <v>DLC_BASE_GAME</v>
      </c>
      <c r="L401" s="3" t="str">
        <f>VLOOKUP(J401,'LibSets constants'!$A$4:$C$1012,3,FALSE)</f>
        <v>Included in base game</v>
      </c>
    </row>
    <row r="402" spans="1:12" x14ac:dyDescent="0.25">
      <c r="A402" s="5">
        <v>706</v>
      </c>
      <c r="B402" s="5">
        <v>397</v>
      </c>
      <c r="C402" s="5">
        <v>684</v>
      </c>
      <c r="D402" t="s">
        <v>466</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constants'!$A$4:$B$1012,2,FALSE)</f>
        <v>DLC_BASE_GAME</v>
      </c>
      <c r="L402" s="3" t="str">
        <f>VLOOKUP(J402,'LibSets constants'!$A$4:$C$1012,3,FALSE)</f>
        <v>Included in base game</v>
      </c>
    </row>
    <row r="403" spans="1:12" x14ac:dyDescent="0.25">
      <c r="A403" s="5">
        <v>707</v>
      </c>
      <c r="B403" s="5">
        <v>398</v>
      </c>
      <c r="C403" s="5">
        <v>684</v>
      </c>
      <c r="D403" t="s">
        <v>467</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constants'!$A$4:$B$1012,2,FALSE)</f>
        <v>DLC_BASE_GAME</v>
      </c>
      <c r="L403" s="3" t="str">
        <f>VLOOKUP(J403,'LibSets constants'!$A$4:$C$1012,3,FALSE)</f>
        <v>Included in base game</v>
      </c>
    </row>
    <row r="404" spans="1:12" x14ac:dyDescent="0.25">
      <c r="A404" s="5">
        <v>708</v>
      </c>
      <c r="B404" s="5">
        <v>399</v>
      </c>
      <c r="C404" s="5">
        <v>684</v>
      </c>
      <c r="D404" t="s">
        <v>468</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constants'!$A$4:$B$1012,2,FALSE)</f>
        <v>DLC_BASE_GAME</v>
      </c>
      <c r="L404" s="3" t="str">
        <f>VLOOKUP(J404,'LibSets constants'!$A$4:$C$1012,3,FALSE)</f>
        <v>Included in base game</v>
      </c>
    </row>
    <row r="405" spans="1:12" x14ac:dyDescent="0.25">
      <c r="A405" s="5">
        <v>710</v>
      </c>
      <c r="B405" s="5">
        <v>400</v>
      </c>
      <c r="C405" s="5">
        <v>684</v>
      </c>
      <c r="D405" t="s">
        <v>469</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constants'!$A$4:$B$1012,2,FALSE)</f>
        <v>DLC_BASE_GAME</v>
      </c>
      <c r="L405" s="3" t="str">
        <f>VLOOKUP(J405,'LibSets constants'!$A$4:$C$1012,3,FALSE)</f>
        <v>Included in base game</v>
      </c>
    </row>
    <row r="406" spans="1:12" x14ac:dyDescent="0.25">
      <c r="A406" s="5">
        <v>711</v>
      </c>
      <c r="B406" s="5">
        <v>401</v>
      </c>
      <c r="C406" s="5">
        <v>684</v>
      </c>
      <c r="D406" t="s">
        <v>470</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constants'!$A$4:$B$1012,2,FALSE)</f>
        <v>DLC_BASE_GAME</v>
      </c>
      <c r="L406" s="3" t="str">
        <f>VLOOKUP(J406,'LibSets constants'!$A$4:$C$1012,3,FALSE)</f>
        <v>Included in base game</v>
      </c>
    </row>
    <row r="407" spans="1:12" x14ac:dyDescent="0.25">
      <c r="A407" s="5">
        <v>712</v>
      </c>
      <c r="B407" s="5">
        <v>402</v>
      </c>
      <c r="C407" s="5">
        <v>684</v>
      </c>
      <c r="D407" t="s">
        <v>471</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constants'!$A$4:$B$1012,2,FALSE)</f>
        <v>DLC_BASE_GAME</v>
      </c>
      <c r="L407" s="3" t="str">
        <f>VLOOKUP(J407,'LibSets constants'!$A$4:$C$1012,3,FALSE)</f>
        <v>Included in base game</v>
      </c>
    </row>
    <row r="408" spans="1:12" x14ac:dyDescent="0.25">
      <c r="A408" s="5">
        <v>715</v>
      </c>
      <c r="B408" s="5">
        <v>403</v>
      </c>
      <c r="C408" s="5">
        <v>684</v>
      </c>
      <c r="D408" t="s">
        <v>472</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constants'!$A$4:$B$1012,2,FALSE)</f>
        <v>DLC_BASE_GAME</v>
      </c>
      <c r="L408" s="3" t="str">
        <f>VLOOKUP(J408,'LibSets constants'!$A$4:$C$1012,3,FALSE)</f>
        <v>Included in base game</v>
      </c>
    </row>
    <row r="409" spans="1:12" x14ac:dyDescent="0.25">
      <c r="A409" s="5">
        <v>719</v>
      </c>
      <c r="B409" s="5">
        <v>404</v>
      </c>
      <c r="C409" s="5">
        <v>1011</v>
      </c>
      <c r="D409" t="s">
        <v>473</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constants'!$A$4:$B$1012,2,FALSE)</f>
        <v>DLC_BASE_GAME</v>
      </c>
      <c r="L409" s="3" t="str">
        <f>VLOOKUP(J409,'LibSets constants'!$A$4:$C$1012,3,FALSE)</f>
        <v>Included in base game</v>
      </c>
    </row>
    <row r="410" spans="1:12" x14ac:dyDescent="0.25">
      <c r="A410" s="5">
        <v>723</v>
      </c>
      <c r="B410" s="5">
        <v>405</v>
      </c>
      <c r="C410" s="5">
        <v>199</v>
      </c>
      <c r="D410" t="s">
        <v>421</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constants'!$A$4:$B$1012,2,FALSE)</f>
        <v>DLC_ELSWEYR</v>
      </c>
      <c r="L410" s="3" t="str">
        <f>VLOOKUP(J410,'LibSets constants'!$A$4:$C$1012,3,FALSE)</f>
        <v>Elsweyr</v>
      </c>
    </row>
    <row r="411" spans="1:12" x14ac:dyDescent="0.25">
      <c r="A411" s="5">
        <v>724</v>
      </c>
      <c r="B411" s="5">
        <v>406</v>
      </c>
      <c r="C411" s="5">
        <v>684</v>
      </c>
      <c r="D411" t="s">
        <v>474</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constants'!$A$4:$B$1012,2,FALSE)</f>
        <v>DLC_ELSWEYR</v>
      </c>
      <c r="L411" s="3" t="str">
        <f>VLOOKUP(J411,'LibSets constants'!$A$4:$C$1012,3,FALSE)</f>
        <v>Elsweyr</v>
      </c>
    </row>
    <row r="412" spans="1:12" x14ac:dyDescent="0.25">
      <c r="A412" s="5">
        <v>725</v>
      </c>
      <c r="B412" s="5">
        <v>407</v>
      </c>
      <c r="C412" s="5">
        <v>816</v>
      </c>
      <c r="D412" t="s">
        <v>475</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constants'!$A$4:$B$1012,2,FALSE)</f>
        <v>DLC_ELSWEYR</v>
      </c>
      <c r="L412" s="3" t="str">
        <f>VLOOKUP(J412,'LibSets constants'!$A$4:$C$1012,3,FALSE)</f>
        <v>Elsweyr</v>
      </c>
    </row>
    <row r="413" spans="1:12" x14ac:dyDescent="0.25">
      <c r="A413" s="5">
        <v>726</v>
      </c>
      <c r="B413" s="5">
        <v>408</v>
      </c>
      <c r="C413" s="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constants'!$A$4:$B$1012,2,FALSE)</f>
        <v>DLC_ELSWEYR</v>
      </c>
      <c r="L413" s="3" t="str">
        <f>VLOOKUP(J413,'LibSets constants'!$A$4:$C$1012,3,FALSE)</f>
        <v>Elsweyr</v>
      </c>
    </row>
    <row r="414" spans="1:12" x14ac:dyDescent="0.25">
      <c r="A414" s="5">
        <v>745</v>
      </c>
      <c r="B414" s="5">
        <v>409</v>
      </c>
      <c r="C414" s="5">
        <v>41</v>
      </c>
      <c r="D414" t="s">
        <v>476</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constants'!$A$4:$B$1012,2,FALSE)</f>
        <v>DLC_ELSWEYR</v>
      </c>
      <c r="L414" s="3" t="str">
        <f>VLOOKUP(J414,'LibSets constants'!$A$4:$C$1012,3,FALSE)</f>
        <v>Elsweyr</v>
      </c>
    </row>
    <row r="415" spans="1:12" x14ac:dyDescent="0.25">
      <c r="A415" s="5">
        <v>746</v>
      </c>
      <c r="B415" s="5">
        <v>410</v>
      </c>
      <c r="C415" s="5">
        <v>381</v>
      </c>
      <c r="D415" t="s">
        <v>477</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constants'!$A$4:$B$1012,2,FALSE)</f>
        <v>DLC_ELSWEYR</v>
      </c>
      <c r="L415" s="3" t="str">
        <f>VLOOKUP(J415,'LibSets constants'!$A$4:$C$1012,3,FALSE)</f>
        <v>Elsweyr</v>
      </c>
    </row>
    <row r="416" spans="1:12" x14ac:dyDescent="0.25">
      <c r="A416" s="5">
        <v>747</v>
      </c>
      <c r="B416" s="5">
        <v>411</v>
      </c>
      <c r="C416" s="5">
        <v>383</v>
      </c>
      <c r="D416" t="s">
        <v>478</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constants'!$A$4:$B$1012,2,FALSE)</f>
        <v>DLC_ELSWEYR</v>
      </c>
      <c r="L416" s="3" t="str">
        <f>VLOOKUP(J416,'LibSets constants'!$A$4:$C$1012,3,FALSE)</f>
        <v>Elsweyr</v>
      </c>
    </row>
    <row r="417" spans="1:12" x14ac:dyDescent="0.25">
      <c r="A417" s="5">
        <v>748</v>
      </c>
      <c r="B417" s="5">
        <v>412</v>
      </c>
      <c r="C417" s="5">
        <v>108</v>
      </c>
      <c r="D417" t="s">
        <v>479</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constants'!$A$4:$B$1012,2,FALSE)</f>
        <v>DLC_ELSWEYR</v>
      </c>
      <c r="L417" s="3" t="str">
        <f>VLOOKUP(J417,'LibSets constants'!$A$4:$C$1012,3,FALSE)</f>
        <v>Elsweyr</v>
      </c>
    </row>
    <row r="418" spans="1:12" x14ac:dyDescent="0.25">
      <c r="A418" s="5">
        <v>749</v>
      </c>
      <c r="B418" s="5">
        <v>413</v>
      </c>
      <c r="C418" s="5">
        <v>58</v>
      </c>
      <c r="D418" t="s">
        <v>480</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constants'!$A$4:$B$1012,2,FALSE)</f>
        <v>DLC_ELSWEYR</v>
      </c>
      <c r="L418" s="3" t="str">
        <f>VLOOKUP(J418,'LibSets constants'!$A$4:$C$1012,3,FALSE)</f>
        <v>Elsweyr</v>
      </c>
    </row>
    <row r="419" spans="1:12" x14ac:dyDescent="0.25">
      <c r="A419" s="5">
        <v>750</v>
      </c>
      <c r="B419" s="5">
        <v>414</v>
      </c>
      <c r="C419" s="5">
        <v>382</v>
      </c>
      <c r="D419" t="s">
        <v>481</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constants'!$A$4:$B$1012,2,FALSE)</f>
        <v>DLC_ELSWEYR</v>
      </c>
      <c r="L419" s="3" t="str">
        <f>VLOOKUP(J419,'LibSets constants'!$A$4:$C$1012,3,FALSE)</f>
        <v>Elsweyr</v>
      </c>
    </row>
    <row r="420" spans="1:12" x14ac:dyDescent="0.25">
      <c r="A420" s="5">
        <v>751</v>
      </c>
      <c r="B420" s="5">
        <v>415</v>
      </c>
      <c r="C420" s="5">
        <v>888</v>
      </c>
      <c r="D420" t="s">
        <v>482</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constants'!$A$4:$B$1012,2,FALSE)</f>
        <v>DLC_ELSWEYR</v>
      </c>
      <c r="L420" s="3" t="str">
        <f>VLOOKUP(J420,'LibSets constants'!$A$4:$C$1012,3,FALSE)</f>
        <v>Elsweyr</v>
      </c>
    </row>
    <row r="421" spans="1:12" x14ac:dyDescent="0.25">
      <c r="A421" s="5">
        <v>752</v>
      </c>
      <c r="B421" s="5">
        <v>416</v>
      </c>
      <c r="C421" s="5">
        <v>19</v>
      </c>
      <c r="D421" t="s">
        <v>483</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constants'!$A$4:$B$1012,2,FALSE)</f>
        <v>DLC_ELSWEYR</v>
      </c>
      <c r="L421" s="3" t="str">
        <f>VLOOKUP(J421,'LibSets constants'!$A$4:$C$1012,3,FALSE)</f>
        <v>Elsweyr</v>
      </c>
    </row>
    <row r="422" spans="1:12" x14ac:dyDescent="0.25">
      <c r="A422" s="5">
        <v>753</v>
      </c>
      <c r="B422" s="5">
        <v>417</v>
      </c>
      <c r="C422" s="5">
        <v>3</v>
      </c>
      <c r="D422" t="s">
        <v>484</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constants'!$A$4:$B$1012,2,FALSE)</f>
        <v>DLC_ELSWEYR</v>
      </c>
      <c r="L422" s="3" t="str">
        <f>VLOOKUP(J422,'LibSets constants'!$A$4:$C$1012,3,FALSE)</f>
        <v>Elsweyr</v>
      </c>
    </row>
    <row r="423" spans="1:12" x14ac:dyDescent="0.25">
      <c r="A423" s="5">
        <v>754</v>
      </c>
      <c r="B423" s="5">
        <v>418</v>
      </c>
      <c r="C423" s="5">
        <v>92</v>
      </c>
      <c r="D423" t="s">
        <v>485</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constants'!$A$4:$B$1012,2,FALSE)</f>
        <v>DLC_SCALEBREAKER</v>
      </c>
      <c r="L423" s="3" t="str">
        <f>VLOOKUP(J423,'LibSets constants'!$A$4:$C$1012,3,FALSE)</f>
        <v>Scalebraker</v>
      </c>
    </row>
    <row r="424" spans="1:12" x14ac:dyDescent="0.25">
      <c r="A424" s="5">
        <v>755</v>
      </c>
      <c r="B424" s="5">
        <v>419</v>
      </c>
      <c r="C424" s="5">
        <v>20</v>
      </c>
      <c r="D424" t="s">
        <v>486</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constants'!$A$4:$B$1012,2,FALSE)</f>
        <v>DLC_SCALEBREAKER</v>
      </c>
      <c r="L424" s="3" t="str">
        <f>VLOOKUP(J424,'LibSets constants'!$A$4:$C$1012,3,FALSE)</f>
        <v>Scalebraker</v>
      </c>
    </row>
    <row r="425" spans="1:12" x14ac:dyDescent="0.25">
      <c r="A425" s="5">
        <v>756</v>
      </c>
      <c r="B425" s="5">
        <v>420</v>
      </c>
      <c r="C425" s="5">
        <v>104</v>
      </c>
      <c r="D425" t="s">
        <v>487</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constants'!$A$4:$B$1012,2,FALSE)</f>
        <v>DLC_BASE_GAME</v>
      </c>
      <c r="L425" s="3" t="str">
        <f>VLOOKUP(J425,'LibSets constants'!$A$4:$C$1012,3,FALSE)</f>
        <v>Included in base game</v>
      </c>
    </row>
    <row r="426" spans="1:12" x14ac:dyDescent="0.25">
      <c r="A426" s="5">
        <v>757</v>
      </c>
      <c r="B426" s="5">
        <v>421</v>
      </c>
      <c r="C426" s="5">
        <v>41</v>
      </c>
      <c r="D426" t="s">
        <v>488</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constants'!$A$4:$B$1012,2,FALSE)</f>
        <v>DLC_BASE_GAME</v>
      </c>
      <c r="L426" s="3" t="str">
        <f>VLOOKUP(J426,'LibSets constants'!$A$4:$C$1012,3,FALSE)</f>
        <v>Included in base game</v>
      </c>
    </row>
    <row r="427" spans="1:12" x14ac:dyDescent="0.25">
      <c r="A427" s="5">
        <v>758</v>
      </c>
      <c r="B427" s="5">
        <v>422</v>
      </c>
      <c r="C427" s="5">
        <v>101</v>
      </c>
      <c r="D427" t="s">
        <v>489</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constants'!$A$4:$B$1012,2,FALSE)</f>
        <v>DLC_ELSWEYR</v>
      </c>
      <c r="L427" s="3" t="str">
        <f>VLOOKUP(J427,'LibSets constants'!$A$4:$C$1012,3,FALSE)</f>
        <v>Elsweyr</v>
      </c>
    </row>
    <row r="428" spans="1:12" x14ac:dyDescent="0.25">
      <c r="A428" s="5">
        <v>759</v>
      </c>
      <c r="B428" s="5">
        <v>423</v>
      </c>
      <c r="C428" s="5">
        <v>117</v>
      </c>
      <c r="D428" t="s">
        <v>490</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constants'!$A$4:$B$1012,2,FALSE)</f>
        <v>DLC_ELSWEYR</v>
      </c>
      <c r="L428" s="3" t="str">
        <f>VLOOKUP(J428,'LibSets constants'!$A$4:$C$1012,3,FALSE)</f>
        <v>Elsweyr</v>
      </c>
    </row>
    <row r="429" spans="1:12" x14ac:dyDescent="0.25">
      <c r="A429" s="5">
        <v>760</v>
      </c>
      <c r="B429" s="5">
        <v>424</v>
      </c>
      <c r="C429" s="5">
        <v>57</v>
      </c>
      <c r="D429" t="s">
        <v>491</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constants'!$A$4:$B$1012,2,FALSE)</f>
        <v>DLC_ELSWEYR</v>
      </c>
      <c r="L429" s="3" t="str">
        <f>VLOOKUP(J429,'LibSets constants'!$A$4:$C$1012,3,FALSE)</f>
        <v>Elsweyr</v>
      </c>
    </row>
    <row r="430" spans="1:12" x14ac:dyDescent="0.25">
      <c r="A430" s="5">
        <v>761</v>
      </c>
      <c r="B430" s="5">
        <v>425</v>
      </c>
      <c r="C430" s="5">
        <v>103</v>
      </c>
      <c r="D430" t="s">
        <v>492</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constants'!$A$4:$B$1012,2,FALSE)</f>
        <v>DLC_DRAGONHOLD</v>
      </c>
      <c r="L430" s="3" t="str">
        <f>VLOOKUP(J430,'LibSets constants'!$A$4:$C$1012,3,FALSE)</f>
        <v>Dragonhold</v>
      </c>
    </row>
    <row r="431" spans="1:12" x14ac:dyDescent="0.25">
      <c r="A431" s="5">
        <v>763</v>
      </c>
      <c r="B431" s="5">
        <v>426</v>
      </c>
      <c r="C431" s="5">
        <v>816</v>
      </c>
      <c r="D431" t="s">
        <v>493</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constants'!$A$4:$B$1012,2,FALSE)</f>
        <v>DLC_DRAGONHOLD</v>
      </c>
      <c r="L431" s="3" t="str">
        <f>VLOOKUP(J431,'LibSets constants'!$A$4:$C$1012,3,FALSE)</f>
        <v>Dragonhold</v>
      </c>
    </row>
    <row r="432" spans="1:12" x14ac:dyDescent="0.25">
      <c r="A432" s="5">
        <v>764</v>
      </c>
      <c r="B432" s="5">
        <v>427</v>
      </c>
      <c r="C432" s="5">
        <v>816</v>
      </c>
      <c r="D432" t="s">
        <v>494</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constants'!$A$4:$B$1012,2,FALSE)</f>
        <v>DLC_DRAGONHOLD</v>
      </c>
      <c r="L432" s="3" t="str">
        <f>VLOOKUP(J432,'LibSets constants'!$A$4:$C$1012,3,FALSE)</f>
        <v>Dragonhold</v>
      </c>
    </row>
    <row r="433" spans="1:12" x14ac:dyDescent="0.25">
      <c r="A433" s="5">
        <v>765</v>
      </c>
      <c r="B433" s="5">
        <v>428</v>
      </c>
      <c r="C433" s="5">
        <v>823</v>
      </c>
      <c r="D433" t="s">
        <v>495</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constants'!$A$4:$B$1012,2,FALSE)</f>
        <v>DLC_DRAGONHOLD</v>
      </c>
      <c r="L433" s="3" t="str">
        <f>VLOOKUP(J433,'LibSets constants'!$A$4:$C$1012,3,FALSE)</f>
        <v>Dragonhold</v>
      </c>
    </row>
    <row r="434" spans="1:12" x14ac:dyDescent="0.25">
      <c r="A434" s="5">
        <v>766</v>
      </c>
      <c r="B434" s="5">
        <v>429</v>
      </c>
      <c r="C434" s="5">
        <v>823</v>
      </c>
      <c r="D434" t="s">
        <v>496</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constants'!$A$4:$B$1012,2,FALSE)</f>
        <v>DLC_DRAGONHOLD</v>
      </c>
      <c r="L434" s="3" t="str">
        <f>VLOOKUP(J434,'LibSets constants'!$A$4:$C$1012,3,FALSE)</f>
        <v>Dragonhold</v>
      </c>
    </row>
    <row r="435" spans="1:12" x14ac:dyDescent="0.25">
      <c r="A435" s="5">
        <v>767</v>
      </c>
      <c r="B435" s="5">
        <v>430</v>
      </c>
      <c r="C435" s="5">
        <v>816</v>
      </c>
      <c r="D435" t="s">
        <v>497</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constants'!$A$4:$B$1012,2,FALSE)</f>
        <v>DLC_DRAGONHOLD</v>
      </c>
      <c r="L435" s="3" t="str">
        <f>VLOOKUP(J435,'LibSets constants'!$A$4:$C$1012,3,FALSE)</f>
        <v>Dragonhold</v>
      </c>
    </row>
    <row r="436" spans="1:12" x14ac:dyDescent="0.25">
      <c r="A436" s="5">
        <v>769</v>
      </c>
      <c r="B436" s="5">
        <v>431</v>
      </c>
      <c r="C436" s="5">
        <v>823</v>
      </c>
      <c r="D436" t="s">
        <v>498</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constants'!$A$4:$B$1012,2,FALSE)</f>
        <v>DLC_BASE_GAME</v>
      </c>
      <c r="L436" s="3" t="str">
        <f>VLOOKUP(J436,'LibSets constants'!$A$4:$C$1012,3,FALSE)</f>
        <v>Included in base game</v>
      </c>
    </row>
    <row r="437" spans="1:12" x14ac:dyDescent="0.25">
      <c r="A437" s="5">
        <v>770</v>
      </c>
      <c r="B437" s="5">
        <v>432</v>
      </c>
      <c r="C437" s="5">
        <v>816</v>
      </c>
      <c r="D437" t="s">
        <v>499</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constants'!$A$4:$B$1012,2,FALSE)</f>
        <v>DLC_BASE_GAME</v>
      </c>
      <c r="L437" s="3" t="str">
        <f>VLOOKUP(J437,'LibSets constants'!$A$4:$C$1012,3,FALSE)</f>
        <v>Included in base game</v>
      </c>
    </row>
    <row r="438" spans="1:12" x14ac:dyDescent="0.25">
      <c r="A438" s="5">
        <v>771</v>
      </c>
      <c r="B438" s="5">
        <v>433</v>
      </c>
      <c r="C438" s="5">
        <v>816</v>
      </c>
      <c r="D438" t="s">
        <v>500</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constants'!$A$4:$B$1012,2,FALSE)</f>
        <v>DLC_BASE_GAME</v>
      </c>
      <c r="L438" s="3" t="str">
        <f>VLOOKUP(J438,'LibSets constants'!$A$4:$C$1012,3,FALSE)</f>
        <v>Included in base game</v>
      </c>
    </row>
    <row r="439" spans="1:12" x14ac:dyDescent="0.25">
      <c r="A439" s="5">
        <v>773</v>
      </c>
      <c r="B439" s="5">
        <v>434</v>
      </c>
      <c r="C439" s="5">
        <v>117</v>
      </c>
      <c r="D439" t="s">
        <v>501</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constants'!$A$4:$B$1012,2,FALSE)</f>
        <v>DLC_DRAGONHOLD</v>
      </c>
      <c r="L439" s="3" t="str">
        <f>VLOOKUP(J439,'LibSets constants'!$A$4:$C$1012,3,FALSE)</f>
        <v>Dragonhold</v>
      </c>
    </row>
    <row r="440" spans="1:12" x14ac:dyDescent="0.25">
      <c r="A440" s="5">
        <v>774</v>
      </c>
      <c r="B440" s="5">
        <v>435</v>
      </c>
      <c r="C440" s="5">
        <v>1086</v>
      </c>
      <c r="D440" t="s">
        <v>1413</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constants'!$A$4:$B$1012,2,FALSE)</f>
        <v>DLC_DRAGONHOLD</v>
      </c>
      <c r="L440" s="3" t="str">
        <f>VLOOKUP(J440,'LibSets constants'!$A$4:$C$1012,3,FALSE)</f>
        <v>Dragonhold</v>
      </c>
    </row>
    <row r="441" spans="1:12" x14ac:dyDescent="0.25">
      <c r="A441" s="5">
        <v>780</v>
      </c>
      <c r="B441" s="5">
        <v>436</v>
      </c>
      <c r="C441" s="5">
        <v>684</v>
      </c>
      <c r="D441" t="s">
        <v>502</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constants'!$A$4:$B$1012,2,FALSE)</f>
        <v>DLC_HARROWSTORM</v>
      </c>
      <c r="L441" s="3" t="str">
        <f>VLOOKUP(J441,'LibSets constants'!$A$4:$C$1012,3,FALSE)</f>
        <v>Harrowstorm</v>
      </c>
    </row>
    <row r="442" spans="1:12" x14ac:dyDescent="0.25">
      <c r="A442" s="5">
        <v>808</v>
      </c>
      <c r="B442" s="5">
        <v>437</v>
      </c>
      <c r="C442" s="5">
        <v>1160</v>
      </c>
      <c r="D442" t="s">
        <v>1707</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constants'!$A$4:$B$1012,2,FALSE)</f>
        <v>DLC_GREYMOOR</v>
      </c>
      <c r="L442" s="3" t="str">
        <f>VLOOKUP(J442,'LibSets constants'!$A$4:$C$1012,3,FALSE)</f>
        <v>Greymoor</v>
      </c>
    </row>
    <row r="443" spans="1:12" x14ac:dyDescent="0.25">
      <c r="A443" s="5">
        <v>809</v>
      </c>
      <c r="B443" s="5">
        <v>438</v>
      </c>
      <c r="C443" s="5">
        <v>199</v>
      </c>
      <c r="D443" t="s">
        <v>424</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constants'!$A$4:$B$1012,2,FALSE)</f>
        <v>DLC_BASE_GAME</v>
      </c>
      <c r="L443" s="3" t="str">
        <f>VLOOKUP(J443,'LibSets constants'!$A$4:$C$1012,3,FALSE)</f>
        <v>Included in base game</v>
      </c>
    </row>
    <row r="444" spans="1:12" x14ac:dyDescent="0.25">
      <c r="A444" s="5">
        <v>810</v>
      </c>
      <c r="B444" s="5">
        <v>439</v>
      </c>
      <c r="C444" s="5">
        <v>381</v>
      </c>
      <c r="D444" t="s">
        <v>503</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constants'!$A$4:$B$1012,2,FALSE)</f>
        <v>DLC_BASE_GAME</v>
      </c>
      <c r="L444" s="3" t="str">
        <f>VLOOKUP(J444,'LibSets constants'!$A$4:$C$1012,3,FALSE)</f>
        <v>Included in base game</v>
      </c>
    </row>
    <row r="445" spans="1:12" x14ac:dyDescent="0.25">
      <c r="A445" s="5">
        <v>811</v>
      </c>
      <c r="B445" s="5">
        <v>440</v>
      </c>
      <c r="C445" s="5">
        <v>535</v>
      </c>
      <c r="D445" t="s">
        <v>504</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constants'!$A$4:$B$1012,2,FALSE)</f>
        <v>DLC_BASE_GAME</v>
      </c>
      <c r="L445" s="3" t="str">
        <f>VLOOKUP(J445,'LibSets constants'!$A$4:$C$1012,3,FALSE)</f>
        <v>Included in base game</v>
      </c>
    </row>
    <row r="446" spans="1:12" x14ac:dyDescent="0.25">
      <c r="A446" s="5">
        <v>814</v>
      </c>
      <c r="B446" s="5">
        <v>441</v>
      </c>
      <c r="C446" s="5">
        <v>684</v>
      </c>
      <c r="D446" t="s">
        <v>505</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constants'!$A$4:$B$1012,2,FALSE)</f>
        <v>DLC_DRAGONHOLD</v>
      </c>
      <c r="L446" s="3" t="str">
        <f>VLOOKUP(J446,'LibSets constants'!$A$4:$C$1012,3,FALSE)</f>
        <v>Dragonhold</v>
      </c>
    </row>
    <row r="447" spans="1:12" x14ac:dyDescent="0.25">
      <c r="A447" s="5">
        <v>815</v>
      </c>
      <c r="B447" s="5">
        <v>442</v>
      </c>
      <c r="C447" s="5">
        <v>684</v>
      </c>
      <c r="D447" t="s">
        <v>506</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constants'!$A$4:$B$1012,2,FALSE)</f>
        <v>DLC_GREYMOOR</v>
      </c>
      <c r="L447" s="3" t="str">
        <f>VLOOKUP(J447,'LibSets constants'!$A$4:$C$1012,3,FALSE)</f>
        <v>Greymoor</v>
      </c>
    </row>
    <row r="448" spans="1:12" x14ac:dyDescent="0.25">
      <c r="A448" s="5">
        <v>816</v>
      </c>
      <c r="B448" s="5">
        <v>443</v>
      </c>
      <c r="C448" s="5">
        <v>816</v>
      </c>
      <c r="D448" t="s">
        <v>507</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constants'!$A$4:$B$1012,2,FALSE)</f>
        <v>DLC_GREYMOOR</v>
      </c>
      <c r="L448" s="3" t="str">
        <f>VLOOKUP(J448,'LibSets constants'!$A$4:$C$1012,3,FALSE)</f>
        <v>Greymoor</v>
      </c>
    </row>
    <row r="449" spans="1:12" x14ac:dyDescent="0.25">
      <c r="A449" s="5">
        <v>817</v>
      </c>
      <c r="B449" s="5">
        <v>444</v>
      </c>
      <c r="C449" s="5">
        <v>816</v>
      </c>
      <c r="D449" t="s">
        <v>508</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constants'!$A$4:$B$1012,2,FALSE)</f>
        <v>DLC_STONETHORN</v>
      </c>
      <c r="L449" s="3" t="str">
        <f>VLOOKUP(J449,'LibSets constants'!$A$4:$C$1012,3,FALSE)</f>
        <v>Stonethorn</v>
      </c>
    </row>
    <row r="450" spans="1:12" x14ac:dyDescent="0.25">
      <c r="A450" s="5">
        <v>818</v>
      </c>
      <c r="B450" s="5">
        <v>445</v>
      </c>
      <c r="C450" s="5">
        <v>816</v>
      </c>
      <c r="D450" t="s">
        <v>509</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constants'!$A$4:$B$1012,2,FALSE)</f>
        <v>DLC_ORSINIUM</v>
      </c>
      <c r="L450" s="3" t="str">
        <f>VLOOKUP(J450,'LibSets constants'!$A$4:$C$1012,3,FALSE)</f>
        <v>Orsinium</v>
      </c>
    </row>
    <row r="451" spans="1:12" x14ac:dyDescent="0.25">
      <c r="A451" s="5">
        <v>819</v>
      </c>
      <c r="B451" s="5">
        <v>446</v>
      </c>
      <c r="C451" s="5">
        <v>816</v>
      </c>
      <c r="D451" t="s">
        <v>510</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constants'!$A$4:$B$1012,2,FALSE)</f>
        <v>DLC_BASE_GAME</v>
      </c>
      <c r="L451" s="3" t="str">
        <f>VLOOKUP(J451,'LibSets constants'!$A$4:$C$1012,3,FALSE)</f>
        <v>Included in base game</v>
      </c>
    </row>
    <row r="452" spans="1:12" x14ac:dyDescent="0.25">
      <c r="A452" s="5">
        <v>820</v>
      </c>
      <c r="B452" s="5">
        <v>447</v>
      </c>
      <c r="C452" s="5">
        <v>816</v>
      </c>
      <c r="D452" t="s">
        <v>511</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constants'!$A$4:$B$1012,2,FALSE)</f>
        <v>DLC_STONETHORN</v>
      </c>
      <c r="L452" s="3" t="str">
        <f>VLOOKUP(J452,'LibSets constants'!$A$4:$C$1012,3,FALSE)</f>
        <v>Stonethorn</v>
      </c>
    </row>
    <row r="453" spans="1:12" x14ac:dyDescent="0.25">
      <c r="A453" s="5">
        <v>821</v>
      </c>
      <c r="B453" s="5">
        <v>448</v>
      </c>
      <c r="C453" s="5">
        <v>816</v>
      </c>
      <c r="D453" t="s">
        <v>512</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constants'!$A$4:$B$1012,2,FALSE)</f>
        <v>DLC_BASE_GAME</v>
      </c>
      <c r="L453" s="3" t="str">
        <f>VLOOKUP(J453,'LibSets constants'!$A$4:$C$1012,3,FALSE)</f>
        <v>Included in base game</v>
      </c>
    </row>
    <row r="454" spans="1:12" x14ac:dyDescent="0.25">
      <c r="A454" s="5">
        <v>823</v>
      </c>
      <c r="B454" s="5">
        <v>449</v>
      </c>
      <c r="C454" s="5">
        <v>823</v>
      </c>
      <c r="D454" t="s">
        <v>513</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constants'!$A$4:$B$1012,2,FALSE)</f>
        <v>DLC_BASE_GAME</v>
      </c>
      <c r="L454" s="3" t="str">
        <f>VLOOKUP(J454,'LibSets constants'!$A$4:$C$1012,3,FALSE)</f>
        <v>Included in base game</v>
      </c>
    </row>
    <row r="455" spans="1:12" x14ac:dyDescent="0.25">
      <c r="A455" s="5">
        <v>824</v>
      </c>
      <c r="B455" s="5">
        <v>450</v>
      </c>
      <c r="C455" s="5">
        <v>823</v>
      </c>
      <c r="D455" t="s">
        <v>514</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constants'!$A$4:$B$1012,2,FALSE)</f>
        <v>DLC_MARKARTH</v>
      </c>
      <c r="L455" s="3" t="str">
        <f>VLOOKUP(J455,'LibSets constants'!$A$4:$C$1012,3,FALSE)</f>
        <v>Markarth</v>
      </c>
    </row>
    <row r="456" spans="1:12" x14ac:dyDescent="0.25">
      <c r="A456" s="5">
        <v>825</v>
      </c>
      <c r="B456" s="5">
        <v>451</v>
      </c>
      <c r="C456" s="5">
        <v>823</v>
      </c>
      <c r="D456" t="s">
        <v>515</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constants'!$A$4:$B$1012,2,FALSE)</f>
        <v>DLC_MARKARTH</v>
      </c>
      <c r="L456" s="3" t="str">
        <f>VLOOKUP(J456,'LibSets constants'!$A$4:$C$1012,3,FALSE)</f>
        <v>Markarth</v>
      </c>
    </row>
    <row r="457" spans="1:12" x14ac:dyDescent="0.25">
      <c r="A457" s="5">
        <v>826</v>
      </c>
      <c r="B457" s="5">
        <v>452</v>
      </c>
      <c r="C457" s="5">
        <v>823</v>
      </c>
      <c r="D457" t="s">
        <v>516</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constants'!$A$4:$B$1012,2,FALSE)</f>
        <v>DLC_MARKARTH</v>
      </c>
      <c r="L457" s="3" t="str">
        <f>VLOOKUP(J457,'LibSets constants'!$A$4:$C$1012,3,FALSE)</f>
        <v>Markarth</v>
      </c>
    </row>
    <row r="458" spans="1:12" x14ac:dyDescent="0.25">
      <c r="A458" s="5">
        <v>827</v>
      </c>
      <c r="B458" s="5">
        <v>453</v>
      </c>
      <c r="C458" s="5">
        <v>823</v>
      </c>
      <c r="D458" t="s">
        <v>517</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constants'!$A$4:$B$1012,2,FALSE)</f>
        <v>DLC_MARKARTH</v>
      </c>
      <c r="L458" s="3" t="str">
        <f>VLOOKUP(J458,'LibSets constants'!$A$4:$C$1012,3,FALSE)</f>
        <v>Markarth</v>
      </c>
    </row>
    <row r="459" spans="1:12" x14ac:dyDescent="0.25">
      <c r="A459" s="5">
        <v>828</v>
      </c>
      <c r="B459" s="5">
        <v>454</v>
      </c>
      <c r="C459" s="5">
        <v>823</v>
      </c>
      <c r="D459" t="s">
        <v>518</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constants'!$A$4:$B$1012,2,FALSE)</f>
        <v>DLC_MARKARTH</v>
      </c>
      <c r="L459" s="3" t="str">
        <f>VLOOKUP(J459,'LibSets constants'!$A$4:$C$1012,3,FALSE)</f>
        <v>Markarth</v>
      </c>
    </row>
    <row r="460" spans="1:12" x14ac:dyDescent="0.25">
      <c r="A460" s="5">
        <v>829</v>
      </c>
      <c r="B460" s="5">
        <v>455</v>
      </c>
      <c r="C460" s="5">
        <v>823</v>
      </c>
      <c r="D460" t="s">
        <v>519</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constants'!$A$4:$B$1012,2,FALSE)</f>
        <v>DLC_MARKARTH</v>
      </c>
      <c r="L460" s="3" t="str">
        <f>VLOOKUP(J460,'LibSets constants'!$A$4:$C$1012,3,FALSE)</f>
        <v>Markarth</v>
      </c>
    </row>
    <row r="461" spans="1:12" x14ac:dyDescent="0.25">
      <c r="A461" s="5">
        <v>831</v>
      </c>
      <c r="B461" s="5">
        <v>456</v>
      </c>
      <c r="C461" s="5">
        <v>823</v>
      </c>
      <c r="D461" t="s">
        <v>520</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constants'!$A$4:$B$1012,2,FALSE)</f>
        <v>DLC_MARKARTH</v>
      </c>
      <c r="L461" s="3" t="str">
        <f>VLOOKUP(J461,'LibSets constants'!$A$4:$C$1012,3,FALSE)</f>
        <v>Markarth</v>
      </c>
    </row>
    <row r="462" spans="1:12" x14ac:dyDescent="0.25">
      <c r="A462" s="5">
        <v>832</v>
      </c>
      <c r="B462" s="5">
        <v>457</v>
      </c>
      <c r="C462" s="5">
        <v>823</v>
      </c>
      <c r="D462" t="s">
        <v>521</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constants'!$A$4:$B$1012,2,FALSE)</f>
        <v>DLC_MARKARTH</v>
      </c>
      <c r="L462" s="3" t="str">
        <f>VLOOKUP(J462,'LibSets constants'!$A$4:$C$1012,3,FALSE)</f>
        <v>Markarth</v>
      </c>
    </row>
    <row r="463" spans="1:12" x14ac:dyDescent="0.25">
      <c r="A463" s="5">
        <v>833</v>
      </c>
      <c r="B463" s="5">
        <v>458</v>
      </c>
      <c r="C463" s="5">
        <v>823</v>
      </c>
      <c r="D463" t="s">
        <v>522</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constants'!$A$4:$B$1012,2,FALSE)</f>
        <v>DLC_MARKARTH</v>
      </c>
      <c r="L463" s="3" t="str">
        <f>VLOOKUP(J463,'LibSets constants'!$A$4:$C$1012,3,FALSE)</f>
        <v>Markarth</v>
      </c>
    </row>
    <row r="464" spans="1:12" x14ac:dyDescent="0.25">
      <c r="A464" s="5">
        <v>834</v>
      </c>
      <c r="B464" s="5">
        <v>459</v>
      </c>
      <c r="C464" s="5">
        <v>816</v>
      </c>
      <c r="D464" t="s">
        <v>523</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constants'!$A$4:$B$1012,2,FALSE)</f>
        <v>DLC_MARKARTH</v>
      </c>
      <c r="L464" s="3" t="str">
        <f>VLOOKUP(J464,'LibSets constants'!$A$4:$C$1012,3,FALSE)</f>
        <v>Markarth</v>
      </c>
    </row>
    <row r="465" spans="1:12" x14ac:dyDescent="0.25">
      <c r="A465" s="5">
        <v>836</v>
      </c>
      <c r="B465" s="5">
        <v>460</v>
      </c>
      <c r="C465" s="5">
        <v>823</v>
      </c>
      <c r="D465" t="s">
        <v>524</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constants'!$A$4:$B$1012,2,FALSE)</f>
        <v>DLC_GREYMOOR</v>
      </c>
      <c r="L465" s="3" t="str">
        <f>VLOOKUP(J465,'LibSets constants'!$A$4:$C$1012,3,FALSE)</f>
        <v>Greymoor</v>
      </c>
    </row>
    <row r="466" spans="1:12" x14ac:dyDescent="0.25">
      <c r="A466" s="5">
        <v>837</v>
      </c>
      <c r="B466" s="5">
        <v>461</v>
      </c>
      <c r="C466" s="5">
        <v>823</v>
      </c>
      <c r="D466" t="s">
        <v>525</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constants'!$A$4:$B$1012,2,FALSE)</f>
        <v>DLC_GREYMOOR</v>
      </c>
      <c r="L466" s="3" t="str">
        <f>VLOOKUP(J466,'LibSets constants'!$A$4:$C$1012,3,FALSE)</f>
        <v>Greymoor</v>
      </c>
    </row>
    <row r="467" spans="1:12" x14ac:dyDescent="0.25">
      <c r="A467" s="5">
        <v>841</v>
      </c>
      <c r="B467" s="5">
        <v>462</v>
      </c>
      <c r="C467" s="5">
        <v>823</v>
      </c>
      <c r="D467" t="s">
        <v>526</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constants'!$A$4:$B$1012,2,FALSE)</f>
        <v>DLC_MARKARTH</v>
      </c>
      <c r="L467" s="3" t="str">
        <f>VLOOKUP(J467,'LibSets constants'!$A$4:$C$1012,3,FALSE)</f>
        <v>Markarth</v>
      </c>
    </row>
    <row r="468" spans="1:12" x14ac:dyDescent="0.25">
      <c r="A468" s="5">
        <v>842</v>
      </c>
      <c r="B468" s="5">
        <v>463</v>
      </c>
      <c r="C468" s="5">
        <v>823</v>
      </c>
      <c r="D468" t="s">
        <v>527</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constants'!$A$4:$B$1012,2,FALSE)</f>
        <v>DLC_MARKARTH</v>
      </c>
      <c r="L468" s="3" t="str">
        <f>VLOOKUP(J468,'LibSets constants'!$A$4:$C$1012,3,FALSE)</f>
        <v>Markarth</v>
      </c>
    </row>
    <row r="469" spans="1:12" x14ac:dyDescent="0.25">
      <c r="A469" s="5">
        <v>843</v>
      </c>
      <c r="B469" s="5">
        <v>464</v>
      </c>
      <c r="C469" s="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constants'!$A$4:$B$1012,2,FALSE)</f>
        <v>DLC_MARKARTH</v>
      </c>
      <c r="L469" s="3" t="str">
        <f>VLOOKUP(J469,'LibSets constants'!$A$4:$C$1012,3,FALSE)</f>
        <v>Markarth</v>
      </c>
    </row>
    <row r="470" spans="1:12" x14ac:dyDescent="0.25">
      <c r="A470" s="5">
        <v>844</v>
      </c>
      <c r="B470" s="5">
        <v>465</v>
      </c>
      <c r="C470" s="5">
        <v>816</v>
      </c>
      <c r="D470" t="s">
        <v>528</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constants'!$A$4:$B$1012,2,FALSE)</f>
        <v>DLC_MARKARTH</v>
      </c>
      <c r="L470" s="3" t="str">
        <f>VLOOKUP(J470,'LibSets constants'!$A$4:$C$1012,3,FALSE)</f>
        <v>Markarth</v>
      </c>
    </row>
    <row r="471" spans="1:12" x14ac:dyDescent="0.25">
      <c r="A471" s="5">
        <v>845</v>
      </c>
      <c r="B471" s="5">
        <v>466</v>
      </c>
      <c r="C471" s="5">
        <v>816</v>
      </c>
      <c r="D471" t="s">
        <v>529</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constants'!$A$4:$B$1012,2,FALSE)</f>
        <v>DLC_FLAMES_OF_AMBITION</v>
      </c>
      <c r="L471" s="3" t="str">
        <f>VLOOKUP(J471,'LibSets constants'!$A$4:$C$1012,3,FALSE)</f>
        <v>Flames of Ambition</v>
      </c>
    </row>
    <row r="472" spans="1:12" x14ac:dyDescent="0.25">
      <c r="A472" s="5">
        <v>848</v>
      </c>
      <c r="B472" s="5">
        <v>467</v>
      </c>
      <c r="C472" s="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constants'!$A$4:$B$1012,2,FALSE)</f>
        <v>DLC_GREYMOOR</v>
      </c>
      <c r="L472" s="3" t="str">
        <f>VLOOKUP(J472,'LibSets constants'!$A$4:$C$1012,3,FALSE)</f>
        <v>Greymoor</v>
      </c>
    </row>
    <row r="473" spans="1:12" x14ac:dyDescent="0.25">
      <c r="A473" s="5">
        <v>849</v>
      </c>
      <c r="B473" s="5">
        <v>468</v>
      </c>
      <c r="C473" s="5">
        <v>849</v>
      </c>
      <c r="D473" t="s">
        <v>530</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constants'!$A$4:$B$1012,2,FALSE)</f>
        <v>DLC_BASE_GAME</v>
      </c>
      <c r="L473" s="3" t="str">
        <f>VLOOKUP(J473,'LibSets constants'!$A$4:$C$1012,3,FALSE)</f>
        <v>Included in base game</v>
      </c>
    </row>
    <row r="474" spans="1:12" x14ac:dyDescent="0.25">
      <c r="A474" s="5">
        <v>852</v>
      </c>
      <c r="B474" s="5">
        <v>469</v>
      </c>
      <c r="C474" s="5">
        <v>3</v>
      </c>
      <c r="D474" t="s">
        <v>531</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constants'!$A$4:$B$1012,2,FALSE)</f>
        <v>DLC_BLACKWOOD</v>
      </c>
      <c r="L474" s="3" t="str">
        <f>VLOOKUP(J474,'LibSets constants'!$A$4:$C$1012,3,FALSE)</f>
        <v>Blackwood</v>
      </c>
    </row>
    <row r="475" spans="1:12" x14ac:dyDescent="0.25">
      <c r="A475" s="5">
        <v>853</v>
      </c>
      <c r="B475" s="5">
        <v>470</v>
      </c>
      <c r="C475" s="5">
        <v>20</v>
      </c>
      <c r="D475" t="s">
        <v>532</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constants'!$A$4:$B$1012,2,FALSE)</f>
        <v>DLC_BLACKWOOD</v>
      </c>
      <c r="L475" s="3" t="str">
        <f>VLOOKUP(J475,'LibSets constants'!$A$4:$C$1012,3,FALSE)</f>
        <v>Blackwood</v>
      </c>
    </row>
    <row r="476" spans="1:12" x14ac:dyDescent="0.25">
      <c r="A476" s="5">
        <v>854</v>
      </c>
      <c r="B476" s="5">
        <v>471</v>
      </c>
      <c r="C476" s="5">
        <v>92</v>
      </c>
      <c r="D476" t="s">
        <v>533</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constants'!$A$4:$B$1012,2,FALSE)</f>
        <v>DLC_BLACKWOOD</v>
      </c>
      <c r="L476" s="3" t="str">
        <f>VLOOKUP(J476,'LibSets constants'!$A$4:$C$1012,3,FALSE)</f>
        <v>Blackwood</v>
      </c>
    </row>
    <row r="477" spans="1:12" x14ac:dyDescent="0.25">
      <c r="A477" s="5">
        <v>855</v>
      </c>
      <c r="B477" s="5">
        <v>472</v>
      </c>
      <c r="C477" s="5">
        <v>19</v>
      </c>
      <c r="D477" t="s">
        <v>534</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constants'!$A$4:$B$1012,2,FALSE)</f>
        <v>DLC_BLACKWOOD</v>
      </c>
      <c r="L477" s="3" t="str">
        <f>VLOOKUP(J477,'LibSets constants'!$A$4:$C$1012,3,FALSE)</f>
        <v>Blackwood</v>
      </c>
    </row>
    <row r="478" spans="1:12" x14ac:dyDescent="0.25">
      <c r="A478" s="5">
        <v>856</v>
      </c>
      <c r="B478" s="5">
        <v>473</v>
      </c>
      <c r="C478" s="5">
        <v>92</v>
      </c>
      <c r="D478" t="s">
        <v>535</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constants'!$A$4:$B$1012,2,FALSE)</f>
        <v>DLC_BLACKWOOD</v>
      </c>
      <c r="L478" s="3" t="str">
        <f>VLOOKUP(J478,'LibSets constants'!$A$4:$C$1012,3,FALSE)</f>
        <v>Blackwood</v>
      </c>
    </row>
    <row r="479" spans="1:12" x14ac:dyDescent="0.25">
      <c r="A479" s="5">
        <v>857</v>
      </c>
      <c r="B479" s="5">
        <v>474</v>
      </c>
      <c r="C479" s="5">
        <v>104</v>
      </c>
      <c r="D479" t="s">
        <v>536</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constants'!$A$4:$B$1012,2,FALSE)</f>
        <v>DLC_BLACKWOOD</v>
      </c>
      <c r="L479" s="3" t="str">
        <f>VLOOKUP(J479,'LibSets constants'!$A$4:$C$1012,3,FALSE)</f>
        <v>Blackwood</v>
      </c>
    </row>
    <row r="480" spans="1:12" x14ac:dyDescent="0.25">
      <c r="A480" s="5">
        <v>858</v>
      </c>
      <c r="B480" s="5">
        <v>475</v>
      </c>
      <c r="C480" s="5">
        <v>108</v>
      </c>
      <c r="D480" t="s">
        <v>537</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constants'!$A$4:$B$1012,2,FALSE)</f>
        <v>DLC_BLACKWOOD</v>
      </c>
      <c r="L480" s="3" t="str">
        <f>VLOOKUP(J480,'LibSets constants'!$A$4:$C$1012,3,FALSE)</f>
        <v>Blackwood</v>
      </c>
    </row>
    <row r="481" spans="1:12" x14ac:dyDescent="0.25">
      <c r="A481" s="5">
        <v>859</v>
      </c>
      <c r="B481" s="5">
        <v>476</v>
      </c>
      <c r="C481" s="5">
        <v>58</v>
      </c>
      <c r="D481" t="s">
        <v>538</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constants'!$A$4:$B$1012,2,FALSE)</f>
        <v>DLC_BLACKWOOD</v>
      </c>
      <c r="L481" s="3" t="str">
        <f>VLOOKUP(J481,'LibSets constants'!$A$4:$C$1012,3,FALSE)</f>
        <v>Blackwood</v>
      </c>
    </row>
    <row r="482" spans="1:12" x14ac:dyDescent="0.25">
      <c r="A482" s="5">
        <v>860</v>
      </c>
      <c r="B482" s="5">
        <v>477</v>
      </c>
      <c r="C482" s="5">
        <v>383</v>
      </c>
      <c r="D482" t="s">
        <v>539</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constants'!$A$4:$B$1012,2,FALSE)</f>
        <v>DLC_BLACKWOOD</v>
      </c>
      <c r="L482" s="3" t="str">
        <f>VLOOKUP(J482,'LibSets constants'!$A$4:$C$1012,3,FALSE)</f>
        <v>Blackwood</v>
      </c>
    </row>
    <row r="483" spans="1:12" x14ac:dyDescent="0.25">
      <c r="A483" s="5">
        <v>861</v>
      </c>
      <c r="B483" s="5">
        <v>478</v>
      </c>
      <c r="C483" s="5">
        <v>108</v>
      </c>
      <c r="D483" t="s">
        <v>540</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constants'!$A$4:$B$1012,2,FALSE)</f>
        <v>DLC_BLACKWOOD</v>
      </c>
      <c r="L483" s="3" t="str">
        <f>VLOOKUP(J483,'LibSets constants'!$A$4:$C$1012,3,FALSE)</f>
        <v>Blackwood</v>
      </c>
    </row>
    <row r="484" spans="1:12" x14ac:dyDescent="0.25">
      <c r="A484" s="5">
        <v>862</v>
      </c>
      <c r="B484" s="5">
        <v>479</v>
      </c>
      <c r="C484" s="5">
        <v>382</v>
      </c>
      <c r="D484" t="s">
        <v>541</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constants'!$A$4:$B$1012,2,FALSE)</f>
        <v>DLC_BLACKWOOD</v>
      </c>
      <c r="L484" s="3" t="str">
        <f>VLOOKUP(J484,'LibSets constants'!$A$4:$C$1012,3,FALSE)</f>
        <v>Blackwood</v>
      </c>
    </row>
    <row r="485" spans="1:12" x14ac:dyDescent="0.25">
      <c r="A485" s="5">
        <v>863</v>
      </c>
      <c r="B485" s="5">
        <v>480</v>
      </c>
      <c r="C485" s="5">
        <v>537</v>
      </c>
      <c r="D485" t="s">
        <v>542</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constants'!$A$4:$B$1012,2,FALSE)</f>
        <v>DLC_BLACKWOOD</v>
      </c>
      <c r="L485" s="3" t="str">
        <f>VLOOKUP(J485,'LibSets constants'!$A$4:$C$1012,3,FALSE)</f>
        <v>Blackwood</v>
      </c>
    </row>
    <row r="486" spans="1:12" x14ac:dyDescent="0.25">
      <c r="A486" s="5">
        <v>864</v>
      </c>
      <c r="B486" s="5">
        <v>481</v>
      </c>
      <c r="C486" s="5">
        <v>103</v>
      </c>
      <c r="D486" t="s">
        <v>543</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constants'!$A$4:$B$1012,2,FALSE)</f>
        <v>DLC_BLACKWOOD</v>
      </c>
      <c r="L486" s="3" t="str">
        <f>VLOOKUP(J486,'LibSets constants'!$A$4:$C$1012,3,FALSE)</f>
        <v>Blackwood</v>
      </c>
    </row>
    <row r="487" spans="1:12" x14ac:dyDescent="0.25">
      <c r="A487" s="5">
        <v>865</v>
      </c>
      <c r="B487" s="5">
        <v>482</v>
      </c>
      <c r="C487" s="5">
        <v>101</v>
      </c>
      <c r="D487" t="s">
        <v>544</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constants'!$A$4:$B$1012,2,FALSE)</f>
        <v>DLC_BLACKWOOD</v>
      </c>
      <c r="L487" s="3" t="str">
        <f>VLOOKUP(J487,'LibSets constants'!$A$4:$C$1012,3,FALSE)</f>
        <v>Blackwood</v>
      </c>
    </row>
    <row r="488" spans="1:12" x14ac:dyDescent="0.25">
      <c r="A488" s="5">
        <v>866</v>
      </c>
      <c r="B488" s="5">
        <v>483</v>
      </c>
      <c r="C488" s="5">
        <v>57</v>
      </c>
      <c r="D488" t="s">
        <v>545</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constants'!$A$4:$B$1012,2,FALSE)</f>
        <v>DLC_BLACKWOOD</v>
      </c>
      <c r="L488" s="3" t="str">
        <f>VLOOKUP(J488,'LibSets constants'!$A$4:$C$1012,3,FALSE)</f>
        <v>Blackwood</v>
      </c>
    </row>
    <row r="489" spans="1:12" x14ac:dyDescent="0.25">
      <c r="A489" s="5">
        <v>867</v>
      </c>
      <c r="B489" s="5">
        <v>484</v>
      </c>
      <c r="C489" s="5">
        <v>41</v>
      </c>
      <c r="D489" t="s">
        <v>546</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constants'!$A$4:$B$1012,2,FALSE)</f>
        <v>DLC_BLACKWOOD</v>
      </c>
      <c r="L489" s="3" t="str">
        <f>VLOOKUP(J489,'LibSets constants'!$A$4:$C$1012,3,FALSE)</f>
        <v>Blackwood</v>
      </c>
    </row>
    <row r="490" spans="1:12" x14ac:dyDescent="0.25">
      <c r="A490" s="5">
        <v>868</v>
      </c>
      <c r="B490" s="5">
        <v>485</v>
      </c>
      <c r="C490" s="5">
        <v>281</v>
      </c>
      <c r="D490" t="s">
        <v>547</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constants'!$A$4:$B$1012,2,FALSE)</f>
        <v>DLC_BLACKWOOD</v>
      </c>
      <c r="L490" s="3" t="str">
        <f>VLOOKUP(J490,'LibSets constants'!$A$4:$C$1012,3,FALSE)</f>
        <v>Blackwood</v>
      </c>
    </row>
    <row r="491" spans="1:12" x14ac:dyDescent="0.25">
      <c r="A491" s="5">
        <v>869</v>
      </c>
      <c r="B491" s="5">
        <v>486</v>
      </c>
      <c r="C491" s="5">
        <v>117</v>
      </c>
      <c r="D491" t="s">
        <v>548</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constants'!$A$4:$B$1012,2,FALSE)</f>
        <v>DLC_BLACKWOOD</v>
      </c>
      <c r="L491" s="3" t="str">
        <f>VLOOKUP(J491,'LibSets constants'!$A$4:$C$1012,3,FALSE)</f>
        <v>Blackwood</v>
      </c>
    </row>
    <row r="492" spans="1:12" x14ac:dyDescent="0.25">
      <c r="A492" s="5">
        <v>870</v>
      </c>
      <c r="B492" s="5">
        <v>487</v>
      </c>
      <c r="C492" s="5">
        <v>888</v>
      </c>
      <c r="D492" t="s">
        <v>549</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constants'!$A$4:$B$1012,2,FALSE)</f>
        <v>DLC_BLACKWOOD</v>
      </c>
      <c r="L492" s="3" t="str">
        <f>VLOOKUP(J492,'LibSets constants'!$A$4:$C$1012,3,FALSE)</f>
        <v>Blackwood</v>
      </c>
    </row>
    <row r="493" spans="1:12" x14ac:dyDescent="0.25">
      <c r="A493" s="5">
        <v>871</v>
      </c>
      <c r="B493" s="5">
        <v>488</v>
      </c>
      <c r="C493" s="5">
        <v>58</v>
      </c>
      <c r="D493" t="s">
        <v>550</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constants'!$A$4:$B$1012,2,FALSE)</f>
        <v>DLC_BLACKWOOD</v>
      </c>
      <c r="L493" s="3" t="str">
        <f>VLOOKUP(J493,'LibSets constants'!$A$4:$C$1012,3,FALSE)</f>
        <v>Blackwood</v>
      </c>
    </row>
    <row r="494" spans="1:12" x14ac:dyDescent="0.25">
      <c r="A494" s="5">
        <v>872</v>
      </c>
      <c r="B494" s="5">
        <v>489</v>
      </c>
      <c r="C494" s="5">
        <v>382</v>
      </c>
      <c r="D494" t="s">
        <v>551</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constants'!$A$4:$B$1012,2,FALSE)</f>
        <v>DLC_BLACKWOOD</v>
      </c>
      <c r="L494" s="3" t="str">
        <f>VLOOKUP(J494,'LibSets constants'!$A$4:$C$1012,3,FALSE)</f>
        <v>Blackwood</v>
      </c>
    </row>
    <row r="495" spans="1:12" x14ac:dyDescent="0.25">
      <c r="A495" s="5">
        <v>873</v>
      </c>
      <c r="B495" s="5">
        <v>490</v>
      </c>
      <c r="C495" s="5">
        <v>117</v>
      </c>
      <c r="D495" t="s">
        <v>552</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constants'!$A$4:$B$1012,2,FALSE)</f>
        <v>DLC_BLACKWOOD</v>
      </c>
      <c r="L495" s="3" t="str">
        <f>VLOOKUP(J495,'LibSets constants'!$A$4:$C$1012,3,FALSE)</f>
        <v>Blackwood</v>
      </c>
    </row>
    <row r="496" spans="1:12" x14ac:dyDescent="0.25">
      <c r="A496" s="5">
        <v>874</v>
      </c>
      <c r="B496" s="5">
        <v>491</v>
      </c>
      <c r="C496" s="5">
        <v>57</v>
      </c>
      <c r="D496" t="s">
        <v>553</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constants'!$A$4:$B$1012,2,FALSE)</f>
        <v>DLC_BLACKWOOD</v>
      </c>
      <c r="L496" s="3" t="str">
        <f>VLOOKUP(J496,'LibSets constants'!$A$4:$C$1012,3,FALSE)</f>
        <v>Blackwood</v>
      </c>
    </row>
    <row r="497" spans="1:12" x14ac:dyDescent="0.25">
      <c r="A497" s="5">
        <v>875</v>
      </c>
      <c r="B497" s="5">
        <v>492</v>
      </c>
      <c r="C497" s="5">
        <v>103</v>
      </c>
      <c r="D497" t="s">
        <v>554</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constants'!$A$4:$B$1012,2,FALSE)</f>
        <v>DLC_BLACKWOOD</v>
      </c>
      <c r="L497" s="3" t="str">
        <f>VLOOKUP(J497,'LibSets constants'!$A$4:$C$1012,3,FALSE)</f>
        <v>Blackwood</v>
      </c>
    </row>
    <row r="498" spans="1:12" x14ac:dyDescent="0.25">
      <c r="A498" s="5">
        <v>876</v>
      </c>
      <c r="B498" s="5">
        <v>493</v>
      </c>
      <c r="C498" s="5">
        <v>382</v>
      </c>
      <c r="D498" t="s">
        <v>555</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constants'!$A$4:$B$1012,2,FALSE)</f>
        <v>DLC_BASE_GAME</v>
      </c>
      <c r="L498" s="3" t="str">
        <f>VLOOKUP(J498,'LibSets constants'!$A$4:$C$1012,3,FALSE)</f>
        <v>Included in base game</v>
      </c>
    </row>
    <row r="499" spans="1:12" x14ac:dyDescent="0.25">
      <c r="A499" s="5">
        <v>877</v>
      </c>
      <c r="B499" s="5">
        <v>494</v>
      </c>
      <c r="C499" s="5">
        <v>383</v>
      </c>
      <c r="D499" t="s">
        <v>556</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constants'!$A$4:$B$1012,2,FALSE)</f>
        <v>DLC_BLACKWOOD</v>
      </c>
      <c r="L499" s="3" t="str">
        <f>VLOOKUP(J499,'LibSets constants'!$A$4:$C$1012,3,FALSE)</f>
        <v>Blackwood</v>
      </c>
    </row>
    <row r="500" spans="1:12" x14ac:dyDescent="0.25">
      <c r="A500" s="5">
        <v>878</v>
      </c>
      <c r="B500" s="5">
        <v>495</v>
      </c>
      <c r="C500" s="5">
        <v>381</v>
      </c>
      <c r="D500" t="s">
        <v>557</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constants'!$A$4:$B$1012,2,FALSE)</f>
        <v>DLC_MARKARTH</v>
      </c>
      <c r="L500" s="3" t="str">
        <f>VLOOKUP(J500,'LibSets constants'!$A$4:$C$1012,3,FALSE)</f>
        <v>Markarth</v>
      </c>
    </row>
    <row r="501" spans="1:12" x14ac:dyDescent="0.25">
      <c r="A501" s="5">
        <v>879</v>
      </c>
      <c r="B501" s="5">
        <v>496</v>
      </c>
      <c r="C501" s="5">
        <v>534</v>
      </c>
      <c r="D501" t="s">
        <v>558</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constants'!$A$4:$B$1012,2,FALSE)</f>
        <v>DLC_GREYMOOR</v>
      </c>
      <c r="L501" s="3" t="str">
        <f>VLOOKUP(J501,'LibSets constants'!$A$4:$C$1012,3,FALSE)</f>
        <v>Greymoor</v>
      </c>
    </row>
    <row r="502" spans="1:12" x14ac:dyDescent="0.25">
      <c r="A502" s="5">
        <v>880</v>
      </c>
      <c r="B502" s="5">
        <v>497</v>
      </c>
      <c r="C502" s="5">
        <v>92</v>
      </c>
      <c r="D502" t="s">
        <v>559</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constants'!$A$4:$B$1012,2,FALSE)</f>
        <v>DLC_BLACKWOOD</v>
      </c>
      <c r="L502" s="3" t="str">
        <f>VLOOKUP(J502,'LibSets constants'!$A$4:$C$1012,3,FALSE)</f>
        <v>Blackwood</v>
      </c>
    </row>
    <row r="503" spans="1:12" x14ac:dyDescent="0.25">
      <c r="A503" s="5">
        <v>881</v>
      </c>
      <c r="B503" s="5">
        <v>498</v>
      </c>
      <c r="C503" s="5">
        <v>19</v>
      </c>
      <c r="D503" t="s">
        <v>560</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constants'!$A$4:$B$1012,2,FALSE)</f>
        <v>DLC_WAKING_FLAME</v>
      </c>
      <c r="L503" s="3" t="str">
        <f>VLOOKUP(J503,'LibSets constants'!$A$4:$C$1012,3,FALSE)</f>
        <v>Waking Flame</v>
      </c>
    </row>
    <row r="504" spans="1:12" x14ac:dyDescent="0.25">
      <c r="A504" s="5">
        <v>882</v>
      </c>
      <c r="B504" s="5">
        <v>499</v>
      </c>
      <c r="C504" s="5">
        <v>383</v>
      </c>
      <c r="D504" t="s">
        <v>561</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constants'!$A$4:$B$1012,2,FALSE)</f>
        <v>DLC_BLACKWOOD</v>
      </c>
      <c r="L504" s="3" t="str">
        <f>VLOOKUP(J504,'LibSets constants'!$A$4:$C$1012,3,FALSE)</f>
        <v>Blackwood</v>
      </c>
    </row>
    <row r="505" spans="1:12" x14ac:dyDescent="0.25">
      <c r="A505" s="5">
        <v>883</v>
      </c>
      <c r="B505" s="5">
        <v>500</v>
      </c>
      <c r="C505" s="5">
        <v>888</v>
      </c>
      <c r="D505" t="s">
        <v>562</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constants'!$A$4:$B$1012,2,FALSE)</f>
        <v>DLC_MORROWIND</v>
      </c>
      <c r="L505" s="3" t="str">
        <f>VLOOKUP(J505,'LibSets constants'!$A$4:$C$1012,3,FALSE)</f>
        <v>Morrowind</v>
      </c>
    </row>
    <row r="506" spans="1:12" x14ac:dyDescent="0.25">
      <c r="A506" s="5">
        <v>888</v>
      </c>
      <c r="B506" s="5">
        <v>501</v>
      </c>
      <c r="C506" s="5">
        <v>888</v>
      </c>
      <c r="D506" t="s">
        <v>563</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constants'!$A$4:$B$1012,2,FALSE)</f>
        <v>DLC_BLACKWOOD</v>
      </c>
      <c r="L506" s="3" t="str">
        <f>VLOOKUP(J506,'LibSets constants'!$A$4:$C$1012,3,FALSE)</f>
        <v>Blackwood</v>
      </c>
    </row>
    <row r="507" spans="1:12" x14ac:dyDescent="0.25">
      <c r="A507" s="5">
        <v>889</v>
      </c>
      <c r="B507" s="5">
        <v>502</v>
      </c>
      <c r="C507" s="5">
        <v>888</v>
      </c>
      <c r="D507" t="s">
        <v>564</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constants'!$A$4:$B$1012,2,FALSE)</f>
        <v>DLC_BLACKWOOD</v>
      </c>
      <c r="L507" s="3" t="str">
        <f>VLOOKUP(J507,'LibSets constants'!$A$4:$C$1012,3,FALSE)</f>
        <v>Blackwood</v>
      </c>
    </row>
    <row r="508" spans="1:12" x14ac:dyDescent="0.25">
      <c r="A508" s="5">
        <v>890</v>
      </c>
      <c r="B508" s="5">
        <v>503</v>
      </c>
      <c r="C508" s="5">
        <v>888</v>
      </c>
      <c r="D508" t="s">
        <v>565</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constants'!$A$4:$B$1012,2,FALSE)</f>
        <v>DLC_BASE_GAME</v>
      </c>
      <c r="L508" s="3" t="str">
        <f>VLOOKUP(J508,'LibSets constants'!$A$4:$C$1012,3,FALSE)</f>
        <v>Included in base game</v>
      </c>
    </row>
    <row r="509" spans="1:12" x14ac:dyDescent="0.25">
      <c r="A509" s="5">
        <v>891</v>
      </c>
      <c r="B509" s="5">
        <v>504</v>
      </c>
      <c r="C509" s="5">
        <v>888</v>
      </c>
      <c r="D509" t="s">
        <v>566</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constants'!$A$4:$B$1012,2,FALSE)</f>
        <v>DLC_BASE_GAME</v>
      </c>
      <c r="L509" s="3" t="str">
        <f>VLOOKUP(J509,'LibSets constants'!$A$4:$C$1012,3,FALSE)</f>
        <v>Included in base game</v>
      </c>
    </row>
    <row r="510" spans="1:12" x14ac:dyDescent="0.25">
      <c r="A510" s="5">
        <v>892</v>
      </c>
      <c r="B510" s="5">
        <v>505</v>
      </c>
      <c r="C510" s="5">
        <v>888</v>
      </c>
      <c r="D510" t="s">
        <v>567</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constants'!$A$4:$B$1012,2,FALSE)</f>
        <v>DLC_BASE_GAME</v>
      </c>
      <c r="L510" s="3" t="str">
        <f>VLOOKUP(J510,'LibSets constants'!$A$4:$C$1012,3,FALSE)</f>
        <v>Included in base game</v>
      </c>
    </row>
    <row r="511" spans="1:12" x14ac:dyDescent="0.25">
      <c r="A511" s="5">
        <v>893</v>
      </c>
      <c r="B511" s="5">
        <v>506</v>
      </c>
      <c r="C511" s="5">
        <v>888</v>
      </c>
      <c r="D511" t="s">
        <v>568</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constants'!$A$4:$B$1012,2,FALSE)</f>
        <v>DLC_BASE_GAME</v>
      </c>
      <c r="L511" s="3" t="str">
        <f>VLOOKUP(J511,'LibSets constants'!$A$4:$C$1012,3,FALSE)</f>
        <v>Included in base game</v>
      </c>
    </row>
    <row r="512" spans="1:12" x14ac:dyDescent="0.25">
      <c r="A512" s="5">
        <v>894</v>
      </c>
      <c r="B512" s="5">
        <v>507</v>
      </c>
      <c r="C512" s="5">
        <v>888</v>
      </c>
      <c r="D512" t="s">
        <v>569</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constants'!$A$4:$B$1012,2,FALSE)</f>
        <v>DLC_DEADLANDS</v>
      </c>
      <c r="L512" s="3" t="str">
        <f>VLOOKUP(J512,'LibSets constants'!$A$4:$C$1012,3,FALSE)</f>
        <v>The Deadlands</v>
      </c>
    </row>
    <row r="513" spans="1:12" x14ac:dyDescent="0.25">
      <c r="A513" s="5">
        <v>895</v>
      </c>
      <c r="B513" s="5">
        <v>508</v>
      </c>
      <c r="C513" s="5">
        <v>888</v>
      </c>
      <c r="D513" t="s">
        <v>2418</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constants'!$A$4:$B$1012,2,FALSE)</f>
        <v>DLC_DEADLANDS</v>
      </c>
      <c r="L513" s="3" t="str">
        <f>VLOOKUP(J513,'LibSets constants'!$A$4:$C$1012,3,FALSE)</f>
        <v>The Deadlands</v>
      </c>
    </row>
    <row r="514" spans="1:12" x14ac:dyDescent="0.25">
      <c r="A514" s="5">
        <v>896</v>
      </c>
      <c r="B514" s="5">
        <v>509</v>
      </c>
      <c r="C514" s="5">
        <v>888</v>
      </c>
      <c r="D514" t="s">
        <v>570</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constants'!$A$4:$B$1012,2,FALSE)</f>
        <v>DLC_DEADLANDS</v>
      </c>
      <c r="L514" s="3" t="str">
        <f>VLOOKUP(J514,'LibSets constants'!$A$4:$C$1012,3,FALSE)</f>
        <v>The Deadlands</v>
      </c>
    </row>
    <row r="515" spans="1:12" x14ac:dyDescent="0.25">
      <c r="A515" s="5">
        <v>897</v>
      </c>
      <c r="B515" s="5">
        <v>510</v>
      </c>
      <c r="C515" s="5">
        <v>888</v>
      </c>
      <c r="D515" t="s">
        <v>571</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constants'!$A$4:$B$1012,2,FALSE)</f>
        <v>DLC_DEADLANDS</v>
      </c>
      <c r="L515" s="3" t="str">
        <f>VLOOKUP(J515,'LibSets constants'!$A$4:$C$1012,3,FALSE)</f>
        <v>The Deadlands</v>
      </c>
    </row>
    <row r="516" spans="1:12" x14ac:dyDescent="0.25">
      <c r="A516" s="5">
        <v>898</v>
      </c>
      <c r="B516" s="5">
        <v>511</v>
      </c>
      <c r="C516" s="5">
        <v>888</v>
      </c>
      <c r="D516" t="s">
        <v>572</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constants'!$A$4:$B$1012,2,FALSE)</f>
        <v>DLC_DEADLANDS</v>
      </c>
      <c r="L516" s="3" t="str">
        <f>VLOOKUP(J516,'LibSets constants'!$A$4:$C$1012,3,FALSE)</f>
        <v>The Deadlands</v>
      </c>
    </row>
    <row r="517" spans="1:12" x14ac:dyDescent="0.25">
      <c r="A517" s="5">
        <v>899</v>
      </c>
      <c r="B517" s="5">
        <v>512</v>
      </c>
      <c r="C517" s="5">
        <v>888</v>
      </c>
      <c r="D517" t="s">
        <v>573</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constants'!$A$4:$B$1012,2,FALSE)</f>
        <v>DLC_DEADLANDS</v>
      </c>
      <c r="L517" s="3" t="str">
        <f>VLOOKUP(J517,'LibSets constants'!$A$4:$C$1012,3,FALSE)</f>
        <v>The Deadlands</v>
      </c>
    </row>
    <row r="518" spans="1:12" x14ac:dyDescent="0.25">
      <c r="A518" s="5">
        <v>900</v>
      </c>
      <c r="B518" s="5">
        <v>513</v>
      </c>
      <c r="C518" s="5">
        <v>888</v>
      </c>
      <c r="D518" t="s">
        <v>574</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constants'!$A$4:$B$1012,2,FALSE)</f>
        <v>DLC_DEADLANDS</v>
      </c>
      <c r="L518" s="3" t="str">
        <f>VLOOKUP(J518,'LibSets constants'!$A$4:$C$1012,3,FALSE)</f>
        <v>The Deadlands</v>
      </c>
    </row>
    <row r="519" spans="1:12" x14ac:dyDescent="0.25">
      <c r="A519" s="5">
        <v>901</v>
      </c>
      <c r="B519" s="5">
        <v>514</v>
      </c>
      <c r="C519" s="5">
        <v>888</v>
      </c>
      <c r="D519" t="s">
        <v>575</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constants'!$A$4:$B$1012,2,FALSE)</f>
        <v>DLC_DEADLANDS</v>
      </c>
      <c r="L519" s="3" t="str">
        <f>VLOOKUP(J519,'LibSets constants'!$A$4:$C$1012,3,FALSE)</f>
        <v>The Deadlands</v>
      </c>
    </row>
    <row r="520" spans="1:12" x14ac:dyDescent="0.25">
      <c r="A520" s="5">
        <v>902</v>
      </c>
      <c r="B520" s="5">
        <v>515</v>
      </c>
      <c r="C520" s="5">
        <v>888</v>
      </c>
      <c r="D520" t="s">
        <v>576</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constants'!$A$4:$B$1012,2,FALSE)</f>
        <v>DLC_DEADLANDS</v>
      </c>
      <c r="L520" s="3" t="str">
        <f>VLOOKUP(J520,'LibSets constants'!$A$4:$C$1012,3,FALSE)</f>
        <v>The Deadlands</v>
      </c>
    </row>
    <row r="521" spans="1:12" x14ac:dyDescent="0.25">
      <c r="A521" s="5">
        <v>903</v>
      </c>
      <c r="B521" s="5">
        <v>516</v>
      </c>
      <c r="C521" s="5">
        <v>888</v>
      </c>
      <c r="D521" t="s">
        <v>577</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constants'!$A$4:$B$1012,2,FALSE)</f>
        <v>DLC_DEADLANDS</v>
      </c>
      <c r="L521" s="3" t="str">
        <f>VLOOKUP(J521,'LibSets constants'!$A$4:$C$1012,3,FALSE)</f>
        <v>The Deadlands</v>
      </c>
    </row>
    <row r="522" spans="1:12" x14ac:dyDescent="0.25">
      <c r="A522" s="5">
        <v>904</v>
      </c>
      <c r="B522" s="5">
        <v>517</v>
      </c>
      <c r="C522" s="5">
        <v>888</v>
      </c>
      <c r="D522" t="s">
        <v>578</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constants'!$A$4:$B$1012,2,FALSE)</f>
        <v>DLC_DEADLANDS</v>
      </c>
      <c r="L522" s="3" t="str">
        <f>VLOOKUP(J522,'LibSets constants'!$A$4:$C$1012,3,FALSE)</f>
        <v>The Deadlands</v>
      </c>
    </row>
    <row r="523" spans="1:12" x14ac:dyDescent="0.25">
      <c r="A523" s="5">
        <v>905</v>
      </c>
      <c r="B523" s="5">
        <v>518</v>
      </c>
      <c r="C523" s="5">
        <v>888</v>
      </c>
      <c r="D523" t="s">
        <v>579</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constants'!$A$4:$B$1012,2,FALSE)</f>
        <v>DLC_DEADLANDS</v>
      </c>
      <c r="L523" s="3" t="str">
        <f>VLOOKUP(J523,'LibSets constants'!$A$4:$C$1012,3,FALSE)</f>
        <v>The Deadlands</v>
      </c>
    </row>
    <row r="524" spans="1:12" x14ac:dyDescent="0.25">
      <c r="A524" s="5">
        <v>906</v>
      </c>
      <c r="B524" s="5">
        <v>519</v>
      </c>
      <c r="C524" s="5">
        <v>888</v>
      </c>
      <c r="D524" t="s">
        <v>580</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constants'!$A$4:$B$1012,2,FALSE)</f>
        <v>DLC_DEADLANDS</v>
      </c>
      <c r="L524" s="3" t="str">
        <f>VLOOKUP(J524,'LibSets constants'!$A$4:$C$1012,3,FALSE)</f>
        <v>The Deadlands</v>
      </c>
    </row>
    <row r="525" spans="1:12" x14ac:dyDescent="0.25">
      <c r="A525" s="5">
        <v>907</v>
      </c>
      <c r="B525" s="5">
        <v>520</v>
      </c>
      <c r="C525" s="5">
        <v>888</v>
      </c>
      <c r="D525" t="s">
        <v>3914</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constants'!$A$4:$B$1012,2,FALSE)</f>
        <v>DLC_DEADLANDS</v>
      </c>
      <c r="L525" s="3" t="str">
        <f>VLOOKUP(J525,'LibSets constants'!$A$4:$C$1012,3,FALSE)</f>
        <v>The Deadlands</v>
      </c>
    </row>
    <row r="526" spans="1:12" x14ac:dyDescent="0.25">
      <c r="A526" s="5">
        <v>908</v>
      </c>
      <c r="B526" s="5">
        <v>521</v>
      </c>
      <c r="C526" s="5">
        <v>888</v>
      </c>
      <c r="D526" t="s">
        <v>581</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constants'!$A$4:$B$1012,2,FALSE)</f>
        <v>DLC_DEADLANDS</v>
      </c>
      <c r="L526" s="3" t="str">
        <f>VLOOKUP(J526,'LibSets constants'!$A$4:$C$1012,3,FALSE)</f>
        <v>The Deadlands</v>
      </c>
    </row>
    <row r="527" spans="1:12" x14ac:dyDescent="0.25">
      <c r="A527" s="5">
        <v>909</v>
      </c>
      <c r="B527" s="5">
        <v>522</v>
      </c>
      <c r="C527" s="5">
        <v>888</v>
      </c>
      <c r="D527" t="s">
        <v>582</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constants'!$A$4:$B$1012,2,FALSE)</f>
        <v>DLC_DEADLANDS</v>
      </c>
      <c r="L527" s="3" t="str">
        <f>VLOOKUP(J527,'LibSets constants'!$A$4:$C$1012,3,FALSE)</f>
        <v>The Deadlands</v>
      </c>
    </row>
    <row r="528" spans="1:12" x14ac:dyDescent="0.25">
      <c r="A528" s="5">
        <v>910</v>
      </c>
      <c r="B528" s="5">
        <v>523</v>
      </c>
      <c r="C528" s="5">
        <v>888</v>
      </c>
      <c r="D528" t="s">
        <v>583</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constants'!$A$4:$B$1012,2,FALSE)</f>
        <v>DLC_DEADLANDS</v>
      </c>
      <c r="L528" s="3" t="str">
        <f>VLOOKUP(J528,'LibSets constants'!$A$4:$C$1012,3,FALSE)</f>
        <v>The Deadlands</v>
      </c>
    </row>
    <row r="529" spans="1:12" x14ac:dyDescent="0.25">
      <c r="A529" s="5">
        <v>911</v>
      </c>
      <c r="B529" s="5">
        <v>524</v>
      </c>
      <c r="C529" s="5">
        <v>888</v>
      </c>
      <c r="D529" t="s">
        <v>584</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constants'!$A$4:$B$1012,2,FALSE)</f>
        <v>DLC_DEADLANDS</v>
      </c>
      <c r="L529" s="3" t="str">
        <f>VLOOKUP(J529,'LibSets constants'!$A$4:$C$1012,3,FALSE)</f>
        <v>The Deadlands</v>
      </c>
    </row>
    <row r="530" spans="1:12" x14ac:dyDescent="0.25">
      <c r="A530" s="5">
        <v>913</v>
      </c>
      <c r="B530" s="5">
        <v>525</v>
      </c>
      <c r="C530" s="5">
        <v>888</v>
      </c>
      <c r="D530" t="s">
        <v>585</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constants'!$A$4:$B$1012,2,FALSE)</f>
        <v>DLC_ASCENDING_TIDE</v>
      </c>
      <c r="L530" s="3" t="str">
        <f>VLOOKUP(J530,'LibSets constants'!$A$4:$C$1012,3,FALSE)</f>
        <v>Ascending Tide</v>
      </c>
    </row>
    <row r="531" spans="1:12" x14ac:dyDescent="0.25">
      <c r="A531" s="5">
        <v>914</v>
      </c>
      <c r="B531" s="5">
        <v>526</v>
      </c>
      <c r="C531" s="5">
        <v>888</v>
      </c>
      <c r="D531" t="s">
        <v>586</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constants'!$A$4:$B$1012,2,FALSE)</f>
        <v>DLC_DEADLANDS</v>
      </c>
      <c r="L531" s="3" t="str">
        <f>VLOOKUP(J531,'LibSets constants'!$A$4:$C$1012,3,FALSE)</f>
        <v>The Deadlands</v>
      </c>
    </row>
    <row r="532" spans="1:12" x14ac:dyDescent="0.25">
      <c r="A532" s="5">
        <v>915</v>
      </c>
      <c r="B532" s="5">
        <v>527</v>
      </c>
      <c r="C532" s="5">
        <v>888</v>
      </c>
      <c r="D532" t="s">
        <v>587</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constants'!$A$4:$B$1012,2,FALSE)</f>
        <v>DLC_BASE_GAME</v>
      </c>
      <c r="L532" s="3" t="str">
        <f>VLOOKUP(J532,'LibSets constants'!$A$4:$C$1012,3,FALSE)</f>
        <v>Included in base game</v>
      </c>
    </row>
    <row r="533" spans="1:12" x14ac:dyDescent="0.25">
      <c r="A533" s="5">
        <v>916</v>
      </c>
      <c r="B533" s="5">
        <v>528</v>
      </c>
      <c r="C533" s="5">
        <v>888</v>
      </c>
      <c r="D533" t="s">
        <v>588</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constants'!$A$4:$B$1012,2,FALSE)</f>
        <v>DLC_BLACKWOOD</v>
      </c>
      <c r="L533" s="3" t="str">
        <f>VLOOKUP(J533,'LibSets constants'!$A$4:$C$1012,3,FALSE)</f>
        <v>Blackwood</v>
      </c>
    </row>
    <row r="534" spans="1:12" x14ac:dyDescent="0.25">
      <c r="A534" s="5">
        <v>917</v>
      </c>
      <c r="B534" s="5">
        <v>529</v>
      </c>
      <c r="C534" s="5">
        <v>917</v>
      </c>
      <c r="D534" t="s">
        <v>589</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constants'!$A$4:$B$1012,2,FALSE)</f>
        <v>DLC_DEADLANDS</v>
      </c>
      <c r="L534" s="3" t="str">
        <f>VLOOKUP(J534,'LibSets constants'!$A$4:$C$1012,3,FALSE)</f>
        <v>The Deadlands</v>
      </c>
    </row>
    <row r="535" spans="1:12" x14ac:dyDescent="0.25">
      <c r="A535" s="5">
        <v>918</v>
      </c>
      <c r="B535" s="5">
        <v>530</v>
      </c>
      <c r="C535" s="5">
        <v>849</v>
      </c>
      <c r="D535" t="s">
        <v>590</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constants'!$A$4:$B$1012,2,FALSE)</f>
        <v>DLC_ASCENDING_TIDE</v>
      </c>
      <c r="L535" s="3" t="str">
        <f>VLOOKUP(J535,'LibSets constants'!$A$4:$C$1012,3,FALSE)</f>
        <v>Ascending Tide</v>
      </c>
    </row>
    <row r="536" spans="1:12" x14ac:dyDescent="0.25">
      <c r="A536" s="5">
        <v>919</v>
      </c>
      <c r="B536" s="5">
        <v>531</v>
      </c>
      <c r="C536" s="5">
        <v>849</v>
      </c>
      <c r="D536" t="s">
        <v>591</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constants'!$A$4:$B$1012,2,FALSE)</f>
        <v>DLC_ASCENDING_TIDE</v>
      </c>
      <c r="L536" s="3" t="str">
        <f>VLOOKUP(J536,'LibSets constants'!$A$4:$C$1012,3,FALSE)</f>
        <v>Ascending Tide</v>
      </c>
    </row>
    <row r="537" spans="1:12" x14ac:dyDescent="0.25">
      <c r="A537" s="5">
        <v>920</v>
      </c>
      <c r="B537" s="5">
        <v>532</v>
      </c>
      <c r="C537" s="5">
        <v>849</v>
      </c>
      <c r="D537" t="s">
        <v>592</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constants'!$A$4:$B$1012,2,FALSE)</f>
        <v>DLC_LOST_DEPTHS</v>
      </c>
      <c r="L537" s="3" t="str">
        <f>VLOOKUP(J537,'LibSets constants'!$A$4:$C$1012,3,FALSE)</f>
        <v>Lost Depths</v>
      </c>
    </row>
    <row r="538" spans="1:12" x14ac:dyDescent="0.25">
      <c r="A538" s="5">
        <v>921</v>
      </c>
      <c r="B538" s="5">
        <v>533</v>
      </c>
      <c r="C538" s="5">
        <v>849</v>
      </c>
      <c r="D538" t="s">
        <v>593</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constants'!$A$4:$B$1012,2,FALSE)</f>
        <v>DLC_ASCENDING_TIDE</v>
      </c>
      <c r="L538" s="3" t="str">
        <f>VLOOKUP(J538,'LibSets constants'!$A$4:$C$1012,3,FALSE)</f>
        <v>Ascending Tide</v>
      </c>
    </row>
    <row r="539" spans="1:12" x14ac:dyDescent="0.25">
      <c r="A539" s="5">
        <v>922</v>
      </c>
      <c r="B539" s="5">
        <v>534</v>
      </c>
      <c r="C539" s="5">
        <v>849</v>
      </c>
      <c r="D539" t="s">
        <v>594</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constants'!$A$4:$B$1012,2,FALSE)</f>
        <v>DLC_LOST_DEPTHS</v>
      </c>
      <c r="L539" s="3" t="str">
        <f>VLOOKUP(J539,'LibSets constants'!$A$4:$C$1012,3,FALSE)</f>
        <v>Lost Depths</v>
      </c>
    </row>
    <row r="540" spans="1:12" x14ac:dyDescent="0.25">
      <c r="A540" s="5">
        <v>923</v>
      </c>
      <c r="B540" s="5">
        <v>535</v>
      </c>
      <c r="C540" s="5">
        <v>849</v>
      </c>
      <c r="D540" t="s">
        <v>595</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constants'!$A$4:$B$1012,2,FALSE)</f>
        <v>DLC_LOST_DEPTHS</v>
      </c>
      <c r="L540" s="3" t="str">
        <f>VLOOKUP(J540,'LibSets constants'!$A$4:$C$1012,3,FALSE)</f>
        <v>Lost Depths</v>
      </c>
    </row>
    <row r="541" spans="1:12" x14ac:dyDescent="0.25">
      <c r="A541" s="5">
        <v>924</v>
      </c>
      <c r="B541" s="5">
        <v>536</v>
      </c>
      <c r="C541" s="5">
        <v>849</v>
      </c>
      <c r="D541" t="s">
        <v>596</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constants'!$A$4:$B$1012,2,FALSE)</f>
        <v>DLC_LOST_DEPTHS</v>
      </c>
      <c r="L541" s="3" t="str">
        <f>VLOOKUP(J541,'LibSets constants'!$A$4:$C$1012,3,FALSE)</f>
        <v>Lost Depths</v>
      </c>
    </row>
    <row r="542" spans="1:12" x14ac:dyDescent="0.25">
      <c r="A542" s="5">
        <v>925</v>
      </c>
      <c r="B542" s="5">
        <v>537</v>
      </c>
      <c r="C542" s="5">
        <v>849</v>
      </c>
      <c r="D542" t="s">
        <v>597</v>
      </c>
      <c r="F542" s="3" t="str">
        <f t="shared" si="32"/>
        <v/>
      </c>
      <c r="G542" s="3" t="str">
        <f t="shared" si="33"/>
        <v>Vvardenfell</v>
      </c>
      <c r="H542" s="17">
        <f t="shared" si="34"/>
        <v>925</v>
      </c>
      <c r="I542" s="17">
        <f t="shared" si="35"/>
        <v>849</v>
      </c>
      <c r="J542">
        <v>26</v>
      </c>
      <c r="K542" s="3" t="str">
        <f>VLOOKUP(J542,'LibSets constants'!$A$4:$B$1012,2,FALSE)</f>
        <v>DLC_HIGH_ISLE</v>
      </c>
      <c r="L542" s="3" t="str">
        <f>VLOOKUP(J542,'LibSets constants'!$A$4:$C$1012,3,FALSE)</f>
        <v>High Isle</v>
      </c>
    </row>
    <row r="543" spans="1:12" x14ac:dyDescent="0.25">
      <c r="A543" s="5">
        <v>926</v>
      </c>
      <c r="B543" s="5">
        <v>538</v>
      </c>
      <c r="C543" s="5">
        <v>849</v>
      </c>
      <c r="D543" t="s">
        <v>598</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constants'!$A$4:$B$1012,2,FALSE)</f>
        <v>DLC_HIGH_ISLE</v>
      </c>
      <c r="L543" s="3" t="str">
        <f>VLOOKUP(J543,'LibSets constants'!$A$4:$C$1012,3,FALSE)</f>
        <v>High Isle</v>
      </c>
    </row>
    <row r="544" spans="1:12" x14ac:dyDescent="0.25">
      <c r="A544" s="5">
        <v>927</v>
      </c>
      <c r="B544" s="5">
        <v>539</v>
      </c>
      <c r="C544" s="5">
        <v>849</v>
      </c>
      <c r="D544" t="s">
        <v>599</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constants'!$A$4:$B$1012,2,FALSE)</f>
        <v>DLC_HIGH_ISLE</v>
      </c>
      <c r="L544" s="3" t="str">
        <f>VLOOKUP(J544,'LibSets constants'!$A$4:$C$1012,3,FALSE)</f>
        <v>High Isle</v>
      </c>
    </row>
    <row r="545" spans="1:12" x14ac:dyDescent="0.25">
      <c r="A545" s="5">
        <v>928</v>
      </c>
      <c r="B545" s="5">
        <v>540</v>
      </c>
      <c r="C545" s="5">
        <v>849</v>
      </c>
      <c r="D545" t="s">
        <v>600</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constants'!$A$4:$B$1012,2,FALSE)</f>
        <v>DLC_HIGH_ISLE</v>
      </c>
      <c r="L545" s="3" t="str">
        <f>VLOOKUP(J545,'LibSets constants'!$A$4:$C$1012,3,FALSE)</f>
        <v>High Isle</v>
      </c>
    </row>
    <row r="546" spans="1:12" x14ac:dyDescent="0.25">
      <c r="A546" s="5">
        <v>929</v>
      </c>
      <c r="B546" s="5">
        <v>541</v>
      </c>
      <c r="C546" s="5">
        <v>849</v>
      </c>
      <c r="D546" t="s">
        <v>601</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constants'!$A$4:$B$1012,2,FALSE)</f>
        <v>DLC_HIGH_ISLE</v>
      </c>
      <c r="L546" s="3" t="str">
        <f>VLOOKUP(J546,'LibSets constants'!$A$4:$C$1012,3,FALSE)</f>
        <v>High Isle</v>
      </c>
    </row>
    <row r="547" spans="1:12" x14ac:dyDescent="0.25">
      <c r="A547" s="5">
        <v>930</v>
      </c>
      <c r="B547" s="5">
        <v>542</v>
      </c>
      <c r="C547" s="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constants'!$A$4:$B$1012,2,FALSE)</f>
        <v>DLC_HIGH_ISLE</v>
      </c>
      <c r="L547" s="3" t="str">
        <f>VLOOKUP(J547,'LibSets constants'!$A$4:$C$1012,3,FALSE)</f>
        <v>High Isle</v>
      </c>
    </row>
    <row r="548" spans="1:12" x14ac:dyDescent="0.25">
      <c r="A548" s="5">
        <v>931</v>
      </c>
      <c r="B548" s="5">
        <v>543</v>
      </c>
      <c r="C548" s="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constants'!$A$4:$B$1012,2,FALSE)</f>
        <v>DLC_HIGH_ISLE</v>
      </c>
      <c r="L548" s="3" t="str">
        <f>VLOOKUP(J548,'LibSets constants'!$A$4:$C$1012,3,FALSE)</f>
        <v>High Isle</v>
      </c>
    </row>
    <row r="549" spans="1:12" x14ac:dyDescent="0.25">
      <c r="A549" s="5">
        <v>932</v>
      </c>
      <c r="B549" s="5">
        <v>544</v>
      </c>
      <c r="C549" s="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constants'!$A$4:$B$1012,2,FALSE)</f>
        <v>DLC_HIGH_ISLE</v>
      </c>
      <c r="L549" s="3" t="str">
        <f>VLOOKUP(J549,'LibSets constants'!$A$4:$C$1012,3,FALSE)</f>
        <v>High Isle</v>
      </c>
    </row>
    <row r="550" spans="1:12" x14ac:dyDescent="0.25">
      <c r="A550" s="5">
        <v>933</v>
      </c>
      <c r="B550" s="5">
        <v>545</v>
      </c>
      <c r="C550" s="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constants'!$A$4:$B$1012,2,FALSE)</f>
        <v>DLC_HIGH_ISLE</v>
      </c>
      <c r="L550" s="3" t="str">
        <f>VLOOKUP(J550,'LibSets constants'!$A$4:$C$1012,3,FALSE)</f>
        <v>High Isle</v>
      </c>
    </row>
    <row r="551" spans="1:12" x14ac:dyDescent="0.25">
      <c r="A551" s="5">
        <v>934</v>
      </c>
      <c r="B551" s="5">
        <v>546</v>
      </c>
      <c r="C551" s="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constants'!$A$4:$B$1012,2,FALSE)</f>
        <v>DLC_HIGH_ISLE</v>
      </c>
      <c r="L551" s="3" t="str">
        <f>VLOOKUP(J551,'LibSets constants'!$A$4:$C$1012,3,FALSE)</f>
        <v>High Isle</v>
      </c>
    </row>
    <row r="552" spans="1:12" x14ac:dyDescent="0.25">
      <c r="A552" s="5">
        <v>935</v>
      </c>
      <c r="B552" s="5">
        <v>547</v>
      </c>
      <c r="C552" s="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constants'!$A$4:$B$1012,2,FALSE)</f>
        <v>DLC_HIGH_ISLE</v>
      </c>
      <c r="L552" s="3" t="str">
        <f>VLOOKUP(J552,'LibSets constants'!$A$4:$C$1012,3,FALSE)</f>
        <v>High Isle</v>
      </c>
    </row>
    <row r="553" spans="1:12" x14ac:dyDescent="0.25">
      <c r="A553" s="5">
        <v>936</v>
      </c>
      <c r="B553" s="5">
        <v>548</v>
      </c>
      <c r="C553" s="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constants'!$A$4:$B$1012,2,FALSE)</f>
        <v>DLC_HIGH_ISLE</v>
      </c>
      <c r="L553" s="3" t="str">
        <f>VLOOKUP(J553,'LibSets constants'!$A$4:$C$1012,3,FALSE)</f>
        <v>High Isle</v>
      </c>
    </row>
    <row r="554" spans="1:12" x14ac:dyDescent="0.25">
      <c r="A554" s="5">
        <v>937</v>
      </c>
      <c r="B554" s="5">
        <v>549</v>
      </c>
      <c r="C554" s="5">
        <v>57</v>
      </c>
      <c r="D554" t="s">
        <v>602</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constants'!$A$4:$B$1012,2,FALSE)</f>
        <v>DLC_HIGH_ISLE</v>
      </c>
      <c r="L554" s="3" t="str">
        <f>VLOOKUP(J554,'LibSets constants'!$A$4:$C$1012,3,FALSE)</f>
        <v>High Isle</v>
      </c>
    </row>
    <row r="555" spans="1:12" x14ac:dyDescent="0.25">
      <c r="A555" s="5">
        <v>938</v>
      </c>
      <c r="B555" s="5">
        <v>550</v>
      </c>
      <c r="C555" s="5">
        <v>104</v>
      </c>
      <c r="D555" t="s">
        <v>603</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constants'!$A$4:$B$1012,2,FALSE)</f>
        <v>DLC_HIGH_ISLE</v>
      </c>
      <c r="L555" s="3" t="str">
        <f>VLOOKUP(J555,'LibSets constants'!$A$4:$C$1012,3,FALSE)</f>
        <v>High Isle</v>
      </c>
    </row>
    <row r="556" spans="1:12" x14ac:dyDescent="0.25">
      <c r="A556" s="5">
        <v>939</v>
      </c>
      <c r="B556" s="5">
        <v>551</v>
      </c>
      <c r="C556" s="5">
        <v>381</v>
      </c>
      <c r="D556" t="s">
        <v>604</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constants'!$A$4:$B$1012,2,FALSE)</f>
        <v>DLC_HIGH_ISLE</v>
      </c>
      <c r="L556" s="3" t="str">
        <f>VLOOKUP(J556,'LibSets constants'!$A$4:$C$1012,3,FALSE)</f>
        <v>High Isle</v>
      </c>
    </row>
    <row r="557" spans="1:12" x14ac:dyDescent="0.25">
      <c r="A557" s="5">
        <v>940</v>
      </c>
      <c r="B557" s="5">
        <v>552</v>
      </c>
      <c r="C557" s="5">
        <v>381</v>
      </c>
      <c r="D557" t="s">
        <v>605</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constants'!$A$4:$B$1012,2,FALSE)</f>
        <v>DLC_HIGH_ISLE</v>
      </c>
      <c r="L557" s="3" t="str">
        <f>VLOOKUP(J557,'LibSets constants'!$A$4:$C$1012,3,FALSE)</f>
        <v>High Isle</v>
      </c>
    </row>
    <row r="558" spans="1:12" x14ac:dyDescent="0.25">
      <c r="A558" s="5">
        <v>941</v>
      </c>
      <c r="B558" s="5">
        <v>553</v>
      </c>
      <c r="C558" s="5">
        <v>41</v>
      </c>
      <c r="D558" t="s">
        <v>606</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constants'!$A$4:$B$1012,2,FALSE)</f>
        <v>DLC_HIGH_ISLE</v>
      </c>
      <c r="L558" s="3" t="str">
        <f>VLOOKUP(J558,'LibSets constants'!$A$4:$C$1012,3,FALSE)</f>
        <v>High Isle</v>
      </c>
    </row>
    <row r="559" spans="1:12" x14ac:dyDescent="0.25">
      <c r="A559" s="5">
        <v>942</v>
      </c>
      <c r="B559" s="5">
        <v>554</v>
      </c>
      <c r="C559" s="5">
        <v>3</v>
      </c>
      <c r="D559" t="s">
        <v>607</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constants'!$A$4:$B$1012,2,FALSE)</f>
        <v>DLC_HIGH_ISLE</v>
      </c>
      <c r="L559" s="3" t="str">
        <f>VLOOKUP(J559,'LibSets constants'!$A$4:$C$1012,3,FALSE)</f>
        <v>High Isle</v>
      </c>
    </row>
    <row r="560" spans="1:12" x14ac:dyDescent="0.25">
      <c r="A560" s="5">
        <v>943</v>
      </c>
      <c r="B560" s="5">
        <v>555</v>
      </c>
      <c r="C560" s="5">
        <v>3</v>
      </c>
      <c r="D560" t="s">
        <v>608</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constants'!$A$4:$B$1012,2,FALSE)</f>
        <v>DLC_HIGH_ISLE</v>
      </c>
      <c r="L560" s="3" t="str">
        <f>VLOOKUP(J560,'LibSets constants'!$A$4:$C$1012,3,FALSE)</f>
        <v>High Isle</v>
      </c>
    </row>
    <row r="561" spans="1:12" x14ac:dyDescent="0.25">
      <c r="A561" s="5">
        <v>944</v>
      </c>
      <c r="B561" s="5">
        <v>556</v>
      </c>
      <c r="C561" s="5">
        <v>382</v>
      </c>
      <c r="D561" t="s">
        <v>609</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constants'!$A$4:$B$1012,2,FALSE)</f>
        <v>DLC_DEADLANDS</v>
      </c>
      <c r="L561" s="3" t="str">
        <f>VLOOKUP(J561,'LibSets constants'!$A$4:$C$1012,3,FALSE)</f>
        <v>The Deadlands</v>
      </c>
    </row>
    <row r="562" spans="1:12" x14ac:dyDescent="0.25">
      <c r="A562" s="5">
        <v>945</v>
      </c>
      <c r="B562" s="5">
        <v>557</v>
      </c>
      <c r="C562" s="5">
        <v>41</v>
      </c>
      <c r="D562" t="s">
        <v>610</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constants'!$A$4:$B$1012,2,FALSE)</f>
        <v>DLC_DEADLANDS</v>
      </c>
      <c r="L562" s="3" t="str">
        <f>VLOOKUP(J562,'LibSets constants'!$A$4:$C$1012,3,FALSE)</f>
        <v>The Deadlands</v>
      </c>
    </row>
    <row r="563" spans="1:12" x14ac:dyDescent="0.25">
      <c r="A563" s="5">
        <v>946</v>
      </c>
      <c r="B563" s="5">
        <v>558</v>
      </c>
      <c r="C563" s="5">
        <v>849</v>
      </c>
      <c r="D563" t="s">
        <v>611</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constants'!$A$4:$B$1012,2,FALSE)</f>
        <v>DLC_HIGH_ISLE</v>
      </c>
      <c r="L563" s="3" t="str">
        <f>VLOOKUP(J563,'LibSets constants'!$A$4:$C$1012,3,FALSE)</f>
        <v>High Isle</v>
      </c>
    </row>
    <row r="564" spans="1:12" x14ac:dyDescent="0.25">
      <c r="A564" s="5">
        <v>947</v>
      </c>
      <c r="B564" s="5">
        <v>559</v>
      </c>
      <c r="C564" s="5">
        <v>849</v>
      </c>
      <c r="D564" t="s">
        <v>612</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constants'!$A$4:$B$1012,2,FALSE)</f>
        <v>DLC_ASCENDING_TIDE</v>
      </c>
      <c r="L564" s="3" t="str">
        <f>VLOOKUP(J564,'LibSets constants'!$A$4:$C$1012,3,FALSE)</f>
        <v>Ascending Tide</v>
      </c>
    </row>
    <row r="565" spans="1:12" x14ac:dyDescent="0.25">
      <c r="A565" s="5">
        <v>948</v>
      </c>
      <c r="B565" s="5">
        <v>560</v>
      </c>
      <c r="C565" s="5">
        <v>849</v>
      </c>
      <c r="D565" t="s">
        <v>613</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constants'!$A$4:$B$1012,2,FALSE)</f>
        <v>DLC_FIRESONG</v>
      </c>
      <c r="L565" s="3" t="str">
        <f>VLOOKUP(J565,'LibSets constants'!$A$4:$C$1012,3,FALSE)</f>
        <v>Firesong</v>
      </c>
    </row>
    <row r="566" spans="1:12" x14ac:dyDescent="0.25">
      <c r="A566" s="5">
        <v>949</v>
      </c>
      <c r="B566" s="5">
        <v>561</v>
      </c>
      <c r="C566" s="5">
        <v>849</v>
      </c>
      <c r="D566" t="s">
        <v>614</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constants'!$A$4:$B$1012,2,FALSE)</f>
        <v>DLC_LOST_DEPTHS</v>
      </c>
      <c r="L566" s="3" t="str">
        <f>VLOOKUP(J566,'LibSets constants'!$A$4:$C$1012,3,FALSE)</f>
        <v>Lost Depths</v>
      </c>
    </row>
    <row r="567" spans="1:12" x14ac:dyDescent="0.25">
      <c r="A567" s="5">
        <v>950</v>
      </c>
      <c r="B567" s="5">
        <v>562</v>
      </c>
      <c r="C567" s="5">
        <v>849</v>
      </c>
      <c r="D567" t="s">
        <v>615</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constants'!$A$4:$B$1012,2,FALSE)</f>
        <v>DLC_LOST_DEPTHS</v>
      </c>
      <c r="L567" s="3" t="str">
        <f>VLOOKUP(J567,'LibSets constants'!$A$4:$C$1012,3,FALSE)</f>
        <v>Lost Depths</v>
      </c>
    </row>
    <row r="568" spans="1:12" x14ac:dyDescent="0.25">
      <c r="A568" s="5">
        <v>951</v>
      </c>
      <c r="B568" s="5">
        <v>563</v>
      </c>
      <c r="C568" s="5">
        <v>849</v>
      </c>
      <c r="D568" t="s">
        <v>616</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constants'!$A$4:$B$1012,2,FALSE)</f>
        <v>DLC_LOST_DEPTHS</v>
      </c>
      <c r="L568" s="3" t="str">
        <f>VLOOKUP(J568,'LibSets constants'!$A$4:$C$1012,3,FALSE)</f>
        <v>Lost Depths</v>
      </c>
    </row>
    <row r="569" spans="1:12" x14ac:dyDescent="0.25">
      <c r="A569" s="5">
        <v>952</v>
      </c>
      <c r="B569" s="5">
        <v>564</v>
      </c>
      <c r="C569" s="5">
        <v>849</v>
      </c>
      <c r="D569" t="s">
        <v>617</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constants'!$A$4:$B$1012,2,FALSE)</f>
        <v>DLC_LOST_DEPTHS</v>
      </c>
      <c r="L569" s="3" t="str">
        <f>VLOOKUP(J569,'LibSets constants'!$A$4:$C$1012,3,FALSE)</f>
        <v>Lost Depths</v>
      </c>
    </row>
    <row r="570" spans="1:12" x14ac:dyDescent="0.25">
      <c r="A570" s="5">
        <v>953</v>
      </c>
      <c r="B570" s="5">
        <v>565</v>
      </c>
      <c r="C570" s="5">
        <v>849</v>
      </c>
      <c r="D570" t="s">
        <v>618</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constants'!$A$4:$B$1012,2,FALSE)</f>
        <v>DLC_LOST_DEPTHS</v>
      </c>
      <c r="L570" s="3" t="str">
        <f>VLOOKUP(J570,'LibSets constants'!$A$4:$C$1012,3,FALSE)</f>
        <v>Lost Depths</v>
      </c>
    </row>
    <row r="571" spans="1:12" x14ac:dyDescent="0.25">
      <c r="A571" s="5">
        <v>954</v>
      </c>
      <c r="B571" s="5">
        <v>566</v>
      </c>
      <c r="C571" s="5">
        <v>849</v>
      </c>
      <c r="D571" t="s">
        <v>619</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constants'!$A$4:$B$1012,2,FALSE)</f>
        <v>DLC_LOST_DEPTHS</v>
      </c>
      <c r="L571" s="3" t="str">
        <f>VLOOKUP(J571,'LibSets constants'!$A$4:$C$1012,3,FALSE)</f>
        <v>Lost Depths</v>
      </c>
    </row>
    <row r="572" spans="1:12" x14ac:dyDescent="0.25">
      <c r="A572" s="5">
        <v>955</v>
      </c>
      <c r="B572" s="5">
        <v>567</v>
      </c>
      <c r="C572" s="5">
        <v>849</v>
      </c>
      <c r="D572" t="s">
        <v>620</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constants'!$A$4:$B$1012,2,FALSE)</f>
        <v>DLC_FIRESONG</v>
      </c>
      <c r="L572" s="3" t="str">
        <f>VLOOKUP(J572,'LibSets constants'!$A$4:$C$1012,3,FALSE)</f>
        <v>Firesong</v>
      </c>
    </row>
    <row r="573" spans="1:12" x14ac:dyDescent="0.25">
      <c r="A573" s="5">
        <v>956</v>
      </c>
      <c r="B573" s="5">
        <v>568</v>
      </c>
      <c r="C573" s="5">
        <v>849</v>
      </c>
      <c r="D573" t="s">
        <v>621</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constants'!$A$4:$B$1012,2,FALSE)</f>
        <v>DLC_FIRESONG</v>
      </c>
      <c r="L573" s="3" t="str">
        <f>VLOOKUP(J573,'LibSets constants'!$A$4:$C$1012,3,FALSE)</f>
        <v>Firesong</v>
      </c>
    </row>
    <row r="574" spans="1:12" x14ac:dyDescent="0.25">
      <c r="A574" s="5">
        <v>957</v>
      </c>
      <c r="B574" s="5">
        <v>569</v>
      </c>
      <c r="C574" s="5">
        <v>849</v>
      </c>
      <c r="D574" t="s">
        <v>622</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constants'!$A$4:$B$1012,2,FALSE)</f>
        <v>DLC_FIRESONG</v>
      </c>
      <c r="L574" s="3" t="str">
        <f>VLOOKUP(J574,'LibSets constants'!$A$4:$C$1012,3,FALSE)</f>
        <v>Firesong</v>
      </c>
    </row>
    <row r="575" spans="1:12" x14ac:dyDescent="0.25">
      <c r="A575" s="5">
        <v>958</v>
      </c>
      <c r="B575" s="5">
        <v>570</v>
      </c>
      <c r="C575" s="5">
        <v>849</v>
      </c>
      <c r="D575" t="s">
        <v>623</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constants'!$A$4:$B$1012,2,FALSE)</f>
        <v>DLC_FIRESONG</v>
      </c>
      <c r="L575" s="3" t="str">
        <f>VLOOKUP(J575,'LibSets constants'!$A$4:$C$1012,3,FALSE)</f>
        <v>Firesong</v>
      </c>
    </row>
    <row r="576" spans="1:12" x14ac:dyDescent="0.25">
      <c r="A576" s="5">
        <v>959</v>
      </c>
      <c r="B576" s="5">
        <v>571</v>
      </c>
      <c r="C576" s="5">
        <v>849</v>
      </c>
      <c r="D576" t="s">
        <v>624</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constants'!$A$4:$B$1012,2,FALSE)</f>
        <v>DLC_FIRESONG</v>
      </c>
      <c r="L576" s="3" t="str">
        <f>VLOOKUP(J576,'LibSets constants'!$A$4:$C$1012,3,FALSE)</f>
        <v>Firesong</v>
      </c>
    </row>
    <row r="577" spans="1:12" x14ac:dyDescent="0.25">
      <c r="A577" s="5">
        <v>960</v>
      </c>
      <c r="B577" s="5">
        <v>572</v>
      </c>
      <c r="C577" s="5">
        <v>849</v>
      </c>
      <c r="D577" t="s">
        <v>625</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constants'!$A$4:$B$1012,2,FALSE)</f>
        <v>DLC_FIRESONG</v>
      </c>
      <c r="L577" s="3" t="str">
        <f>VLOOKUP(J577,'LibSets constants'!$A$4:$C$1012,3,FALSE)</f>
        <v>Firesong</v>
      </c>
    </row>
    <row r="578" spans="1:12" x14ac:dyDescent="0.25">
      <c r="A578" s="5">
        <v>961</v>
      </c>
      <c r="B578" s="5">
        <v>573</v>
      </c>
      <c r="C578" s="5">
        <v>849</v>
      </c>
      <c r="D578" t="s">
        <v>626</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constants'!$A$4:$B$1012,2,FALSE)</f>
        <v>DLC_FIRESONG</v>
      </c>
      <c r="L578" s="3" t="str">
        <f>VLOOKUP(J578,'LibSets constants'!$A$4:$C$1012,3,FALSE)</f>
        <v>Firesong</v>
      </c>
    </row>
    <row r="579" spans="1:12" x14ac:dyDescent="0.25">
      <c r="A579" s="5">
        <v>962</v>
      </c>
      <c r="B579" s="5">
        <v>574</v>
      </c>
      <c r="C579" s="5">
        <v>849</v>
      </c>
      <c r="D579" t="s">
        <v>627</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constants'!$A$4:$B$1012,2,FALSE)</f>
        <v>DLC_FIRESONG</v>
      </c>
      <c r="L579" s="3" t="str">
        <f>VLOOKUP(J579,'LibSets constants'!$A$4:$C$1012,3,FALSE)</f>
        <v>Firesong</v>
      </c>
    </row>
    <row r="580" spans="1:12" x14ac:dyDescent="0.25">
      <c r="A580" s="5">
        <v>963</v>
      </c>
      <c r="B580" s="5">
        <v>575</v>
      </c>
      <c r="C580" s="5">
        <v>849</v>
      </c>
      <c r="D580" t="s">
        <v>628</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constants'!$A$4:$B$1012,2,FALSE)</f>
        <v>DLC_FIRESONG</v>
      </c>
      <c r="L580" s="3" t="str">
        <f>VLOOKUP(J580,'LibSets constants'!$A$4:$C$1012,3,FALSE)</f>
        <v>Firesong</v>
      </c>
    </row>
    <row r="581" spans="1:12" x14ac:dyDescent="0.25">
      <c r="A581" s="5">
        <v>964</v>
      </c>
      <c r="B581" s="5">
        <v>576</v>
      </c>
      <c r="C581" s="5">
        <v>849</v>
      </c>
      <c r="D581" t="s">
        <v>629</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constants'!$A$4:$B$1012,2,FALSE)</f>
        <v>DLC_FIRESONG</v>
      </c>
      <c r="L581" s="3" t="str">
        <f>VLOOKUP(J581,'LibSets constants'!$A$4:$C$1012,3,FALSE)</f>
        <v>Firesong</v>
      </c>
    </row>
    <row r="582" spans="1:12" x14ac:dyDescent="0.25">
      <c r="A582" s="5">
        <v>965</v>
      </c>
      <c r="B582" s="5">
        <v>577</v>
      </c>
      <c r="C582" s="5">
        <v>849</v>
      </c>
      <c r="D582" t="s">
        <v>630</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constants'!$A$4:$B$1012,2,FALSE)</f>
        <v>DLC_FIRESONG</v>
      </c>
      <c r="L582" s="3" t="str">
        <f>VLOOKUP(J582,'LibSets constants'!$A$4:$C$1012,3,FALSE)</f>
        <v>Firesong</v>
      </c>
    </row>
    <row r="583" spans="1:12" x14ac:dyDescent="0.25">
      <c r="A583" s="5">
        <v>966</v>
      </c>
      <c r="B583" s="5">
        <v>578</v>
      </c>
      <c r="C583" s="5">
        <v>849</v>
      </c>
      <c r="D583" t="s">
        <v>631</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constants'!$A$4:$B$1012,2,FALSE)</f>
        <v>DLC_FIRESONG</v>
      </c>
      <c r="L583" s="3" t="str">
        <f>VLOOKUP(J583,'LibSets constants'!$A$4:$C$1012,3,FALSE)</f>
        <v>Firesong</v>
      </c>
    </row>
    <row r="584" spans="1:12" x14ac:dyDescent="0.25">
      <c r="A584" s="5">
        <v>967</v>
      </c>
      <c r="B584" s="5">
        <v>579</v>
      </c>
      <c r="C584" s="5">
        <v>849</v>
      </c>
      <c r="D584" t="s">
        <v>632</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constants'!$A$4:$B$1012,2,FALSE)</f>
        <v>DLC_FIRESONG</v>
      </c>
      <c r="L584" s="3" t="str">
        <f>VLOOKUP(J584,'LibSets constants'!$A$4:$C$1012,3,FALSE)</f>
        <v>Firesong</v>
      </c>
    </row>
    <row r="585" spans="1:12" x14ac:dyDescent="0.25">
      <c r="A585" s="5">
        <v>968</v>
      </c>
      <c r="B585" s="5">
        <v>580</v>
      </c>
      <c r="C585" s="5">
        <v>849</v>
      </c>
      <c r="D585" t="s">
        <v>633</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constants'!$A$4:$B$1012,2,FALSE)</f>
        <v>DLC_FIRESONG</v>
      </c>
      <c r="L585" s="3" t="str">
        <f>VLOOKUP(J585,'LibSets constants'!$A$4:$C$1012,3,FALSE)</f>
        <v>Firesong</v>
      </c>
    </row>
    <row r="586" spans="1:12" x14ac:dyDescent="0.25">
      <c r="A586" s="5">
        <v>969</v>
      </c>
      <c r="B586" s="5">
        <v>581</v>
      </c>
      <c r="C586" s="5">
        <v>849</v>
      </c>
      <c r="D586" t="s">
        <v>634</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constants'!$A$4:$B$1012,2,FALSE)</f>
        <v>DLC_FIRESONG</v>
      </c>
      <c r="L586" s="3" t="str">
        <f>VLOOKUP(J586,'LibSets constants'!$A$4:$C$1012,3,FALSE)</f>
        <v>Firesong</v>
      </c>
    </row>
    <row r="587" spans="1:12" x14ac:dyDescent="0.25">
      <c r="A587" s="5">
        <v>970</v>
      </c>
      <c r="B587" s="5">
        <v>582</v>
      </c>
      <c r="C587" s="5">
        <v>849</v>
      </c>
      <c r="D587" t="s">
        <v>635</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constants'!$A$4:$B$1012,2,FALSE)</f>
        <v>DLC_FIRESONG</v>
      </c>
      <c r="L587" s="3" t="str">
        <f>VLOOKUP(J587,'LibSets constants'!$A$4:$C$1012,3,FALSE)</f>
        <v>Firesong</v>
      </c>
    </row>
    <row r="588" spans="1:12" x14ac:dyDescent="0.25">
      <c r="A588" s="5">
        <v>971</v>
      </c>
      <c r="B588" s="5">
        <v>583</v>
      </c>
      <c r="C588" s="5">
        <v>849</v>
      </c>
      <c r="D588" t="s">
        <v>636</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constants'!$A$4:$B$1012,2,FALSE)</f>
        <v>DLC_FIRESONG</v>
      </c>
      <c r="L588" s="3" t="str">
        <f>VLOOKUP(J588,'LibSets constants'!$A$4:$C$1012,3,FALSE)</f>
        <v>Firesong</v>
      </c>
    </row>
    <row r="589" spans="1:12" x14ac:dyDescent="0.25">
      <c r="A589" s="5">
        <v>972</v>
      </c>
      <c r="B589" s="5">
        <v>584</v>
      </c>
      <c r="C589" s="5">
        <v>849</v>
      </c>
      <c r="D589" t="s">
        <v>637</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constants'!$A$4:$B$1012,2,FALSE)</f>
        <v>DLC_FIRESONG</v>
      </c>
      <c r="L589" s="3" t="str">
        <f>VLOOKUP(J589,'LibSets constants'!$A$4:$C$1012,3,FALSE)</f>
        <v>Firesong</v>
      </c>
    </row>
    <row r="590" spans="1:12" x14ac:dyDescent="0.25">
      <c r="A590" s="5">
        <v>973</v>
      </c>
      <c r="B590" s="5">
        <v>585</v>
      </c>
      <c r="C590" s="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constants'!$A$4:$B$1012,2,FALSE)</f>
        <v>DLC_FIRESONG</v>
      </c>
      <c r="L590" s="3" t="str">
        <f>VLOOKUP(J590,'LibSets constants'!$A$4:$C$1012,3,FALSE)</f>
        <v>Firesong</v>
      </c>
    </row>
    <row r="591" spans="1:12" x14ac:dyDescent="0.25">
      <c r="A591" s="5">
        <v>974</v>
      </c>
      <c r="B591" s="5">
        <v>586</v>
      </c>
      <c r="C591" s="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constants'!$A$4:$B$1012,2,FALSE)</f>
        <v>DLC_FIRESONG</v>
      </c>
      <c r="L591" s="3" t="str">
        <f>VLOOKUP(J591,'LibSets constants'!$A$4:$C$1012,3,FALSE)</f>
        <v>Firesong</v>
      </c>
    </row>
    <row r="592" spans="1:12" x14ac:dyDescent="0.25">
      <c r="A592" s="5">
        <v>975</v>
      </c>
      <c r="B592" s="5">
        <v>587</v>
      </c>
      <c r="C592" s="5">
        <v>849</v>
      </c>
      <c r="D592" t="s">
        <v>638</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constants'!$A$4:$B$1012,2,FALSE)</f>
        <v>DLC_SCRIBES_OF_FATE</v>
      </c>
      <c r="L592" s="3" t="str">
        <f>VLOOKUP(J592,'LibSets constants'!$A$4:$C$1012,3,FALSE)</f>
        <v>Scribes of Fate</v>
      </c>
    </row>
    <row r="593" spans="1:12" x14ac:dyDescent="0.25">
      <c r="A593" s="5">
        <v>977</v>
      </c>
      <c r="B593" s="5">
        <v>588</v>
      </c>
      <c r="C593" s="5">
        <v>849</v>
      </c>
      <c r="D593" t="s">
        <v>639</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constants'!$A$4:$B$1012,2,FALSE)</f>
        <v>DLC_SCRIBES_OF_FATE</v>
      </c>
      <c r="L593" s="3" t="str">
        <f>VLOOKUP(J593,'LibSets constants'!$A$4:$C$1012,3,FALSE)</f>
        <v>Scribes of Fate</v>
      </c>
    </row>
    <row r="594" spans="1:12" x14ac:dyDescent="0.25">
      <c r="A594" s="5">
        <v>979</v>
      </c>
      <c r="B594" s="5">
        <v>589</v>
      </c>
      <c r="C594" s="5">
        <v>849</v>
      </c>
      <c r="D594" t="s">
        <v>632</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constants'!$A$4:$B$1012,2,FALSE)</f>
        <v>DLC_NECROM</v>
      </c>
      <c r="L594" s="3" t="str">
        <f>VLOOKUP(J594,'LibSets constants'!$A$4:$C$1012,3,FALSE)</f>
        <v>Necrom</v>
      </c>
    </row>
    <row r="595" spans="1:12" x14ac:dyDescent="0.25">
      <c r="A595" s="5">
        <v>980</v>
      </c>
      <c r="B595" s="5">
        <v>590</v>
      </c>
      <c r="C595" s="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constants'!$A$4:$B$1012,2,FALSE)</f>
        <v>DLC_NECROM</v>
      </c>
      <c r="L595" s="3" t="str">
        <f>VLOOKUP(J595,'LibSets constants'!$A$4:$C$1012,3,FALSE)</f>
        <v>Necrom</v>
      </c>
    </row>
    <row r="596" spans="1:12" x14ac:dyDescent="0.25">
      <c r="A596" s="5">
        <v>981</v>
      </c>
      <c r="B596" s="5">
        <v>591</v>
      </c>
      <c r="C596" s="5">
        <v>980</v>
      </c>
      <c r="D596" t="s">
        <v>640</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constants'!$A$4:$B$1012,2,FALSE)</f>
        <v>DLC_NECROM</v>
      </c>
      <c r="L596" s="3" t="str">
        <f>VLOOKUP(J596,'LibSets constants'!$A$4:$C$1012,3,FALSE)</f>
        <v>Necrom</v>
      </c>
    </row>
    <row r="597" spans="1:12" x14ac:dyDescent="0.25">
      <c r="A597" s="5">
        <v>982</v>
      </c>
      <c r="B597" s="5">
        <v>592</v>
      </c>
      <c r="C597" s="5">
        <v>980</v>
      </c>
      <c r="D597" t="s">
        <v>641</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constants'!$A$4:$B$1012,2,FALSE)</f>
        <v>DLC_NECROM</v>
      </c>
      <c r="L597" s="3" t="str">
        <f>VLOOKUP(J597,'LibSets constants'!$A$4:$C$1012,3,FALSE)</f>
        <v>Necrom</v>
      </c>
    </row>
    <row r="598" spans="1:12" x14ac:dyDescent="0.25">
      <c r="A598" s="5">
        <v>983</v>
      </c>
      <c r="B598" s="5">
        <v>593</v>
      </c>
      <c r="C598" s="5">
        <v>980</v>
      </c>
      <c r="D598" t="s">
        <v>642</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constants'!$A$4:$B$1012,2,FALSE)</f>
        <v>DLC_NECROM</v>
      </c>
      <c r="L598" s="3" t="str">
        <f>VLOOKUP(J598,'LibSets constants'!$A$4:$C$1012,3,FALSE)</f>
        <v>Necrom</v>
      </c>
    </row>
    <row r="599" spans="1:12" x14ac:dyDescent="0.25">
      <c r="A599" s="5">
        <v>984</v>
      </c>
      <c r="B599" s="5">
        <v>594</v>
      </c>
      <c r="C599" s="5">
        <v>980</v>
      </c>
      <c r="D599" t="s">
        <v>643</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constants'!$A$4:$B$1012,2,FALSE)</f>
        <v>DLC_NECROM</v>
      </c>
      <c r="L599" s="3" t="str">
        <f>VLOOKUP(J599,'LibSets constants'!$A$4:$C$1012,3,FALSE)</f>
        <v>Necrom</v>
      </c>
    </row>
    <row r="600" spans="1:12" x14ac:dyDescent="0.25">
      <c r="A600" s="5">
        <v>985</v>
      </c>
      <c r="B600" s="5">
        <v>595</v>
      </c>
      <c r="C600" s="5">
        <v>980</v>
      </c>
      <c r="D600" t="s">
        <v>644</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constants'!$A$4:$B$1012,2,FALSE)</f>
        <v>DLC_NECROM</v>
      </c>
      <c r="L600" s="3" t="str">
        <f>VLOOKUP(J600,'LibSets constants'!$A$4:$C$1012,3,FALSE)</f>
        <v>Necrom</v>
      </c>
    </row>
    <row r="601" spans="1:12" x14ac:dyDescent="0.25">
      <c r="A601" s="5">
        <v>986</v>
      </c>
      <c r="B601" s="5">
        <v>596</v>
      </c>
      <c r="C601" s="5">
        <v>980</v>
      </c>
      <c r="D601" t="s">
        <v>645</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constants'!$A$4:$B$1012,2,FALSE)</f>
        <v>DLC_NECROM</v>
      </c>
      <c r="L601" s="3" t="str">
        <f>VLOOKUP(J601,'LibSets constants'!$A$4:$C$1012,3,FALSE)</f>
        <v>Necrom</v>
      </c>
    </row>
    <row r="602" spans="1:12" x14ac:dyDescent="0.25">
      <c r="A602" s="5">
        <v>988</v>
      </c>
      <c r="B602" s="5">
        <v>597</v>
      </c>
      <c r="C602" s="5">
        <v>980</v>
      </c>
      <c r="D602" t="s">
        <v>646</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constants'!$A$4:$B$1012,2,FALSE)</f>
        <v>DLC_NECROM</v>
      </c>
      <c r="L602" s="3" t="str">
        <f>VLOOKUP(J602,'LibSets constants'!$A$4:$C$1012,3,FALSE)</f>
        <v>Necrom</v>
      </c>
    </row>
    <row r="603" spans="1:12" x14ac:dyDescent="0.25">
      <c r="A603" s="5">
        <v>989</v>
      </c>
      <c r="B603" s="5">
        <v>598</v>
      </c>
      <c r="C603" s="5">
        <v>980</v>
      </c>
      <c r="D603" t="s">
        <v>647</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constants'!$A$4:$B$1012,2,FALSE)</f>
        <v>DLC_NECROM</v>
      </c>
      <c r="L603" s="3" t="str">
        <f>VLOOKUP(J603,'LibSets constants'!$A$4:$C$1012,3,FALSE)</f>
        <v>Necrom</v>
      </c>
    </row>
    <row r="604" spans="1:12" x14ac:dyDescent="0.25">
      <c r="A604" s="5">
        <v>990</v>
      </c>
      <c r="B604" s="5">
        <v>599</v>
      </c>
      <c r="C604" s="5">
        <v>980</v>
      </c>
      <c r="D604" t="s">
        <v>648</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constants'!$A$4:$B$1012,2,FALSE)</f>
        <v>DLC_NECROM</v>
      </c>
      <c r="L604" s="3" t="str">
        <f>VLOOKUP(J604,'LibSets constants'!$A$4:$C$1012,3,FALSE)</f>
        <v>Necrom</v>
      </c>
    </row>
    <row r="605" spans="1:12" x14ac:dyDescent="0.25">
      <c r="A605" s="5">
        <v>991</v>
      </c>
      <c r="B605" s="5">
        <v>600</v>
      </c>
      <c r="C605" s="5">
        <v>980</v>
      </c>
      <c r="D605" t="s">
        <v>649</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constants'!$A$4:$B$1012,2,FALSE)</f>
        <v>DLC_NECROM</v>
      </c>
      <c r="L605" s="3" t="str">
        <f>VLOOKUP(J605,'LibSets constants'!$A$4:$C$1012,3,FALSE)</f>
        <v>Necrom</v>
      </c>
    </row>
    <row r="606" spans="1:12" x14ac:dyDescent="0.25">
      <c r="A606" s="5">
        <v>992</v>
      </c>
      <c r="B606" s="5">
        <v>601</v>
      </c>
      <c r="C606" s="5">
        <v>980</v>
      </c>
      <c r="D606" t="s">
        <v>650</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constants'!$A$4:$B$1012,2,FALSE)</f>
        <v>DLC_NECROM</v>
      </c>
      <c r="L606" s="3" t="str">
        <f>VLOOKUP(J606,'LibSets constants'!$A$4:$C$1012,3,FALSE)</f>
        <v>Necrom</v>
      </c>
    </row>
    <row r="607" spans="1:12" x14ac:dyDescent="0.25">
      <c r="A607" s="5">
        <v>993</v>
      </c>
      <c r="B607" s="5">
        <v>602</v>
      </c>
      <c r="C607" s="5">
        <v>980</v>
      </c>
      <c r="D607" t="s">
        <v>651</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constants'!$A$4:$B$1012,2,FALSE)</f>
        <v>DLC_NECROM</v>
      </c>
      <c r="L607" s="3" t="str">
        <f>VLOOKUP(J607,'LibSets constants'!$A$4:$C$1012,3,FALSE)</f>
        <v>Necrom</v>
      </c>
    </row>
    <row r="608" spans="1:12" x14ac:dyDescent="0.25">
      <c r="A608" s="5">
        <v>994</v>
      </c>
      <c r="B608" s="5">
        <v>603</v>
      </c>
      <c r="C608" s="5">
        <v>849</v>
      </c>
      <c r="D608" t="s">
        <v>652</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constants'!$A$4:$B$1012,2,FALSE)</f>
        <v>DLC_NECROM</v>
      </c>
      <c r="L608" s="3" t="str">
        <f>VLOOKUP(J608,'LibSets constants'!$A$4:$C$1012,3,FALSE)</f>
        <v>Necrom</v>
      </c>
    </row>
    <row r="609" spans="1:12" x14ac:dyDescent="0.25">
      <c r="A609" s="5">
        <v>995</v>
      </c>
      <c r="B609" s="5">
        <v>604</v>
      </c>
      <c r="C609" s="5">
        <v>849</v>
      </c>
      <c r="D609" t="s">
        <v>653</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constants'!$A$4:$B$1012,2,FALSE)</f>
        <v>DLC_NECROM</v>
      </c>
      <c r="L609" s="3" t="str">
        <f>VLOOKUP(J609,'LibSets constants'!$A$4:$C$1012,3,FALSE)</f>
        <v>Necrom</v>
      </c>
    </row>
    <row r="610" spans="1:12" x14ac:dyDescent="0.25">
      <c r="A610" s="5">
        <v>996</v>
      </c>
      <c r="B610" s="5">
        <v>605</v>
      </c>
      <c r="C610" s="5">
        <v>849</v>
      </c>
      <c r="D610" t="s">
        <v>654</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constants'!$A$4:$B$1012,2,FALSE)</f>
        <v>DLC_NECROM</v>
      </c>
      <c r="L610" s="3" t="str">
        <f>VLOOKUP(J610,'LibSets constants'!$A$4:$C$1012,3,FALSE)</f>
        <v>Necrom</v>
      </c>
    </row>
    <row r="611" spans="1:12" x14ac:dyDescent="0.25">
      <c r="A611" s="5">
        <v>997</v>
      </c>
      <c r="B611" s="5">
        <v>606</v>
      </c>
      <c r="C611" s="5">
        <v>849</v>
      </c>
      <c r="D611" t="s">
        <v>655</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constants'!$A$4:$B$1012,2,FALSE)</f>
        <v>DLC_NECROM</v>
      </c>
      <c r="L611" s="3" t="str">
        <f>VLOOKUP(J611,'LibSets constants'!$A$4:$C$1012,3,FALSE)</f>
        <v>Necrom</v>
      </c>
    </row>
    <row r="612" spans="1:12" x14ac:dyDescent="0.25">
      <c r="A612" s="5">
        <v>998</v>
      </c>
      <c r="B612" s="5">
        <v>607</v>
      </c>
      <c r="C612" s="5">
        <v>381</v>
      </c>
      <c r="D612" t="s">
        <v>656</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constants'!$A$4:$B$1012,2,FALSE)</f>
        <v>DLC_NECROM</v>
      </c>
      <c r="L612" s="3" t="str">
        <f>VLOOKUP(J612,'LibSets constants'!$A$4:$C$1012,3,FALSE)</f>
        <v>Necrom</v>
      </c>
    </row>
    <row r="613" spans="1:12" x14ac:dyDescent="0.25">
      <c r="A613" s="5">
        <v>999</v>
      </c>
      <c r="B613" s="5">
        <v>608</v>
      </c>
      <c r="C613" s="5">
        <v>980</v>
      </c>
      <c r="D613" t="s">
        <v>657</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constants'!$A$4:$B$1012,2,FALSE)</f>
        <v>DLC_NECROM</v>
      </c>
      <c r="L613" s="3" t="str">
        <f>VLOOKUP(J613,'LibSets constants'!$A$4:$C$1012,3,FALSE)</f>
        <v>Necrom</v>
      </c>
    </row>
    <row r="614" spans="1:12" x14ac:dyDescent="0.25">
      <c r="A614" s="5">
        <v>1000</v>
      </c>
      <c r="B614" s="5">
        <v>609</v>
      </c>
      <c r="C614" s="5">
        <v>980</v>
      </c>
      <c r="D614" t="s">
        <v>658</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constants'!$A$4:$B$1012,2,FALSE)</f>
        <v>DLC_NECROM</v>
      </c>
      <c r="L614" s="3" t="str">
        <f>VLOOKUP(J614,'LibSets constants'!$A$4:$C$1012,3,FALSE)</f>
        <v>Necrom</v>
      </c>
    </row>
    <row r="615" spans="1:12" x14ac:dyDescent="0.25">
      <c r="A615" s="5">
        <v>1004</v>
      </c>
      <c r="B615" s="5">
        <v>610</v>
      </c>
      <c r="C615" s="5">
        <v>980</v>
      </c>
      <c r="D615" t="s">
        <v>659</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constants'!$A$4:$B$1012,2,FALSE)</f>
        <v>DLC_NECROM</v>
      </c>
      <c r="L615" s="3" t="str">
        <f>VLOOKUP(J615,'LibSets constants'!$A$4:$C$1012,3,FALSE)</f>
        <v>Necrom</v>
      </c>
    </row>
    <row r="616" spans="1:12" x14ac:dyDescent="0.25">
      <c r="A616" s="5">
        <v>1005</v>
      </c>
      <c r="B616" s="5">
        <v>611</v>
      </c>
      <c r="C616" s="5">
        <v>823</v>
      </c>
      <c r="D616" t="s">
        <v>660</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constants'!$A$4:$B$1012,2,FALSE)</f>
        <v>DLC_NECROM</v>
      </c>
      <c r="L616" s="3" t="str">
        <f>VLOOKUP(J616,'LibSets constants'!$A$4:$C$1012,3,FALSE)</f>
        <v>Necrom</v>
      </c>
    </row>
    <row r="617" spans="1:12" x14ac:dyDescent="0.25">
      <c r="A617" s="5">
        <v>1006</v>
      </c>
      <c r="B617" s="5">
        <v>612</v>
      </c>
      <c r="C617" s="5">
        <v>3</v>
      </c>
      <c r="D617" t="s">
        <v>661</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constants'!$A$4:$B$1012,2,FALSE)</f>
        <v>DLC_NECROM</v>
      </c>
      <c r="L617" s="3" t="str">
        <f>VLOOKUP(J617,'LibSets constants'!$A$4:$C$1012,3,FALSE)</f>
        <v>Necrom</v>
      </c>
    </row>
    <row r="618" spans="1:12" x14ac:dyDescent="0.25">
      <c r="A618" s="5">
        <v>1007</v>
      </c>
      <c r="B618" s="5">
        <v>613</v>
      </c>
      <c r="C618" s="5">
        <v>888</v>
      </c>
      <c r="D618" t="s">
        <v>662</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constants'!$A$4:$B$1012,2,FALSE)</f>
        <v>DLC_NECROM</v>
      </c>
      <c r="L618" s="3" t="str">
        <f>VLOOKUP(J618,'LibSets constants'!$A$4:$C$1012,3,FALSE)</f>
        <v>Necrom</v>
      </c>
    </row>
    <row r="619" spans="1:12" x14ac:dyDescent="0.25">
      <c r="A619" s="5">
        <v>1008</v>
      </c>
      <c r="B619" s="5">
        <v>614</v>
      </c>
      <c r="C619" s="5">
        <v>347</v>
      </c>
      <c r="D619" t="s">
        <v>663</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constants'!$A$4:$B$1012,2,FALSE)</f>
        <v>DLC_NECROM</v>
      </c>
      <c r="L619" s="3" t="str">
        <f>VLOOKUP(J619,'LibSets constants'!$A$4:$C$1012,3,FALSE)</f>
        <v>Necrom</v>
      </c>
    </row>
    <row r="620" spans="1:12" x14ac:dyDescent="0.25">
      <c r="A620" s="5">
        <v>1009</v>
      </c>
      <c r="B620" s="5">
        <v>615</v>
      </c>
      <c r="C620" s="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constants'!$A$4:$B$1012,2,FALSE)</f>
        <v>DLC_NECROM</v>
      </c>
      <c r="L620" s="3" t="str">
        <f>VLOOKUP(J620,'LibSets constants'!$A$4:$C$1012,3,FALSE)</f>
        <v>Necrom</v>
      </c>
    </row>
    <row r="621" spans="1:12" x14ac:dyDescent="0.25">
      <c r="A621" s="5">
        <v>1010</v>
      </c>
      <c r="B621" s="5">
        <v>616</v>
      </c>
      <c r="C621" s="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constants'!$A$4:$B$1012,2,FALSE)</f>
        <v>DLC_NECROM</v>
      </c>
      <c r="L621" s="3" t="str">
        <f>VLOOKUP(J621,'LibSets constants'!$A$4:$C$1012,3,FALSE)</f>
        <v>Necrom</v>
      </c>
    </row>
    <row r="622" spans="1:12" x14ac:dyDescent="0.25">
      <c r="A622" s="5">
        <v>1011</v>
      </c>
      <c r="B622" s="5">
        <v>617</v>
      </c>
      <c r="C622" s="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constants'!$A$4:$B$1012,2,FALSE)</f>
        <v>DLC_NECROM</v>
      </c>
      <c r="L622" s="3" t="str">
        <f>VLOOKUP(J622,'LibSets constants'!$A$4:$C$1012,3,FALSE)</f>
        <v>Necrom</v>
      </c>
    </row>
    <row r="623" spans="1:12" x14ac:dyDescent="0.25">
      <c r="A623" s="5">
        <v>1012</v>
      </c>
      <c r="B623" s="5">
        <v>618</v>
      </c>
      <c r="C623" s="5">
        <v>381</v>
      </c>
      <c r="D623" t="s">
        <v>664</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constants'!$A$4:$B$1012,2,FALSE)</f>
        <v>DLC_NECROM</v>
      </c>
      <c r="L623" s="3" t="str">
        <f>VLOOKUP(J623,'LibSets constants'!$A$4:$C$1012,3,FALSE)</f>
        <v>Necrom</v>
      </c>
    </row>
    <row r="624" spans="1:12" x14ac:dyDescent="0.25">
      <c r="A624" s="5">
        <v>1013</v>
      </c>
      <c r="B624" s="5">
        <v>619</v>
      </c>
      <c r="C624" s="5">
        <v>1011</v>
      </c>
      <c r="D624" t="s">
        <v>665</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constants'!$A$4:$B$1012,2,FALSE)</f>
        <v>DLC_NECROM</v>
      </c>
      <c r="L624" s="3" t="str">
        <f>VLOOKUP(J624,'LibSets constants'!$A$4:$C$1012,3,FALSE)</f>
        <v>Necrom</v>
      </c>
    </row>
    <row r="625" spans="1:12" x14ac:dyDescent="0.25">
      <c r="A625" s="5">
        <v>1014</v>
      </c>
      <c r="B625" s="5">
        <v>620</v>
      </c>
      <c r="C625" s="5">
        <v>1011</v>
      </c>
      <c r="D625" t="s">
        <v>666</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constants'!$A$4:$B$1012,2,FALSE)</f>
        <v>DLC_NECROM</v>
      </c>
      <c r="L625" s="3" t="str">
        <f>VLOOKUP(J625,'LibSets constants'!$A$4:$C$1012,3,FALSE)</f>
        <v>Necrom</v>
      </c>
    </row>
    <row r="626" spans="1:12" x14ac:dyDescent="0.25">
      <c r="A626" s="5">
        <v>1015</v>
      </c>
      <c r="B626" s="5">
        <v>621</v>
      </c>
      <c r="C626" s="5">
        <v>1011</v>
      </c>
      <c r="D626" t="s">
        <v>667</v>
      </c>
      <c r="E626" s="3" t="s">
        <v>3823</v>
      </c>
      <c r="F626" s="3" t="str">
        <f t="shared" si="36"/>
        <v/>
      </c>
      <c r="G626" s="3" t="str">
        <f t="shared" si="37"/>
        <v>Summerset</v>
      </c>
      <c r="H626" s="17">
        <f t="shared" si="38"/>
        <v>1015</v>
      </c>
      <c r="I626" s="17">
        <f t="shared" si="39"/>
        <v>1011</v>
      </c>
      <c r="J626">
        <v>32</v>
      </c>
      <c r="K626" s="3" t="str">
        <f>VLOOKUP(J626,'LibSets constants'!$A$4:$B$1012,2,FALSE)</f>
        <v>NO_DLC_SECRET_OF_THE_TELVANNI</v>
      </c>
      <c r="L626" s="3" t="str">
        <f>VLOOKUP(J626,'LibSets constants'!$A$4:$C$1012,3,FALSE)</f>
        <v>Secret of the Telvanni</v>
      </c>
    </row>
    <row r="627" spans="1:12" x14ac:dyDescent="0.25">
      <c r="A627" s="5">
        <v>1016</v>
      </c>
      <c r="B627" s="5">
        <v>622</v>
      </c>
      <c r="C627" s="5">
        <v>1011</v>
      </c>
      <c r="D627" t="s">
        <v>668</v>
      </c>
      <c r="F627" s="3" t="str">
        <f t="shared" si="36"/>
        <v/>
      </c>
      <c r="G627" s="3" t="str">
        <f t="shared" si="37"/>
        <v>Summerset</v>
      </c>
      <c r="H627" s="17">
        <f t="shared" si="38"/>
        <v>1016</v>
      </c>
      <c r="I627" s="17">
        <f t="shared" si="39"/>
        <v>1011</v>
      </c>
      <c r="J627">
        <v>32</v>
      </c>
      <c r="K627" s="3" t="str">
        <f>VLOOKUP(J627,'LibSets constants'!$A$4:$B$1012,2,FALSE)</f>
        <v>NO_DLC_SECRET_OF_THE_TELVANNI</v>
      </c>
      <c r="L627" s="3" t="str">
        <f>VLOOKUP(J627,'LibSets constants'!$A$4:$C$1012,3,FALSE)</f>
        <v>Secret of the Telvanni</v>
      </c>
    </row>
    <row r="628" spans="1:12" x14ac:dyDescent="0.25">
      <c r="A628" s="5">
        <v>1017</v>
      </c>
      <c r="B628" s="5">
        <v>623</v>
      </c>
      <c r="C628" s="5">
        <v>1011</v>
      </c>
      <c r="D628" t="s">
        <v>669</v>
      </c>
      <c r="F628" s="3" t="str">
        <f t="shared" si="36"/>
        <v/>
      </c>
      <c r="G628" s="3" t="str">
        <f t="shared" si="37"/>
        <v>Summerset</v>
      </c>
      <c r="H628" s="17">
        <f t="shared" si="38"/>
        <v>1017</v>
      </c>
      <c r="I628" s="17">
        <f t="shared" si="39"/>
        <v>1011</v>
      </c>
      <c r="J628">
        <v>32</v>
      </c>
      <c r="K628" s="3" t="str">
        <f>VLOOKUP(J628,'LibSets constants'!$A$4:$B$1012,2,FALSE)</f>
        <v>NO_DLC_SECRET_OF_THE_TELVANNI</v>
      </c>
      <c r="L628" s="3" t="str">
        <f>VLOOKUP(J628,'LibSets constants'!$A$4:$C$1012,3,FALSE)</f>
        <v>Secret of the Telvanni</v>
      </c>
    </row>
    <row r="629" spans="1:12" x14ac:dyDescent="0.25">
      <c r="A629" s="5">
        <v>1018</v>
      </c>
      <c r="B629" s="5">
        <v>624</v>
      </c>
      <c r="C629" s="5">
        <v>1011</v>
      </c>
      <c r="D629" t="s">
        <v>670</v>
      </c>
      <c r="F629" s="3" t="str">
        <f t="shared" si="36"/>
        <v/>
      </c>
      <c r="G629" s="3" t="str">
        <f t="shared" si="37"/>
        <v>Summerset</v>
      </c>
      <c r="H629" s="17">
        <f t="shared" si="38"/>
        <v>1018</v>
      </c>
      <c r="I629" s="17">
        <f t="shared" si="39"/>
        <v>1011</v>
      </c>
      <c r="J629">
        <v>32</v>
      </c>
      <c r="K629" s="3" t="str">
        <f>VLOOKUP(J629,'LibSets constants'!$A$4:$B$1012,2,FALSE)</f>
        <v>NO_DLC_SECRET_OF_THE_TELVANNI</v>
      </c>
      <c r="L629" s="3" t="str">
        <f>VLOOKUP(J629,'LibSets constants'!$A$4:$C$1012,3,FALSE)</f>
        <v>Secret of the Telvanni</v>
      </c>
    </row>
    <row r="630" spans="1:12" x14ac:dyDescent="0.25">
      <c r="A630" s="5">
        <v>1019</v>
      </c>
      <c r="B630" s="5">
        <v>625</v>
      </c>
      <c r="C630" s="5">
        <v>1011</v>
      </c>
      <c r="D630" t="s">
        <v>671</v>
      </c>
      <c r="F630" s="3" t="str">
        <f t="shared" si="36"/>
        <v/>
      </c>
      <c r="G630" s="3" t="str">
        <f t="shared" si="37"/>
        <v>Summerset</v>
      </c>
      <c r="H630" s="17">
        <f t="shared" si="38"/>
        <v>1019</v>
      </c>
      <c r="I630" s="17">
        <f t="shared" si="39"/>
        <v>1011</v>
      </c>
      <c r="J630">
        <v>32</v>
      </c>
      <c r="K630" s="3" t="str">
        <f>VLOOKUP(J630,'LibSets constants'!$A$4:$B$1012,2,FALSE)</f>
        <v>NO_DLC_SECRET_OF_THE_TELVANNI</v>
      </c>
      <c r="L630" s="3" t="str">
        <f>VLOOKUP(J630,'LibSets constants'!$A$4:$C$1012,3,FALSE)</f>
        <v>Secret of the Telvanni</v>
      </c>
    </row>
    <row r="631" spans="1:12" x14ac:dyDescent="0.25">
      <c r="A631" s="5">
        <v>1020</v>
      </c>
      <c r="B631" s="5">
        <v>626</v>
      </c>
      <c r="C631" s="5">
        <v>1011</v>
      </c>
      <c r="D631" t="s">
        <v>672</v>
      </c>
      <c r="F631" s="3" t="str">
        <f t="shared" si="36"/>
        <v/>
      </c>
      <c r="G631" s="3" t="str">
        <f t="shared" si="37"/>
        <v>Summerset</v>
      </c>
      <c r="H631" s="17">
        <f t="shared" si="38"/>
        <v>1020</v>
      </c>
      <c r="I631" s="17">
        <f t="shared" si="39"/>
        <v>1011</v>
      </c>
      <c r="J631">
        <v>33</v>
      </c>
      <c r="K631" s="3" t="str">
        <f>VLOOKUP(J631,'LibSets constants'!$A$4:$B$1012,2,FALSE)</f>
        <v>DLC_SCIONS_OF_ITHELIA</v>
      </c>
      <c r="L631" s="3" t="str">
        <f>VLOOKUP(J631,'LibSets constants'!$A$4:$C$1012,3,FALSE)</f>
        <v>Scions of Ithelia</v>
      </c>
    </row>
    <row r="632" spans="1:12" x14ac:dyDescent="0.25">
      <c r="A632" s="5">
        <v>1021</v>
      </c>
      <c r="B632" s="5">
        <v>627</v>
      </c>
      <c r="C632" s="5">
        <v>1011</v>
      </c>
      <c r="D632" t="s">
        <v>673</v>
      </c>
      <c r="F632" s="3" t="str">
        <f t="shared" si="36"/>
        <v/>
      </c>
      <c r="G632" s="3" t="str">
        <f t="shared" si="37"/>
        <v>Summerset</v>
      </c>
      <c r="H632" s="17">
        <f t="shared" si="38"/>
        <v>1021</v>
      </c>
      <c r="I632" s="17">
        <f t="shared" si="39"/>
        <v>1011</v>
      </c>
      <c r="J632">
        <v>34</v>
      </c>
      <c r="K632" s="3" t="e">
        <f>VLOOKUP(J632,'LibSets constants'!$A$4:$B$1012,2,FALSE)</f>
        <v>#N/A</v>
      </c>
      <c r="L632" s="3" t="e">
        <f>VLOOKUP(J632,'LibSets constants'!$A$4:$C$1012,3,FALSE)</f>
        <v>#N/A</v>
      </c>
    </row>
    <row r="633" spans="1:12" x14ac:dyDescent="0.25">
      <c r="A633" s="5">
        <v>1022</v>
      </c>
      <c r="B633" s="5">
        <v>628</v>
      </c>
      <c r="C633" s="5">
        <v>1011</v>
      </c>
      <c r="D633" t="s">
        <v>674</v>
      </c>
      <c r="F633" s="3" t="str">
        <f t="shared" si="36"/>
        <v/>
      </c>
      <c r="G633" s="3" t="str">
        <f t="shared" si="37"/>
        <v>Summerset</v>
      </c>
      <c r="H633" s="17">
        <f t="shared" si="38"/>
        <v>1022</v>
      </c>
      <c r="I633" s="17">
        <f t="shared" si="39"/>
        <v>1011</v>
      </c>
      <c r="J633">
        <v>35</v>
      </c>
      <c r="K633" s="3" t="e">
        <f>VLOOKUP(J633,'LibSets constants'!$A$4:$B$1012,2,FALSE)</f>
        <v>#N/A</v>
      </c>
      <c r="L633" s="3" t="e">
        <f>VLOOKUP(J633,'LibSets constants'!$A$4:$C$1012,3,FALSE)</f>
        <v>#N/A</v>
      </c>
    </row>
    <row r="634" spans="1:12" x14ac:dyDescent="0.25">
      <c r="A634" s="5">
        <v>1023</v>
      </c>
      <c r="B634" s="5">
        <v>629</v>
      </c>
      <c r="C634" s="5">
        <v>1011</v>
      </c>
      <c r="D634" t="s">
        <v>675</v>
      </c>
      <c r="F634" s="3" t="str">
        <f t="shared" si="36"/>
        <v/>
      </c>
      <c r="G634" s="3" t="str">
        <f t="shared" si="37"/>
        <v>Summerset</v>
      </c>
      <c r="H634" s="17">
        <f t="shared" si="38"/>
        <v>1023</v>
      </c>
      <c r="I634" s="17">
        <f t="shared" si="39"/>
        <v>1011</v>
      </c>
      <c r="J634">
        <v>36</v>
      </c>
      <c r="K634" s="3" t="e">
        <f>VLOOKUP(J634,'LibSets constants'!$A$4:$B$1012,2,FALSE)</f>
        <v>#N/A</v>
      </c>
      <c r="L634" s="3" t="e">
        <f>VLOOKUP(J634,'LibSets constants'!$A$4:$C$1012,3,FALSE)</f>
        <v>#N/A</v>
      </c>
    </row>
    <row r="635" spans="1:12" x14ac:dyDescent="0.25">
      <c r="A635" s="5">
        <v>1024</v>
      </c>
      <c r="B635" s="5">
        <v>630</v>
      </c>
      <c r="C635" s="5">
        <v>1011</v>
      </c>
      <c r="D635" t="s">
        <v>676</v>
      </c>
      <c r="E635" s="41" t="str">
        <f t="array" ref="E635">IF(OR(EXACT(A635,'ESO Dungeon constants'!$D$3:$D$987)),"X","")</f>
        <v/>
      </c>
      <c r="F635" s="41" t="str">
        <f t="shared" si="36"/>
        <v/>
      </c>
      <c r="G635" s="41" t="str">
        <f t="shared" si="37"/>
        <v>Summerset</v>
      </c>
      <c r="H635" s="107">
        <f t="shared" si="38"/>
        <v>1024</v>
      </c>
      <c r="I635" s="107">
        <f t="shared" si="39"/>
        <v>1011</v>
      </c>
      <c r="J635" s="40">
        <v>0</v>
      </c>
      <c r="K635" s="41" t="str">
        <f>VLOOKUP(J635,'LibSets constants'!$A$4:$B$1012,2,FALSE)</f>
        <v>DLC_BASE_GAME</v>
      </c>
      <c r="L635" s="41" t="str">
        <f>VLOOKUP(J635,'LibSets constants'!$A$4:$C$1012,3,FALSE)</f>
        <v>Included in base game</v>
      </c>
    </row>
    <row r="636" spans="1:12" x14ac:dyDescent="0.25">
      <c r="A636" s="5">
        <v>1025</v>
      </c>
      <c r="B636" s="5">
        <v>631</v>
      </c>
      <c r="C636" s="5">
        <v>1011</v>
      </c>
      <c r="D636" t="s">
        <v>677</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constants'!$A$4:$B$1012,2,FALSE)</f>
        <v>DLC_BASE_GAME</v>
      </c>
      <c r="L636" s="3" t="str">
        <f>VLOOKUP(J636,'LibSets constants'!$A$4:$C$1012,3,FALSE)</f>
        <v>Included in base game</v>
      </c>
    </row>
    <row r="637" spans="1:12" x14ac:dyDescent="0.25">
      <c r="A637" s="5">
        <v>1026</v>
      </c>
      <c r="B637" s="5">
        <v>632</v>
      </c>
      <c r="C637" s="5">
        <v>1011</v>
      </c>
      <c r="D637" t="s">
        <v>678</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constants'!$A$4:$B$1012,2,FALSE)</f>
        <v>DLC_NECROM</v>
      </c>
      <c r="L637" s="3" t="str">
        <f>VLOOKUP(J637,'LibSets constants'!$A$4:$C$1012,3,FALSE)</f>
        <v>Necrom</v>
      </c>
    </row>
    <row r="638" spans="1:12" x14ac:dyDescent="0.25">
      <c r="A638" s="5">
        <v>1027</v>
      </c>
      <c r="B638" s="5">
        <v>633</v>
      </c>
      <c r="C638" s="5">
        <v>1011</v>
      </c>
      <c r="D638" t="s">
        <v>679</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constants'!$A$4:$B$1012,2,FALSE)</f>
        <v>DLC_NECROM</v>
      </c>
      <c r="L638" s="3" t="str">
        <f>VLOOKUP(J638,'LibSets constants'!$A$4:$C$1012,3,FALSE)</f>
        <v>Necrom</v>
      </c>
    </row>
    <row r="639" spans="1:12" x14ac:dyDescent="0.25">
      <c r="A639" s="5">
        <v>1028</v>
      </c>
      <c r="B639" s="5">
        <v>634</v>
      </c>
      <c r="C639" s="5">
        <v>1011</v>
      </c>
      <c r="D639" t="s">
        <v>680</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constants'!$A$4:$B$1012,2,FALSE)</f>
        <v>DLC_BASE_GAME</v>
      </c>
      <c r="L639" s="3" t="str">
        <f>VLOOKUP(J639,'LibSets constants'!$A$4:$C$1012,3,FALSE)</f>
        <v>Included in base game</v>
      </c>
    </row>
    <row r="640" spans="1:12" x14ac:dyDescent="0.25">
      <c r="A640" s="5">
        <v>1029</v>
      </c>
      <c r="B640" s="5">
        <v>635</v>
      </c>
      <c r="C640" s="5">
        <v>1011</v>
      </c>
      <c r="D640" t="s">
        <v>681</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constants'!$A$4:$B$1012,2,FALSE)</f>
        <v>DLC_BASE_GAME</v>
      </c>
      <c r="L640" s="3" t="str">
        <f>VLOOKUP(J640,'LibSets constants'!$A$4:$C$1012,3,FALSE)</f>
        <v>Included in base game</v>
      </c>
    </row>
    <row r="641" spans="1:12" x14ac:dyDescent="0.25">
      <c r="A641" s="5">
        <v>1030</v>
      </c>
      <c r="B641" s="5">
        <v>636</v>
      </c>
      <c r="C641" s="5">
        <v>1011</v>
      </c>
      <c r="D641" t="s">
        <v>682</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constants'!$A$4:$B$1012,2,FALSE)</f>
        <v>DLC_BASE_GAME</v>
      </c>
      <c r="L641" s="3" t="str">
        <f>VLOOKUP(J641,'LibSets constants'!$A$4:$C$1012,3,FALSE)</f>
        <v>Included in base game</v>
      </c>
    </row>
    <row r="642" spans="1:12" x14ac:dyDescent="0.25">
      <c r="A642" s="5">
        <v>1031</v>
      </c>
      <c r="B642" s="5">
        <v>637</v>
      </c>
      <c r="C642" s="5">
        <v>1011</v>
      </c>
      <c r="D642" t="s">
        <v>683</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constants'!$A$4:$B$1012,2,FALSE)</f>
        <v>DLC_BASE_GAME</v>
      </c>
      <c r="L642" s="3" t="str">
        <f>VLOOKUP(J642,'LibSets constants'!$A$4:$C$1012,3,FALSE)</f>
        <v>Included in base game</v>
      </c>
    </row>
    <row r="643" spans="1:12" x14ac:dyDescent="0.25">
      <c r="A643" s="5">
        <v>1032</v>
      </c>
      <c r="B643" s="5">
        <v>638</v>
      </c>
      <c r="C643" s="5">
        <v>1011</v>
      </c>
      <c r="D643" t="s">
        <v>684</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constants'!$A$4:$B$1012,2,FALSE)</f>
        <v>DLC_BASE_GAME</v>
      </c>
      <c r="L643" s="3" t="str">
        <f>VLOOKUP(J643,'LibSets constants'!$A$4:$C$1012,3,FALSE)</f>
        <v>Included in base game</v>
      </c>
    </row>
    <row r="644" spans="1:12" x14ac:dyDescent="0.25">
      <c r="A644" s="5">
        <v>1033</v>
      </c>
      <c r="B644" s="5">
        <v>639</v>
      </c>
      <c r="C644" s="5">
        <v>1011</v>
      </c>
      <c r="D644" t="s">
        <v>685</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constants'!$A$4:$B$1012,2,FALSE)</f>
        <v>DLC_BASE_GAME</v>
      </c>
      <c r="L644" s="3" t="str">
        <f>VLOOKUP(J644,'LibSets constants'!$A$4:$C$1012,3,FALSE)</f>
        <v>Included in base game</v>
      </c>
    </row>
    <row r="645" spans="1:12" x14ac:dyDescent="0.25">
      <c r="A645" s="5">
        <v>1034</v>
      </c>
      <c r="B645" s="5">
        <v>640</v>
      </c>
      <c r="C645" s="5">
        <v>1011</v>
      </c>
      <c r="D645" t="s">
        <v>686</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constants'!$A$4:$B$1012,2,FALSE)</f>
        <v>DLC_BASE_GAME</v>
      </c>
      <c r="L645" s="3" t="str">
        <f>VLOOKUP(J645,'LibSets constants'!$A$4:$C$1012,3,FALSE)</f>
        <v>Included in base game</v>
      </c>
    </row>
    <row r="646" spans="1:12" x14ac:dyDescent="0.25">
      <c r="A646" s="5">
        <v>1035</v>
      </c>
      <c r="B646" s="5">
        <v>641</v>
      </c>
      <c r="C646" s="5">
        <v>1011</v>
      </c>
      <c r="D646" t="s">
        <v>664</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constants'!$A$4:$B$1012,2,FALSE)</f>
        <v>DLC_NECROM</v>
      </c>
      <c r="L646" s="3" t="str">
        <f>VLOOKUP(J646,'LibSets constants'!$A$4:$C$1012,3,FALSE)</f>
        <v>Necrom</v>
      </c>
    </row>
    <row r="647" spans="1:12" x14ac:dyDescent="0.25">
      <c r="A647" s="5">
        <v>1036</v>
      </c>
      <c r="B647" s="5">
        <v>642</v>
      </c>
      <c r="C647" s="5">
        <v>1011</v>
      </c>
      <c r="D647" t="s">
        <v>687</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constants'!$A$4:$B$1012,2,FALSE)</f>
        <v>DLC_BASE_GAME</v>
      </c>
      <c r="L647" s="3" t="str">
        <f>VLOOKUP(J647,'LibSets constants'!$A$4:$C$1012,3,FALSE)</f>
        <v>Included in base game</v>
      </c>
    </row>
    <row r="648" spans="1:12" x14ac:dyDescent="0.25">
      <c r="A648" s="5">
        <v>1037</v>
      </c>
      <c r="B648" s="5">
        <v>643</v>
      </c>
      <c r="C648" s="5">
        <v>1011</v>
      </c>
      <c r="D648" t="s">
        <v>688</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constants'!$A$4:$B$1012,2,FALSE)</f>
        <v>DLC_BASE_GAME</v>
      </c>
      <c r="L648" s="3" t="str">
        <f>VLOOKUP(J648,'LibSets constants'!$A$4:$C$1012,3,FALSE)</f>
        <v>Included in base game</v>
      </c>
    </row>
    <row r="649" spans="1:12" x14ac:dyDescent="0.25">
      <c r="A649" s="5">
        <v>1038</v>
      </c>
      <c r="B649" s="5">
        <v>644</v>
      </c>
      <c r="C649" s="5">
        <v>1011</v>
      </c>
      <c r="D649" t="s">
        <v>689</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constants'!$A$4:$B$1012,2,FALSE)</f>
        <v>DLC_BASE_GAME</v>
      </c>
      <c r="L649" s="3" t="str">
        <f>VLOOKUP(J649,'LibSets constants'!$A$4:$C$1012,3,FALSE)</f>
        <v>Included in base game</v>
      </c>
    </row>
    <row r="650" spans="1:12" x14ac:dyDescent="0.25">
      <c r="A650" s="5">
        <v>1039</v>
      </c>
      <c r="B650" s="5">
        <v>645</v>
      </c>
      <c r="C650" s="5">
        <v>1011</v>
      </c>
      <c r="D650" t="s">
        <v>690</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constants'!$A$4:$B$1012,2,FALSE)</f>
        <v>DLC_BASE_GAME</v>
      </c>
      <c r="L650" s="3" t="str">
        <f>VLOOKUP(J650,'LibSets constants'!$A$4:$C$1012,3,FALSE)</f>
        <v>Included in base game</v>
      </c>
    </row>
    <row r="651" spans="1:12" x14ac:dyDescent="0.25">
      <c r="A651" s="5">
        <v>1040</v>
      </c>
      <c r="B651" s="5">
        <v>646</v>
      </c>
      <c r="C651" s="5">
        <v>1011</v>
      </c>
      <c r="D651" t="s">
        <v>657</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constants'!$A$4:$B$1012,2,FALSE)</f>
        <v>DLC_BASE_GAME</v>
      </c>
      <c r="L651" s="3" t="str">
        <f>VLOOKUP(J651,'LibSets constants'!$A$4:$C$1012,3,FALSE)</f>
        <v>Included in base game</v>
      </c>
    </row>
    <row r="652" spans="1:12" x14ac:dyDescent="0.25">
      <c r="A652" s="5">
        <v>1042</v>
      </c>
      <c r="B652" s="5">
        <v>647</v>
      </c>
      <c r="C652" s="5">
        <v>684</v>
      </c>
      <c r="D652" t="s">
        <v>691</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constants'!$A$4:$B$1012,2,FALSE)</f>
        <v>DLC_BASE_GAME</v>
      </c>
      <c r="L652" s="3" t="str">
        <f>VLOOKUP(J652,'LibSets constants'!$A$4:$C$1012,3,FALSE)</f>
        <v>Included in base game</v>
      </c>
    </row>
    <row r="653" spans="1:12" x14ac:dyDescent="0.25">
      <c r="A653" s="5">
        <v>1043</v>
      </c>
      <c r="B653" s="5">
        <v>648</v>
      </c>
      <c r="C653" s="5">
        <v>980</v>
      </c>
      <c r="D653" t="s">
        <v>692</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constants'!$A$4:$B$1012,2,FALSE)</f>
        <v>DLC_NECROM</v>
      </c>
      <c r="L653" s="3" t="str">
        <f>VLOOKUP(J653,'LibSets constants'!$A$4:$C$1012,3,FALSE)</f>
        <v>Necrom</v>
      </c>
    </row>
    <row r="654" spans="1:12" x14ac:dyDescent="0.25">
      <c r="A654" s="5">
        <v>1044</v>
      </c>
      <c r="B654" s="5">
        <v>649</v>
      </c>
      <c r="C654" s="5">
        <v>823</v>
      </c>
      <c r="D654" t="s">
        <v>693</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constants'!$A$4:$B$1012,2,FALSE)</f>
        <v>DLC_SCRIBES_OF_FATE</v>
      </c>
      <c r="L654" s="3" t="str">
        <f>VLOOKUP(J654,'LibSets constants'!$A$4:$C$1012,3,FALSE)</f>
        <v>Scribes of Fate</v>
      </c>
    </row>
    <row r="655" spans="1:12" x14ac:dyDescent="0.25">
      <c r="A655" s="5">
        <v>1045</v>
      </c>
      <c r="B655" s="5">
        <v>650</v>
      </c>
      <c r="C655" s="5">
        <v>816</v>
      </c>
      <c r="D655" t="s">
        <v>694</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constants'!$A$4:$B$1012,2,FALSE)</f>
        <v>DLC_BASE_GAME</v>
      </c>
      <c r="L655" s="3" t="str">
        <f>VLOOKUP(J655,'LibSets constants'!$A$4:$C$1012,3,FALSE)</f>
        <v>Included in base game</v>
      </c>
    </row>
    <row r="656" spans="1:12" x14ac:dyDescent="0.25">
      <c r="A656" s="5">
        <v>1046</v>
      </c>
      <c r="B656" s="5">
        <v>651</v>
      </c>
      <c r="C656" s="5">
        <v>1011</v>
      </c>
      <c r="D656" t="s">
        <v>695</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constants'!$A$4:$B$1012,2,FALSE)</f>
        <v>DLC_SCRIBES_OF_FATE</v>
      </c>
      <c r="L656" s="3" t="str">
        <f>VLOOKUP(J656,'LibSets constants'!$A$4:$C$1012,3,FALSE)</f>
        <v>Scribes of Fate</v>
      </c>
    </row>
    <row r="657" spans="1:12" x14ac:dyDescent="0.25">
      <c r="A657" s="5">
        <v>1047</v>
      </c>
      <c r="B657" s="5">
        <v>652</v>
      </c>
      <c r="C657" s="5">
        <v>1011</v>
      </c>
      <c r="D657" t="s">
        <v>696</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constants'!$A$4:$B$1012,2,FALSE)</f>
        <v>DLC_BASE_GAME</v>
      </c>
      <c r="L657" s="3" t="str">
        <f>VLOOKUP(J657,'LibSets constants'!$A$4:$C$1012,3,FALSE)</f>
        <v>Included in base game</v>
      </c>
    </row>
    <row r="658" spans="1:12" x14ac:dyDescent="0.25">
      <c r="A658" s="5">
        <v>1048</v>
      </c>
      <c r="B658" s="5">
        <v>653</v>
      </c>
      <c r="C658" s="5">
        <v>1011</v>
      </c>
      <c r="D658" t="s">
        <v>697</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constants'!$A$4:$B$1012,2,FALSE)</f>
        <v>DLC_BASE_GAME</v>
      </c>
      <c r="L658" s="3" t="str">
        <f>VLOOKUP(J658,'LibSets constants'!$A$4:$C$1012,3,FALSE)</f>
        <v>Included in base game</v>
      </c>
    </row>
    <row r="659" spans="1:12" x14ac:dyDescent="0.25">
      <c r="A659" s="5">
        <v>1051</v>
      </c>
      <c r="B659" s="5">
        <v>654</v>
      </c>
      <c r="C659" s="5">
        <v>1011</v>
      </c>
      <c r="D659" t="s">
        <v>698</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constants'!$A$4:$B$1012,2,FALSE)</f>
        <v>DLC_BASE_GAME</v>
      </c>
      <c r="L659" s="3" t="str">
        <f>VLOOKUP(J659,'LibSets constants'!$A$4:$C$1012,3,FALSE)</f>
        <v>Included in base game</v>
      </c>
    </row>
    <row r="660" spans="1:12" x14ac:dyDescent="0.25">
      <c r="A660" s="5">
        <v>1052</v>
      </c>
      <c r="B660" s="5">
        <v>655</v>
      </c>
      <c r="C660" s="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constants'!$A$4:$B$1012,2,FALSE)</f>
        <v>DLC_BASE_GAME</v>
      </c>
      <c r="L660" s="3" t="str">
        <f>VLOOKUP(J660,'LibSets constants'!$A$4:$C$1012,3,FALSE)</f>
        <v>Included in base game</v>
      </c>
    </row>
    <row r="661" spans="1:12" x14ac:dyDescent="0.25">
      <c r="A661" s="5">
        <v>1055</v>
      </c>
      <c r="B661" s="5">
        <v>656</v>
      </c>
      <c r="C661" s="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constants'!$A$4:$B$1012,2,FALSE)</f>
        <v>DLC_ASCENDING_TIDE</v>
      </c>
      <c r="L661" s="3" t="str">
        <f>VLOOKUP(J661,'LibSets constants'!$A$4:$C$1012,3,FALSE)</f>
        <v>Ascending Tide</v>
      </c>
    </row>
    <row r="662" spans="1:12" x14ac:dyDescent="0.25">
      <c r="A662" s="5">
        <v>1059</v>
      </c>
      <c r="B662" s="5">
        <v>657</v>
      </c>
      <c r="C662" s="5">
        <v>1011</v>
      </c>
      <c r="D662" t="s">
        <v>700</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constants'!$A$4:$B$1012,2,FALSE)</f>
        <v>DLC_BASE_GAME</v>
      </c>
      <c r="L662" s="3" t="str">
        <f>VLOOKUP(J662,'LibSets constants'!$A$4:$C$1012,3,FALSE)</f>
        <v>Included in base game</v>
      </c>
    </row>
    <row r="663" spans="1:12" x14ac:dyDescent="0.25">
      <c r="A663" s="5">
        <v>1060</v>
      </c>
      <c r="B663" s="5">
        <v>658</v>
      </c>
      <c r="C663" s="5">
        <v>1011</v>
      </c>
      <c r="D663" t="s">
        <v>701</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constants'!$A$4:$B$1012,2,FALSE)</f>
        <v>DLC_BASE_GAME</v>
      </c>
      <c r="L663" s="3" t="str">
        <f>VLOOKUP(J663,'LibSets constants'!$A$4:$C$1012,3,FALSE)</f>
        <v>Included in base game</v>
      </c>
    </row>
    <row r="664" spans="1:12" x14ac:dyDescent="0.25">
      <c r="A664" s="5">
        <v>1061</v>
      </c>
      <c r="B664" s="5">
        <v>659</v>
      </c>
      <c r="C664" s="5">
        <v>1011</v>
      </c>
      <c r="D664" t="s">
        <v>702</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constants'!$A$4:$B$1012,2,FALSE)</f>
        <v>DLC_BASE_GAME</v>
      </c>
      <c r="L664" s="3" t="str">
        <f>VLOOKUP(J664,'LibSets constants'!$A$4:$C$1012,3,FALSE)</f>
        <v>Included in base game</v>
      </c>
    </row>
    <row r="665" spans="1:12" x14ac:dyDescent="0.25">
      <c r="A665" s="5">
        <v>1063</v>
      </c>
      <c r="B665" s="5">
        <v>660</v>
      </c>
      <c r="C665" s="5">
        <v>1027</v>
      </c>
      <c r="D665" t="s">
        <v>704</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constants'!$A$4:$B$1012,2,FALSE)</f>
        <v>DLC_BASE_GAME</v>
      </c>
      <c r="L665" s="3" t="str">
        <f>VLOOKUP(J665,'LibSets constants'!$A$4:$C$1012,3,FALSE)</f>
        <v>Included in base game</v>
      </c>
    </row>
    <row r="666" spans="1:12" x14ac:dyDescent="0.25">
      <c r="A666" s="5">
        <v>1064</v>
      </c>
      <c r="B666" s="5">
        <v>661</v>
      </c>
      <c r="C666" s="5">
        <v>103</v>
      </c>
      <c r="D666" t="s">
        <v>705</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constants'!$A$4:$B$1012,2,FALSE)</f>
        <v>DLC_BASE_GAME</v>
      </c>
      <c r="L666" s="3" t="str">
        <f>VLOOKUP(J666,'LibSets constants'!$A$4:$C$1012,3,FALSE)</f>
        <v>Included in base game</v>
      </c>
    </row>
    <row r="667" spans="1:12" x14ac:dyDescent="0.25">
      <c r="A667" s="5">
        <v>1065</v>
      </c>
      <c r="B667" s="5">
        <v>662</v>
      </c>
      <c r="C667" s="5">
        <v>726</v>
      </c>
      <c r="D667" t="s">
        <v>706</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constants'!$A$4:$B$1012,2,FALSE)</f>
        <v>DLC_BLACKWOOD</v>
      </c>
      <c r="L667" s="3" t="str">
        <f>VLOOKUP(J667,'LibSets constants'!$A$4:$C$1012,3,FALSE)</f>
        <v>Blackwood</v>
      </c>
    </row>
    <row r="668" spans="1:12" x14ac:dyDescent="0.25">
      <c r="A668" s="5">
        <v>1066</v>
      </c>
      <c r="B668" s="5">
        <v>663</v>
      </c>
      <c r="C668" s="5">
        <v>726</v>
      </c>
      <c r="D668" t="s">
        <v>707</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constants'!$A$4:$B$1012,2,FALSE)</f>
        <v>DLC_BASE_GAME</v>
      </c>
      <c r="L668" s="3" t="str">
        <f>VLOOKUP(J668,'LibSets constants'!$A$4:$C$1012,3,FALSE)</f>
        <v>Included in base game</v>
      </c>
    </row>
    <row r="669" spans="1:12" x14ac:dyDescent="0.25">
      <c r="A669" s="5">
        <v>1067</v>
      </c>
      <c r="B669" s="5">
        <v>664</v>
      </c>
      <c r="C669" s="5">
        <v>726</v>
      </c>
      <c r="D669" t="s">
        <v>708</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constants'!$A$4:$B$1012,2,FALSE)</f>
        <v>DLC_BASE_GAME</v>
      </c>
      <c r="L669" s="3" t="str">
        <f>VLOOKUP(J669,'LibSets constants'!$A$4:$C$1012,3,FALSE)</f>
        <v>Included in base game</v>
      </c>
    </row>
    <row r="670" spans="1:12" x14ac:dyDescent="0.25">
      <c r="A670" s="5">
        <v>1068</v>
      </c>
      <c r="B670" s="5">
        <v>665</v>
      </c>
      <c r="C670" s="5">
        <v>726</v>
      </c>
      <c r="D670" t="s">
        <v>709</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constants'!$A$4:$B$1012,2,FALSE)</f>
        <v>DLC_BASE_GAME</v>
      </c>
      <c r="L670" s="3" t="str">
        <f>VLOOKUP(J670,'LibSets constants'!$A$4:$C$1012,3,FALSE)</f>
        <v>Included in base game</v>
      </c>
    </row>
    <row r="671" spans="1:12" x14ac:dyDescent="0.25">
      <c r="A671" s="5">
        <v>1069</v>
      </c>
      <c r="B671" s="5">
        <v>666</v>
      </c>
      <c r="C671" s="5">
        <v>726</v>
      </c>
      <c r="D671" t="s">
        <v>710</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constants'!$A$4:$B$1012,2,FALSE)</f>
        <v>DLC_BASE_GAME</v>
      </c>
      <c r="L671" s="3" t="str">
        <f>VLOOKUP(J671,'LibSets constants'!$A$4:$C$1012,3,FALSE)</f>
        <v>Included in base game</v>
      </c>
    </row>
    <row r="672" spans="1:12" x14ac:dyDescent="0.25">
      <c r="A672" s="5">
        <v>1070</v>
      </c>
      <c r="B672" s="5">
        <v>667</v>
      </c>
      <c r="C672" s="5">
        <v>726</v>
      </c>
      <c r="D672" t="s">
        <v>711</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constants'!$A$4:$B$1012,2,FALSE)</f>
        <v>DLC_BASE_GAME</v>
      </c>
      <c r="L672" s="3" t="str">
        <f>VLOOKUP(J672,'LibSets constants'!$A$4:$C$1012,3,FALSE)</f>
        <v>Included in base game</v>
      </c>
    </row>
    <row r="673" spans="1:12" x14ac:dyDescent="0.25">
      <c r="A673" s="5">
        <v>1071</v>
      </c>
      <c r="B673" s="5">
        <v>668</v>
      </c>
      <c r="C673" s="5">
        <v>726</v>
      </c>
      <c r="D673" t="s">
        <v>712</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constants'!$A$4:$B$1012,2,FALSE)</f>
        <v>DLC_BASE_GAME</v>
      </c>
      <c r="L673" s="3" t="str">
        <f>VLOOKUP(J673,'LibSets constants'!$A$4:$C$1012,3,FALSE)</f>
        <v>Included in base game</v>
      </c>
    </row>
    <row r="674" spans="1:12" x14ac:dyDescent="0.25">
      <c r="A674" s="5">
        <v>1072</v>
      </c>
      <c r="B674" s="5">
        <v>669</v>
      </c>
      <c r="C674" s="5">
        <v>117</v>
      </c>
      <c r="D674" t="s">
        <v>713</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constants'!$A$4:$B$1012,2,FALSE)</f>
        <v>DLC_BASE_GAME</v>
      </c>
      <c r="L674" s="3" t="str">
        <f>VLOOKUP(J674,'LibSets constants'!$A$4:$C$1012,3,FALSE)</f>
        <v>Included in base game</v>
      </c>
    </row>
    <row r="675" spans="1:12" x14ac:dyDescent="0.25">
      <c r="A675" s="5">
        <v>1073</v>
      </c>
      <c r="B675" s="5">
        <v>670</v>
      </c>
      <c r="C675" s="5">
        <v>726</v>
      </c>
      <c r="D675" t="s">
        <v>714</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constants'!$A$4:$B$1012,2,FALSE)</f>
        <v>DLC_BASE_GAME</v>
      </c>
      <c r="L675" s="3" t="str">
        <f>VLOOKUP(J675,'LibSets constants'!$A$4:$C$1012,3,FALSE)</f>
        <v>Included in base game</v>
      </c>
    </row>
    <row r="676" spans="1:12" x14ac:dyDescent="0.25">
      <c r="A676" s="5">
        <v>1074</v>
      </c>
      <c r="B676" s="5">
        <v>671</v>
      </c>
      <c r="C676" s="5">
        <v>41</v>
      </c>
      <c r="D676" t="s">
        <v>715</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constants'!$A$4:$B$1012,2,FALSE)</f>
        <v>DLC_BASE_GAME</v>
      </c>
      <c r="L676" s="3" t="str">
        <f>VLOOKUP(J676,'LibSets constants'!$A$4:$C$1012,3,FALSE)</f>
        <v>Included in base game</v>
      </c>
    </row>
    <row r="677" spans="1:12" x14ac:dyDescent="0.25">
      <c r="A677" s="5">
        <v>1075</v>
      </c>
      <c r="B677" s="5">
        <v>672</v>
      </c>
      <c r="C677" s="5">
        <v>381</v>
      </c>
      <c r="D677" t="s">
        <v>715</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constants'!$A$4:$B$1012,2,FALSE)</f>
        <v>DLC_BASE_GAME</v>
      </c>
      <c r="L677" s="3" t="str">
        <f>VLOOKUP(J677,'LibSets constants'!$A$4:$C$1012,3,FALSE)</f>
        <v>Included in base game</v>
      </c>
    </row>
    <row r="678" spans="1:12" x14ac:dyDescent="0.25">
      <c r="A678" s="5">
        <v>1076</v>
      </c>
      <c r="B678" s="5">
        <v>673</v>
      </c>
      <c r="C678" s="5">
        <v>3</v>
      </c>
      <c r="D678" t="s">
        <v>715</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constants'!$A$4:$B$1012,2,FALSE)</f>
        <v>DLC_BASE_GAME</v>
      </c>
      <c r="L678" s="3" t="str">
        <f>VLOOKUP(J678,'LibSets constants'!$A$4:$C$1012,3,FALSE)</f>
        <v>Included in base game</v>
      </c>
    </row>
    <row r="679" spans="1:12" x14ac:dyDescent="0.25">
      <c r="A679" s="5">
        <v>1077</v>
      </c>
      <c r="B679" s="5">
        <v>674</v>
      </c>
      <c r="C679" s="5">
        <v>726</v>
      </c>
      <c r="D679" t="s">
        <v>716</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constants'!$A$4:$B$1012,2,FALSE)</f>
        <v>DLC_BASE_GAME</v>
      </c>
      <c r="L679" s="3" t="str">
        <f>VLOOKUP(J679,'LibSets constants'!$A$4:$C$1012,3,FALSE)</f>
        <v>Included in base game</v>
      </c>
    </row>
    <row r="680" spans="1:12" x14ac:dyDescent="0.25">
      <c r="A680" s="5">
        <v>1078</v>
      </c>
      <c r="B680" s="5">
        <v>675</v>
      </c>
      <c r="C680" s="5">
        <v>726</v>
      </c>
      <c r="D680" t="s">
        <v>717</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constants'!$A$4:$B$1012,2,FALSE)</f>
        <v>DLC_BASE_GAME</v>
      </c>
      <c r="L680" s="3" t="str">
        <f>VLOOKUP(J680,'LibSets constants'!$A$4:$C$1012,3,FALSE)</f>
        <v>Included in base game</v>
      </c>
    </row>
    <row r="681" spans="1:12" x14ac:dyDescent="0.25">
      <c r="A681" s="5">
        <v>1079</v>
      </c>
      <c r="B681" s="5">
        <v>676</v>
      </c>
      <c r="C681" s="5">
        <v>726</v>
      </c>
      <c r="D681" t="s">
        <v>718</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constants'!$A$4:$B$1012,2,FALSE)</f>
        <v>DLC_BASE_GAME</v>
      </c>
      <c r="L681" s="3" t="str">
        <f>VLOOKUP(J681,'LibSets constants'!$A$4:$C$1012,3,FALSE)</f>
        <v>Included in base game</v>
      </c>
    </row>
    <row r="682" spans="1:12" x14ac:dyDescent="0.25">
      <c r="A682" s="5">
        <v>1080</v>
      </c>
      <c r="B682" s="5">
        <v>677</v>
      </c>
      <c r="C682" s="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constants'!$A$4:$B$1012,2,FALSE)</f>
        <v>DLC_BASE_GAME</v>
      </c>
      <c r="L682" s="3" t="str">
        <f>VLOOKUP(J682,'LibSets constants'!$A$4:$C$1012,3,FALSE)</f>
        <v>Included in base game</v>
      </c>
    </row>
    <row r="683" spans="1:12" x14ac:dyDescent="0.25">
      <c r="A683" s="5">
        <v>1081</v>
      </c>
      <c r="B683" s="5">
        <v>678</v>
      </c>
      <c r="C683" s="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constants'!$A$4:$B$1012,2,FALSE)</f>
        <v>DLC_BASE_GAME</v>
      </c>
      <c r="L683" s="3" t="str">
        <f>VLOOKUP(J683,'LibSets constants'!$A$4:$C$1012,3,FALSE)</f>
        <v>Included in base game</v>
      </c>
    </row>
    <row r="684" spans="1:12" x14ac:dyDescent="0.25">
      <c r="A684" s="5">
        <v>1082</v>
      </c>
      <c r="B684" s="5">
        <v>679</v>
      </c>
      <c r="C684" s="5">
        <v>726</v>
      </c>
      <c r="D684" t="s">
        <v>719</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constants'!$A$4:$B$1012,2,FALSE)</f>
        <v>DLC_BLACKWOOD</v>
      </c>
      <c r="L684" s="3" t="str">
        <f>VLOOKUP(J684,'LibSets constants'!$A$4:$C$1012,3,FALSE)</f>
        <v>Blackwood</v>
      </c>
    </row>
    <row r="685" spans="1:12" x14ac:dyDescent="0.25">
      <c r="A685" s="5">
        <v>1083</v>
      </c>
      <c r="B685" s="5">
        <v>680</v>
      </c>
      <c r="C685" s="5">
        <v>726</v>
      </c>
      <c r="D685" t="s">
        <v>720</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constants'!$A$4:$B$1012,2,FALSE)</f>
        <v>DLC_BASE_GAME</v>
      </c>
      <c r="L685" s="3" t="str">
        <f>VLOOKUP(J685,'LibSets constants'!$A$4:$C$1012,3,FALSE)</f>
        <v>Included in base game</v>
      </c>
    </row>
    <row r="686" spans="1:12" x14ac:dyDescent="0.25">
      <c r="A686" s="5">
        <v>1085</v>
      </c>
      <c r="B686" s="5">
        <v>681</v>
      </c>
      <c r="C686" s="5">
        <v>1086</v>
      </c>
      <c r="D686" t="s">
        <v>722</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constants'!$A$4:$B$1012,2,FALSE)</f>
        <v>DLC_BASE_GAME</v>
      </c>
      <c r="L686" s="3" t="str">
        <f>VLOOKUP(J686,'LibSets constants'!$A$4:$C$1012,3,FALSE)</f>
        <v>Included in base game</v>
      </c>
    </row>
    <row r="687" spans="1:12" x14ac:dyDescent="0.25">
      <c r="A687" s="5">
        <v>1086</v>
      </c>
      <c r="B687" s="5">
        <v>682</v>
      </c>
      <c r="C687" s="5">
        <v>1086</v>
      </c>
      <c r="D687" t="s">
        <v>1386</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constants'!$A$4:$B$1012,2,FALSE)</f>
        <v>DLC_BASE_GAME</v>
      </c>
      <c r="L687" s="3" t="str">
        <f>VLOOKUP(J687,'LibSets constants'!$A$4:$C$1012,3,FALSE)</f>
        <v>Included in base game</v>
      </c>
    </row>
    <row r="688" spans="1:12" x14ac:dyDescent="0.25">
      <c r="A688" s="5">
        <v>1088</v>
      </c>
      <c r="B688" s="5">
        <v>683</v>
      </c>
      <c r="C688" s="5">
        <v>1086</v>
      </c>
      <c r="D688" t="s">
        <v>1414</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constants'!$A$4:$B$1012,2,FALSE)</f>
        <v>DLC_DARK_BROTHERHOOD</v>
      </c>
      <c r="L688" s="3" t="str">
        <f>VLOOKUP(J688,'LibSets constants'!$A$4:$C$1012,3,FALSE)</f>
        <v>Dark Brotherhood</v>
      </c>
    </row>
    <row r="689" spans="1:12" x14ac:dyDescent="0.25">
      <c r="A689" s="5">
        <v>1089</v>
      </c>
      <c r="B689" s="5">
        <v>684</v>
      </c>
      <c r="C689" s="5">
        <v>1086</v>
      </c>
      <c r="D689" t="s">
        <v>1387</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constants'!$A$4:$B$1012,2,FALSE)</f>
        <v>DLC_BASE_GAME</v>
      </c>
      <c r="L689" s="3" t="str">
        <f>VLOOKUP(J689,'LibSets constants'!$A$4:$C$1012,3,FALSE)</f>
        <v>Included in base game</v>
      </c>
    </row>
    <row r="690" spans="1:12" x14ac:dyDescent="0.25">
      <c r="A690" s="5">
        <v>1090</v>
      </c>
      <c r="B690" s="5">
        <v>685</v>
      </c>
      <c r="C690" s="5">
        <v>1086</v>
      </c>
      <c r="D690" t="s">
        <v>1388</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constants'!$A$4:$B$1012,2,FALSE)</f>
        <v>DLC_BASE_GAME</v>
      </c>
      <c r="L690" s="3" t="str">
        <f>VLOOKUP(J690,'LibSets constants'!$A$4:$C$1012,3,FALSE)</f>
        <v>Included in base game</v>
      </c>
    </row>
    <row r="691" spans="1:12" x14ac:dyDescent="0.25">
      <c r="A691" s="5">
        <v>1091</v>
      </c>
      <c r="B691" s="5">
        <v>686</v>
      </c>
      <c r="C691" s="5">
        <v>1086</v>
      </c>
      <c r="D691" t="s">
        <v>1389</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constants'!$A$4:$B$1012,2,FALSE)</f>
        <v>DLC_BASE_GAME</v>
      </c>
      <c r="L691" s="3" t="str">
        <f>VLOOKUP(J691,'LibSets constants'!$A$4:$C$1012,3,FALSE)</f>
        <v>Included in base game</v>
      </c>
    </row>
    <row r="692" spans="1:12" x14ac:dyDescent="0.25">
      <c r="A692" s="5">
        <v>1092</v>
      </c>
      <c r="B692" s="5">
        <v>687</v>
      </c>
      <c r="C692" s="5">
        <v>1086</v>
      </c>
      <c r="D692" t="s">
        <v>1390</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constants'!$A$4:$B$1012,2,FALSE)</f>
        <v>DLC_BASE_GAME</v>
      </c>
      <c r="L692" s="3" t="str">
        <f>VLOOKUP(J692,'LibSets constants'!$A$4:$C$1012,3,FALSE)</f>
        <v>Included in base game</v>
      </c>
    </row>
    <row r="693" spans="1:12" x14ac:dyDescent="0.25">
      <c r="A693" s="5">
        <v>1094</v>
      </c>
      <c r="B693" s="5">
        <v>688</v>
      </c>
      <c r="C693" s="5">
        <v>1086</v>
      </c>
      <c r="D693" t="s">
        <v>1391</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constants'!$A$4:$B$1012,2,FALSE)</f>
        <v>DLC_BASE_GAME</v>
      </c>
      <c r="L693" s="3" t="str">
        <f>VLOOKUP(J693,'LibSets constants'!$A$4:$C$1012,3,FALSE)</f>
        <v>Included in base game</v>
      </c>
    </row>
    <row r="694" spans="1:12" x14ac:dyDescent="0.25">
      <c r="A694" s="5">
        <v>1095</v>
      </c>
      <c r="B694" s="5">
        <v>689</v>
      </c>
      <c r="C694" s="5">
        <v>1086</v>
      </c>
      <c r="D694" t="s">
        <v>1392</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constants'!$A$4:$B$1012,2,FALSE)</f>
        <v>DLC_BASE_GAME</v>
      </c>
      <c r="L694" s="3" t="str">
        <f>VLOOKUP(J694,'LibSets constants'!$A$4:$C$1012,3,FALSE)</f>
        <v>Included in base game</v>
      </c>
    </row>
    <row r="695" spans="1:12" x14ac:dyDescent="0.25">
      <c r="A695" s="5">
        <v>1096</v>
      </c>
      <c r="B695" s="5">
        <v>690</v>
      </c>
      <c r="C695" s="5">
        <v>1086</v>
      </c>
      <c r="D695" t="s">
        <v>1393</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constants'!$A$4:$B$1012,2,FALSE)</f>
        <v>DLC_BASE_GAME</v>
      </c>
      <c r="L695" s="3" t="str">
        <f>VLOOKUP(J695,'LibSets constants'!$A$4:$C$1012,3,FALSE)</f>
        <v>Included in base game</v>
      </c>
    </row>
    <row r="696" spans="1:12" x14ac:dyDescent="0.25">
      <c r="A696" s="5">
        <v>1097</v>
      </c>
      <c r="B696" s="5">
        <v>691</v>
      </c>
      <c r="C696" s="5">
        <v>1086</v>
      </c>
      <c r="D696" t="s">
        <v>1394</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constants'!$A$4:$B$1012,2,FALSE)</f>
        <v>DLC_BASE_GAME</v>
      </c>
      <c r="L696" s="3" t="str">
        <f>VLOOKUP(J696,'LibSets constants'!$A$4:$C$1012,3,FALSE)</f>
        <v>Included in base game</v>
      </c>
    </row>
    <row r="697" spans="1:12" x14ac:dyDescent="0.25">
      <c r="A697" s="5">
        <v>1098</v>
      </c>
      <c r="B697" s="5">
        <v>692</v>
      </c>
      <c r="C697" s="5">
        <v>1086</v>
      </c>
      <c r="D697" t="s">
        <v>1395</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constants'!$A$4:$B$1012,2,FALSE)</f>
        <v>DLC_BASE_GAME</v>
      </c>
      <c r="L697" s="3" t="str">
        <f>VLOOKUP(J697,'LibSets constants'!$A$4:$C$1012,3,FALSE)</f>
        <v>Included in base game</v>
      </c>
    </row>
    <row r="698" spans="1:12" x14ac:dyDescent="0.25">
      <c r="A698" s="5">
        <v>1099</v>
      </c>
      <c r="B698" s="5">
        <v>693</v>
      </c>
      <c r="C698" s="5">
        <v>1086</v>
      </c>
      <c r="D698" t="s">
        <v>1396</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constants'!$A$4:$B$1012,2,FALSE)</f>
        <v>DLC_BASE_GAME</v>
      </c>
      <c r="L698" s="3" t="str">
        <f>VLOOKUP(J698,'LibSets constants'!$A$4:$C$1012,3,FALSE)</f>
        <v>Included in base game</v>
      </c>
    </row>
    <row r="699" spans="1:12" x14ac:dyDescent="0.25">
      <c r="A699" s="5">
        <v>1101</v>
      </c>
      <c r="B699" s="5">
        <v>694</v>
      </c>
      <c r="C699" s="5">
        <v>1086</v>
      </c>
      <c r="D699" t="s">
        <v>1397</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constants'!$A$4:$B$1012,2,FALSE)</f>
        <v>DLC_BASE_GAME</v>
      </c>
      <c r="L699" s="3" t="str">
        <f>VLOOKUP(J699,'LibSets constants'!$A$4:$C$1012,3,FALSE)</f>
        <v>Included in base game</v>
      </c>
    </row>
    <row r="700" spans="1:12" x14ac:dyDescent="0.25">
      <c r="A700" s="5">
        <v>1102</v>
      </c>
      <c r="B700" s="5">
        <v>695</v>
      </c>
      <c r="C700" s="5">
        <v>1086</v>
      </c>
      <c r="D700" t="s">
        <v>1398</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constants'!$A$4:$B$1012,2,FALSE)</f>
        <v>DLC_BASE_GAME</v>
      </c>
      <c r="L700" s="3" t="str">
        <f>VLOOKUP(J700,'LibSets constants'!$A$4:$C$1012,3,FALSE)</f>
        <v>Included in base game</v>
      </c>
    </row>
    <row r="701" spans="1:12" x14ac:dyDescent="0.25">
      <c r="A701" s="5">
        <v>1103</v>
      </c>
      <c r="B701" s="5">
        <v>696</v>
      </c>
      <c r="C701" s="5">
        <v>1086</v>
      </c>
      <c r="D701" t="s">
        <v>1399</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constants'!$A$4:$B$1012,2,FALSE)</f>
        <v>DLC_BASE_GAME</v>
      </c>
      <c r="L701" s="3" t="str">
        <f>VLOOKUP(J701,'LibSets constants'!$A$4:$C$1012,3,FALSE)</f>
        <v>Included in base game</v>
      </c>
    </row>
    <row r="702" spans="1:12" x14ac:dyDescent="0.25">
      <c r="A702" s="5">
        <v>1105</v>
      </c>
      <c r="B702" s="5">
        <v>697</v>
      </c>
      <c r="C702" s="5">
        <v>1086</v>
      </c>
      <c r="D702" t="s">
        <v>1400</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constants'!$A$4:$B$1012,2,FALSE)</f>
        <v>DLC_BASE_GAME</v>
      </c>
      <c r="L702" s="3" t="str">
        <f>VLOOKUP(J702,'LibSets constants'!$A$4:$C$1012,3,FALSE)</f>
        <v>Included in base game</v>
      </c>
    </row>
    <row r="703" spans="1:12" x14ac:dyDescent="0.25">
      <c r="A703" s="5">
        <v>1106</v>
      </c>
      <c r="B703" s="5">
        <v>698</v>
      </c>
      <c r="C703" s="5">
        <v>1086</v>
      </c>
      <c r="D703" t="s">
        <v>1401</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constants'!$A$4:$B$1012,2,FALSE)</f>
        <v>DLC_BASE_GAME</v>
      </c>
      <c r="L703" s="3" t="str">
        <f>VLOOKUP(J703,'LibSets constants'!$A$4:$C$1012,3,FALSE)</f>
        <v>Included in base game</v>
      </c>
    </row>
    <row r="704" spans="1:12" x14ac:dyDescent="0.25">
      <c r="A704" s="5">
        <v>1107</v>
      </c>
      <c r="B704" s="5">
        <v>699</v>
      </c>
      <c r="C704" s="5">
        <v>1107</v>
      </c>
      <c r="D704" t="s">
        <v>724</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constants'!$A$4:$B$1012,2,FALSE)</f>
        <v>DLC_BASE_GAME</v>
      </c>
      <c r="L704" s="3" t="str">
        <f>VLOOKUP(J704,'LibSets constants'!$A$4:$C$1012,3,FALSE)</f>
        <v>Included in base game</v>
      </c>
    </row>
    <row r="705" spans="1:12" x14ac:dyDescent="0.25">
      <c r="A705" s="5">
        <v>1108</v>
      </c>
      <c r="B705" s="5">
        <v>700</v>
      </c>
      <c r="C705" s="5">
        <v>726</v>
      </c>
      <c r="D705" t="s">
        <v>723</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constants'!$A$4:$B$1012,2,FALSE)</f>
        <v>DLC_BASE_GAME</v>
      </c>
      <c r="L705" s="3" t="str">
        <f>VLOOKUP(J705,'LibSets constants'!$A$4:$C$1012,3,FALSE)</f>
        <v>Included in base game</v>
      </c>
    </row>
    <row r="706" spans="1:12" x14ac:dyDescent="0.25">
      <c r="A706" s="5">
        <v>1109</v>
      </c>
      <c r="B706" s="5">
        <v>701</v>
      </c>
      <c r="C706" s="5">
        <v>101</v>
      </c>
      <c r="D706" t="s">
        <v>721</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constants'!$A$4:$B$1012,2,FALSE)</f>
        <v>DLC_BASE_GAME</v>
      </c>
      <c r="L706" s="3" t="str">
        <f>VLOOKUP(J706,'LibSets constants'!$A$4:$C$1012,3,FALSE)</f>
        <v>Included in base game</v>
      </c>
    </row>
    <row r="707" spans="1:12" x14ac:dyDescent="0.25">
      <c r="A707" s="5">
        <v>1110</v>
      </c>
      <c r="B707" s="5">
        <v>702</v>
      </c>
      <c r="C707" s="5">
        <v>1086</v>
      </c>
      <c r="D707" t="s">
        <v>1402</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constants'!$A$4:$B$1012,2,FALSE)</f>
        <v>DLC_BASE_GAME</v>
      </c>
      <c r="L707" s="3" t="str">
        <f>VLOOKUP(J707,'LibSets constants'!$A$4:$C$1012,3,FALSE)</f>
        <v>Included in base game</v>
      </c>
    </row>
    <row r="708" spans="1:12" x14ac:dyDescent="0.25">
      <c r="A708" s="5">
        <v>1111</v>
      </c>
      <c r="B708" s="5">
        <v>703</v>
      </c>
      <c r="C708" s="5">
        <v>1086</v>
      </c>
      <c r="D708" t="s">
        <v>1403</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constants'!$A$4:$B$1012,2,FALSE)</f>
        <v>DLC_BASE_GAME</v>
      </c>
      <c r="L708" s="3" t="str">
        <f>VLOOKUP(J708,'LibSets constants'!$A$4:$C$1012,3,FALSE)</f>
        <v>Included in base game</v>
      </c>
    </row>
    <row r="709" spans="1:12" x14ac:dyDescent="0.25">
      <c r="A709" s="5">
        <v>1112</v>
      </c>
      <c r="B709" s="5">
        <v>704</v>
      </c>
      <c r="C709" s="5">
        <v>1086</v>
      </c>
      <c r="D709" t="s">
        <v>1404</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constants'!$A$4:$B$1012,2,FALSE)</f>
        <v>DLC_BASE_GAME</v>
      </c>
      <c r="L709" s="3" t="str">
        <f>VLOOKUP(J709,'LibSets constants'!$A$4:$C$1012,3,FALSE)</f>
        <v>Included in base game</v>
      </c>
    </row>
    <row r="710" spans="1:12" x14ac:dyDescent="0.25">
      <c r="A710" s="5">
        <v>1113</v>
      </c>
      <c r="B710" s="5">
        <v>705</v>
      </c>
      <c r="C710" s="5">
        <v>1086</v>
      </c>
      <c r="D710" t="s">
        <v>1405</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constants'!$A$4:$B$1012,2,FALSE)</f>
        <v>DLC_BASE_GAME</v>
      </c>
      <c r="L710" s="3" t="str">
        <f>VLOOKUP(J710,'LibSets constants'!$A$4:$C$1012,3,FALSE)</f>
        <v>Included in base game</v>
      </c>
    </row>
    <row r="711" spans="1:12" x14ac:dyDescent="0.25">
      <c r="A711" s="5">
        <v>1114</v>
      </c>
      <c r="B711" s="5">
        <v>706</v>
      </c>
      <c r="C711" s="5">
        <v>1086</v>
      </c>
      <c r="D711" t="s">
        <v>1406</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constants'!$A$4:$B$1012,2,FALSE)</f>
        <v>DLC_BASE_GAME</v>
      </c>
      <c r="L711" s="3" t="str">
        <f>VLOOKUP(J711,'LibSets constants'!$A$4:$C$1012,3,FALSE)</f>
        <v>Included in base game</v>
      </c>
    </row>
    <row r="712" spans="1:12" x14ac:dyDescent="0.25">
      <c r="A712" s="5">
        <v>1115</v>
      </c>
      <c r="B712" s="5">
        <v>707</v>
      </c>
      <c r="C712" s="5">
        <v>1086</v>
      </c>
      <c r="D712" t="s">
        <v>1407</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constants'!$A$4:$B$1012,2,FALSE)</f>
        <v>DLC_BASE_GAME</v>
      </c>
      <c r="L712" s="3" t="str">
        <f>VLOOKUP(J712,'LibSets constants'!$A$4:$C$1012,3,FALSE)</f>
        <v>Included in base game</v>
      </c>
    </row>
    <row r="713" spans="1:12" x14ac:dyDescent="0.25">
      <c r="A713" s="5">
        <v>1116</v>
      </c>
      <c r="B713" s="5">
        <v>708</v>
      </c>
      <c r="C713" s="5">
        <v>1116</v>
      </c>
      <c r="D713" t="s">
        <v>1381</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constants'!$A$4:$B$1012,2,FALSE)</f>
        <v>DLC_BASE_GAME</v>
      </c>
      <c r="L713" s="3" t="str">
        <f>VLOOKUP(J713,'LibSets constants'!$A$4:$C$1012,3,FALSE)</f>
        <v>Included in base game</v>
      </c>
    </row>
    <row r="714" spans="1:12" x14ac:dyDescent="0.25">
      <c r="A714" s="5">
        <v>1117</v>
      </c>
      <c r="B714" s="5">
        <v>709</v>
      </c>
      <c r="C714" s="5">
        <v>1086</v>
      </c>
      <c r="D714" t="s">
        <v>1408</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constants'!$A$4:$B$1012,2,FALSE)</f>
        <v>DLC_BASE_GAME</v>
      </c>
      <c r="L714" s="3" t="str">
        <f>VLOOKUP(J714,'LibSets constants'!$A$4:$C$1012,3,FALSE)</f>
        <v>Included in base game</v>
      </c>
    </row>
    <row r="715" spans="1:12" x14ac:dyDescent="0.25">
      <c r="A715" s="5">
        <v>1118</v>
      </c>
      <c r="B715" s="5">
        <v>710</v>
      </c>
      <c r="C715" s="5">
        <v>1086</v>
      </c>
      <c r="D715" t="s">
        <v>1409</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constants'!$A$4:$B$1012,2,FALSE)</f>
        <v>DLC_BASE_GAME</v>
      </c>
      <c r="L715" s="3" t="str">
        <f>VLOOKUP(J715,'LibSets constants'!$A$4:$C$1012,3,FALSE)</f>
        <v>Included in base game</v>
      </c>
    </row>
    <row r="716" spans="1:12" x14ac:dyDescent="0.25">
      <c r="A716" s="5">
        <v>1119</v>
      </c>
      <c r="B716" s="5">
        <v>711</v>
      </c>
      <c r="C716" s="5">
        <v>1086</v>
      </c>
      <c r="D716" t="s">
        <v>1410</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constants'!$A$4:$B$1012,2,FALSE)</f>
        <v>DLC_BASE_GAME</v>
      </c>
      <c r="L716" s="3" t="str">
        <f>VLOOKUP(J716,'LibSets constants'!$A$4:$C$1012,3,FALSE)</f>
        <v>Included in base game</v>
      </c>
    </row>
    <row r="717" spans="1:12" x14ac:dyDescent="0.25">
      <c r="A717" s="5">
        <v>1120</v>
      </c>
      <c r="B717" s="5">
        <v>712</v>
      </c>
      <c r="C717" s="5">
        <v>1086</v>
      </c>
      <c r="D717" t="s">
        <v>1411</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constants'!$A$4:$B$1012,2,FALSE)</f>
        <v>DLC_BASE_GAME</v>
      </c>
      <c r="L717" s="3" t="str">
        <f>VLOOKUP(J717,'LibSets constants'!$A$4:$C$1012,3,FALSE)</f>
        <v>Included in base game</v>
      </c>
    </row>
    <row r="718" spans="1:12" x14ac:dyDescent="0.25">
      <c r="A718" s="5">
        <v>1121</v>
      </c>
      <c r="B718" s="5">
        <v>713</v>
      </c>
      <c r="C718" s="5">
        <v>1086</v>
      </c>
      <c r="D718" t="s">
        <v>1343</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constants'!$A$4:$B$1012,2,FALSE)</f>
        <v>DLC_BASE_GAME</v>
      </c>
      <c r="L718" s="3" t="str">
        <f>VLOOKUP(J718,'LibSets constants'!$A$4:$C$1012,3,FALSE)</f>
        <v>Included in base game</v>
      </c>
    </row>
    <row r="719" spans="1:12" x14ac:dyDescent="0.25">
      <c r="A719" s="5">
        <v>1122</v>
      </c>
      <c r="B719" s="5">
        <v>714</v>
      </c>
      <c r="C719" s="5">
        <v>1086</v>
      </c>
      <c r="D719" t="s">
        <v>1482</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constants'!$A$4:$B$1012,2,FALSE)</f>
        <v>DLC_BASE_GAME</v>
      </c>
      <c r="L719" s="3" t="str">
        <f>VLOOKUP(J719,'LibSets constants'!$A$4:$C$1012,3,FALSE)</f>
        <v>Included in base game</v>
      </c>
    </row>
    <row r="720" spans="1:12" x14ac:dyDescent="0.25">
      <c r="A720" s="5">
        <v>1123</v>
      </c>
      <c r="B720" s="5">
        <v>715</v>
      </c>
      <c r="C720" s="5">
        <v>383</v>
      </c>
      <c r="D720" t="s">
        <v>1483</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constants'!$A$4:$B$1012,2,FALSE)</f>
        <v>DLC_BASE_GAME</v>
      </c>
      <c r="L720" s="3" t="str">
        <f>VLOOKUP(J720,'LibSets constants'!$A$4:$C$1012,3,FALSE)</f>
        <v>Included in base game</v>
      </c>
    </row>
    <row r="721" spans="1:12" x14ac:dyDescent="0.25">
      <c r="A721" s="5">
        <v>1125</v>
      </c>
      <c r="B721" s="5">
        <v>716</v>
      </c>
      <c r="C721" s="5">
        <v>101</v>
      </c>
      <c r="D721" t="s">
        <v>699</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constants'!$A$4:$B$1012,2,FALSE)</f>
        <v>DLC_BASE_GAME</v>
      </c>
      <c r="L721" s="3" t="str">
        <f>VLOOKUP(J721,'LibSets constants'!$A$4:$C$1012,3,FALSE)</f>
        <v>Included in base game</v>
      </c>
    </row>
    <row r="722" spans="1:12" x14ac:dyDescent="0.25">
      <c r="A722" s="5">
        <v>1126</v>
      </c>
      <c r="B722" s="5">
        <v>717</v>
      </c>
      <c r="C722" s="5">
        <v>888</v>
      </c>
      <c r="D722" t="s">
        <v>703</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constants'!$A$4:$B$1012,2,FALSE)</f>
        <v>DLC_BASE_GAME</v>
      </c>
      <c r="L722" s="3" t="str">
        <f>VLOOKUP(J722,'LibSets constants'!$A$4:$C$1012,3,FALSE)</f>
        <v>Included in base game</v>
      </c>
    </row>
    <row r="723" spans="1:12" x14ac:dyDescent="0.25">
      <c r="A723" s="5">
        <v>1128</v>
      </c>
      <c r="B723" s="5">
        <v>718</v>
      </c>
      <c r="C723" s="5">
        <v>1086</v>
      </c>
      <c r="D723" t="s">
        <v>1382</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constants'!$A$4:$B$1012,2,FALSE)</f>
        <v>DLC_GREYMOOR</v>
      </c>
      <c r="L723" s="3" t="str">
        <f>VLOOKUP(J723,'LibSets constants'!$A$4:$C$1012,3,FALSE)</f>
        <v>Greymoor</v>
      </c>
    </row>
    <row r="724" spans="1:12" x14ac:dyDescent="0.25">
      <c r="A724" s="5">
        <v>1129</v>
      </c>
      <c r="B724" s="5">
        <v>719</v>
      </c>
      <c r="C724" s="5">
        <v>1086</v>
      </c>
      <c r="D724" t="s">
        <v>1383</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constants'!$A$4:$B$1012,2,FALSE)</f>
        <v>DLC_BASE_GAME</v>
      </c>
      <c r="L724" s="3" t="str">
        <f>VLOOKUP(J724,'LibSets constants'!$A$4:$C$1012,3,FALSE)</f>
        <v>Included in base game</v>
      </c>
    </row>
    <row r="725" spans="1:12" x14ac:dyDescent="0.25">
      <c r="A725" s="5">
        <v>1130</v>
      </c>
      <c r="B725" s="5">
        <v>720</v>
      </c>
      <c r="C725" s="5">
        <v>1086</v>
      </c>
      <c r="D725" t="s">
        <v>1384</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constants'!$A$4:$B$1012,2,FALSE)</f>
        <v>DLC_BASE_GAME</v>
      </c>
      <c r="L725" s="3" t="str">
        <f>VLOOKUP(J725,'LibSets constants'!$A$4:$C$1012,3,FALSE)</f>
        <v>Included in base game</v>
      </c>
    </row>
    <row r="726" spans="1:12" x14ac:dyDescent="0.25">
      <c r="A726" s="5">
        <v>1133</v>
      </c>
      <c r="B726" s="5">
        <v>721</v>
      </c>
      <c r="C726" s="5">
        <v>1133</v>
      </c>
      <c r="D726" t="s">
        <v>1580</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constants'!$A$4:$B$1012,2,FALSE)</f>
        <v>DLC_BASE_GAME</v>
      </c>
      <c r="L726" s="3" t="str">
        <f>VLOOKUP(J726,'LibSets constants'!$A$4:$C$1012,3,FALSE)</f>
        <v>Included in base game</v>
      </c>
    </row>
    <row r="727" spans="1:12" x14ac:dyDescent="0.25">
      <c r="A727" s="5">
        <v>1134</v>
      </c>
      <c r="B727" s="5">
        <v>722</v>
      </c>
      <c r="C727" s="5">
        <v>1133</v>
      </c>
      <c r="D727" t="s">
        <v>1581</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constants'!$A$4:$B$1012,2,FALSE)</f>
        <v>DLC_BASE_GAME</v>
      </c>
      <c r="L727" s="3" t="str">
        <f>VLOOKUP(J727,'LibSets constants'!$A$4:$C$1012,3,FALSE)</f>
        <v>Included in base game</v>
      </c>
    </row>
    <row r="728" spans="1:12" x14ac:dyDescent="0.25">
      <c r="A728" s="5">
        <v>1135</v>
      </c>
      <c r="B728" s="5">
        <v>723</v>
      </c>
      <c r="C728" s="5">
        <v>1133</v>
      </c>
      <c r="D728" t="s">
        <v>1582</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constants'!$A$4:$B$1012,2,FALSE)</f>
        <v>DLC_BASE_GAME</v>
      </c>
      <c r="L728" s="3" t="str">
        <f>VLOOKUP(J728,'LibSets constants'!$A$4:$C$1012,3,FALSE)</f>
        <v>Included in base game</v>
      </c>
    </row>
    <row r="729" spans="1:12" x14ac:dyDescent="0.25">
      <c r="A729" s="5">
        <v>1136</v>
      </c>
      <c r="B729" s="5">
        <v>724</v>
      </c>
      <c r="C729" s="5">
        <v>1133</v>
      </c>
      <c r="D729" t="s">
        <v>1583</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constants'!$A$4:$B$1012,2,FALSE)</f>
        <v>DLC_BASE_GAME</v>
      </c>
      <c r="L729" s="3" t="str">
        <f>VLOOKUP(J729,'LibSets constants'!$A$4:$C$1012,3,FALSE)</f>
        <v>Included in base game</v>
      </c>
    </row>
    <row r="730" spans="1:12" x14ac:dyDescent="0.25">
      <c r="A730" s="5">
        <v>1137</v>
      </c>
      <c r="B730" s="5">
        <v>725</v>
      </c>
      <c r="C730" s="5">
        <v>1133</v>
      </c>
      <c r="D730" t="s">
        <v>1584</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constants'!$A$4:$B$1012,2,FALSE)</f>
        <v>DLC_BASE_GAME</v>
      </c>
      <c r="L730" s="3" t="str">
        <f>VLOOKUP(J730,'LibSets constants'!$A$4:$C$1012,3,FALSE)</f>
        <v>Included in base game</v>
      </c>
    </row>
    <row r="731" spans="1:12" x14ac:dyDescent="0.25">
      <c r="A731" s="5">
        <v>1138</v>
      </c>
      <c r="B731" s="5">
        <v>726</v>
      </c>
      <c r="C731" s="5">
        <v>1133</v>
      </c>
      <c r="D731" t="s">
        <v>1486</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constants'!$A$4:$B$1012,2,FALSE)</f>
        <v>DLC_BASE_GAME</v>
      </c>
      <c r="L731" s="3" t="str">
        <f>VLOOKUP(J731,'LibSets constants'!$A$4:$C$1012,3,FALSE)</f>
        <v>Included in base game</v>
      </c>
    </row>
    <row r="732" spans="1:12" x14ac:dyDescent="0.25">
      <c r="A732" s="5">
        <v>1139</v>
      </c>
      <c r="B732" s="5">
        <v>727</v>
      </c>
      <c r="C732" s="5">
        <v>1133</v>
      </c>
      <c r="D732" t="s">
        <v>1585</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constants'!$A$4:$B$1012,2,FALSE)</f>
        <v>DLC_BASE_GAME</v>
      </c>
      <c r="L732" s="3" t="str">
        <f>VLOOKUP(J732,'LibSets constants'!$A$4:$C$1012,3,FALSE)</f>
        <v>Included in base game</v>
      </c>
    </row>
    <row r="733" spans="1:12" x14ac:dyDescent="0.25">
      <c r="A733" s="5">
        <v>1140</v>
      </c>
      <c r="B733" s="5">
        <v>728</v>
      </c>
      <c r="C733" s="5">
        <v>104</v>
      </c>
      <c r="D733" t="s">
        <v>1488</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constants'!$A$4:$B$1012,2,FALSE)</f>
        <v>DLC_BASE_GAME</v>
      </c>
      <c r="L733" s="3" t="str">
        <f>VLOOKUP(J733,'LibSets constants'!$A$4:$C$1012,3,FALSE)</f>
        <v>Included in base game</v>
      </c>
    </row>
    <row r="734" spans="1:12" x14ac:dyDescent="0.25">
      <c r="A734" s="5">
        <v>1141</v>
      </c>
      <c r="B734" s="5">
        <v>729</v>
      </c>
      <c r="C734" s="5">
        <v>101</v>
      </c>
      <c r="D734" t="s">
        <v>1494</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constants'!$A$4:$B$1012,2,FALSE)</f>
        <v>DLC_FLAMES_OF_AMBITION</v>
      </c>
      <c r="L734" s="3" t="str">
        <f>VLOOKUP(J734,'LibSets constants'!$A$4:$C$1012,3,FALSE)</f>
        <v>Flames of Ambition</v>
      </c>
    </row>
    <row r="735" spans="1:12" x14ac:dyDescent="0.25">
      <c r="A735" s="5">
        <v>1142</v>
      </c>
      <c r="B735" s="5">
        <v>730</v>
      </c>
      <c r="C735" s="5">
        <v>1142</v>
      </c>
      <c r="D735" t="s">
        <v>414</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constants'!$A$4:$B$1012,2,FALSE)</f>
        <v>DLC_BASE_GAME</v>
      </c>
      <c r="L735" s="3" t="str">
        <f>VLOOKUP(J735,'LibSets constants'!$A$4:$C$1012,3,FALSE)</f>
        <v>Included in base game</v>
      </c>
    </row>
    <row r="736" spans="1:12" x14ac:dyDescent="0.25">
      <c r="A736" s="5">
        <v>1143</v>
      </c>
      <c r="B736" s="5">
        <v>731</v>
      </c>
      <c r="C736" s="5">
        <v>19</v>
      </c>
      <c r="D736" t="s">
        <v>1489</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constants'!$A$4:$B$1012,2,FALSE)</f>
        <v>DLC_BASE_GAME</v>
      </c>
      <c r="L736" s="3" t="str">
        <f>VLOOKUP(J736,'LibSets constants'!$A$4:$C$1012,3,FALSE)</f>
        <v>Included in base game</v>
      </c>
    </row>
    <row r="737" spans="1:12" x14ac:dyDescent="0.25">
      <c r="A737" s="5">
        <v>1144</v>
      </c>
      <c r="B737" s="5">
        <v>732</v>
      </c>
      <c r="C737" s="5">
        <v>1144</v>
      </c>
      <c r="D737" t="s">
        <v>1490</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constants'!$A$4:$B$1012,2,FALSE)</f>
        <v>DLC_BASE_GAME</v>
      </c>
      <c r="L737" s="3" t="str">
        <f>VLOOKUP(J737,'LibSets constants'!$A$4:$C$1012,3,FALSE)</f>
        <v>Included in base game</v>
      </c>
    </row>
    <row r="738" spans="1:12" x14ac:dyDescent="0.25">
      <c r="A738" s="5">
        <v>1145</v>
      </c>
      <c r="B738" s="5">
        <v>733</v>
      </c>
      <c r="C738" s="5">
        <v>1133</v>
      </c>
      <c r="D738" t="s">
        <v>1586</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constants'!$A$4:$B$1012,2,FALSE)</f>
        <v>DLC_BASE_GAME</v>
      </c>
      <c r="L738" s="3" t="str">
        <f>VLOOKUP(J738,'LibSets constants'!$A$4:$C$1012,3,FALSE)</f>
        <v>Included in base game</v>
      </c>
    </row>
    <row r="739" spans="1:12" x14ac:dyDescent="0.25">
      <c r="A739" s="5">
        <v>1146</v>
      </c>
      <c r="B739" s="5">
        <v>734</v>
      </c>
      <c r="C739" s="5">
        <v>1133</v>
      </c>
      <c r="D739" t="s">
        <v>1587</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constants'!$A$4:$B$1012,2,FALSE)</f>
        <v>DLC_BASE_GAME</v>
      </c>
      <c r="L739" s="3" t="str">
        <f>VLOOKUP(J739,'LibSets constants'!$A$4:$C$1012,3,FALSE)</f>
        <v>Included in base game</v>
      </c>
    </row>
    <row r="740" spans="1:12" x14ac:dyDescent="0.25">
      <c r="A740" s="5">
        <v>1147</v>
      </c>
      <c r="B740" s="5">
        <v>735</v>
      </c>
      <c r="C740" s="5">
        <v>1133</v>
      </c>
      <c r="D740" t="s">
        <v>1588</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constants'!$A$4:$B$1012,2,FALSE)</f>
        <v>DLC_BASE_GAME</v>
      </c>
      <c r="L740" s="3" t="str">
        <f>VLOOKUP(J740,'LibSets constants'!$A$4:$C$1012,3,FALSE)</f>
        <v>Included in base game</v>
      </c>
    </row>
    <row r="741" spans="1:12" x14ac:dyDescent="0.25">
      <c r="A741" s="5">
        <v>1148</v>
      </c>
      <c r="B741" s="5">
        <v>736</v>
      </c>
      <c r="C741" s="5">
        <v>1133</v>
      </c>
      <c r="D741" t="s">
        <v>1592</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constants'!$A$4:$B$1012,2,FALSE)</f>
        <v>DLC_MARKARTH</v>
      </c>
      <c r="L741" s="3" t="str">
        <f>VLOOKUP(J741,'LibSets constants'!$A$4:$C$1012,3,FALSE)</f>
        <v>Markarth</v>
      </c>
    </row>
    <row r="742" spans="1:12" x14ac:dyDescent="0.25">
      <c r="A742" s="5">
        <v>1149</v>
      </c>
      <c r="B742" s="5">
        <v>737</v>
      </c>
      <c r="C742" s="5">
        <v>1133</v>
      </c>
      <c r="D742" t="s">
        <v>1589</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constants'!$A$4:$B$1012,2,FALSE)</f>
        <v>DLC_BASE_GAME</v>
      </c>
      <c r="L742" s="3" t="str">
        <f>VLOOKUP(J742,'LibSets constants'!$A$4:$C$1012,3,FALSE)</f>
        <v>Included in base game</v>
      </c>
    </row>
    <row r="743" spans="1:12" x14ac:dyDescent="0.25">
      <c r="A743" s="5">
        <v>1150</v>
      </c>
      <c r="B743" s="5">
        <v>738</v>
      </c>
      <c r="C743" s="5">
        <v>1133</v>
      </c>
      <c r="D743" t="s">
        <v>1591</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constants'!$A$4:$B$1012,2,FALSE)</f>
        <v>DLC_GREYMOOR</v>
      </c>
      <c r="L743" s="3" t="str">
        <f>VLOOKUP(J743,'LibSets constants'!$A$4:$C$1012,3,FALSE)</f>
        <v>Greymoor</v>
      </c>
    </row>
    <row r="744" spans="1:12" x14ac:dyDescent="0.25">
      <c r="A744" s="5">
        <v>1151</v>
      </c>
      <c r="B744" s="5">
        <v>739</v>
      </c>
      <c r="C744" s="5">
        <v>1133</v>
      </c>
      <c r="D744" t="s">
        <v>1590</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constants'!$A$4:$B$1012,2,FALSE)</f>
        <v>DLC_BASE_GAME</v>
      </c>
      <c r="L744" s="3" t="str">
        <f>VLOOKUP(J744,'LibSets constants'!$A$4:$C$1012,3,FALSE)</f>
        <v>Included in base game</v>
      </c>
    </row>
    <row r="745" spans="1:12" x14ac:dyDescent="0.25">
      <c r="A745" s="5">
        <v>1152</v>
      </c>
      <c r="B745" s="5">
        <v>740</v>
      </c>
      <c r="C745" s="5">
        <v>684</v>
      </c>
      <c r="D745" t="s">
        <v>1642</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constants'!$A$4:$B$1012,2,FALSE)</f>
        <v>DLC_BASE_GAME</v>
      </c>
      <c r="L745" s="3" t="str">
        <f>VLOOKUP(J745,'LibSets constants'!$A$4:$C$1012,3,FALSE)</f>
        <v>Included in base game</v>
      </c>
    </row>
    <row r="746" spans="1:12" x14ac:dyDescent="0.25">
      <c r="A746" s="5">
        <v>1153</v>
      </c>
      <c r="B746" s="5">
        <v>741</v>
      </c>
      <c r="C746" s="5">
        <v>92</v>
      </c>
      <c r="D746" t="s">
        <v>1641</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constants'!$A$4:$B$1012,2,FALSE)</f>
        <v>DLC_BASE_GAME</v>
      </c>
      <c r="L746" s="3" t="str">
        <f>VLOOKUP(J746,'LibSets constants'!$A$4:$C$1012,3,FALSE)</f>
        <v>Included in base game</v>
      </c>
    </row>
    <row r="747" spans="1:12" x14ac:dyDescent="0.25">
      <c r="A747" s="5">
        <v>1154</v>
      </c>
      <c r="B747" s="5">
        <v>742</v>
      </c>
      <c r="C747" s="5">
        <v>1086</v>
      </c>
      <c r="D747" t="s">
        <v>1492</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constants'!$A$4:$B$1012,2,FALSE)</f>
        <v>DLC_MARKARTH</v>
      </c>
      <c r="L747" s="3" t="str">
        <f>VLOOKUP(J747,'LibSets constants'!$A$4:$C$1012,3,FALSE)</f>
        <v>Markarth</v>
      </c>
    </row>
    <row r="748" spans="1:12" x14ac:dyDescent="0.25">
      <c r="A748" s="5">
        <v>1155</v>
      </c>
      <c r="B748" s="5">
        <v>743</v>
      </c>
      <c r="C748" s="5">
        <v>20</v>
      </c>
      <c r="D748" t="s">
        <v>1493</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constants'!$A$4:$B$1012,2,FALSE)</f>
        <v>DLC_GREYMOOR</v>
      </c>
      <c r="L748" s="3" t="str">
        <f>VLOOKUP(J748,'LibSets constants'!$A$4:$C$1012,3,FALSE)</f>
        <v>Greymoor</v>
      </c>
    </row>
    <row r="749" spans="1:12" x14ac:dyDescent="0.25">
      <c r="A749" s="5">
        <v>1160</v>
      </c>
      <c r="B749" s="5">
        <v>744</v>
      </c>
      <c r="C749" s="5">
        <v>1160</v>
      </c>
      <c r="D749" t="s">
        <v>1681</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constants'!$A$4:$B$1012,2,FALSE)</f>
        <v>DLC_BASE_GAME</v>
      </c>
      <c r="L749" s="3" t="str">
        <f>VLOOKUP(J749,'LibSets constants'!$A$4:$C$1012,3,FALSE)</f>
        <v>Included in base game</v>
      </c>
    </row>
    <row r="750" spans="1:12" x14ac:dyDescent="0.25">
      <c r="A750" s="5">
        <v>1161</v>
      </c>
      <c r="B750" s="5">
        <v>745</v>
      </c>
      <c r="C750" s="5">
        <v>1161</v>
      </c>
      <c r="D750" t="s">
        <v>1711</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constants'!$A$4:$B$1012,2,FALSE)</f>
        <v>DLC_MARKARTH</v>
      </c>
      <c r="L750" s="3" t="str">
        <f>VLOOKUP(J750,'LibSets constants'!$A$4:$C$1012,3,FALSE)</f>
        <v>Markarth</v>
      </c>
    </row>
    <row r="751" spans="1:12" x14ac:dyDescent="0.25">
      <c r="A751" s="5">
        <v>1165</v>
      </c>
      <c r="B751" s="5">
        <v>746</v>
      </c>
      <c r="C751" s="5">
        <v>1161</v>
      </c>
      <c r="D751" t="s">
        <v>1682</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constants'!$A$4:$B$1012,2,FALSE)</f>
        <v>DLC_BASE_GAME</v>
      </c>
      <c r="L751" s="3" t="str">
        <f>VLOOKUP(J751,'LibSets constants'!$A$4:$C$1012,3,FALSE)</f>
        <v>Included in base game</v>
      </c>
    </row>
    <row r="752" spans="1:12" x14ac:dyDescent="0.25">
      <c r="A752" s="5">
        <v>1166</v>
      </c>
      <c r="B752" s="5">
        <v>747</v>
      </c>
      <c r="C752" s="5">
        <v>1160</v>
      </c>
      <c r="D752" t="s">
        <v>1710</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constants'!$A$4:$B$1012,2,FALSE)</f>
        <v>DLC_BASE_GAME</v>
      </c>
      <c r="L752" s="3" t="str">
        <f>VLOOKUP(J752,'LibSets constants'!$A$4:$C$1012,3,FALSE)</f>
        <v>Included in base game</v>
      </c>
    </row>
    <row r="753" spans="1:12" x14ac:dyDescent="0.25">
      <c r="A753" s="5">
        <v>1167</v>
      </c>
      <c r="B753" s="5">
        <v>748</v>
      </c>
      <c r="C753" s="5">
        <v>1160</v>
      </c>
      <c r="D753" t="s">
        <v>1683</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constants'!$A$4:$B$1012,2,FALSE)</f>
        <v>DLC_BASE_GAME</v>
      </c>
      <c r="L753" s="3" t="str">
        <f>VLOOKUP(J753,'LibSets constants'!$A$4:$C$1012,3,FALSE)</f>
        <v>Included in base game</v>
      </c>
    </row>
    <row r="754" spans="1:12" x14ac:dyDescent="0.25">
      <c r="A754" s="5">
        <v>1168</v>
      </c>
      <c r="B754" s="5">
        <v>749</v>
      </c>
      <c r="C754" s="5">
        <v>1160</v>
      </c>
      <c r="D754" t="s">
        <v>1709</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constants'!$A$4:$B$1012,2,FALSE)</f>
        <v>DLC_DRAGONHOLD</v>
      </c>
      <c r="L754" s="3" t="str">
        <f>VLOOKUP(J754,'LibSets constants'!$A$4:$C$1012,3,FALSE)</f>
        <v>Dragonhold</v>
      </c>
    </row>
    <row r="755" spans="1:12" x14ac:dyDescent="0.25">
      <c r="A755" s="5">
        <v>1169</v>
      </c>
      <c r="B755" s="5">
        <v>750</v>
      </c>
      <c r="C755" s="5">
        <v>1160</v>
      </c>
      <c r="D755" t="s">
        <v>1684</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constants'!$A$4:$B$1012,2,FALSE)</f>
        <v>DLC_BASE_GAME</v>
      </c>
      <c r="L755" s="3" t="str">
        <f>VLOOKUP(J755,'LibSets constants'!$A$4:$C$1012,3,FALSE)</f>
        <v>Included in base game</v>
      </c>
    </row>
    <row r="756" spans="1:12" x14ac:dyDescent="0.25">
      <c r="A756" s="5">
        <v>1170</v>
      </c>
      <c r="B756" s="5">
        <v>751</v>
      </c>
      <c r="C756" s="5">
        <v>1160</v>
      </c>
      <c r="D756" t="s">
        <v>1708</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constants'!$A$4:$B$1012,2,FALSE)</f>
        <v>DLC_BASE_GAME</v>
      </c>
      <c r="L756" s="3" t="str">
        <f>VLOOKUP(J756,'LibSets constants'!$A$4:$C$1012,3,FALSE)</f>
        <v>Included in base game</v>
      </c>
    </row>
    <row r="757" spans="1:12" x14ac:dyDescent="0.25">
      <c r="A757" s="5">
        <v>1171</v>
      </c>
      <c r="B757" s="5">
        <v>752</v>
      </c>
      <c r="C757" s="5">
        <v>1161</v>
      </c>
      <c r="D757" t="s">
        <v>1685</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constants'!$A$4:$B$1012,2,FALSE)</f>
        <v>DLC_BASE_GAME</v>
      </c>
      <c r="L757" s="3" t="str">
        <f>VLOOKUP(J757,'LibSets constants'!$A$4:$C$1012,3,FALSE)</f>
        <v>Included in base game</v>
      </c>
    </row>
    <row r="758" spans="1:12" x14ac:dyDescent="0.25">
      <c r="A758" s="5">
        <v>1172</v>
      </c>
      <c r="B758" s="5">
        <v>753</v>
      </c>
      <c r="C758" s="5">
        <v>1161</v>
      </c>
      <c r="D758" t="s">
        <v>1706</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constants'!$A$4:$B$1012,2,FALSE)</f>
        <v>DLC_GREYMOOR</v>
      </c>
      <c r="L758" s="3" t="str">
        <f>VLOOKUP(J758,'LibSets constants'!$A$4:$C$1012,3,FALSE)</f>
        <v>Greymoor</v>
      </c>
    </row>
    <row r="759" spans="1:12" x14ac:dyDescent="0.25">
      <c r="A759" s="5">
        <v>1173</v>
      </c>
      <c r="B759" s="5">
        <v>754</v>
      </c>
      <c r="C759" s="5">
        <v>1161</v>
      </c>
      <c r="D759" t="s">
        <v>1686</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constants'!$A$4:$B$1012,2,FALSE)</f>
        <v>DLC_BASE_GAME</v>
      </c>
      <c r="L759" s="3" t="str">
        <f>VLOOKUP(J759,'LibSets constants'!$A$4:$C$1012,3,FALSE)</f>
        <v>Included in base game</v>
      </c>
    </row>
    <row r="760" spans="1:12" x14ac:dyDescent="0.25">
      <c r="A760" s="5">
        <v>1174</v>
      </c>
      <c r="B760" s="5">
        <v>755</v>
      </c>
      <c r="C760" s="5">
        <v>1160</v>
      </c>
      <c r="D760" t="s">
        <v>1687</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constants'!$A$4:$B$1012,2,FALSE)</f>
        <v>DLC_BASE_GAME</v>
      </c>
      <c r="L760" s="3" t="str">
        <f>VLOOKUP(J760,'LibSets constants'!$A$4:$C$1012,3,FALSE)</f>
        <v>Included in base game</v>
      </c>
    </row>
    <row r="761" spans="1:12" x14ac:dyDescent="0.25">
      <c r="A761" s="5">
        <v>1175</v>
      </c>
      <c r="B761" s="5">
        <v>756</v>
      </c>
      <c r="C761" s="5">
        <v>1175</v>
      </c>
      <c r="D761" t="s">
        <v>1688</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constants'!$A$4:$B$1012,2,FALSE)</f>
        <v>DLC_BASE_GAME</v>
      </c>
      <c r="L761" s="3" t="str">
        <f>VLOOKUP(J761,'LibSets constants'!$A$4:$C$1012,3,FALSE)</f>
        <v>Included in base game</v>
      </c>
    </row>
    <row r="762" spans="1:12" x14ac:dyDescent="0.25">
      <c r="A762" s="5">
        <v>1176</v>
      </c>
      <c r="B762" s="5">
        <v>757</v>
      </c>
      <c r="C762" s="5">
        <v>1160</v>
      </c>
      <c r="D762" t="s">
        <v>1689</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constants'!$A$4:$B$1012,2,FALSE)</f>
        <v>DLC_BASE_GAME</v>
      </c>
      <c r="L762" s="3" t="str">
        <f>VLOOKUP(J762,'LibSets constants'!$A$4:$C$1012,3,FALSE)</f>
        <v>Included in base game</v>
      </c>
    </row>
    <row r="763" spans="1:12" x14ac:dyDescent="0.25">
      <c r="A763" s="5">
        <v>1177</v>
      </c>
      <c r="B763" s="5">
        <v>758</v>
      </c>
      <c r="C763" s="5">
        <v>1160</v>
      </c>
      <c r="D763" t="s">
        <v>1690</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constants'!$A$4:$B$1012,2,FALSE)</f>
        <v>DLC_BASE_GAME</v>
      </c>
      <c r="L763" s="3" t="str">
        <f>VLOOKUP(J763,'LibSets constants'!$A$4:$C$1012,3,FALSE)</f>
        <v>Included in base game</v>
      </c>
    </row>
    <row r="764" spans="1:12" x14ac:dyDescent="0.25">
      <c r="A764" s="5">
        <v>1178</v>
      </c>
      <c r="B764" s="5">
        <v>759</v>
      </c>
      <c r="C764" s="5">
        <v>1160</v>
      </c>
      <c r="D764" t="s">
        <v>1691</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constants'!$A$4:$B$1012,2,FALSE)</f>
        <v>DLC_BASE_GAME</v>
      </c>
      <c r="L764" s="3" t="str">
        <f>VLOOKUP(J764,'LibSets constants'!$A$4:$C$1012,3,FALSE)</f>
        <v>Included in base game</v>
      </c>
    </row>
    <row r="765" spans="1:12" x14ac:dyDescent="0.25">
      <c r="A765" s="5">
        <v>1179</v>
      </c>
      <c r="B765" s="5">
        <v>760</v>
      </c>
      <c r="C765" s="5">
        <v>1160</v>
      </c>
      <c r="D765" t="s">
        <v>1692</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constants'!$A$4:$B$1012,2,FALSE)</f>
        <v>DLC_BASE_GAME</v>
      </c>
      <c r="L765" s="3" t="str">
        <f>VLOOKUP(J765,'LibSets constants'!$A$4:$C$1012,3,FALSE)</f>
        <v>Included in base game</v>
      </c>
    </row>
    <row r="766" spans="1:12" x14ac:dyDescent="0.25">
      <c r="A766" s="5">
        <v>1180</v>
      </c>
      <c r="B766" s="5">
        <v>761</v>
      </c>
      <c r="C766" s="5">
        <v>383</v>
      </c>
      <c r="D766" t="s">
        <v>2390</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constants'!$A$4:$B$1012,2,FALSE)</f>
        <v>DLC_BASE_GAME</v>
      </c>
      <c r="L766" s="3" t="str">
        <f>VLOOKUP(J766,'LibSets constants'!$A$4:$C$1012,3,FALSE)</f>
        <v>Included in base game</v>
      </c>
    </row>
    <row r="767" spans="1:12" x14ac:dyDescent="0.25">
      <c r="A767" s="5">
        <v>1181</v>
      </c>
      <c r="B767" s="5">
        <v>762</v>
      </c>
      <c r="C767" s="5">
        <v>1161</v>
      </c>
      <c r="D767" t="s">
        <v>1693</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constants'!$A$4:$B$1012,2,FALSE)</f>
        <v>DLC_BASE_GAME</v>
      </c>
      <c r="L767" s="3" t="str">
        <f>VLOOKUP(J767,'LibSets constants'!$A$4:$C$1012,3,FALSE)</f>
        <v>Included in base game</v>
      </c>
    </row>
    <row r="768" spans="1:12" x14ac:dyDescent="0.25">
      <c r="A768" s="5">
        <v>1182</v>
      </c>
      <c r="B768" s="5">
        <v>763</v>
      </c>
      <c r="C768" s="5">
        <v>1160</v>
      </c>
      <c r="D768" t="s">
        <v>1694</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constants'!$A$4:$B$1012,2,FALSE)</f>
        <v>DLC_BASE_GAME</v>
      </c>
      <c r="L768" s="3" t="str">
        <f>VLOOKUP(J768,'LibSets constants'!$A$4:$C$1012,3,FALSE)</f>
        <v>Included in base game</v>
      </c>
    </row>
    <row r="769" spans="1:12" x14ac:dyDescent="0.25">
      <c r="A769" s="5">
        <v>1183</v>
      </c>
      <c r="B769" s="5">
        <v>764</v>
      </c>
      <c r="C769" s="5">
        <v>1161</v>
      </c>
      <c r="D769" t="s">
        <v>1705</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constants'!$A$4:$B$1012,2,FALSE)</f>
        <v>DLC_GREYMOOR</v>
      </c>
      <c r="L769" s="3" t="str">
        <f>VLOOKUP(J769,'LibSets constants'!$A$4:$C$1012,3,FALSE)</f>
        <v>Greymoor</v>
      </c>
    </row>
    <row r="770" spans="1:12" x14ac:dyDescent="0.25">
      <c r="A770" s="5">
        <v>1184</v>
      </c>
      <c r="B770" s="5">
        <v>765</v>
      </c>
      <c r="C770" s="5">
        <v>1161</v>
      </c>
      <c r="D770" t="s">
        <v>1695</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constants'!$A$4:$B$1012,2,FALSE)</f>
        <v>DLC_BASE_GAME</v>
      </c>
      <c r="L770" s="3" t="str">
        <f>VLOOKUP(J770,'LibSets constants'!$A$4:$C$1012,3,FALSE)</f>
        <v>Included in base game</v>
      </c>
    </row>
    <row r="771" spans="1:12" x14ac:dyDescent="0.25">
      <c r="A771" s="5">
        <v>1185</v>
      </c>
      <c r="B771" s="5">
        <v>766</v>
      </c>
      <c r="C771" s="5">
        <v>1160</v>
      </c>
      <c r="D771" t="s">
        <v>1696</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constants'!$A$4:$B$1012,2,FALSE)</f>
        <v>DLC_BASE_GAME</v>
      </c>
      <c r="L771" s="3" t="str">
        <f>VLOOKUP(J771,'LibSets constants'!$A$4:$C$1012,3,FALSE)</f>
        <v>Included in base game</v>
      </c>
    </row>
    <row r="772" spans="1:12" x14ac:dyDescent="0.25">
      <c r="A772" s="5">
        <v>1186</v>
      </c>
      <c r="B772" s="5">
        <v>767</v>
      </c>
      <c r="C772" s="5">
        <v>1160</v>
      </c>
      <c r="D772" t="s">
        <v>1704</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constants'!$A$4:$B$1012,2,FALSE)</f>
        <v>DLC_GREYMOOR</v>
      </c>
      <c r="L772" s="3" t="str">
        <f>VLOOKUP(J772,'LibSets constants'!$A$4:$C$1012,3,FALSE)</f>
        <v>Greymoor</v>
      </c>
    </row>
    <row r="773" spans="1:12" x14ac:dyDescent="0.25">
      <c r="A773" s="5">
        <v>1187</v>
      </c>
      <c r="B773" s="5">
        <v>768</v>
      </c>
      <c r="C773" s="5">
        <v>1161</v>
      </c>
      <c r="D773" t="s">
        <v>1697</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constants'!$A$4:$B$1012,2,FALSE)</f>
        <v>DLC_BASE_GAME</v>
      </c>
      <c r="L773" s="3" t="str">
        <f>VLOOKUP(J773,'LibSets constants'!$A$4:$C$1012,3,FALSE)</f>
        <v>Included in base game</v>
      </c>
    </row>
    <row r="774" spans="1:12" x14ac:dyDescent="0.25">
      <c r="A774" s="5">
        <v>1188</v>
      </c>
      <c r="B774" s="5">
        <v>769</v>
      </c>
      <c r="C774" s="5">
        <v>101</v>
      </c>
      <c r="D774" t="s">
        <v>1698</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constants'!$A$4:$B$1012,2,FALSE)</f>
        <v>DLC_BASE_GAME</v>
      </c>
      <c r="L774" s="3" t="str">
        <f>VLOOKUP(J774,'LibSets constants'!$A$4:$C$1012,3,FALSE)</f>
        <v>Included in base game</v>
      </c>
    </row>
    <row r="775" spans="1:12" x14ac:dyDescent="0.25">
      <c r="A775" s="5">
        <v>1189</v>
      </c>
      <c r="B775" s="5">
        <v>770</v>
      </c>
      <c r="C775" s="5">
        <v>101</v>
      </c>
      <c r="D775" t="s">
        <v>1698</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constants'!$A$4:$B$1012,2,FALSE)</f>
        <v>DLC_BASE_GAME</v>
      </c>
      <c r="L775" s="3" t="str">
        <f>VLOOKUP(J775,'LibSets constants'!$A$4:$C$1012,3,FALSE)</f>
        <v>Included in base game</v>
      </c>
    </row>
    <row r="776" spans="1:12" x14ac:dyDescent="0.25">
      <c r="A776" s="5">
        <v>1190</v>
      </c>
      <c r="B776" s="5">
        <v>771</v>
      </c>
      <c r="C776" s="5">
        <v>103</v>
      </c>
      <c r="D776" t="s">
        <v>1654</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constants'!$A$4:$B$1012,2,FALSE)</f>
        <v>DLC_GREYMOOR</v>
      </c>
      <c r="L776" s="3" t="str">
        <f>VLOOKUP(J776,'LibSets constants'!$A$4:$C$1012,3,FALSE)</f>
        <v>Greymoor</v>
      </c>
    </row>
    <row r="777" spans="1:12" x14ac:dyDescent="0.25">
      <c r="A777" s="5">
        <v>1191</v>
      </c>
      <c r="B777" s="5">
        <v>772</v>
      </c>
      <c r="C777" s="5">
        <v>101</v>
      </c>
      <c r="D777" t="s">
        <v>1653</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constants'!$A$4:$B$1012,2,FALSE)</f>
        <v>DLC_BASE_GAME</v>
      </c>
      <c r="L777" s="3" t="str">
        <f>VLOOKUP(J777,'LibSets constants'!$A$4:$C$1012,3,FALSE)</f>
        <v>Included in base game</v>
      </c>
    </row>
    <row r="778" spans="1:12" x14ac:dyDescent="0.25">
      <c r="A778" s="5">
        <v>1192</v>
      </c>
      <c r="B778" s="5">
        <v>773</v>
      </c>
      <c r="C778" s="5">
        <v>1133</v>
      </c>
      <c r="D778" t="s">
        <v>1593</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constants'!$A$4:$B$1012,2,FALSE)</f>
        <v>DLC_GREYMOOR</v>
      </c>
      <c r="L778" s="3" t="str">
        <f>VLOOKUP(J778,'LibSets constants'!$A$4:$C$1012,3,FALSE)</f>
        <v>Greymoor</v>
      </c>
    </row>
    <row r="779" spans="1:12" x14ac:dyDescent="0.25">
      <c r="A779" s="5">
        <v>1193</v>
      </c>
      <c r="B779" s="5">
        <v>774</v>
      </c>
      <c r="C779" s="5">
        <v>1133</v>
      </c>
      <c r="D779" t="s">
        <v>1594</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constants'!$A$4:$B$1012,2,FALSE)</f>
        <v>DLC_GREYMOOR</v>
      </c>
      <c r="L779" s="3" t="str">
        <f>VLOOKUP(J779,'LibSets constants'!$A$4:$C$1012,3,FALSE)</f>
        <v>Greymoor</v>
      </c>
    </row>
    <row r="780" spans="1:12" x14ac:dyDescent="0.25">
      <c r="A780" s="5">
        <v>1195</v>
      </c>
      <c r="B780" s="5">
        <v>775</v>
      </c>
      <c r="C780" s="5">
        <v>1161</v>
      </c>
      <c r="D780" t="s">
        <v>1699</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constants'!$A$4:$B$1012,2,FALSE)</f>
        <v>DLC_BASE_GAME</v>
      </c>
      <c r="L780" s="3" t="str">
        <f>VLOOKUP(J780,'LibSets constants'!$A$4:$C$1012,3,FALSE)</f>
        <v>Included in base game</v>
      </c>
    </row>
    <row r="781" spans="1:12" x14ac:dyDescent="0.25">
      <c r="A781" s="5">
        <v>1196</v>
      </c>
      <c r="B781" s="5">
        <v>776</v>
      </c>
      <c r="C781" s="5">
        <v>1160</v>
      </c>
      <c r="D781" t="s">
        <v>1700</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constants'!$A$4:$B$1012,2,FALSE)</f>
        <v>DLC_BASE_GAME</v>
      </c>
      <c r="L781" s="3" t="str">
        <f>VLOOKUP(J781,'LibSets constants'!$A$4:$C$1012,3,FALSE)</f>
        <v>Included in base game</v>
      </c>
    </row>
    <row r="782" spans="1:12" x14ac:dyDescent="0.25">
      <c r="A782" s="5">
        <v>1197</v>
      </c>
      <c r="B782" s="5">
        <v>777</v>
      </c>
      <c r="C782" s="5">
        <v>1161</v>
      </c>
      <c r="D782" t="s">
        <v>1801</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constants'!$A$4:$B$1012,2,FALSE)</f>
        <v>DLC_BASE_GAME</v>
      </c>
      <c r="L782" s="3" t="str">
        <f>VLOOKUP(J782,'LibSets constants'!$A$4:$C$1012,3,FALSE)</f>
        <v>Included in base game</v>
      </c>
    </row>
    <row r="783" spans="1:12" x14ac:dyDescent="0.25">
      <c r="A783" s="5">
        <v>1199</v>
      </c>
      <c r="B783" s="5">
        <v>778</v>
      </c>
      <c r="C783" s="5">
        <v>684</v>
      </c>
      <c r="D783" t="s">
        <v>1652</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constants'!$A$4:$B$1012,2,FALSE)</f>
        <v>DLC_BASE_GAME</v>
      </c>
      <c r="L783" s="3" t="str">
        <f>VLOOKUP(J783,'LibSets constants'!$A$4:$C$1012,3,FALSE)</f>
        <v>Included in base game</v>
      </c>
    </row>
    <row r="784" spans="1:12" x14ac:dyDescent="0.25">
      <c r="A784" s="5">
        <v>1200</v>
      </c>
      <c r="B784" s="5">
        <v>779</v>
      </c>
      <c r="C784" s="5">
        <v>92</v>
      </c>
      <c r="D784" t="s">
        <v>1651</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constants'!$A$4:$B$1012,2,FALSE)</f>
        <v>DLC_BASE_GAME</v>
      </c>
      <c r="L784" s="3" t="str">
        <f>VLOOKUP(J784,'LibSets constants'!$A$4:$C$1012,3,FALSE)</f>
        <v>Included in base game</v>
      </c>
    </row>
    <row r="785" spans="1:12" x14ac:dyDescent="0.25">
      <c r="A785" s="5">
        <v>1201</v>
      </c>
      <c r="B785" s="5">
        <v>780</v>
      </c>
      <c r="C785" s="5">
        <v>1160</v>
      </c>
      <c r="D785" t="s">
        <v>1796</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constants'!$A$4:$B$1012,2,FALSE)</f>
        <v>DLC_BASE_GAME</v>
      </c>
      <c r="L785" s="3" t="str">
        <f>VLOOKUP(J785,'LibSets constants'!$A$4:$C$1012,3,FALSE)</f>
        <v>Included in base game</v>
      </c>
    </row>
    <row r="786" spans="1:12" x14ac:dyDescent="0.25">
      <c r="A786" s="5">
        <v>1204</v>
      </c>
      <c r="B786" s="5">
        <v>781</v>
      </c>
      <c r="C786" s="5">
        <v>1204</v>
      </c>
      <c r="D786" t="s">
        <v>2146</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constants'!$A$4:$B$1012,2,FALSE)</f>
        <v>DLC_BASE_GAME</v>
      </c>
      <c r="L786" s="3" t="str">
        <f>VLOOKUP(J786,'LibSets constants'!$A$4:$C$1012,3,FALSE)</f>
        <v>Included in base game</v>
      </c>
    </row>
    <row r="787" spans="1:12" x14ac:dyDescent="0.25">
      <c r="A787" s="5">
        <v>1205</v>
      </c>
      <c r="B787" s="5">
        <v>782</v>
      </c>
      <c r="C787" s="5">
        <v>20</v>
      </c>
      <c r="D787" t="s">
        <v>2148</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constants'!$A$4:$B$1012,2,FALSE)</f>
        <v>DLC_GREYMOOR</v>
      </c>
      <c r="L787" s="3" t="str">
        <f>VLOOKUP(J787,'LibSets constants'!$A$4:$C$1012,3,FALSE)</f>
        <v>Greymoor</v>
      </c>
    </row>
    <row r="788" spans="1:12" x14ac:dyDescent="0.25">
      <c r="A788" s="5">
        <v>1206</v>
      </c>
      <c r="B788" s="5">
        <v>783</v>
      </c>
      <c r="C788" s="5">
        <v>20</v>
      </c>
      <c r="D788" t="s">
        <v>2147</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constants'!$A$4:$B$1012,2,FALSE)</f>
        <v>DLC_BASE_GAME</v>
      </c>
      <c r="L788" s="3" t="str">
        <f>VLOOKUP(J788,'LibSets constants'!$A$4:$C$1012,3,FALSE)</f>
        <v>Included in base game</v>
      </c>
    </row>
    <row r="789" spans="1:12" x14ac:dyDescent="0.25">
      <c r="A789" s="5">
        <v>1207</v>
      </c>
      <c r="B789" s="5">
        <v>784</v>
      </c>
      <c r="C789" s="5">
        <v>1207</v>
      </c>
      <c r="D789" t="s">
        <v>2207</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constants'!$A$4:$B$1012,2,FALSE)</f>
        <v>DLC_BASE_GAME</v>
      </c>
      <c r="L789" s="3" t="str">
        <f>VLOOKUP(J789,'LibSets constants'!$A$4:$C$1012,3,FALSE)</f>
        <v>Included in base game</v>
      </c>
    </row>
    <row r="790" spans="1:12" x14ac:dyDescent="0.25">
      <c r="A790" s="5">
        <v>1208</v>
      </c>
      <c r="B790" s="5">
        <v>785</v>
      </c>
      <c r="C790" s="5">
        <v>1208</v>
      </c>
      <c r="D790" t="s">
        <v>2208</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constants'!$A$4:$B$1012,2,FALSE)</f>
        <v>DLC_BASE_GAME</v>
      </c>
      <c r="L790" s="3" t="str">
        <f>VLOOKUP(J790,'LibSets constants'!$A$4:$C$1012,3,FALSE)</f>
        <v>Included in base game</v>
      </c>
    </row>
    <row r="791" spans="1:12" x14ac:dyDescent="0.25">
      <c r="A791" s="5">
        <v>1209</v>
      </c>
      <c r="B791" s="5">
        <v>786</v>
      </c>
      <c r="C791" s="5">
        <v>1207</v>
      </c>
      <c r="D791" t="s">
        <v>2209</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constants'!$A$4:$B$1012,2,FALSE)</f>
        <v>DLC_BASE_GAME</v>
      </c>
      <c r="L791" s="3" t="str">
        <f>VLOOKUP(J791,'LibSets constants'!$A$4:$C$1012,3,FALSE)</f>
        <v>Included in base game</v>
      </c>
    </row>
    <row r="792" spans="1:12" x14ac:dyDescent="0.25">
      <c r="A792" s="5">
        <v>1210</v>
      </c>
      <c r="B792" s="5">
        <v>787</v>
      </c>
      <c r="C792" s="5">
        <v>1207</v>
      </c>
      <c r="D792" t="s">
        <v>2210</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constants'!$A$4:$B$1012,2,FALSE)</f>
        <v>DLC_BASE_GAME</v>
      </c>
      <c r="L792" s="3" t="str">
        <f>VLOOKUP(J792,'LibSets constants'!$A$4:$C$1012,3,FALSE)</f>
        <v>Included in base game</v>
      </c>
    </row>
    <row r="793" spans="1:12" x14ac:dyDescent="0.25">
      <c r="A793" s="5">
        <v>1211</v>
      </c>
      <c r="B793" s="5">
        <v>788</v>
      </c>
      <c r="C793" s="5">
        <v>1207</v>
      </c>
      <c r="D793" t="s">
        <v>2222</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constants'!$A$4:$B$1012,2,FALSE)</f>
        <v>DLC_GREYMOOR</v>
      </c>
      <c r="L793" s="3" t="str">
        <f>VLOOKUP(J793,'LibSets constants'!$A$4:$C$1012,3,FALSE)</f>
        <v>Greymoor</v>
      </c>
    </row>
    <row r="794" spans="1:12" x14ac:dyDescent="0.25">
      <c r="A794" s="5">
        <v>1212</v>
      </c>
      <c r="B794" s="5">
        <v>789</v>
      </c>
      <c r="C794" s="5">
        <v>1208</v>
      </c>
      <c r="D794" t="s">
        <v>2221</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constants'!$A$4:$B$1012,2,FALSE)</f>
        <v>DLC_GREYMOOR</v>
      </c>
      <c r="L794" s="3" t="str">
        <f>VLOOKUP(J794,'LibSets constants'!$A$4:$C$1012,3,FALSE)</f>
        <v>Greymoor</v>
      </c>
    </row>
    <row r="795" spans="1:12" x14ac:dyDescent="0.25">
      <c r="A795" s="5">
        <v>1213</v>
      </c>
      <c r="B795" s="5">
        <v>790</v>
      </c>
      <c r="C795" s="5">
        <v>1207</v>
      </c>
      <c r="D795" t="s">
        <v>2396</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constants'!$A$4:$B$1012,2,FALSE)</f>
        <v>DLC_GREYMOOR</v>
      </c>
      <c r="L795" s="3" t="str">
        <f>VLOOKUP(J795,'LibSets constants'!$A$4:$C$1012,3,FALSE)</f>
        <v>Greymoor</v>
      </c>
    </row>
    <row r="796" spans="1:12" x14ac:dyDescent="0.25">
      <c r="A796" s="5">
        <v>1214</v>
      </c>
      <c r="B796" s="5">
        <v>791</v>
      </c>
      <c r="C796" s="5">
        <v>1207</v>
      </c>
      <c r="D796" t="s">
        <v>2220</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constants'!$A$4:$B$1012,2,FALSE)</f>
        <v>DLC_BASE_GAME</v>
      </c>
      <c r="L796" s="3" t="str">
        <f>VLOOKUP(J796,'LibSets constants'!$A$4:$C$1012,3,FALSE)</f>
        <v>Included in base game</v>
      </c>
    </row>
    <row r="797" spans="1:12" x14ac:dyDescent="0.25">
      <c r="A797" s="5">
        <v>1215</v>
      </c>
      <c r="B797" s="5">
        <v>792</v>
      </c>
      <c r="C797" s="5">
        <v>1207</v>
      </c>
      <c r="D797" t="s">
        <v>2219</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constants'!$A$4:$B$1012,2,FALSE)</f>
        <v>DLC_GREYMOOR</v>
      </c>
      <c r="L797" s="3" t="str">
        <f>VLOOKUP(J797,'LibSets constants'!$A$4:$C$1012,3,FALSE)</f>
        <v>Greymoor</v>
      </c>
    </row>
    <row r="798" spans="1:12" x14ac:dyDescent="0.25">
      <c r="A798" s="5">
        <v>1216</v>
      </c>
      <c r="B798" s="5">
        <v>793</v>
      </c>
      <c r="C798" s="5">
        <v>1207</v>
      </c>
      <c r="D798" t="s">
        <v>2218</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constants'!$A$4:$B$1012,2,FALSE)</f>
        <v>DLC_GREYMOOR</v>
      </c>
      <c r="L798" s="3" t="str">
        <f>VLOOKUP(J798,'LibSets constants'!$A$4:$C$1012,3,FALSE)</f>
        <v>Greymoor</v>
      </c>
    </row>
    <row r="799" spans="1:12" x14ac:dyDescent="0.25">
      <c r="A799" s="5">
        <v>1217</v>
      </c>
      <c r="B799" s="5">
        <v>794</v>
      </c>
      <c r="C799" s="5">
        <v>1208</v>
      </c>
      <c r="D799" t="s">
        <v>2217</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constants'!$A$4:$B$1012,2,FALSE)</f>
        <v>DLC_GREYMOOR</v>
      </c>
      <c r="L799" s="3" t="str">
        <f>VLOOKUP(J799,'LibSets constants'!$A$4:$C$1012,3,FALSE)</f>
        <v>Greymoor</v>
      </c>
    </row>
    <row r="800" spans="1:12" x14ac:dyDescent="0.25">
      <c r="A800" s="5">
        <v>1218</v>
      </c>
      <c r="B800" s="5">
        <v>795</v>
      </c>
      <c r="C800" s="5">
        <v>1160</v>
      </c>
      <c r="D800" t="s">
        <v>1701</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constants'!$A$4:$B$1012,2,FALSE)</f>
        <v>DLC_BASE_GAME</v>
      </c>
      <c r="L800" s="3" t="str">
        <f>VLOOKUP(J800,'LibSets constants'!$A$4:$C$1012,3,FALSE)</f>
        <v>Included in base game</v>
      </c>
    </row>
    <row r="801" spans="1:12" x14ac:dyDescent="0.25">
      <c r="A801" s="5">
        <v>1219</v>
      </c>
      <c r="B801" s="5">
        <v>796</v>
      </c>
      <c r="C801" s="5">
        <v>1160</v>
      </c>
      <c r="D801" t="s">
        <v>1702</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constants'!$A$4:$B$1012,2,FALSE)</f>
        <v>DLC_BASE_GAME</v>
      </c>
      <c r="L801" s="3" t="str">
        <f>VLOOKUP(J801,'LibSets constants'!$A$4:$C$1012,3,FALSE)</f>
        <v>Included in base game</v>
      </c>
    </row>
    <row r="802" spans="1:12" x14ac:dyDescent="0.25">
      <c r="A802" s="5">
        <v>1220</v>
      </c>
      <c r="B802" s="5">
        <v>797</v>
      </c>
      <c r="C802" s="5">
        <v>1161</v>
      </c>
      <c r="D802" t="s">
        <v>1703</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constants'!$A$4:$B$1012,2,FALSE)</f>
        <v>DLC_BASE_GAME</v>
      </c>
      <c r="L802" s="3" t="str">
        <f>VLOOKUP(J802,'LibSets constants'!$A$4:$C$1012,3,FALSE)</f>
        <v>Included in base game</v>
      </c>
    </row>
    <row r="803" spans="1:12" x14ac:dyDescent="0.25">
      <c r="A803" s="5">
        <v>1221</v>
      </c>
      <c r="B803" s="5">
        <v>798</v>
      </c>
      <c r="C803" s="5">
        <v>1207</v>
      </c>
      <c r="D803" t="s">
        <v>2211</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constants'!$A$4:$B$1012,2,FALSE)</f>
        <v>DLC_BASE_GAME</v>
      </c>
      <c r="L803" s="3" t="str">
        <f>VLOOKUP(J803,'LibSets constants'!$A$4:$C$1012,3,FALSE)</f>
        <v>Included in base game</v>
      </c>
    </row>
    <row r="804" spans="1:12" x14ac:dyDescent="0.25">
      <c r="A804" s="5">
        <v>1222</v>
      </c>
      <c r="B804" s="5">
        <v>799</v>
      </c>
      <c r="C804" s="5">
        <v>1160</v>
      </c>
      <c r="D804" t="s">
        <v>2212</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constants'!$A$4:$B$1012,2,FALSE)</f>
        <v>DLC_BASE_GAME</v>
      </c>
      <c r="L804" s="3" t="str">
        <f>VLOOKUP(J804,'LibSets constants'!$A$4:$C$1012,3,FALSE)</f>
        <v>Included in base game</v>
      </c>
    </row>
    <row r="805" spans="1:12" x14ac:dyDescent="0.25">
      <c r="A805" s="5">
        <v>1223</v>
      </c>
      <c r="B805" s="5">
        <v>800</v>
      </c>
      <c r="C805" s="5">
        <v>1207</v>
      </c>
      <c r="D805" t="s">
        <v>2216</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constants'!$A$4:$B$1012,2,FALSE)</f>
        <v>DLC_GREYMOOR</v>
      </c>
      <c r="L805" s="3" t="str">
        <f>VLOOKUP(J805,'LibSets constants'!$A$4:$C$1012,3,FALSE)</f>
        <v>Greymoor</v>
      </c>
    </row>
    <row r="806" spans="1:12" x14ac:dyDescent="0.25">
      <c r="A806" s="5">
        <v>1224</v>
      </c>
      <c r="B806" s="5">
        <v>801</v>
      </c>
      <c r="C806" s="5">
        <v>1208</v>
      </c>
      <c r="D806" t="s">
        <v>2215</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constants'!$A$4:$B$1012,2,FALSE)</f>
        <v>DLC_GREYMOOR</v>
      </c>
      <c r="L806" s="3" t="str">
        <f>VLOOKUP(J806,'LibSets constants'!$A$4:$C$1012,3,FALSE)</f>
        <v>Greymoor</v>
      </c>
    </row>
    <row r="807" spans="1:12" x14ac:dyDescent="0.25">
      <c r="A807" s="5">
        <v>1225</v>
      </c>
      <c r="B807" s="5">
        <v>802</v>
      </c>
      <c r="C807" s="5">
        <v>1207</v>
      </c>
      <c r="D807" t="s">
        <v>2214</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constants'!$A$4:$B$1012,2,FALSE)</f>
        <v>DLC_GREYMOOR</v>
      </c>
      <c r="L807" s="3" t="str">
        <f>VLOOKUP(J807,'LibSets constants'!$A$4:$C$1012,3,FALSE)</f>
        <v>Greymoor</v>
      </c>
    </row>
    <row r="808" spans="1:12" x14ac:dyDescent="0.25">
      <c r="A808" s="5">
        <v>1226</v>
      </c>
      <c r="B808" s="5">
        <v>803</v>
      </c>
      <c r="C808" s="5">
        <v>1207</v>
      </c>
      <c r="D808" t="s">
        <v>2213</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constants'!$A$4:$B$1012,2,FALSE)</f>
        <v>DLC_BASE_GAME</v>
      </c>
      <c r="L808" s="3" t="str">
        <f>VLOOKUP(J808,'LibSets constants'!$A$4:$C$1012,3,FALSE)</f>
        <v>Included in base game</v>
      </c>
    </row>
    <row r="809" spans="1:12" s="68" customFormat="1" x14ac:dyDescent="0.25">
      <c r="A809" s="5">
        <v>1227</v>
      </c>
      <c r="B809" s="5">
        <v>804</v>
      </c>
      <c r="C809" s="5">
        <v>1207</v>
      </c>
      <c r="D809" t="s">
        <v>2206</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constants'!$A$4:$B$1012,2,FALSE)</f>
        <v>DLC_GREYMOOR</v>
      </c>
      <c r="L809" s="3" t="str">
        <f>VLOOKUP(J809,'LibSets constants'!$A$4:$C$1012,3,FALSE)</f>
        <v>Greymoor</v>
      </c>
    </row>
    <row r="810" spans="1:12" s="68" customFormat="1" x14ac:dyDescent="0.25">
      <c r="A810" s="5">
        <v>1228</v>
      </c>
      <c r="B810" s="5">
        <v>805</v>
      </c>
      <c r="C810" s="5">
        <v>823</v>
      </c>
      <c r="D810" t="s">
        <v>2388</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constants'!$A$4:$B$1012,2,FALSE)</f>
        <v>DLC_BASE_GAME</v>
      </c>
      <c r="L810" s="3" t="str">
        <f>VLOOKUP(J810,'LibSets constants'!$A$4:$C$1012,3,FALSE)</f>
        <v>Included in base game</v>
      </c>
    </row>
    <row r="811" spans="1:12" x14ac:dyDescent="0.25">
      <c r="A811" s="5">
        <v>1229</v>
      </c>
      <c r="B811" s="5">
        <v>806</v>
      </c>
      <c r="C811" s="5">
        <v>57</v>
      </c>
      <c r="D811" t="s">
        <v>2389</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constants'!$A$4:$B$1012,2,FALSE)</f>
        <v>DLC_BASE_GAME</v>
      </c>
      <c r="L811" s="3" t="str">
        <f>VLOOKUP(J811,'LibSets constants'!$A$4:$C$1012,3,FALSE)</f>
        <v>Included in base game</v>
      </c>
    </row>
    <row r="812" spans="1:12" x14ac:dyDescent="0.25">
      <c r="A812" s="5">
        <v>1233</v>
      </c>
      <c r="B812" s="5">
        <v>807</v>
      </c>
      <c r="C812" s="5">
        <v>1160</v>
      </c>
      <c r="D812" t="s">
        <v>2144</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constants'!$A$4:$B$1012,2,FALSE)</f>
        <v>DLC_GREYMOOR</v>
      </c>
      <c r="L812" s="3" t="str">
        <f>VLOOKUP(J812,'LibSets constants'!$A$4:$C$1012,3,FALSE)</f>
        <v>Greymoor</v>
      </c>
    </row>
    <row r="813" spans="1:12" x14ac:dyDescent="0.25">
      <c r="A813" s="5">
        <v>1234</v>
      </c>
      <c r="B813" s="5">
        <v>808</v>
      </c>
      <c r="C813" s="5">
        <v>1160</v>
      </c>
      <c r="D813" t="s">
        <v>2145</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constants'!$A$4:$B$1012,2,FALSE)</f>
        <v>DLC_BASE_GAME</v>
      </c>
      <c r="L813" s="3" t="str">
        <f>VLOOKUP(J813,'LibSets constants'!$A$4:$C$1012,3,FALSE)</f>
        <v>Included in base game</v>
      </c>
    </row>
    <row r="814" spans="1:12" x14ac:dyDescent="0.25">
      <c r="A814" s="5">
        <v>1235</v>
      </c>
      <c r="B814" s="5">
        <v>809</v>
      </c>
      <c r="C814" s="5">
        <v>383</v>
      </c>
      <c r="D814" t="s">
        <v>2391</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constants'!$A$4:$B$1012,2,FALSE)</f>
        <v>DLC_BASE_GAME</v>
      </c>
      <c r="L814" s="3" t="str">
        <f>VLOOKUP(J814,'LibSets constants'!$A$4:$C$1012,3,FALSE)</f>
        <v>Included in base game</v>
      </c>
    </row>
    <row r="815" spans="1:12" x14ac:dyDescent="0.25">
      <c r="A815" s="5">
        <v>1236</v>
      </c>
      <c r="B815" s="5">
        <v>810</v>
      </c>
      <c r="C815" s="5">
        <v>383</v>
      </c>
      <c r="D815" t="s">
        <v>446</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constants'!$A$4:$B$1012,2,FALSE)</f>
        <v>DLC_GREYMOOR</v>
      </c>
      <c r="L815" s="3" t="str">
        <f>VLOOKUP(J815,'LibSets constants'!$A$4:$C$1012,3,FALSE)</f>
        <v>Greymoor</v>
      </c>
    </row>
    <row r="816" spans="1:12" x14ac:dyDescent="0.25">
      <c r="A816" s="5">
        <v>1237</v>
      </c>
      <c r="B816" s="5">
        <v>811</v>
      </c>
      <c r="C816" s="5">
        <v>383</v>
      </c>
      <c r="D816" t="s">
        <v>2395</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constants'!$A$4:$B$1012,2,FALSE)</f>
        <v>DLC_GREYMOOR</v>
      </c>
      <c r="L816" s="3" t="str">
        <f>VLOOKUP(J816,'LibSets constants'!$A$4:$C$1012,3,FALSE)</f>
        <v>Greymoor</v>
      </c>
    </row>
    <row r="817" spans="1:12" x14ac:dyDescent="0.25">
      <c r="A817" s="5">
        <v>1238</v>
      </c>
      <c r="B817" s="5">
        <v>812</v>
      </c>
      <c r="C817" s="5">
        <v>1261</v>
      </c>
      <c r="D817" t="s">
        <v>2419</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constants'!$A$4:$B$1012,2,FALSE)</f>
        <v>DLC_GREYMOOR</v>
      </c>
      <c r="L817" s="3" t="str">
        <f>VLOOKUP(J817,'LibSets constants'!$A$4:$C$1012,3,FALSE)</f>
        <v>Greymoor</v>
      </c>
    </row>
    <row r="818" spans="1:12" x14ac:dyDescent="0.25">
      <c r="A818" s="5">
        <v>1239</v>
      </c>
      <c r="B818" s="5">
        <v>813</v>
      </c>
      <c r="C818" s="5">
        <v>1261</v>
      </c>
      <c r="D818" t="s">
        <v>2416</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constants'!$A$4:$B$1012,2,FALSE)</f>
        <v>DLC_GREYMOOR</v>
      </c>
      <c r="L818" s="3" t="str">
        <f>VLOOKUP(J818,'LibSets constants'!$A$4:$C$1012,3,FALSE)</f>
        <v>Greymoor</v>
      </c>
    </row>
    <row r="819" spans="1:12" x14ac:dyDescent="0.25">
      <c r="A819" s="5">
        <v>1240</v>
      </c>
      <c r="B819" s="5">
        <v>814</v>
      </c>
      <c r="C819" s="5">
        <v>1261</v>
      </c>
      <c r="D819" t="s">
        <v>2420</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constants'!$A$4:$B$1012,2,FALSE)</f>
        <v>DLC_BASE_GAME</v>
      </c>
      <c r="L819" s="3" t="str">
        <f>VLOOKUP(J819,'LibSets constants'!$A$4:$C$1012,3,FALSE)</f>
        <v>Included in base game</v>
      </c>
    </row>
    <row r="820" spans="1:12" x14ac:dyDescent="0.25">
      <c r="A820" s="5">
        <v>1241</v>
      </c>
      <c r="B820" s="5">
        <v>815</v>
      </c>
      <c r="C820" s="5">
        <v>1261</v>
      </c>
      <c r="D820" t="s">
        <v>2421</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constants'!$A$4:$B$1012,2,FALSE)</f>
        <v>DLC_ELSWEYR</v>
      </c>
      <c r="L820" s="3" t="str">
        <f>VLOOKUP(J820,'LibSets constants'!$A$4:$C$1012,3,FALSE)</f>
        <v>Elsweyr</v>
      </c>
    </row>
    <row r="821" spans="1:12" x14ac:dyDescent="0.25">
      <c r="A821" s="5">
        <v>1242</v>
      </c>
      <c r="B821" s="5">
        <v>816</v>
      </c>
      <c r="C821" s="5">
        <v>1261</v>
      </c>
      <c r="D821" t="s">
        <v>2422</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constants'!$A$4:$B$1012,2,FALSE)</f>
        <v>DLC_HARROWSTORM</v>
      </c>
      <c r="L821" s="3" t="str">
        <f>VLOOKUP(J821,'LibSets constants'!$A$4:$C$1012,3,FALSE)</f>
        <v>Harrowstorm</v>
      </c>
    </row>
    <row r="822" spans="1:12" x14ac:dyDescent="0.25">
      <c r="A822" s="5">
        <v>1243</v>
      </c>
      <c r="B822" s="5">
        <v>817</v>
      </c>
      <c r="C822" s="5">
        <v>1261</v>
      </c>
      <c r="D822" t="s">
        <v>2423</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constants'!$A$4:$B$1012,2,FALSE)</f>
        <v>DLC_DRAGONHOLD</v>
      </c>
      <c r="L822" s="3" t="str">
        <f>VLOOKUP(J822,'LibSets constants'!$A$4:$C$1012,3,FALSE)</f>
        <v>Dragonhold</v>
      </c>
    </row>
    <row r="823" spans="1:12" x14ac:dyDescent="0.25">
      <c r="A823" s="5">
        <v>1244</v>
      </c>
      <c r="B823" s="5">
        <v>818</v>
      </c>
      <c r="C823" s="5">
        <v>1261</v>
      </c>
      <c r="D823" t="s">
        <v>2424</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constants'!$A$4:$B$1012,2,FALSE)</f>
        <v>DLC_BASE_GAME</v>
      </c>
      <c r="L823" s="3" t="str">
        <f>VLOOKUP(J823,'LibSets constants'!$A$4:$C$1012,3,FALSE)</f>
        <v>Included in base game</v>
      </c>
    </row>
    <row r="824" spans="1:12" x14ac:dyDescent="0.25">
      <c r="A824" s="5">
        <v>1245</v>
      </c>
      <c r="B824" s="5">
        <v>819</v>
      </c>
      <c r="C824" s="5">
        <v>1261</v>
      </c>
      <c r="D824" t="s">
        <v>2425</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constants'!$A$4:$B$1012,2,FALSE)</f>
        <v>DLC_BASE_GAME</v>
      </c>
      <c r="L824" s="3" t="str">
        <f>VLOOKUP(J824,'LibSets constants'!$A$4:$C$1012,3,FALSE)</f>
        <v>Included in base game</v>
      </c>
    </row>
    <row r="825" spans="1:12" x14ac:dyDescent="0.25">
      <c r="A825" s="5">
        <v>1246</v>
      </c>
      <c r="B825" s="5">
        <v>820</v>
      </c>
      <c r="C825" s="5">
        <v>1261</v>
      </c>
      <c r="D825" t="s">
        <v>2426</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constants'!$A$4:$B$1012,2,FALSE)</f>
        <v>DLC_DRAGONHOLD</v>
      </c>
      <c r="L825" s="3" t="str">
        <f>VLOOKUP(J825,'LibSets constants'!$A$4:$C$1012,3,FALSE)</f>
        <v>Dragonhold</v>
      </c>
    </row>
    <row r="826" spans="1:12" x14ac:dyDescent="0.25">
      <c r="A826" s="5">
        <v>1247</v>
      </c>
      <c r="B826" s="5">
        <v>821</v>
      </c>
      <c r="C826" s="5">
        <v>1261</v>
      </c>
      <c r="D826" t="s">
        <v>2417</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constants'!$A$4:$B$1012,2,FALSE)</f>
        <v>DLC_DRAGONHOLD</v>
      </c>
      <c r="L826" s="3" t="str">
        <f>VLOOKUP(J826,'LibSets constants'!$A$4:$C$1012,3,FALSE)</f>
        <v>Dragonhold</v>
      </c>
    </row>
    <row r="827" spans="1:12" x14ac:dyDescent="0.25">
      <c r="A827" s="5">
        <v>1248</v>
      </c>
      <c r="B827" s="5">
        <v>822</v>
      </c>
      <c r="C827" s="5">
        <v>1261</v>
      </c>
      <c r="D827" t="s">
        <v>2427</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constants'!$A$4:$B$1012,2,FALSE)</f>
        <v>DLC_DRAGONHOLD</v>
      </c>
      <c r="L827" s="3" t="str">
        <f>VLOOKUP(J827,'LibSets constants'!$A$4:$C$1012,3,FALSE)</f>
        <v>Dragonhold</v>
      </c>
    </row>
    <row r="828" spans="1:12" x14ac:dyDescent="0.25">
      <c r="A828" s="5">
        <v>1249</v>
      </c>
      <c r="B828" s="5">
        <v>823</v>
      </c>
      <c r="C828" s="5">
        <v>1261</v>
      </c>
      <c r="D828" t="s">
        <v>2428</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constants'!$A$4:$B$1012,2,FALSE)</f>
        <v>DLC_BASE_GAME</v>
      </c>
      <c r="L828" s="3" t="str">
        <f>VLOOKUP(J828,'LibSets constants'!$A$4:$C$1012,3,FALSE)</f>
        <v>Included in base game</v>
      </c>
    </row>
    <row r="829" spans="1:12" x14ac:dyDescent="0.25">
      <c r="A829" s="5">
        <v>1250</v>
      </c>
      <c r="B829" s="5">
        <v>824</v>
      </c>
      <c r="C829" s="5">
        <v>1261</v>
      </c>
      <c r="D829" t="s">
        <v>2429</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constants'!$A$4:$B$1012,2,FALSE)</f>
        <v>DLC_BASE_GAME</v>
      </c>
      <c r="L829" s="3" t="str">
        <f>VLOOKUP(J829,'LibSets constants'!$A$4:$C$1012,3,FALSE)</f>
        <v>Included in base game</v>
      </c>
    </row>
    <row r="830" spans="1:12" x14ac:dyDescent="0.25">
      <c r="A830" s="5">
        <v>1251</v>
      </c>
      <c r="B830" s="5">
        <v>825</v>
      </c>
      <c r="C830" s="5">
        <v>1261</v>
      </c>
      <c r="D830" t="s">
        <v>2430</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constants'!$A$4:$B$1012,2,FALSE)</f>
        <v>DLC_DRAGONHOLD</v>
      </c>
      <c r="L830" s="3" t="str">
        <f>VLOOKUP(J830,'LibSets constants'!$A$4:$C$1012,3,FALSE)</f>
        <v>Dragonhold</v>
      </c>
    </row>
    <row r="831" spans="1:12" x14ac:dyDescent="0.25">
      <c r="A831" s="5">
        <v>1252</v>
      </c>
      <c r="B831" s="5">
        <v>826</v>
      </c>
      <c r="C831" s="5">
        <v>1261</v>
      </c>
      <c r="D831" t="s">
        <v>2431</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constants'!$A$4:$B$1012,2,FALSE)</f>
        <v>DLC_DRAGONHOLD</v>
      </c>
      <c r="L831" s="3" t="str">
        <f>VLOOKUP(J831,'LibSets constants'!$A$4:$C$1012,3,FALSE)</f>
        <v>Dragonhold</v>
      </c>
    </row>
    <row r="832" spans="1:12" x14ac:dyDescent="0.25">
      <c r="A832" s="5">
        <v>1253</v>
      </c>
      <c r="B832" s="5">
        <v>827</v>
      </c>
      <c r="C832" s="5">
        <v>1261</v>
      </c>
      <c r="D832" t="s">
        <v>2432</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constants'!$A$4:$B$1012,2,FALSE)</f>
        <v>DLC_BASE_GAME</v>
      </c>
      <c r="L832" s="3" t="str">
        <f>VLOOKUP(J832,'LibSets constants'!$A$4:$C$1012,3,FALSE)</f>
        <v>Included in base game</v>
      </c>
    </row>
    <row r="833" spans="1:12" x14ac:dyDescent="0.25">
      <c r="A833" s="5">
        <v>1254</v>
      </c>
      <c r="B833" s="5">
        <v>828</v>
      </c>
      <c r="C833" s="5">
        <v>1261</v>
      </c>
      <c r="D833" t="s">
        <v>2412</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constants'!$A$4:$B$1012,2,FALSE)</f>
        <v>DLC_BASE_GAME</v>
      </c>
      <c r="L833" s="3" t="str">
        <f>VLOOKUP(J833,'LibSets constants'!$A$4:$C$1012,3,FALSE)</f>
        <v>Included in base game</v>
      </c>
    </row>
    <row r="834" spans="1:12" x14ac:dyDescent="0.25">
      <c r="A834" s="5">
        <v>1255</v>
      </c>
      <c r="B834" s="5">
        <v>829</v>
      </c>
      <c r="C834" s="5">
        <v>1261</v>
      </c>
      <c r="D834" t="s">
        <v>2433</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constants'!$A$4:$B$1012,2,FALSE)</f>
        <v>DLC_DRAGONHOLD</v>
      </c>
      <c r="L834" s="3" t="str">
        <f>VLOOKUP(J834,'LibSets constants'!$A$4:$C$1012,3,FALSE)</f>
        <v>Dragonhold</v>
      </c>
    </row>
    <row r="835" spans="1:12" x14ac:dyDescent="0.25">
      <c r="A835" s="5">
        <v>1256</v>
      </c>
      <c r="B835" s="5">
        <v>830</v>
      </c>
      <c r="C835" s="5">
        <v>1261</v>
      </c>
      <c r="D835" t="s">
        <v>2434</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constants'!$A$4:$B$1012,2,FALSE)</f>
        <v>DLC_ELSWEYR</v>
      </c>
      <c r="L835" s="3" t="str">
        <f>VLOOKUP(J835,'LibSets constants'!$A$4:$C$1012,3,FALSE)</f>
        <v>Elsweyr</v>
      </c>
    </row>
    <row r="836" spans="1:12" x14ac:dyDescent="0.25">
      <c r="A836" s="5">
        <v>1257</v>
      </c>
      <c r="B836" s="5">
        <v>831</v>
      </c>
      <c r="C836" s="5">
        <v>1261</v>
      </c>
      <c r="D836" t="s">
        <v>2415</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constants'!$A$4:$B$1012,2,FALSE)</f>
        <v>DLC_ELSWEYR</v>
      </c>
      <c r="L836" s="3" t="str">
        <f>VLOOKUP(J836,'LibSets constants'!$A$4:$C$1012,3,FALSE)</f>
        <v>Elsweyr</v>
      </c>
    </row>
    <row r="837" spans="1:12" x14ac:dyDescent="0.25">
      <c r="A837" s="5">
        <v>1258</v>
      </c>
      <c r="B837" s="5">
        <v>832</v>
      </c>
      <c r="C837" s="5">
        <v>1261</v>
      </c>
      <c r="D837" t="s">
        <v>2414</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constants'!$A$4:$B$1012,2,FALSE)</f>
        <v>DLC_ELSWEYR</v>
      </c>
      <c r="L837" s="3" t="str">
        <f>VLOOKUP(J837,'LibSets constants'!$A$4:$C$1012,3,FALSE)</f>
        <v>Elsweyr</v>
      </c>
    </row>
    <row r="838" spans="1:12" x14ac:dyDescent="0.25">
      <c r="A838" s="5">
        <v>1259</v>
      </c>
      <c r="B838" s="5">
        <v>833</v>
      </c>
      <c r="C838" s="5">
        <v>1261</v>
      </c>
      <c r="D838" t="s">
        <v>2435</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constants'!$A$4:$B$1012,2,FALSE)</f>
        <v>DLC_BASE_GAME</v>
      </c>
      <c r="L838" s="3" t="str">
        <f>VLOOKUP(J838,'LibSets constants'!$A$4:$C$1012,3,FALSE)</f>
        <v>Included in base game</v>
      </c>
    </row>
    <row r="839" spans="1:12" x14ac:dyDescent="0.25">
      <c r="A839" s="5">
        <v>1260</v>
      </c>
      <c r="B839" s="5">
        <v>834</v>
      </c>
      <c r="C839" s="5">
        <v>1261</v>
      </c>
      <c r="D839" t="s">
        <v>2436</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constants'!$A$4:$B$1012,2,FALSE)</f>
        <v>DLC_MURKMIRE</v>
      </c>
      <c r="L839" s="3" t="str">
        <f>VLOOKUP(J839,'LibSets constants'!$A$4:$C$1012,3,FALSE)</f>
        <v>Murkmire</v>
      </c>
    </row>
    <row r="840" spans="1:12" x14ac:dyDescent="0.25">
      <c r="A840" s="5">
        <v>1261</v>
      </c>
      <c r="B840" s="5">
        <v>835</v>
      </c>
      <c r="C840" s="5">
        <v>1261</v>
      </c>
      <c r="D840" t="s">
        <v>2382</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constants'!$A$4:$B$1012,2,FALSE)</f>
        <v>DLC_BASE_GAME</v>
      </c>
      <c r="L840" s="3" t="str">
        <f>VLOOKUP(J840,'LibSets constants'!$A$4:$C$1012,3,FALSE)</f>
        <v>Included in base game</v>
      </c>
    </row>
    <row r="841" spans="1:12" x14ac:dyDescent="0.25">
      <c r="A841" s="5">
        <v>1262</v>
      </c>
      <c r="B841" s="5">
        <v>836</v>
      </c>
      <c r="C841" s="5">
        <v>19</v>
      </c>
      <c r="D841" t="s">
        <v>2394</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constants'!$A$4:$B$1012,2,FALSE)</f>
        <v>DLC_ELSWEYR</v>
      </c>
      <c r="L841" s="3" t="str">
        <f>VLOOKUP(J841,'LibSets constants'!$A$4:$C$1012,3,FALSE)</f>
        <v>Elsweyr</v>
      </c>
    </row>
    <row r="842" spans="1:12" x14ac:dyDescent="0.25">
      <c r="A842" s="5">
        <v>1263</v>
      </c>
      <c r="B842" s="5">
        <v>837</v>
      </c>
      <c r="C842" s="5">
        <v>1261</v>
      </c>
      <c r="D842" t="s">
        <v>2437</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constants'!$A$4:$B$1012,2,FALSE)</f>
        <v>DLC_ELSWEYR</v>
      </c>
      <c r="L842" s="3" t="str">
        <f>VLOOKUP(J842,'LibSets constants'!$A$4:$C$1012,3,FALSE)</f>
        <v>Elsweyr</v>
      </c>
    </row>
    <row r="843" spans="1:12" x14ac:dyDescent="0.25">
      <c r="A843" s="5">
        <v>1264</v>
      </c>
      <c r="B843" s="5">
        <v>838</v>
      </c>
      <c r="C843" s="5">
        <v>1207</v>
      </c>
      <c r="D843" t="s">
        <v>2205</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constants'!$A$4:$B$1012,2,FALSE)</f>
        <v>DLC_BASE_GAME</v>
      </c>
      <c r="L843" s="3" t="str">
        <f>VLOOKUP(J843,'LibSets constants'!$A$4:$C$1012,3,FALSE)</f>
        <v>Included in base game</v>
      </c>
    </row>
    <row r="844" spans="1:12" x14ac:dyDescent="0.25">
      <c r="A844" s="5">
        <v>1265</v>
      </c>
      <c r="B844" s="5">
        <v>839</v>
      </c>
      <c r="C844" s="5">
        <v>1160</v>
      </c>
      <c r="D844" t="s">
        <v>2204</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constants'!$A$4:$B$1012,2,FALSE)</f>
        <v>DLC_ELSWEYR</v>
      </c>
      <c r="L844" s="3" t="str">
        <f>VLOOKUP(J844,'LibSets constants'!$A$4:$C$1012,3,FALSE)</f>
        <v>Elsweyr</v>
      </c>
    </row>
    <row r="845" spans="1:12" x14ac:dyDescent="0.25">
      <c r="A845" s="5">
        <v>1266</v>
      </c>
      <c r="B845" s="5">
        <v>840</v>
      </c>
      <c r="C845" s="5">
        <v>1261</v>
      </c>
      <c r="D845" t="s">
        <v>2413</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constants'!$A$4:$B$1012,2,FALSE)</f>
        <v>DLC_ELSWEYR</v>
      </c>
      <c r="L845" s="3" t="str">
        <f>VLOOKUP(J845,'LibSets constants'!$A$4:$C$1012,3,FALSE)</f>
        <v>Elsweyr</v>
      </c>
    </row>
    <row r="846" spans="1:12" x14ac:dyDescent="0.25">
      <c r="A846" s="5">
        <v>1267</v>
      </c>
      <c r="B846" s="5">
        <v>841</v>
      </c>
      <c r="C846" s="5">
        <v>3</v>
      </c>
      <c r="D846" t="s">
        <v>2490</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constants'!$A$4:$B$1012,2,FALSE)</f>
        <v>DLC_ELSWEYR</v>
      </c>
      <c r="L846" s="3" t="str">
        <f>VLOOKUP(J846,'LibSets constants'!$A$4:$C$1012,3,FALSE)</f>
        <v>Elsweyr</v>
      </c>
    </row>
    <row r="847" spans="1:12" x14ac:dyDescent="0.25">
      <c r="A847" s="5">
        <v>1268</v>
      </c>
      <c r="B847" s="5">
        <v>842</v>
      </c>
      <c r="C847" s="5">
        <v>1261</v>
      </c>
      <c r="D847" t="s">
        <v>2495</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constants'!$A$4:$B$1012,2,FALSE)</f>
        <v>DLC_BASE_GAME</v>
      </c>
      <c r="L847" s="3" t="str">
        <f>VLOOKUP(J847,'LibSets constants'!$A$4:$C$1012,3,FALSE)</f>
        <v>Included in base game</v>
      </c>
    </row>
    <row r="848" spans="1:12" x14ac:dyDescent="0.25">
      <c r="A848" s="5">
        <v>1270</v>
      </c>
      <c r="B848" s="5">
        <v>843</v>
      </c>
      <c r="C848" s="5">
        <v>849</v>
      </c>
      <c r="D848" t="s">
        <v>2393</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constants'!$A$4:$B$1012,2,FALSE)</f>
        <v>DLC_ELSWEYR</v>
      </c>
      <c r="L848" s="3" t="str">
        <f>VLOOKUP(J848,'LibSets constants'!$A$4:$C$1012,3,FALSE)</f>
        <v>Elsweyr</v>
      </c>
    </row>
    <row r="849" spans="1:12" x14ac:dyDescent="0.25">
      <c r="A849" s="5">
        <v>1271</v>
      </c>
      <c r="B849" s="5">
        <v>844</v>
      </c>
      <c r="C849" s="5">
        <v>823</v>
      </c>
      <c r="D849" t="s">
        <v>2392</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constants'!$A$4:$B$1012,2,FALSE)</f>
        <v>DLC_ELSWEYR</v>
      </c>
      <c r="L849" s="3" t="str">
        <f>VLOOKUP(J849,'LibSets constants'!$A$4:$C$1012,3,FALSE)</f>
        <v>Elsweyr</v>
      </c>
    </row>
    <row r="850" spans="1:12" x14ac:dyDescent="0.25">
      <c r="A850" s="5">
        <v>1272</v>
      </c>
      <c r="B850" s="5">
        <v>845</v>
      </c>
      <c r="C850" s="5">
        <v>1261</v>
      </c>
      <c r="D850" t="s">
        <v>3906</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constants'!$A$4:$B$1012,2,FALSE)</f>
        <v>DLC_ELSWEYR</v>
      </c>
      <c r="L850" s="3" t="str">
        <f>VLOOKUP(J850,'LibSets constants'!$A$4:$C$1012,3,FALSE)</f>
        <v>Elsweyr</v>
      </c>
    </row>
    <row r="851" spans="1:12" x14ac:dyDescent="0.25">
      <c r="A851" s="5">
        <v>1274</v>
      </c>
      <c r="B851" s="5">
        <v>846</v>
      </c>
      <c r="C851" s="5">
        <v>3</v>
      </c>
      <c r="D851" t="s">
        <v>2499</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constants'!$A$4:$B$1012,2,FALSE)</f>
        <v>DLC_ELSWEYR</v>
      </c>
      <c r="L851" s="3" t="str">
        <f>VLOOKUP(J851,'LibSets constants'!$A$4:$C$1012,3,FALSE)</f>
        <v>Elsweyr</v>
      </c>
    </row>
    <row r="852" spans="1:12" x14ac:dyDescent="0.25">
      <c r="A852" s="5">
        <v>1275</v>
      </c>
      <c r="B852" s="5">
        <v>847</v>
      </c>
      <c r="C852" s="5">
        <v>1261</v>
      </c>
      <c r="D852" t="s">
        <v>2439</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constants'!$A$4:$B$1012,2,FALSE)</f>
        <v>DLC_BASE_GAME</v>
      </c>
      <c r="L852" s="3" t="str">
        <f>VLOOKUP(J852,'LibSets constants'!$A$4:$C$1012,3,FALSE)</f>
        <v>Included in base game</v>
      </c>
    </row>
    <row r="853" spans="1:12" x14ac:dyDescent="0.25">
      <c r="A853" s="5">
        <v>1276</v>
      </c>
      <c r="B853" s="5">
        <v>848</v>
      </c>
      <c r="C853" s="5">
        <v>1261</v>
      </c>
      <c r="D853" t="s">
        <v>2440</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constants'!$A$4:$B$1012,2,FALSE)</f>
        <v>DLC_ELSWEYR</v>
      </c>
      <c r="L853" s="3" t="str">
        <f>VLOOKUP(J853,'LibSets constants'!$A$4:$C$1012,3,FALSE)</f>
        <v>Elsweyr</v>
      </c>
    </row>
    <row r="854" spans="1:12" x14ac:dyDescent="0.25">
      <c r="A854" s="5">
        <v>1277</v>
      </c>
      <c r="B854" s="5">
        <v>849</v>
      </c>
      <c r="C854" s="5">
        <v>1261</v>
      </c>
      <c r="D854" t="s">
        <v>2411</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constants'!$A$4:$B$1012,2,FALSE)</f>
        <v>DLC_ELSWEYR</v>
      </c>
      <c r="L854" s="3" t="str">
        <f>VLOOKUP(J854,'LibSets constants'!$A$4:$C$1012,3,FALSE)</f>
        <v>Elsweyr</v>
      </c>
    </row>
    <row r="855" spans="1:12" x14ac:dyDescent="0.25">
      <c r="A855" s="5">
        <v>1278</v>
      </c>
      <c r="B855" s="5">
        <v>850</v>
      </c>
      <c r="C855" s="5">
        <v>108</v>
      </c>
      <c r="D855" t="s">
        <v>2498</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constants'!$A$4:$B$1012,2,FALSE)</f>
        <v>DLC_ELSWEYR</v>
      </c>
      <c r="L855" s="3" t="str">
        <f>VLOOKUP(J855,'LibSets constants'!$A$4:$C$1012,3,FALSE)</f>
        <v>Elsweyr</v>
      </c>
    </row>
    <row r="856" spans="1:12" x14ac:dyDescent="0.25">
      <c r="A856" s="5">
        <v>1279</v>
      </c>
      <c r="B856" s="5">
        <v>851</v>
      </c>
      <c r="C856" s="5">
        <v>108</v>
      </c>
      <c r="D856" t="s">
        <v>2497</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constants'!$A$4:$B$1012,2,FALSE)</f>
        <v>DLC_ELSWEYR</v>
      </c>
      <c r="L856" s="3" t="str">
        <f>VLOOKUP(J856,'LibSets constants'!$A$4:$C$1012,3,FALSE)</f>
        <v>Elsweyr</v>
      </c>
    </row>
    <row r="857" spans="1:12" x14ac:dyDescent="0.25">
      <c r="A857" s="5">
        <v>1280</v>
      </c>
      <c r="B857" s="5">
        <v>852</v>
      </c>
      <c r="C857" s="5">
        <v>108</v>
      </c>
      <c r="D857" t="s">
        <v>2500</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constants'!$A$4:$B$1012,2,FALSE)</f>
        <v>DLC_ELSWEYR</v>
      </c>
      <c r="L857" s="3" t="str">
        <f>VLOOKUP(J857,'LibSets constants'!$A$4:$C$1012,3,FALSE)</f>
        <v>Elsweyr</v>
      </c>
    </row>
    <row r="858" spans="1:12" x14ac:dyDescent="0.25">
      <c r="A858" s="5">
        <v>1281</v>
      </c>
      <c r="B858" s="5">
        <v>853</v>
      </c>
      <c r="C858" s="5">
        <v>108</v>
      </c>
      <c r="D858" t="s">
        <v>2500</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constants'!$A$4:$B$1012,2,FALSE)</f>
        <v>DLC_BASE_GAME</v>
      </c>
      <c r="L858" s="3" t="str">
        <f>VLOOKUP(J858,'LibSets constants'!$A$4:$C$1012,3,FALSE)</f>
        <v>Included in base game</v>
      </c>
    </row>
    <row r="859" spans="1:12" x14ac:dyDescent="0.25">
      <c r="A859" s="5">
        <v>1282</v>
      </c>
      <c r="B859" s="5">
        <v>854</v>
      </c>
      <c r="C859" s="5">
        <v>1282</v>
      </c>
      <c r="D859" t="s">
        <v>2674</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constants'!$A$4:$B$1012,2,FALSE)</f>
        <v>DLC_WRATHSTONE</v>
      </c>
      <c r="L859" s="3" t="str">
        <f>VLOOKUP(J859,'LibSets constants'!$A$4:$C$1012,3,FALSE)</f>
        <v>Wrathstone</v>
      </c>
    </row>
    <row r="860" spans="1:12" x14ac:dyDescent="0.25">
      <c r="A860" s="5">
        <v>1283</v>
      </c>
      <c r="B860" s="5">
        <v>855</v>
      </c>
      <c r="C860" s="5">
        <v>1282</v>
      </c>
      <c r="D860" t="s">
        <v>2675</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constants'!$A$4:$B$1012,2,FALSE)</f>
        <v>DLC_WRATHSTONE</v>
      </c>
      <c r="L860" s="3" t="str">
        <f>VLOOKUP(J860,'LibSets constants'!$A$4:$C$1012,3,FALSE)</f>
        <v>Wrathstone</v>
      </c>
    </row>
    <row r="861" spans="1:12" x14ac:dyDescent="0.25">
      <c r="A861" s="5">
        <v>1284</v>
      </c>
      <c r="B861" s="5">
        <v>856</v>
      </c>
      <c r="C861" s="5">
        <v>1282</v>
      </c>
      <c r="D861" t="s">
        <v>2689</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constants'!$A$4:$B$1012,2,FALSE)</f>
        <v>DLC_BASE_GAME</v>
      </c>
      <c r="L861" s="3" t="str">
        <f>VLOOKUP(J861,'LibSets constants'!$A$4:$C$1012,3,FALSE)</f>
        <v>Included in base game</v>
      </c>
    </row>
    <row r="862" spans="1:12" x14ac:dyDescent="0.25">
      <c r="A862" s="5">
        <v>1285</v>
      </c>
      <c r="B862" s="5">
        <v>857</v>
      </c>
      <c r="C862" s="5">
        <v>1286</v>
      </c>
      <c r="D862" t="s">
        <v>2688</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constants'!$A$4:$B$1012,2,FALSE)</f>
        <v>DLC_BASE_GAME</v>
      </c>
      <c r="L862" s="3" t="str">
        <f>VLOOKUP(J862,'LibSets constants'!$A$4:$C$1012,3,FALSE)</f>
        <v>Included in base game</v>
      </c>
    </row>
    <row r="863" spans="1:12" x14ac:dyDescent="0.25">
      <c r="A863" s="5">
        <v>1286</v>
      </c>
      <c r="B863" s="5">
        <v>858</v>
      </c>
      <c r="C863" s="5">
        <v>1286</v>
      </c>
      <c r="D863" t="s">
        <v>2438</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constants'!$A$4:$B$1012,2,FALSE)</f>
        <v>DLC_BASE_GAME</v>
      </c>
      <c r="L863" s="3" t="str">
        <f>VLOOKUP(J863,'LibSets constants'!$A$4:$C$1012,3,FALSE)</f>
        <v>Included in base game</v>
      </c>
    </row>
    <row r="864" spans="1:12" x14ac:dyDescent="0.25">
      <c r="A864" s="5">
        <v>1287</v>
      </c>
      <c r="B864" s="5">
        <v>859</v>
      </c>
      <c r="C864" s="5">
        <v>1286</v>
      </c>
      <c r="D864" t="s">
        <v>2687</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constants'!$A$4:$B$1012,2,FALSE)</f>
        <v>DLC_BASE_GAME</v>
      </c>
      <c r="L864" s="3" t="str">
        <f>VLOOKUP(J864,'LibSets constants'!$A$4:$C$1012,3,FALSE)</f>
        <v>Included in base game</v>
      </c>
    </row>
    <row r="865" spans="1:12" x14ac:dyDescent="0.25">
      <c r="A865" s="5">
        <v>1289</v>
      </c>
      <c r="B865" s="5">
        <v>860</v>
      </c>
      <c r="C865" s="5">
        <v>1286</v>
      </c>
      <c r="D865" t="s">
        <v>2686</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constants'!$A$4:$B$1012,2,FALSE)</f>
        <v>DLC_WOLFHUNTER</v>
      </c>
      <c r="L865" s="3" t="str">
        <f>VLOOKUP(J865,'LibSets constants'!$A$4:$C$1012,3,FALSE)</f>
        <v>Wolfhunter</v>
      </c>
    </row>
    <row r="866" spans="1:12" x14ac:dyDescent="0.25">
      <c r="A866" s="5">
        <v>1290</v>
      </c>
      <c r="B866" s="5">
        <v>861</v>
      </c>
      <c r="C866" s="5">
        <v>1286</v>
      </c>
      <c r="D866" t="s">
        <v>2685</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constants'!$A$4:$B$1012,2,FALSE)</f>
        <v>DLC_THIEVES_GUILD</v>
      </c>
      <c r="L866" s="3" t="str">
        <f>VLOOKUP(J866,'LibSets constants'!$A$4:$C$1012,3,FALSE)</f>
        <v>Thieves Guild</v>
      </c>
    </row>
    <row r="867" spans="1:12" x14ac:dyDescent="0.25">
      <c r="A867" s="5">
        <v>1291</v>
      </c>
      <c r="B867" s="5">
        <v>862</v>
      </c>
      <c r="C867" s="5">
        <v>1286</v>
      </c>
      <c r="D867" t="s">
        <v>2684</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constants'!$A$4:$B$1012,2,FALSE)</f>
        <v>DLC_ORSINIUM</v>
      </c>
      <c r="L867" s="3" t="str">
        <f>VLOOKUP(J867,'LibSets constants'!$A$4:$C$1012,3,FALSE)</f>
        <v>Orsinium</v>
      </c>
    </row>
    <row r="868" spans="1:12" x14ac:dyDescent="0.25">
      <c r="A868" s="5">
        <v>1292</v>
      </c>
      <c r="B868" s="5">
        <v>863</v>
      </c>
      <c r="C868" s="5">
        <v>1286</v>
      </c>
      <c r="D868" t="s">
        <v>2683</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constants'!$A$4:$B$1012,2,FALSE)</f>
        <v>DLC_SUMMERSET</v>
      </c>
      <c r="L868" s="3" t="str">
        <f>VLOOKUP(J868,'LibSets constants'!$A$4:$C$1012,3,FALSE)</f>
        <v>Summerset</v>
      </c>
    </row>
    <row r="869" spans="1:12" x14ac:dyDescent="0.25">
      <c r="A869" s="5">
        <v>1293</v>
      </c>
      <c r="B869" s="5">
        <v>864</v>
      </c>
      <c r="C869" s="5">
        <v>1282</v>
      </c>
      <c r="D869" t="s">
        <v>2682</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constants'!$A$4:$B$1012,2,FALSE)</f>
        <v>DLC_SUMMERSET</v>
      </c>
      <c r="L869" s="3" t="str">
        <f>VLOOKUP(J869,'LibSets constants'!$A$4:$C$1012,3,FALSE)</f>
        <v>Summerset</v>
      </c>
    </row>
    <row r="870" spans="1:12" x14ac:dyDescent="0.25">
      <c r="A870" s="5">
        <v>1294</v>
      </c>
      <c r="B870" s="5">
        <v>865</v>
      </c>
      <c r="C870" s="5">
        <v>1286</v>
      </c>
      <c r="D870" t="s">
        <v>2681</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constants'!$A$4:$B$1012,2,FALSE)</f>
        <v>DLC_SUMMERSET</v>
      </c>
      <c r="L870" s="3" t="str">
        <f>VLOOKUP(J870,'LibSets constants'!$A$4:$C$1012,3,FALSE)</f>
        <v>Summerset</v>
      </c>
    </row>
    <row r="871" spans="1:12" x14ac:dyDescent="0.25">
      <c r="A871" s="5">
        <v>1295</v>
      </c>
      <c r="B871" s="5">
        <v>866</v>
      </c>
      <c r="C871" s="5">
        <v>1286</v>
      </c>
      <c r="D871" t="s">
        <v>2680</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constants'!$A$4:$B$1012,2,FALSE)</f>
        <v>DLC_SUMMERSET</v>
      </c>
      <c r="L871" s="3" t="str">
        <f>VLOOKUP(J871,'LibSets constants'!$A$4:$C$1012,3,FALSE)</f>
        <v>Summerset</v>
      </c>
    </row>
    <row r="872" spans="1:12" x14ac:dyDescent="0.25">
      <c r="A872" s="5">
        <v>1296</v>
      </c>
      <c r="B872" s="5">
        <v>867</v>
      </c>
      <c r="C872" s="5">
        <v>1286</v>
      </c>
      <c r="D872" t="s">
        <v>2679</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constants'!$A$4:$B$1012,2,FALSE)</f>
        <v>DLC_SUMMERSET</v>
      </c>
      <c r="L872" s="3" t="str">
        <f>VLOOKUP(J872,'LibSets constants'!$A$4:$C$1012,3,FALSE)</f>
        <v>Summerset</v>
      </c>
    </row>
    <row r="873" spans="1:12" x14ac:dyDescent="0.25">
      <c r="A873" s="5">
        <v>1297</v>
      </c>
      <c r="B873" s="5">
        <v>868</v>
      </c>
      <c r="C873" s="5">
        <v>1286</v>
      </c>
      <c r="D873" t="s">
        <v>3913</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constants'!$A$4:$B$1012,2,FALSE)</f>
        <v>DLC_SUMMERSET</v>
      </c>
      <c r="L873" s="3" t="str">
        <f>VLOOKUP(J873,'LibSets constants'!$A$4:$C$1012,3,FALSE)</f>
        <v>Summerset</v>
      </c>
    </row>
    <row r="874" spans="1:12" x14ac:dyDescent="0.25">
      <c r="A874" s="5">
        <v>1298</v>
      </c>
      <c r="B874" s="5">
        <v>869</v>
      </c>
      <c r="C874" s="5">
        <v>1286</v>
      </c>
      <c r="D874" t="s">
        <v>2678</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constants'!$A$4:$B$1012,2,FALSE)</f>
        <v>DLC_SUMMERSET</v>
      </c>
      <c r="L874" s="3" t="str">
        <f>VLOOKUP(J874,'LibSets constants'!$A$4:$C$1012,3,FALSE)</f>
        <v>Summerset</v>
      </c>
    </row>
    <row r="875" spans="1:12" x14ac:dyDescent="0.25">
      <c r="A875" s="5">
        <v>1300</v>
      </c>
      <c r="B875" s="5">
        <v>870</v>
      </c>
      <c r="C875" s="5">
        <v>1286</v>
      </c>
      <c r="D875" t="s">
        <v>2677</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constants'!$A$4:$B$1012,2,FALSE)</f>
        <v>DLC_BASE_GAME</v>
      </c>
      <c r="L875" s="3" t="str">
        <f>VLOOKUP(J875,'LibSets constants'!$A$4:$C$1012,3,FALSE)</f>
        <v>Included in base game</v>
      </c>
    </row>
    <row r="876" spans="1:12" x14ac:dyDescent="0.25">
      <c r="A876" s="5">
        <v>1301</v>
      </c>
      <c r="B876" s="5">
        <v>871</v>
      </c>
      <c r="C876" s="5">
        <v>1011</v>
      </c>
      <c r="D876" t="s">
        <v>2708</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constants'!$A$4:$B$1012,2,FALSE)</f>
        <v>DLC_BASE_GAME</v>
      </c>
      <c r="L876" s="3" t="str">
        <f>VLOOKUP(J876,'LibSets constants'!$A$4:$C$1012,3,FALSE)</f>
        <v>Included in base game</v>
      </c>
    </row>
    <row r="877" spans="1:12" x14ac:dyDescent="0.25">
      <c r="A877" s="5">
        <v>1302</v>
      </c>
      <c r="B877" s="5">
        <v>872</v>
      </c>
      <c r="C877" s="5">
        <v>20</v>
      </c>
      <c r="D877" t="s">
        <v>2720</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constants'!$A$4:$B$1012,2,FALSE)</f>
        <v>DLC_BASE_GAME</v>
      </c>
      <c r="L877" s="3" t="str">
        <f>VLOOKUP(J877,'LibSets constants'!$A$4:$C$1012,3,FALSE)</f>
        <v>Included in base game</v>
      </c>
    </row>
    <row r="878" spans="1:12" x14ac:dyDescent="0.25">
      <c r="A878" s="5">
        <v>1304</v>
      </c>
      <c r="B878" s="5">
        <v>873</v>
      </c>
      <c r="C878" s="5">
        <v>1282</v>
      </c>
      <c r="D878" t="s">
        <v>2676</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constants'!$A$4:$B$1012,2,FALSE)</f>
        <v>DLC_SUMMERSET</v>
      </c>
      <c r="L878" s="3" t="str">
        <f>VLOOKUP(J878,'LibSets constants'!$A$4:$C$1012,3,FALSE)</f>
        <v>Summerset</v>
      </c>
    </row>
    <row r="879" spans="1:12" x14ac:dyDescent="0.25">
      <c r="A879" s="5">
        <v>1306</v>
      </c>
      <c r="B879" s="5">
        <v>874</v>
      </c>
      <c r="C879" s="5">
        <v>58</v>
      </c>
      <c r="D879" t="s">
        <v>2496</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constants'!$A$4:$B$1012,2,FALSE)</f>
        <v>DLC_BASE_GAME</v>
      </c>
      <c r="L879" s="3" t="str">
        <f>VLOOKUP(J879,'LibSets constants'!$A$4:$C$1012,3,FALSE)</f>
        <v>Included in base game</v>
      </c>
    </row>
    <row r="880" spans="1:12" x14ac:dyDescent="0.25">
      <c r="A880" s="5">
        <v>1307</v>
      </c>
      <c r="B880" s="5">
        <v>875</v>
      </c>
      <c r="C880" s="5">
        <v>1261</v>
      </c>
      <c r="D880" t="s">
        <v>2501</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constants'!$A$4:$B$1012,2,FALSE)</f>
        <v>DLC_SUMMERSET</v>
      </c>
      <c r="L880" s="3" t="str">
        <f>VLOOKUP(J880,'LibSets constants'!$A$4:$C$1012,3,FALSE)</f>
        <v>Summerset</v>
      </c>
    </row>
    <row r="881" spans="1:12" x14ac:dyDescent="0.25">
      <c r="A881" s="5">
        <v>1310</v>
      </c>
      <c r="B881" s="5">
        <v>876</v>
      </c>
      <c r="C881" s="5">
        <v>1286</v>
      </c>
      <c r="D881" t="s">
        <v>3906</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constants'!$A$4:$B$1012,2,FALSE)</f>
        <v>DLC_BASE_GAME</v>
      </c>
      <c r="L881" s="3" t="str">
        <f>VLOOKUP(J881,'LibSets constants'!$A$4:$C$1012,3,FALSE)</f>
        <v>Included in base game</v>
      </c>
    </row>
    <row r="882" spans="1:12" x14ac:dyDescent="0.25">
      <c r="A882" s="5">
        <v>1311</v>
      </c>
      <c r="B882" s="5">
        <v>877</v>
      </c>
      <c r="C882" s="5">
        <v>849</v>
      </c>
      <c r="D882" t="s">
        <v>2721</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constants'!$A$4:$B$1012,2,FALSE)</f>
        <v>DLC_SUMMERSET</v>
      </c>
      <c r="L882" s="3" t="str">
        <f>VLOOKUP(J882,'LibSets constants'!$A$4:$C$1012,3,FALSE)</f>
        <v>Summerset</v>
      </c>
    </row>
    <row r="883" spans="1:12" x14ac:dyDescent="0.25">
      <c r="A883" s="5">
        <v>1312</v>
      </c>
      <c r="B883" s="5">
        <v>878</v>
      </c>
      <c r="C883" s="5">
        <v>849</v>
      </c>
      <c r="D883" t="s">
        <v>2724</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constants'!$A$4:$B$1012,2,FALSE)</f>
        <v>DLC_SUMMERSET</v>
      </c>
      <c r="L883" s="3" t="str">
        <f>VLOOKUP(J883,'LibSets constants'!$A$4:$C$1012,3,FALSE)</f>
        <v>Summerset</v>
      </c>
    </row>
    <row r="884" spans="1:12" x14ac:dyDescent="0.25">
      <c r="A884" s="5">
        <v>1313</v>
      </c>
      <c r="B884" s="5">
        <v>879</v>
      </c>
      <c r="C884" s="5">
        <v>1318</v>
      </c>
      <c r="D884" t="s">
        <v>3364</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constants'!$A$4:$B$1012,2,FALSE)</f>
        <v>DLC_SUMMERSET</v>
      </c>
      <c r="L884" s="3" t="str">
        <f>VLOOKUP(J884,'LibSets constants'!$A$4:$C$1012,3,FALSE)</f>
        <v>Summerset</v>
      </c>
    </row>
    <row r="885" spans="1:12" x14ac:dyDescent="0.25">
      <c r="A885" s="5">
        <v>1314</v>
      </c>
      <c r="B885" s="5">
        <v>880</v>
      </c>
      <c r="C885" s="5">
        <v>3</v>
      </c>
      <c r="D885" t="s">
        <v>2723</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constants'!$A$4:$B$1012,2,FALSE)</f>
        <v>DLC_SUMMERSET</v>
      </c>
      <c r="L885" s="3" t="str">
        <f>VLOOKUP(J885,'LibSets constants'!$A$4:$C$1012,3,FALSE)</f>
        <v>Summerset</v>
      </c>
    </row>
    <row r="886" spans="1:12" x14ac:dyDescent="0.25">
      <c r="A886" s="5">
        <v>1315</v>
      </c>
      <c r="B886" s="5">
        <v>881</v>
      </c>
      <c r="C886" s="5">
        <v>1318</v>
      </c>
      <c r="D886" t="s">
        <v>3363</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constants'!$A$4:$B$1012,2,FALSE)</f>
        <v>DLC_SUMMERSET</v>
      </c>
      <c r="L886" s="3" t="str">
        <f>VLOOKUP(J886,'LibSets constants'!$A$4:$C$1012,3,FALSE)</f>
        <v>Summerset</v>
      </c>
    </row>
    <row r="887" spans="1:12" x14ac:dyDescent="0.25">
      <c r="A887" s="5">
        <v>1316</v>
      </c>
      <c r="B887" s="5">
        <v>882</v>
      </c>
      <c r="C887" s="5">
        <v>1318</v>
      </c>
      <c r="D887" t="s">
        <v>3346</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constants'!$A$4:$B$1012,2,FALSE)</f>
        <v>DLC_BASE_GAME</v>
      </c>
      <c r="L887" s="3" t="str">
        <f>VLOOKUP(J887,'LibSets constants'!$A$4:$C$1012,3,FALSE)</f>
        <v>Included in base game</v>
      </c>
    </row>
    <row r="888" spans="1:12" x14ac:dyDescent="0.25">
      <c r="A888" s="5">
        <v>1317</v>
      </c>
      <c r="B888" s="5">
        <v>883</v>
      </c>
      <c r="C888" s="5">
        <v>1318</v>
      </c>
      <c r="D888" t="s">
        <v>3339</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constants'!$A$4:$B$1012,2,FALSE)</f>
        <v>DLC_BASE_GAME</v>
      </c>
      <c r="L888" s="3" t="str">
        <f>VLOOKUP(J888,'LibSets constants'!$A$4:$C$1012,3,FALSE)</f>
        <v>Included in base game</v>
      </c>
    </row>
    <row r="889" spans="1:12" x14ac:dyDescent="0.25">
      <c r="A889" s="5">
        <v>1318</v>
      </c>
      <c r="B889" s="5">
        <v>884</v>
      </c>
      <c r="C889" s="5">
        <v>1318</v>
      </c>
      <c r="D889" t="s">
        <v>3322</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constants'!$A$4:$B$1012,2,FALSE)</f>
        <v>DLC_BASE_GAME</v>
      </c>
      <c r="L889" s="3" t="str">
        <f>VLOOKUP(J889,'LibSets constants'!$A$4:$C$1012,3,FALSE)</f>
        <v>Included in base game</v>
      </c>
    </row>
    <row r="890" spans="1:12" x14ac:dyDescent="0.25">
      <c r="A890" s="5">
        <v>1319</v>
      </c>
      <c r="B890" s="5">
        <v>885</v>
      </c>
      <c r="C890" s="5">
        <v>1318</v>
      </c>
      <c r="D890" t="s">
        <v>3347</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constants'!$A$4:$B$1012,2,FALSE)</f>
        <v>DLC_BASE_GAME</v>
      </c>
      <c r="L890" s="3" t="str">
        <f>VLOOKUP(J890,'LibSets constants'!$A$4:$C$1012,3,FALSE)</f>
        <v>Included in base game</v>
      </c>
    </row>
    <row r="891" spans="1:12" x14ac:dyDescent="0.25">
      <c r="A891" s="5">
        <v>1320</v>
      </c>
      <c r="B891" s="5">
        <v>886</v>
      </c>
      <c r="C891" s="5">
        <v>1318</v>
      </c>
      <c r="D891" t="s">
        <v>3362</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constants'!$A$4:$B$1012,2,FALSE)</f>
        <v>DLC_SUMMERSET</v>
      </c>
      <c r="L891" s="3" t="str">
        <f>VLOOKUP(J891,'LibSets constants'!$A$4:$C$1012,3,FALSE)</f>
        <v>Summerset</v>
      </c>
    </row>
    <row r="892" spans="1:12" x14ac:dyDescent="0.25">
      <c r="A892" s="5">
        <v>1321</v>
      </c>
      <c r="B892" s="5">
        <v>887</v>
      </c>
      <c r="C892" s="5">
        <v>1318</v>
      </c>
      <c r="D892" t="s">
        <v>3348</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constants'!$A$4:$B$1012,2,FALSE)</f>
        <v>DLC_BASE_GAME</v>
      </c>
      <c r="L892" s="3" t="str">
        <f>VLOOKUP(J892,'LibSets constants'!$A$4:$C$1012,3,FALSE)</f>
        <v>Included in base game</v>
      </c>
    </row>
    <row r="893" spans="1:12" x14ac:dyDescent="0.25">
      <c r="A893" s="5">
        <v>1322</v>
      </c>
      <c r="B893" s="5">
        <v>888</v>
      </c>
      <c r="C893" s="5">
        <v>1318</v>
      </c>
      <c r="D893" t="s">
        <v>3349</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constants'!$A$4:$B$1012,2,FALSE)</f>
        <v>DLC_BASE_GAME</v>
      </c>
      <c r="L893" s="3" t="str">
        <f>VLOOKUP(J893,'LibSets constants'!$A$4:$C$1012,3,FALSE)</f>
        <v>Included in base game</v>
      </c>
    </row>
    <row r="894" spans="1:12" x14ac:dyDescent="0.25">
      <c r="A894" s="5">
        <v>1324</v>
      </c>
      <c r="B894" s="5">
        <v>889</v>
      </c>
      <c r="C894" s="5">
        <v>1318</v>
      </c>
      <c r="D894" t="s">
        <v>3350</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constants'!$A$4:$B$1012,2,FALSE)</f>
        <v>DLC_BASE_GAME</v>
      </c>
      <c r="L894" s="3" t="str">
        <f>VLOOKUP(J894,'LibSets constants'!$A$4:$C$1012,3,FALSE)</f>
        <v>Included in base game</v>
      </c>
    </row>
    <row r="895" spans="1:12" x14ac:dyDescent="0.25">
      <c r="A895" s="5">
        <v>1326</v>
      </c>
      <c r="B895" s="5">
        <v>890</v>
      </c>
      <c r="C895" s="5">
        <v>1318</v>
      </c>
      <c r="D895" t="s">
        <v>3351</v>
      </c>
      <c r="E895" s="3" t="str">
        <f t="array" ref="E895">IF(OR(EXACT(A895,'ESO Dungeon constants'!$D$3:$D$987)),"X","")</f>
        <v/>
      </c>
      <c r="F895" s="3" t="str">
        <f t="shared" si="52"/>
        <v/>
      </c>
      <c r="G895" s="3" t="str">
        <f t="shared" si="53"/>
        <v>High Isle</v>
      </c>
      <c r="H895" s="17">
        <f t="shared" si="54"/>
        <v>1326</v>
      </c>
      <c r="I895" s="17">
        <f t="shared" si="55"/>
        <v>1318</v>
      </c>
      <c r="J895">
        <v>0</v>
      </c>
      <c r="K895" s="3" t="str">
        <f>VLOOKUP(J895,'LibSets constants'!$A$4:$B$1012,2,FALSE)</f>
        <v>DLC_BASE_GAME</v>
      </c>
      <c r="L895" s="3" t="str">
        <f>VLOOKUP(J895,'LibSets constants'!$A$4:$C$1012,3,FALSE)</f>
        <v>Included in base game</v>
      </c>
    </row>
    <row r="896" spans="1:12" x14ac:dyDescent="0.25">
      <c r="A896" s="5">
        <v>1327</v>
      </c>
      <c r="B896" s="5">
        <v>891</v>
      </c>
      <c r="C896" s="5">
        <v>1318</v>
      </c>
      <c r="D896" t="s">
        <v>1699</v>
      </c>
      <c r="E896" s="3" t="str">
        <f t="array" ref="E896">IF(OR(EXACT(A896,'ESO Dungeon constants'!$D$3:$D$987)),"X","")</f>
        <v/>
      </c>
      <c r="F896" s="3" t="str">
        <f t="shared" si="52"/>
        <v/>
      </c>
      <c r="G896" s="3" t="str">
        <f t="shared" si="53"/>
        <v>High Isle</v>
      </c>
      <c r="H896" s="17">
        <f t="shared" si="54"/>
        <v>1327</v>
      </c>
      <c r="I896" s="17">
        <f t="shared" si="55"/>
        <v>1318</v>
      </c>
      <c r="J896">
        <v>0</v>
      </c>
      <c r="K896" s="3" t="str">
        <f>VLOOKUP(J896,'LibSets constants'!$A$4:$B$1012,2,FALSE)</f>
        <v>DLC_BASE_GAME</v>
      </c>
      <c r="L896" s="3" t="str">
        <f>VLOOKUP(J896,'LibSets constants'!$A$4:$C$1012,3,FALSE)</f>
        <v>Included in base game</v>
      </c>
    </row>
    <row r="897" spans="1:12" x14ac:dyDescent="0.25">
      <c r="A897" s="5">
        <v>1328</v>
      </c>
      <c r="B897" s="5">
        <v>892</v>
      </c>
      <c r="C897" s="5">
        <v>1318</v>
      </c>
      <c r="D897" t="s">
        <v>3352</v>
      </c>
      <c r="E897" s="3" t="str">
        <f t="array" ref="E897">IF(OR(EXACT(A897,'ESO Dungeon constants'!$D$3:$D$987)),"X","")</f>
        <v/>
      </c>
      <c r="F897" s="3" t="str">
        <f t="shared" si="52"/>
        <v/>
      </c>
      <c r="G897" s="3" t="str">
        <f t="shared" si="53"/>
        <v>High Isle</v>
      </c>
      <c r="H897" s="17">
        <f t="shared" si="54"/>
        <v>1328</v>
      </c>
      <c r="I897" s="17">
        <f t="shared" si="55"/>
        <v>1318</v>
      </c>
      <c r="J897">
        <v>0</v>
      </c>
      <c r="K897" s="3" t="str">
        <f>VLOOKUP(J897,'LibSets constants'!$A$4:$B$1012,2,FALSE)</f>
        <v>DLC_BASE_GAME</v>
      </c>
      <c r="L897" s="3" t="str">
        <f>VLOOKUP(J897,'LibSets constants'!$A$4:$C$1012,3,FALSE)</f>
        <v>Included in base game</v>
      </c>
    </row>
    <row r="898" spans="1:12" x14ac:dyDescent="0.25">
      <c r="A898" s="5">
        <v>1329</v>
      </c>
      <c r="B898" s="5">
        <v>893</v>
      </c>
      <c r="C898" s="5">
        <v>1318</v>
      </c>
      <c r="D898" t="s">
        <v>3351</v>
      </c>
      <c r="E898" s="3" t="str">
        <f t="array" ref="E898">IF(OR(EXACT(A898,'ESO Dungeon constants'!$D$3:$D$987)),"X","")</f>
        <v/>
      </c>
      <c r="F898" s="3" t="str">
        <f t="shared" si="52"/>
        <v/>
      </c>
      <c r="G898" s="3" t="str">
        <f t="shared" si="53"/>
        <v>High Isle</v>
      </c>
      <c r="H898" s="17">
        <f t="shared" si="54"/>
        <v>1329</v>
      </c>
      <c r="I898" s="17">
        <f t="shared" si="55"/>
        <v>1318</v>
      </c>
      <c r="J898">
        <v>0</v>
      </c>
      <c r="K898" s="3" t="str">
        <f>VLOOKUP(J898,'LibSets constants'!$A$4:$B$1012,2,FALSE)</f>
        <v>DLC_BASE_GAME</v>
      </c>
      <c r="L898" s="3" t="str">
        <f>VLOOKUP(J898,'LibSets constants'!$A$4:$C$1012,3,FALSE)</f>
        <v>Included in base game</v>
      </c>
    </row>
    <row r="899" spans="1:12" x14ac:dyDescent="0.25">
      <c r="A899" s="5">
        <v>1330</v>
      </c>
      <c r="B899" s="5">
        <v>894</v>
      </c>
      <c r="C899" s="5">
        <v>1318</v>
      </c>
      <c r="D899" t="s">
        <v>3361</v>
      </c>
      <c r="E899" s="3" t="str">
        <f t="array" ref="E899">IF(OR(EXACT(A899,'ESO Dungeon constants'!$D$3:$D$987)),"X","")</f>
        <v/>
      </c>
      <c r="F899" s="3" t="str">
        <f t="shared" si="52"/>
        <v/>
      </c>
      <c r="G899" s="3" t="str">
        <f t="shared" si="53"/>
        <v>High Isle</v>
      </c>
      <c r="H899" s="17">
        <f t="shared" si="54"/>
        <v>1330</v>
      </c>
      <c r="I899" s="17">
        <f t="shared" si="55"/>
        <v>1318</v>
      </c>
      <c r="J899">
        <v>10</v>
      </c>
      <c r="K899" s="3" t="str">
        <f>VLOOKUP(J899,'LibSets constants'!$A$4:$B$1012,2,FALSE)</f>
        <v>DLC_SUMMERSET</v>
      </c>
      <c r="L899" s="3" t="str">
        <f>VLOOKUP(J899,'LibSets constants'!$A$4:$C$1012,3,FALSE)</f>
        <v>Summerset</v>
      </c>
    </row>
    <row r="900" spans="1:12" x14ac:dyDescent="0.25">
      <c r="A900" s="5">
        <v>1331</v>
      </c>
      <c r="B900" s="5">
        <v>895</v>
      </c>
      <c r="C900" s="5">
        <v>1318</v>
      </c>
      <c r="D900" t="s">
        <v>3353</v>
      </c>
      <c r="E900" s="3" t="str">
        <f t="array" ref="E900">IF(OR(EXACT(A900,'ESO Dungeon constants'!$D$3:$D$987)),"X","")</f>
        <v/>
      </c>
      <c r="F900" s="3" t="str">
        <f t="shared" si="52"/>
        <v/>
      </c>
      <c r="G900" s="3" t="str">
        <f t="shared" si="53"/>
        <v>High Isle</v>
      </c>
      <c r="H900" s="17">
        <f t="shared" si="54"/>
        <v>1331</v>
      </c>
      <c r="I900" s="17">
        <f t="shared" si="55"/>
        <v>1318</v>
      </c>
      <c r="J900">
        <v>0</v>
      </c>
      <c r="K900" s="3" t="str">
        <f>VLOOKUP(J900,'LibSets constants'!$A$4:$B$1012,2,FALSE)</f>
        <v>DLC_BASE_GAME</v>
      </c>
      <c r="L900" s="3" t="str">
        <f>VLOOKUP(J900,'LibSets constants'!$A$4:$C$1012,3,FALSE)</f>
        <v>Included in base game</v>
      </c>
    </row>
    <row r="901" spans="1:12" x14ac:dyDescent="0.25">
      <c r="A901" s="5">
        <v>1332</v>
      </c>
      <c r="B901" s="5">
        <v>896</v>
      </c>
      <c r="C901" s="5">
        <v>1318</v>
      </c>
      <c r="D901" t="s">
        <v>3360</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1332</v>
      </c>
      <c r="I901" s="17">
        <f t="shared" ref="I901:I964" si="59">C901</f>
        <v>1318</v>
      </c>
      <c r="J901">
        <v>10</v>
      </c>
      <c r="K901" s="3" t="str">
        <f>VLOOKUP(J901,'LibSets constants'!$A$4:$B$1012,2,FALSE)</f>
        <v>DLC_SUMMERSET</v>
      </c>
      <c r="L901" s="3" t="str">
        <f>VLOOKUP(J901,'LibSets constants'!$A$4:$C$1012,3,FALSE)</f>
        <v>Summerset</v>
      </c>
    </row>
    <row r="902" spans="1:12" x14ac:dyDescent="0.25">
      <c r="A902" s="5">
        <v>1333</v>
      </c>
      <c r="B902" s="5">
        <v>897</v>
      </c>
      <c r="C902" s="5">
        <v>1318</v>
      </c>
      <c r="D902" t="s">
        <v>3359</v>
      </c>
      <c r="E902" s="3" t="str">
        <f t="array" ref="E902">IF(OR(EXACT(A902,'ESO Dungeon constants'!$D$3:$D$987)),"X","")</f>
        <v/>
      </c>
      <c r="F902" s="3" t="str">
        <f t="shared" si="56"/>
        <v/>
      </c>
      <c r="G902" s="3" t="str">
        <f t="shared" si="57"/>
        <v>High Isle</v>
      </c>
      <c r="H902" s="17">
        <f t="shared" si="58"/>
        <v>1333</v>
      </c>
      <c r="I902" s="17">
        <f t="shared" si="59"/>
        <v>1318</v>
      </c>
      <c r="J902">
        <v>10</v>
      </c>
      <c r="K902" s="3" t="str">
        <f>VLOOKUP(J902,'LibSets constants'!$A$4:$B$1012,2,FALSE)</f>
        <v>DLC_SUMMERSET</v>
      </c>
      <c r="L902" s="3" t="str">
        <f>VLOOKUP(J902,'LibSets constants'!$A$4:$C$1012,3,FALSE)</f>
        <v>Summerset</v>
      </c>
    </row>
    <row r="903" spans="1:12" x14ac:dyDescent="0.25">
      <c r="A903" s="5">
        <v>1334</v>
      </c>
      <c r="B903" s="5">
        <v>898</v>
      </c>
      <c r="C903" s="5">
        <v>1318</v>
      </c>
      <c r="D903" t="s">
        <v>3358</v>
      </c>
      <c r="E903" s="3" t="str">
        <f t="array" ref="E903">IF(OR(EXACT(A903,'ESO Dungeon constants'!$D$3:$D$987)),"X","")</f>
        <v/>
      </c>
      <c r="F903" s="3" t="str">
        <f t="shared" si="56"/>
        <v/>
      </c>
      <c r="G903" s="3" t="str">
        <f t="shared" si="57"/>
        <v>High Isle</v>
      </c>
      <c r="H903" s="17">
        <f t="shared" si="58"/>
        <v>1334</v>
      </c>
      <c r="I903" s="17">
        <f t="shared" si="59"/>
        <v>1318</v>
      </c>
      <c r="J903">
        <v>10</v>
      </c>
      <c r="K903" s="3" t="str">
        <f>VLOOKUP(J903,'LibSets constants'!$A$4:$B$1012,2,FALSE)</f>
        <v>DLC_SUMMERSET</v>
      </c>
      <c r="L903" s="3" t="str">
        <f>VLOOKUP(J903,'LibSets constants'!$A$4:$C$1012,3,FALSE)</f>
        <v>Summerset</v>
      </c>
    </row>
    <row r="904" spans="1:12" x14ac:dyDescent="0.25">
      <c r="A904" s="5">
        <v>1335</v>
      </c>
      <c r="B904" s="5">
        <v>899</v>
      </c>
      <c r="C904" s="5">
        <v>1318</v>
      </c>
      <c r="D904" t="s">
        <v>3357</v>
      </c>
      <c r="E904" s="3" t="str">
        <f t="array" ref="E904">IF(OR(EXACT(A904,'ESO Dungeon constants'!$D$3:$D$987)),"X","")</f>
        <v/>
      </c>
      <c r="F904" s="3" t="str">
        <f t="shared" si="56"/>
        <v/>
      </c>
      <c r="G904" s="3" t="str">
        <f t="shared" si="57"/>
        <v>High Isle</v>
      </c>
      <c r="H904" s="17">
        <f t="shared" si="58"/>
        <v>1335</v>
      </c>
      <c r="I904" s="17">
        <f t="shared" si="59"/>
        <v>1318</v>
      </c>
      <c r="J904">
        <v>10</v>
      </c>
      <c r="K904" s="3" t="str">
        <f>VLOOKUP(J904,'LibSets constants'!$A$4:$B$1012,2,FALSE)</f>
        <v>DLC_SUMMERSET</v>
      </c>
      <c r="L904" s="3" t="str">
        <f>VLOOKUP(J904,'LibSets constants'!$A$4:$C$1012,3,FALSE)</f>
        <v>Summerset</v>
      </c>
    </row>
    <row r="905" spans="1:12" x14ac:dyDescent="0.25">
      <c r="A905" s="5">
        <v>1336</v>
      </c>
      <c r="B905" s="5">
        <v>900</v>
      </c>
      <c r="C905" s="5">
        <v>1318</v>
      </c>
      <c r="D905" t="s">
        <v>3356</v>
      </c>
      <c r="E905" s="3" t="str">
        <f t="array" ref="E905">IF(OR(EXACT(A905,'ESO Dungeon constants'!$D$3:$D$987)),"X","")</f>
        <v/>
      </c>
      <c r="F905" s="3" t="str">
        <f t="shared" si="56"/>
        <v/>
      </c>
      <c r="G905" s="3" t="str">
        <f t="shared" si="57"/>
        <v>High Isle</v>
      </c>
      <c r="H905" s="17">
        <f t="shared" si="58"/>
        <v>1336</v>
      </c>
      <c r="I905" s="17">
        <f t="shared" si="59"/>
        <v>1318</v>
      </c>
      <c r="J905">
        <v>10</v>
      </c>
      <c r="K905" s="3" t="str">
        <f>VLOOKUP(J905,'LibSets constants'!$A$4:$B$1012,2,FALSE)</f>
        <v>DLC_SUMMERSET</v>
      </c>
      <c r="L905" s="3" t="str">
        <f>VLOOKUP(J905,'LibSets constants'!$A$4:$C$1012,3,FALSE)</f>
        <v>Summerset</v>
      </c>
    </row>
    <row r="906" spans="1:12" x14ac:dyDescent="0.25">
      <c r="A906" s="5">
        <v>1337</v>
      </c>
      <c r="B906" s="5">
        <v>901</v>
      </c>
      <c r="C906" s="5">
        <v>1318</v>
      </c>
      <c r="D906" t="s">
        <v>3355</v>
      </c>
      <c r="E906" s="3" t="str">
        <f t="array" ref="E906">IF(OR(EXACT(A906,'ESO Dungeon constants'!$D$3:$D$987)),"X","")</f>
        <v/>
      </c>
      <c r="F906" s="3" t="str">
        <f t="shared" si="56"/>
        <v/>
      </c>
      <c r="G906" s="3" t="str">
        <f t="shared" si="57"/>
        <v>High Isle</v>
      </c>
      <c r="H906" s="17">
        <f t="shared" si="58"/>
        <v>1337</v>
      </c>
      <c r="I906" s="17">
        <f t="shared" si="59"/>
        <v>1318</v>
      </c>
      <c r="J906">
        <v>10</v>
      </c>
      <c r="K906" s="3" t="str">
        <f>VLOOKUP(J906,'LibSets constants'!$A$4:$B$1012,2,FALSE)</f>
        <v>DLC_SUMMERSET</v>
      </c>
      <c r="L906" s="3" t="str">
        <f>VLOOKUP(J906,'LibSets constants'!$A$4:$C$1012,3,FALSE)</f>
        <v>Summerset</v>
      </c>
    </row>
    <row r="907" spans="1:12" x14ac:dyDescent="0.25">
      <c r="A907" s="5">
        <v>1338</v>
      </c>
      <c r="B907" s="5">
        <v>902</v>
      </c>
      <c r="C907" s="5">
        <v>1318</v>
      </c>
      <c r="D907" t="s">
        <v>3354</v>
      </c>
      <c r="E907" s="3" t="str">
        <f t="array" ref="E907">IF(OR(EXACT(A907,'ESO Dungeon constants'!$D$3:$D$987)),"X","")</f>
        <v/>
      </c>
      <c r="F907" s="3" t="str">
        <f t="shared" si="56"/>
        <v/>
      </c>
      <c r="G907" s="3" t="str">
        <f t="shared" si="57"/>
        <v>High Isle</v>
      </c>
      <c r="H907" s="17">
        <f t="shared" si="58"/>
        <v>1338</v>
      </c>
      <c r="I907" s="17">
        <f t="shared" si="59"/>
        <v>1318</v>
      </c>
      <c r="J907">
        <v>10</v>
      </c>
      <c r="K907" s="3" t="str">
        <f>VLOOKUP(J907,'LibSets constants'!$A$4:$B$1012,2,FALSE)</f>
        <v>DLC_SUMMERSET</v>
      </c>
      <c r="L907" s="3" t="str">
        <f>VLOOKUP(J907,'LibSets constants'!$A$4:$C$1012,3,FALSE)</f>
        <v>Summerset</v>
      </c>
    </row>
    <row r="908" spans="1:12" x14ac:dyDescent="0.25">
      <c r="A908" s="5">
        <v>1342</v>
      </c>
      <c r="B908" s="5">
        <v>903</v>
      </c>
      <c r="C908" s="5">
        <v>1282</v>
      </c>
      <c r="D908" t="s">
        <v>2672</v>
      </c>
      <c r="E908" s="3" t="str">
        <f t="array" ref="E908">IF(OR(EXACT(A908,'ESO Dungeon constants'!$D$3:$D$987)),"X","")</f>
        <v/>
      </c>
      <c r="F908" s="3" t="str">
        <f t="shared" si="56"/>
        <v/>
      </c>
      <c r="G908" s="3" t="str">
        <f t="shared" si="57"/>
        <v>Fargrave</v>
      </c>
      <c r="H908" s="17">
        <f t="shared" si="58"/>
        <v>1342</v>
      </c>
      <c r="I908" s="17">
        <f t="shared" si="59"/>
        <v>1282</v>
      </c>
      <c r="J908">
        <v>0</v>
      </c>
      <c r="K908" s="3" t="str">
        <f>VLOOKUP(J908,'LibSets constants'!$A$4:$B$1012,2,FALSE)</f>
        <v>DLC_BASE_GAME</v>
      </c>
      <c r="L908" s="3" t="str">
        <f>VLOOKUP(J908,'LibSets constants'!$A$4:$C$1012,3,FALSE)</f>
        <v>Included in base game</v>
      </c>
    </row>
    <row r="909" spans="1:12" x14ac:dyDescent="0.25">
      <c r="A909" s="5">
        <v>1343</v>
      </c>
      <c r="B909" s="5">
        <v>904</v>
      </c>
      <c r="C909" s="5">
        <v>1286</v>
      </c>
      <c r="D909" t="s">
        <v>2673</v>
      </c>
      <c r="E909" s="3" t="str">
        <f t="array" ref="E909">IF(OR(EXACT(A909,'ESO Dungeon constants'!$D$3:$D$987)),"X","")</f>
        <v/>
      </c>
      <c r="F909" s="3" t="str">
        <f t="shared" si="56"/>
        <v/>
      </c>
      <c r="G909" s="3" t="str">
        <f t="shared" si="57"/>
        <v>The Deadlands</v>
      </c>
      <c r="H909" s="17">
        <f t="shared" si="58"/>
        <v>1343</v>
      </c>
      <c r="I909" s="17">
        <f t="shared" si="59"/>
        <v>1286</v>
      </c>
      <c r="J909">
        <v>10</v>
      </c>
      <c r="K909" s="3" t="str">
        <f>VLOOKUP(J909,'LibSets constants'!$A$4:$B$1012,2,FALSE)</f>
        <v>DLC_SUMMERSET</v>
      </c>
      <c r="L909" s="3" t="str">
        <f>VLOOKUP(J909,'LibSets constants'!$A$4:$C$1012,3,FALSE)</f>
        <v>Summerset</v>
      </c>
    </row>
    <row r="910" spans="1:12" x14ac:dyDescent="0.25">
      <c r="A910" s="5">
        <v>1344</v>
      </c>
      <c r="B910" s="5">
        <v>905</v>
      </c>
      <c r="C910" s="5">
        <v>1318</v>
      </c>
      <c r="D910" t="s">
        <v>3344</v>
      </c>
      <c r="E910" s="3" t="str">
        <f t="array" ref="E910">IF(OR(EXACT(A910,'ESO Dungeon constants'!$D$3:$D$987)),"X","")</f>
        <v>X</v>
      </c>
      <c r="F910" s="3" t="str">
        <f t="shared" si="56"/>
        <v/>
      </c>
      <c r="G910" s="3" t="str">
        <f t="shared" si="57"/>
        <v>High Isle</v>
      </c>
      <c r="H910" s="17">
        <f t="shared" si="58"/>
        <v>1344</v>
      </c>
      <c r="I910" s="17">
        <f t="shared" si="59"/>
        <v>1318</v>
      </c>
      <c r="J910">
        <v>9</v>
      </c>
      <c r="K910" s="3" t="str">
        <f>VLOOKUP(J910,'LibSets constants'!$A$4:$B$1012,2,FALSE)</f>
        <v>DLC_DRAGON_BONES</v>
      </c>
      <c r="L910" s="3" t="str">
        <f>VLOOKUP(J910,'LibSets constants'!$A$4:$C$1012,3,FALSE)</f>
        <v>Dragon Bones</v>
      </c>
    </row>
    <row r="911" spans="1:12" x14ac:dyDescent="0.25">
      <c r="A911" s="5">
        <v>1345</v>
      </c>
      <c r="B911" s="5">
        <v>906</v>
      </c>
      <c r="C911" s="5">
        <v>535</v>
      </c>
      <c r="D911" t="s">
        <v>2722</v>
      </c>
      <c r="E911" s="3" t="str">
        <f t="array" ref="E911">IF(OR(EXACT(A911,'ESO Dungeon constants'!$D$3:$D$987)),"X","")</f>
        <v/>
      </c>
      <c r="F911" s="3" t="str">
        <f t="shared" si="56"/>
        <v/>
      </c>
      <c r="G911" s="3" t="str">
        <f t="shared" si="57"/>
        <v>Betnikh</v>
      </c>
      <c r="H911" s="17">
        <f t="shared" si="58"/>
        <v>1345</v>
      </c>
      <c r="I911" s="17">
        <f t="shared" si="59"/>
        <v>535</v>
      </c>
      <c r="J911">
        <v>9</v>
      </c>
      <c r="K911" s="3" t="str">
        <f>VLOOKUP(J911,'LibSets constants'!$A$4:$B$1012,2,FALSE)</f>
        <v>DLC_DRAGON_BONES</v>
      </c>
      <c r="L911" s="3" t="str">
        <f>VLOOKUP(J911,'LibSets constants'!$A$4:$C$1012,3,FALSE)</f>
        <v>Dragon Bones</v>
      </c>
    </row>
    <row r="912" spans="1:12" x14ac:dyDescent="0.25">
      <c r="A912" s="5">
        <v>1360</v>
      </c>
      <c r="B912" s="5">
        <v>907</v>
      </c>
      <c r="C912" s="5">
        <v>1318</v>
      </c>
      <c r="D912" t="s">
        <v>3381</v>
      </c>
      <c r="E912" s="3" t="str">
        <f t="array" ref="E912">IF(OR(EXACT(A912,'ESO Dungeon constants'!$D$3:$D$987)),"X","")</f>
        <v>X</v>
      </c>
      <c r="F912" s="3" t="str">
        <f t="shared" si="56"/>
        <v/>
      </c>
      <c r="G912" s="3" t="str">
        <f t="shared" si="57"/>
        <v>High Isle</v>
      </c>
      <c r="H912" s="17">
        <f t="shared" si="58"/>
        <v>1360</v>
      </c>
      <c r="I912" s="17">
        <f t="shared" si="59"/>
        <v>1318</v>
      </c>
      <c r="J912">
        <v>0</v>
      </c>
      <c r="K912" s="3" t="str">
        <f>VLOOKUP(J912,'LibSets constants'!$A$4:$B$1012,2,FALSE)</f>
        <v>DLC_BASE_GAME</v>
      </c>
      <c r="L912" s="3" t="str">
        <f>VLOOKUP(J912,'LibSets constants'!$A$4:$C$1012,3,FALSE)</f>
        <v>Included in base game</v>
      </c>
    </row>
    <row r="913" spans="1:12" x14ac:dyDescent="0.25">
      <c r="A913" s="5">
        <v>1361</v>
      </c>
      <c r="B913" s="5">
        <v>908</v>
      </c>
      <c r="C913" s="5">
        <v>1318</v>
      </c>
      <c r="D913" t="s">
        <v>3382</v>
      </c>
      <c r="E913" s="3" t="str">
        <f t="array" ref="E913">IF(OR(EXACT(A913,'ESO Dungeon constants'!$D$3:$D$987)),"X","")</f>
        <v>X</v>
      </c>
      <c r="F913" s="3" t="str">
        <f t="shared" si="56"/>
        <v/>
      </c>
      <c r="G913" s="3" t="str">
        <f t="shared" si="57"/>
        <v>High Isle</v>
      </c>
      <c r="H913" s="17">
        <f t="shared" si="58"/>
        <v>1361</v>
      </c>
      <c r="I913" s="17">
        <f t="shared" si="59"/>
        <v>1318</v>
      </c>
      <c r="J913">
        <v>0</v>
      </c>
      <c r="K913" s="3" t="str">
        <f>VLOOKUP(J913,'LibSets constants'!$A$4:$B$1012,2,FALSE)</f>
        <v>DLC_BASE_GAME</v>
      </c>
      <c r="L913" s="3" t="str">
        <f>VLOOKUP(J913,'LibSets constants'!$A$4:$C$1012,3,FALSE)</f>
        <v>Included in base game</v>
      </c>
    </row>
    <row r="914" spans="1:12" x14ac:dyDescent="0.25">
      <c r="A914" s="5">
        <v>1363</v>
      </c>
      <c r="B914" s="5">
        <v>909</v>
      </c>
      <c r="C914" s="5">
        <v>1318</v>
      </c>
      <c r="D914" t="s">
        <v>3343</v>
      </c>
      <c r="E914" s="3" t="str">
        <f t="array" ref="E914">IF(OR(EXACT(A914,'ESO Dungeon constants'!$D$3:$D$987)),"X","")</f>
        <v/>
      </c>
      <c r="F914" s="3" t="str">
        <f t="shared" si="56"/>
        <v/>
      </c>
      <c r="G914" s="3" t="str">
        <f t="shared" si="57"/>
        <v>High Isle</v>
      </c>
      <c r="H914" s="17">
        <f t="shared" si="58"/>
        <v>1363</v>
      </c>
      <c r="I914" s="17">
        <f t="shared" si="59"/>
        <v>1318</v>
      </c>
      <c r="J914">
        <v>0</v>
      </c>
      <c r="K914" s="3" t="str">
        <f>VLOOKUP(J914,'LibSets constants'!$A$4:$B$1012,2,FALSE)</f>
        <v>DLC_BASE_GAME</v>
      </c>
      <c r="L914" s="3" t="str">
        <f>VLOOKUP(J914,'LibSets constants'!$A$4:$C$1012,3,FALSE)</f>
        <v>Included in base game</v>
      </c>
    </row>
    <row r="915" spans="1:12" x14ac:dyDescent="0.25">
      <c r="A915" s="5">
        <v>1364</v>
      </c>
      <c r="B915" s="5">
        <v>910</v>
      </c>
      <c r="C915" s="5">
        <v>1318</v>
      </c>
      <c r="D915" t="s">
        <v>3342</v>
      </c>
      <c r="E915" s="3" t="str">
        <f t="array" ref="E915">IF(OR(EXACT(A915,'ESO Dungeon constants'!$D$3:$D$987)),"X","")</f>
        <v/>
      </c>
      <c r="F915" s="3" t="str">
        <f t="shared" si="56"/>
        <v/>
      </c>
      <c r="G915" s="3" t="str">
        <f t="shared" si="57"/>
        <v>High Isle</v>
      </c>
      <c r="H915" s="17">
        <f t="shared" si="58"/>
        <v>1364</v>
      </c>
      <c r="I915" s="17">
        <f t="shared" si="59"/>
        <v>1318</v>
      </c>
      <c r="J915">
        <v>0</v>
      </c>
      <c r="K915" s="3" t="str">
        <f>VLOOKUP(J915,'LibSets constants'!$A$4:$B$1012,2,FALSE)</f>
        <v>DLC_BASE_GAME</v>
      </c>
      <c r="L915" s="3" t="str">
        <f>VLOOKUP(J915,'LibSets constants'!$A$4:$C$1012,3,FALSE)</f>
        <v>Included in base game</v>
      </c>
    </row>
    <row r="916" spans="1:12" x14ac:dyDescent="0.25">
      <c r="A916" s="5">
        <v>1365</v>
      </c>
      <c r="B916" s="5">
        <v>911</v>
      </c>
      <c r="C916" s="5">
        <v>3</v>
      </c>
      <c r="D916" t="s">
        <v>3405</v>
      </c>
      <c r="E916" s="3" t="str">
        <f t="array" ref="E916">IF(OR(EXACT(A916,'ESO Dungeon constants'!$D$3:$D$987)),"X","")</f>
        <v/>
      </c>
      <c r="F916" s="3" t="str">
        <f t="shared" si="56"/>
        <v/>
      </c>
      <c r="G916" s="3" t="str">
        <f t="shared" si="57"/>
        <v>Glenumbra</v>
      </c>
      <c r="H916" s="17">
        <f t="shared" si="58"/>
        <v>1365</v>
      </c>
      <c r="I916" s="17">
        <f t="shared" si="59"/>
        <v>3</v>
      </c>
      <c r="J916">
        <v>4</v>
      </c>
      <c r="K916" s="3" t="str">
        <f>VLOOKUP(J916,'LibSets constants'!$A$4:$B$1012,2,FALSE)</f>
        <v>DLC_DARK_BROTHERHOOD</v>
      </c>
      <c r="L916" s="3" t="str">
        <f>VLOOKUP(J916,'LibSets constants'!$A$4:$C$1012,3,FALSE)</f>
        <v>Dark Brotherhood</v>
      </c>
    </row>
    <row r="917" spans="1:12" x14ac:dyDescent="0.25">
      <c r="A917" s="5">
        <v>1366</v>
      </c>
      <c r="B917" s="5">
        <v>912</v>
      </c>
      <c r="C917" s="5">
        <v>92</v>
      </c>
      <c r="D917" t="s">
        <v>3404</v>
      </c>
      <c r="E917" s="3" t="str">
        <f t="array" ref="E917">IF(OR(EXACT(A917,'ESO Dungeon constants'!$D$3:$D$987)),"X","")</f>
        <v/>
      </c>
      <c r="F917" s="3" t="str">
        <f t="shared" si="56"/>
        <v/>
      </c>
      <c r="G917" s="3" t="str">
        <f t="shared" si="57"/>
        <v>Bangkorai</v>
      </c>
      <c r="H917" s="17">
        <f t="shared" si="58"/>
        <v>1366</v>
      </c>
      <c r="I917" s="17">
        <f t="shared" si="59"/>
        <v>92</v>
      </c>
      <c r="J917">
        <v>0</v>
      </c>
      <c r="K917" s="3" t="str">
        <f>VLOOKUP(J917,'LibSets constants'!$A$4:$B$1012,2,FALSE)</f>
        <v>DLC_BASE_GAME</v>
      </c>
      <c r="L917" s="3" t="str">
        <f>VLOOKUP(J917,'LibSets constants'!$A$4:$C$1012,3,FALSE)</f>
        <v>Included in base game</v>
      </c>
    </row>
    <row r="918" spans="1:12" x14ac:dyDescent="0.25">
      <c r="A918" s="5">
        <v>1367</v>
      </c>
      <c r="B918" s="5">
        <v>913</v>
      </c>
      <c r="C918" s="5">
        <v>1383</v>
      </c>
      <c r="D918" t="s">
        <v>3450</v>
      </c>
      <c r="E918" s="3" t="str">
        <f t="array" ref="E918">IF(OR(EXACT(A918,'ESO Dungeon constants'!$D$3:$D$987)),"X","")</f>
        <v/>
      </c>
      <c r="F918" s="3" t="str">
        <f t="shared" si="56"/>
        <v/>
      </c>
      <c r="G918" s="3" t="str">
        <f t="shared" si="57"/>
        <v>Galen</v>
      </c>
      <c r="H918" s="17">
        <f t="shared" si="58"/>
        <v>1367</v>
      </c>
      <c r="I918" s="17">
        <f t="shared" si="59"/>
        <v>1383</v>
      </c>
      <c r="J918">
        <v>0</v>
      </c>
      <c r="K918" s="3" t="str">
        <f>VLOOKUP(J918,'LibSets constants'!$A$4:$B$1012,2,FALSE)</f>
        <v>DLC_BASE_GAME</v>
      </c>
      <c r="L918" s="3" t="str">
        <f>VLOOKUP(J918,'LibSets constants'!$A$4:$C$1012,3,FALSE)</f>
        <v>Included in base game</v>
      </c>
    </row>
    <row r="919" spans="1:12" x14ac:dyDescent="0.25">
      <c r="A919" s="5">
        <v>1368</v>
      </c>
      <c r="B919" s="5">
        <v>914</v>
      </c>
      <c r="C919" s="5">
        <v>1383</v>
      </c>
      <c r="D919" t="s">
        <v>3451</v>
      </c>
      <c r="E919" s="3" t="str">
        <f t="array" ref="E919">IF(OR(EXACT(A919,'ESO Dungeon constants'!$D$3:$D$987)),"X","")</f>
        <v/>
      </c>
      <c r="F919" s="3" t="str">
        <f t="shared" si="56"/>
        <v/>
      </c>
      <c r="G919" s="3" t="str">
        <f t="shared" si="57"/>
        <v>Galen</v>
      </c>
      <c r="H919" s="17">
        <f t="shared" si="58"/>
        <v>1368</v>
      </c>
      <c r="I919" s="17">
        <f t="shared" si="59"/>
        <v>1383</v>
      </c>
      <c r="J919">
        <v>0</v>
      </c>
      <c r="K919" s="3" t="str">
        <f>VLOOKUP(J919,'LibSets constants'!$A$4:$B$1012,2,FALSE)</f>
        <v>DLC_BASE_GAME</v>
      </c>
      <c r="L919" s="3" t="str">
        <f>VLOOKUP(J919,'LibSets constants'!$A$4:$C$1012,3,FALSE)</f>
        <v>Included in base game</v>
      </c>
    </row>
    <row r="920" spans="1:12" x14ac:dyDescent="0.25">
      <c r="A920" s="5">
        <v>1369</v>
      </c>
      <c r="B920" s="5">
        <v>915</v>
      </c>
      <c r="C920" s="5">
        <v>1383</v>
      </c>
      <c r="D920" t="s">
        <v>3452</v>
      </c>
      <c r="E920" s="3" t="str">
        <f t="array" ref="E920">IF(OR(EXACT(A920,'ESO Dungeon constants'!$D$3:$D$987)),"X","")</f>
        <v/>
      </c>
      <c r="F920" s="3" t="str">
        <f t="shared" si="56"/>
        <v/>
      </c>
      <c r="G920" s="3" t="str">
        <f t="shared" si="57"/>
        <v>Galen</v>
      </c>
      <c r="H920" s="17">
        <f t="shared" si="58"/>
        <v>1369</v>
      </c>
      <c r="I920" s="17">
        <f t="shared" si="59"/>
        <v>1383</v>
      </c>
      <c r="J920">
        <v>0</v>
      </c>
      <c r="K920" s="3" t="str">
        <f>VLOOKUP(J920,'LibSets constants'!$A$4:$B$1012,2,FALSE)</f>
        <v>DLC_BASE_GAME</v>
      </c>
      <c r="L920" s="3" t="str">
        <f>VLOOKUP(J920,'LibSets constants'!$A$4:$C$1012,3,FALSE)</f>
        <v>Included in base game</v>
      </c>
    </row>
    <row r="921" spans="1:12" x14ac:dyDescent="0.25">
      <c r="A921" s="5">
        <v>1370</v>
      </c>
      <c r="B921" s="5">
        <v>916</v>
      </c>
      <c r="C921" s="5">
        <v>1383</v>
      </c>
      <c r="D921" t="s">
        <v>3467</v>
      </c>
      <c r="E921" s="3" t="str">
        <f t="array" ref="E921">IF(OR(EXACT(A921,'ESO Dungeon constants'!$D$3:$D$987)),"X","")</f>
        <v/>
      </c>
      <c r="F921" s="3" t="str">
        <f t="shared" si="56"/>
        <v/>
      </c>
      <c r="G921" s="3" t="str">
        <f t="shared" si="57"/>
        <v>Galen</v>
      </c>
      <c r="H921" s="17">
        <f t="shared" si="58"/>
        <v>1370</v>
      </c>
      <c r="I921" s="17">
        <f t="shared" si="59"/>
        <v>1383</v>
      </c>
      <c r="J921">
        <v>8</v>
      </c>
      <c r="K921" s="3" t="str">
        <f>VLOOKUP(J921,'LibSets constants'!$A$4:$B$1012,2,FALSE)</f>
        <v>DLC_CLOCKWORK_CITY</v>
      </c>
      <c r="L921" s="3" t="str">
        <f>VLOOKUP(J921,'LibSets constants'!$A$4:$C$1012,3,FALSE)</f>
        <v>Clockwork City</v>
      </c>
    </row>
    <row r="922" spans="1:12" x14ac:dyDescent="0.25">
      <c r="A922" s="5">
        <v>1371</v>
      </c>
      <c r="B922" s="5">
        <v>917</v>
      </c>
      <c r="C922" s="5">
        <v>1383</v>
      </c>
      <c r="D922" t="s">
        <v>3466</v>
      </c>
      <c r="E922" s="3" t="str">
        <f t="array" ref="E922">IF(OR(EXACT(A922,'ESO Dungeon constants'!$D$3:$D$987)),"X","")</f>
        <v/>
      </c>
      <c r="F922" s="3" t="str">
        <f t="shared" si="56"/>
        <v/>
      </c>
      <c r="G922" s="3" t="str">
        <f t="shared" si="57"/>
        <v>Galen</v>
      </c>
      <c r="H922" s="17">
        <f t="shared" si="58"/>
        <v>1371</v>
      </c>
      <c r="I922" s="17">
        <f t="shared" si="59"/>
        <v>1383</v>
      </c>
      <c r="J922">
        <v>8</v>
      </c>
      <c r="K922" s="3" t="str">
        <f>VLOOKUP(J922,'LibSets constants'!$A$4:$B$1012,2,FALSE)</f>
        <v>DLC_CLOCKWORK_CITY</v>
      </c>
      <c r="L922" s="3" t="str">
        <f>VLOOKUP(J922,'LibSets constants'!$A$4:$C$1012,3,FALSE)</f>
        <v>Clockwork City</v>
      </c>
    </row>
    <row r="923" spans="1:12" x14ac:dyDescent="0.25">
      <c r="A923" s="5">
        <v>1372</v>
      </c>
      <c r="B923" s="5">
        <v>918</v>
      </c>
      <c r="C923" s="5">
        <v>1383</v>
      </c>
      <c r="D923" t="s">
        <v>3453</v>
      </c>
      <c r="E923" s="3" t="str">
        <f t="array" ref="E923">IF(OR(EXACT(A923,'ESO Dungeon constants'!$D$3:$D$987)),"X","")</f>
        <v/>
      </c>
      <c r="F923" s="3" t="str">
        <f t="shared" si="56"/>
        <v/>
      </c>
      <c r="G923" s="3" t="str">
        <f t="shared" si="57"/>
        <v>Galen</v>
      </c>
      <c r="H923" s="17">
        <f t="shared" si="58"/>
        <v>1372</v>
      </c>
      <c r="I923" s="17">
        <f t="shared" si="59"/>
        <v>1383</v>
      </c>
      <c r="J923">
        <v>0</v>
      </c>
      <c r="K923" s="3" t="str">
        <f>VLOOKUP(J923,'LibSets constants'!$A$4:$B$1012,2,FALSE)</f>
        <v>DLC_BASE_GAME</v>
      </c>
      <c r="L923" s="3" t="str">
        <f>VLOOKUP(J923,'LibSets constants'!$A$4:$C$1012,3,FALSE)</f>
        <v>Included in base game</v>
      </c>
    </row>
    <row r="924" spans="1:12" x14ac:dyDescent="0.25">
      <c r="A924" s="5">
        <v>1373</v>
      </c>
      <c r="B924" s="5">
        <v>919</v>
      </c>
      <c r="C924" s="5">
        <v>1383</v>
      </c>
      <c r="D924" t="s">
        <v>3454</v>
      </c>
      <c r="E924" s="3" t="str">
        <f t="array" ref="E924">IF(OR(EXACT(A924,'ESO Dungeon constants'!$D$3:$D$987)),"X","")</f>
        <v/>
      </c>
      <c r="F924" s="3" t="str">
        <f t="shared" si="56"/>
        <v/>
      </c>
      <c r="G924" s="3" t="str">
        <f t="shared" si="57"/>
        <v>Galen</v>
      </c>
      <c r="H924" s="17">
        <f t="shared" si="58"/>
        <v>1373</v>
      </c>
      <c r="I924" s="17">
        <f t="shared" si="59"/>
        <v>1383</v>
      </c>
      <c r="J924">
        <v>0</v>
      </c>
      <c r="K924" s="3" t="str">
        <f>VLOOKUP(J924,'LibSets constants'!$A$4:$B$1012,2,FALSE)</f>
        <v>DLC_BASE_GAME</v>
      </c>
      <c r="L924" s="3" t="str">
        <f>VLOOKUP(J924,'LibSets constants'!$A$4:$C$1012,3,FALSE)</f>
        <v>Included in base game</v>
      </c>
    </row>
    <row r="925" spans="1:12" x14ac:dyDescent="0.25">
      <c r="A925" s="5">
        <v>1374</v>
      </c>
      <c r="B925" s="5">
        <v>920</v>
      </c>
      <c r="C925" s="5">
        <v>1383</v>
      </c>
      <c r="D925" t="s">
        <v>3455</v>
      </c>
      <c r="E925" s="3" t="str">
        <f t="array" ref="E925">IF(OR(EXACT(A925,'ESO Dungeon constants'!$D$3:$D$987)),"X","")</f>
        <v/>
      </c>
      <c r="F925" s="3" t="str">
        <f t="shared" si="56"/>
        <v/>
      </c>
      <c r="G925" s="3" t="str">
        <f t="shared" si="57"/>
        <v>Galen</v>
      </c>
      <c r="H925" s="17">
        <f t="shared" si="58"/>
        <v>1374</v>
      </c>
      <c r="I925" s="17">
        <f t="shared" si="59"/>
        <v>1383</v>
      </c>
      <c r="J925">
        <v>0</v>
      </c>
      <c r="K925" s="3" t="str">
        <f>VLOOKUP(J925,'LibSets constants'!$A$4:$B$1012,2,FALSE)</f>
        <v>DLC_BASE_GAME</v>
      </c>
      <c r="L925" s="3" t="str">
        <f>VLOOKUP(J925,'LibSets constants'!$A$4:$C$1012,3,FALSE)</f>
        <v>Included in base game</v>
      </c>
    </row>
    <row r="926" spans="1:12" x14ac:dyDescent="0.25">
      <c r="A926" s="5">
        <v>1375</v>
      </c>
      <c r="B926" s="5">
        <v>921</v>
      </c>
      <c r="C926" s="5">
        <v>1383</v>
      </c>
      <c r="D926" t="s">
        <v>3456</v>
      </c>
      <c r="E926" s="3" t="str">
        <f t="array" ref="E926">IF(OR(EXACT(A926,'ESO Dungeon constants'!$D$3:$D$987)),"X","")</f>
        <v/>
      </c>
      <c r="F926" s="3" t="str">
        <f t="shared" si="56"/>
        <v/>
      </c>
      <c r="G926" s="3" t="str">
        <f t="shared" si="57"/>
        <v>Galen</v>
      </c>
      <c r="H926" s="17">
        <f t="shared" si="58"/>
        <v>1375</v>
      </c>
      <c r="I926" s="17">
        <f t="shared" si="59"/>
        <v>1383</v>
      </c>
      <c r="J926">
        <v>0</v>
      </c>
      <c r="K926" s="3" t="str">
        <f>VLOOKUP(J926,'LibSets constants'!$A$4:$B$1012,2,FALSE)</f>
        <v>DLC_BASE_GAME</v>
      </c>
      <c r="L926" s="3" t="str">
        <f>VLOOKUP(J926,'LibSets constants'!$A$4:$C$1012,3,FALSE)</f>
        <v>Included in base game</v>
      </c>
    </row>
    <row r="927" spans="1:12" x14ac:dyDescent="0.25">
      <c r="A927" s="5">
        <v>1376</v>
      </c>
      <c r="B927" s="5">
        <v>922</v>
      </c>
      <c r="C927" s="5">
        <v>1383</v>
      </c>
      <c r="D927" t="s">
        <v>3457</v>
      </c>
      <c r="E927" s="3" t="str">
        <f t="array" ref="E927">IF(OR(EXACT(A927,'ESO Dungeon constants'!$D$3:$D$987)),"X","")</f>
        <v/>
      </c>
      <c r="F927" s="3" t="str">
        <f t="shared" si="56"/>
        <v/>
      </c>
      <c r="G927" s="3" t="str">
        <f t="shared" si="57"/>
        <v>Galen</v>
      </c>
      <c r="H927" s="17">
        <f t="shared" si="58"/>
        <v>1376</v>
      </c>
      <c r="I927" s="17">
        <f t="shared" si="59"/>
        <v>1383</v>
      </c>
      <c r="J927">
        <v>0</v>
      </c>
      <c r="K927" s="3" t="str">
        <f>VLOOKUP(J927,'LibSets constants'!$A$4:$B$1012,2,FALSE)</f>
        <v>DLC_BASE_GAME</v>
      </c>
      <c r="L927" s="3" t="str">
        <f>VLOOKUP(J927,'LibSets constants'!$A$4:$C$1012,3,FALSE)</f>
        <v>Included in base game</v>
      </c>
    </row>
    <row r="928" spans="1:12" x14ac:dyDescent="0.25">
      <c r="A928" s="5">
        <v>1377</v>
      </c>
      <c r="B928" s="5">
        <v>923</v>
      </c>
      <c r="C928" s="5">
        <v>1383</v>
      </c>
      <c r="D928" t="s">
        <v>3465</v>
      </c>
      <c r="E928" s="3" t="str">
        <f t="array" ref="E928">IF(OR(EXACT(A928,'ESO Dungeon constants'!$D$3:$D$987)),"X","")</f>
        <v/>
      </c>
      <c r="F928" s="3" t="str">
        <f t="shared" si="56"/>
        <v/>
      </c>
      <c r="G928" s="3" t="str">
        <f t="shared" si="57"/>
        <v>Galen</v>
      </c>
      <c r="H928" s="17">
        <f t="shared" si="58"/>
        <v>1377</v>
      </c>
      <c r="I928" s="17">
        <f t="shared" si="59"/>
        <v>1383</v>
      </c>
      <c r="J928">
        <v>0</v>
      </c>
      <c r="K928" s="3" t="str">
        <f>VLOOKUP(J928,'LibSets constants'!$A$4:$B$1012,2,FALSE)</f>
        <v>DLC_BASE_GAME</v>
      </c>
      <c r="L928" s="3" t="str">
        <f>VLOOKUP(J928,'LibSets constants'!$A$4:$C$1012,3,FALSE)</f>
        <v>Included in base game</v>
      </c>
    </row>
    <row r="929" spans="1:12" x14ac:dyDescent="0.25">
      <c r="A929" s="5">
        <v>1378</v>
      </c>
      <c r="B929" s="5">
        <v>924</v>
      </c>
      <c r="C929" s="5">
        <v>1383</v>
      </c>
      <c r="D929" t="s">
        <v>3464</v>
      </c>
      <c r="E929" s="3" t="str">
        <f t="array" ref="E929">IF(OR(EXACT(A929,'ESO Dungeon constants'!$D$3:$D$987)),"X","")</f>
        <v/>
      </c>
      <c r="F929" s="3" t="str">
        <f t="shared" si="56"/>
        <v/>
      </c>
      <c r="G929" s="3" t="str">
        <f t="shared" si="57"/>
        <v>Galen</v>
      </c>
      <c r="H929" s="17">
        <f t="shared" si="58"/>
        <v>1378</v>
      </c>
      <c r="I929" s="17">
        <f t="shared" si="59"/>
        <v>1383</v>
      </c>
      <c r="J929">
        <v>6</v>
      </c>
      <c r="K929" s="3" t="str">
        <f>VLOOKUP(J929,'LibSets constants'!$A$4:$B$1012,2,FALSE)</f>
        <v>DLC_MORROWIND</v>
      </c>
      <c r="L929" s="3" t="str">
        <f>VLOOKUP(J929,'LibSets constants'!$A$4:$C$1012,3,FALSE)</f>
        <v>Morrowind</v>
      </c>
    </row>
    <row r="930" spans="1:12" x14ac:dyDescent="0.25">
      <c r="A930" s="5">
        <v>1379</v>
      </c>
      <c r="B930" s="5">
        <v>925</v>
      </c>
      <c r="C930" s="5">
        <v>1383</v>
      </c>
      <c r="D930" t="s">
        <v>3458</v>
      </c>
      <c r="E930" s="3" t="str">
        <f t="array" ref="E930">IF(OR(EXACT(A930,'ESO Dungeon constants'!$D$3:$D$987)),"X","")</f>
        <v/>
      </c>
      <c r="F930" s="3" t="str">
        <f t="shared" si="56"/>
        <v/>
      </c>
      <c r="G930" s="3" t="str">
        <f t="shared" si="57"/>
        <v>Galen</v>
      </c>
      <c r="H930" s="17">
        <f t="shared" si="58"/>
        <v>1379</v>
      </c>
      <c r="I930" s="17">
        <f t="shared" si="59"/>
        <v>1383</v>
      </c>
      <c r="J930">
        <v>0</v>
      </c>
      <c r="K930" s="3" t="str">
        <f>VLOOKUP(J930,'LibSets constants'!$A$4:$B$1012,2,FALSE)</f>
        <v>DLC_BASE_GAME</v>
      </c>
      <c r="L930" s="3" t="str">
        <f>VLOOKUP(J930,'LibSets constants'!$A$4:$C$1012,3,FALSE)</f>
        <v>Included in base game</v>
      </c>
    </row>
    <row r="931" spans="1:12" x14ac:dyDescent="0.25">
      <c r="A931" s="5">
        <v>1380</v>
      </c>
      <c r="B931" s="5">
        <v>926</v>
      </c>
      <c r="C931" s="5">
        <v>1383</v>
      </c>
      <c r="D931" t="s">
        <v>3459</v>
      </c>
      <c r="E931" s="3" t="str">
        <f t="array" ref="E931">IF(OR(EXACT(A931,'ESO Dungeon constants'!$D$3:$D$987)),"X","")</f>
        <v/>
      </c>
      <c r="F931" s="3" t="str">
        <f t="shared" si="56"/>
        <v/>
      </c>
      <c r="G931" s="3" t="str">
        <f t="shared" si="57"/>
        <v>Galen</v>
      </c>
      <c r="H931" s="17">
        <f t="shared" si="58"/>
        <v>1380</v>
      </c>
      <c r="I931" s="17">
        <f t="shared" si="59"/>
        <v>1383</v>
      </c>
      <c r="J931">
        <v>0</v>
      </c>
      <c r="K931" s="3" t="str">
        <f>VLOOKUP(J931,'LibSets constants'!$A$4:$B$1012,2,FALSE)</f>
        <v>DLC_BASE_GAME</v>
      </c>
      <c r="L931" s="3" t="str">
        <f>VLOOKUP(J931,'LibSets constants'!$A$4:$C$1012,3,FALSE)</f>
        <v>Included in base game</v>
      </c>
    </row>
    <row r="932" spans="1:12" x14ac:dyDescent="0.25">
      <c r="A932" s="5">
        <v>1381</v>
      </c>
      <c r="B932" s="5">
        <v>927</v>
      </c>
      <c r="C932" s="5">
        <v>1383</v>
      </c>
      <c r="D932" t="s">
        <v>3460</v>
      </c>
      <c r="E932" s="3" t="str">
        <f t="array" ref="E932">IF(OR(EXACT(A932,'ESO Dungeon constants'!$D$3:$D$987)),"X","")</f>
        <v/>
      </c>
      <c r="F932" s="3" t="str">
        <f t="shared" si="56"/>
        <v/>
      </c>
      <c r="G932" s="3" t="str">
        <f t="shared" si="57"/>
        <v>Galen</v>
      </c>
      <c r="H932" s="17">
        <f t="shared" si="58"/>
        <v>1381</v>
      </c>
      <c r="I932" s="17">
        <f t="shared" si="59"/>
        <v>1383</v>
      </c>
      <c r="J932">
        <v>0</v>
      </c>
      <c r="K932" s="3" t="str">
        <f>VLOOKUP(J932,'LibSets constants'!$A$4:$B$1012,2,FALSE)</f>
        <v>DLC_BASE_GAME</v>
      </c>
      <c r="L932" s="3" t="str">
        <f>VLOOKUP(J932,'LibSets constants'!$A$4:$C$1012,3,FALSE)</f>
        <v>Included in base game</v>
      </c>
    </row>
    <row r="933" spans="1:12" x14ac:dyDescent="0.25">
      <c r="A933" s="5">
        <v>1382</v>
      </c>
      <c r="B933" s="5">
        <v>928</v>
      </c>
      <c r="C933" s="5">
        <v>1383</v>
      </c>
      <c r="D933" t="s">
        <v>3908</v>
      </c>
      <c r="E933" s="3" t="str">
        <f t="array" ref="E933">IF(OR(EXACT(A933,'ESO Dungeon constants'!$D$3:$D$987)),"X","")</f>
        <v/>
      </c>
      <c r="F933" s="3" t="str">
        <f t="shared" si="56"/>
        <v/>
      </c>
      <c r="G933" s="3" t="str">
        <f t="shared" si="57"/>
        <v>Galen</v>
      </c>
      <c r="H933" s="17">
        <f t="shared" si="58"/>
        <v>1382</v>
      </c>
      <c r="I933" s="17">
        <f t="shared" si="59"/>
        <v>1383</v>
      </c>
      <c r="J933">
        <v>0</v>
      </c>
      <c r="K933" s="3" t="str">
        <f>VLOOKUP(J933,'LibSets constants'!$A$4:$B$1012,2,FALSE)</f>
        <v>DLC_BASE_GAME</v>
      </c>
      <c r="L933" s="3" t="str">
        <f>VLOOKUP(J933,'LibSets constants'!$A$4:$C$1012,3,FALSE)</f>
        <v>Included in base game</v>
      </c>
    </row>
    <row r="934" spans="1:12" x14ac:dyDescent="0.25">
      <c r="A934" s="5">
        <v>1383</v>
      </c>
      <c r="B934" s="5">
        <v>929</v>
      </c>
      <c r="C934" s="5">
        <v>1383</v>
      </c>
      <c r="D934" t="s">
        <v>3463</v>
      </c>
      <c r="E934" s="3" t="str">
        <f t="array" ref="E934">IF(OR(EXACT(A934,'ESO Dungeon constants'!$D$3:$D$987)),"X","")</f>
        <v/>
      </c>
      <c r="F934" s="3" t="str">
        <f t="shared" si="56"/>
        <v>X</v>
      </c>
      <c r="G934" s="3" t="str">
        <f t="shared" si="57"/>
        <v/>
      </c>
      <c r="H934" s="17">
        <f t="shared" si="58"/>
        <v>1383</v>
      </c>
      <c r="I934" s="17">
        <f t="shared" si="59"/>
        <v>1383</v>
      </c>
      <c r="J934">
        <v>6</v>
      </c>
      <c r="K934" s="3" t="str">
        <f>VLOOKUP(J934,'LibSets constants'!$A$4:$B$1012,2,FALSE)</f>
        <v>DLC_MORROWIND</v>
      </c>
      <c r="L934" s="3" t="str">
        <f>VLOOKUP(J934,'LibSets constants'!$A$4:$C$1012,3,FALSE)</f>
        <v>Morrowind</v>
      </c>
    </row>
    <row r="935" spans="1:12" x14ac:dyDescent="0.25">
      <c r="A935" s="5">
        <v>1385</v>
      </c>
      <c r="B935" s="5">
        <v>930</v>
      </c>
      <c r="C935" s="5">
        <v>1383</v>
      </c>
      <c r="D935" t="s">
        <v>3462</v>
      </c>
      <c r="E935" s="3" t="str">
        <f t="array" ref="E935">IF(OR(EXACT(A935,'ESO Dungeon constants'!$D$3:$D$987)),"X","")</f>
        <v/>
      </c>
      <c r="F935" s="3" t="str">
        <f t="shared" si="56"/>
        <v/>
      </c>
      <c r="G935" s="3" t="str">
        <f t="shared" si="57"/>
        <v>Galen</v>
      </c>
      <c r="H935" s="17">
        <f t="shared" si="58"/>
        <v>1385</v>
      </c>
      <c r="I935" s="17">
        <f t="shared" si="59"/>
        <v>1383</v>
      </c>
      <c r="J935">
        <v>6</v>
      </c>
      <c r="K935" s="3" t="str">
        <f>VLOOKUP(J935,'LibSets constants'!$A$4:$B$1012,2,FALSE)</f>
        <v>DLC_MORROWIND</v>
      </c>
      <c r="L935" s="3" t="str">
        <f>VLOOKUP(J935,'LibSets constants'!$A$4:$C$1012,3,FALSE)</f>
        <v>Morrowind</v>
      </c>
    </row>
    <row r="936" spans="1:12" x14ac:dyDescent="0.25">
      <c r="A936" s="5">
        <v>1386</v>
      </c>
      <c r="B936" s="5">
        <v>931</v>
      </c>
      <c r="C936" s="5">
        <v>1383</v>
      </c>
      <c r="D936" t="s">
        <v>3453</v>
      </c>
      <c r="E936" s="3" t="str">
        <f t="array" ref="E936">IF(OR(EXACT(A936,'ESO Dungeon constants'!$D$3:$D$987)),"X","")</f>
        <v/>
      </c>
      <c r="F936" s="3" t="str">
        <f t="shared" si="56"/>
        <v/>
      </c>
      <c r="G936" s="3" t="str">
        <f t="shared" si="57"/>
        <v>Galen</v>
      </c>
      <c r="H936" s="17">
        <f t="shared" si="58"/>
        <v>1386</v>
      </c>
      <c r="I936" s="17">
        <f t="shared" si="59"/>
        <v>1383</v>
      </c>
      <c r="J936">
        <v>8</v>
      </c>
      <c r="K936" s="3" t="str">
        <f>VLOOKUP(J936,'LibSets constants'!$A$4:$B$1012,2,FALSE)</f>
        <v>DLC_CLOCKWORK_CITY</v>
      </c>
      <c r="L936" s="3" t="str">
        <f>VLOOKUP(J936,'LibSets constants'!$A$4:$C$1012,3,FALSE)</f>
        <v>Clockwork City</v>
      </c>
    </row>
    <row r="937" spans="1:12" x14ac:dyDescent="0.25">
      <c r="A937" s="5">
        <v>1387</v>
      </c>
      <c r="B937" s="5">
        <v>932</v>
      </c>
      <c r="C937" s="5">
        <v>1383</v>
      </c>
      <c r="D937" t="s">
        <v>3461</v>
      </c>
      <c r="E937" s="3" t="str">
        <f t="array" ref="E937">IF(OR(EXACT(A937,'ESO Dungeon constants'!$D$3:$D$987)),"X","")</f>
        <v/>
      </c>
      <c r="F937" s="3" t="str">
        <f t="shared" si="56"/>
        <v/>
      </c>
      <c r="G937" s="3" t="str">
        <f t="shared" si="57"/>
        <v>Galen</v>
      </c>
      <c r="H937" s="17">
        <f t="shared" si="58"/>
        <v>1387</v>
      </c>
      <c r="I937" s="17">
        <f t="shared" si="59"/>
        <v>1383</v>
      </c>
      <c r="J937">
        <v>8</v>
      </c>
      <c r="K937" s="3" t="str">
        <f>VLOOKUP(J937,'LibSets constants'!$A$4:$B$1012,2,FALSE)</f>
        <v>DLC_CLOCKWORK_CITY</v>
      </c>
      <c r="L937" s="3" t="str">
        <f>VLOOKUP(J937,'LibSets constants'!$A$4:$C$1012,3,FALSE)</f>
        <v>Clockwork City</v>
      </c>
    </row>
    <row r="938" spans="1:12" x14ac:dyDescent="0.25">
      <c r="A938" s="5">
        <v>1389</v>
      </c>
      <c r="B938" s="5">
        <v>933</v>
      </c>
      <c r="C938" s="5">
        <v>41</v>
      </c>
      <c r="D938" t="s">
        <v>3548</v>
      </c>
      <c r="E938" s="3" t="str">
        <f t="array" ref="E938">IF(OR(EXACT(A938,'ESO Dungeon constants'!$D$3:$D$987)),"X","")</f>
        <v>X</v>
      </c>
      <c r="F938" s="3" t="str">
        <f t="shared" si="56"/>
        <v/>
      </c>
      <c r="G938" s="3" t="str">
        <f t="shared" si="57"/>
        <v>Stonefalls</v>
      </c>
      <c r="H938" s="17">
        <f t="shared" si="58"/>
        <v>1389</v>
      </c>
      <c r="I938" s="17">
        <f t="shared" si="59"/>
        <v>41</v>
      </c>
      <c r="J938">
        <v>8</v>
      </c>
      <c r="K938" s="3" t="str">
        <f>VLOOKUP(J938,'LibSets constants'!$A$4:$B$1012,2,FALSE)</f>
        <v>DLC_CLOCKWORK_CITY</v>
      </c>
      <c r="L938" s="3" t="str">
        <f>VLOOKUP(J938,'LibSets constants'!$A$4:$C$1012,3,FALSE)</f>
        <v>Clockwork City</v>
      </c>
    </row>
    <row r="939" spans="1:12" x14ac:dyDescent="0.25">
      <c r="A939" s="5">
        <v>1390</v>
      </c>
      <c r="B939" s="5">
        <v>934</v>
      </c>
      <c r="C939" s="5">
        <v>103</v>
      </c>
      <c r="D939" t="s">
        <v>3575</v>
      </c>
      <c r="E939" s="3" t="str">
        <f t="array" ref="E939">IF(OR(EXACT(A939,'ESO Dungeon constants'!$D$3:$D$987)),"X","")</f>
        <v>X</v>
      </c>
      <c r="F939" s="3" t="str">
        <f t="shared" si="56"/>
        <v/>
      </c>
      <c r="G939" s="3" t="str">
        <f t="shared" si="57"/>
        <v>The Rift</v>
      </c>
      <c r="H939" s="17">
        <f t="shared" si="58"/>
        <v>1390</v>
      </c>
      <c r="I939" s="17">
        <f t="shared" si="59"/>
        <v>103</v>
      </c>
      <c r="J939">
        <v>8</v>
      </c>
      <c r="K939" s="3" t="str">
        <f>VLOOKUP(J939,'LibSets constants'!$A$4:$B$1012,2,FALSE)</f>
        <v>DLC_CLOCKWORK_CITY</v>
      </c>
      <c r="L939" s="3" t="str">
        <f>VLOOKUP(J939,'LibSets constants'!$A$4:$C$1012,3,FALSE)</f>
        <v>Clockwork City</v>
      </c>
    </row>
    <row r="940" spans="1:12" x14ac:dyDescent="0.25">
      <c r="A940" s="5">
        <v>1391</v>
      </c>
      <c r="B940" s="5">
        <v>935</v>
      </c>
      <c r="C940" s="5">
        <v>537</v>
      </c>
      <c r="D940" t="s">
        <v>3574</v>
      </c>
      <c r="E940" s="3" t="str">
        <f t="array" ref="E940">IF(OR(EXACT(A940,'ESO Dungeon constants'!$D$3:$D$987)),"X","")</f>
        <v/>
      </c>
      <c r="F940" s="3" t="str">
        <f t="shared" si="56"/>
        <v/>
      </c>
      <c r="G940" s="3" t="str">
        <f t="shared" si="57"/>
        <v>Khenarthi's Roost</v>
      </c>
      <c r="H940" s="17">
        <f t="shared" si="58"/>
        <v>1391</v>
      </c>
      <c r="I940" s="17">
        <f t="shared" si="59"/>
        <v>537</v>
      </c>
      <c r="J940">
        <v>6</v>
      </c>
      <c r="K940" s="3" t="str">
        <f>VLOOKUP(J940,'LibSets constants'!$A$4:$B$1012,2,FALSE)</f>
        <v>DLC_MORROWIND</v>
      </c>
      <c r="L940" s="3" t="str">
        <f>VLOOKUP(J940,'LibSets constants'!$A$4:$C$1012,3,FALSE)</f>
        <v>Morrowind</v>
      </c>
    </row>
    <row r="941" spans="1:12" x14ac:dyDescent="0.25">
      <c r="A941" s="5">
        <v>1392</v>
      </c>
      <c r="B941" s="5">
        <v>936</v>
      </c>
      <c r="C941" s="5">
        <v>537</v>
      </c>
      <c r="D941" t="s">
        <v>3573</v>
      </c>
      <c r="E941" s="3" t="str">
        <f t="array" ref="E941">IF(OR(EXACT(A941,'ESO Dungeon constants'!$D$3:$D$987)),"X","")</f>
        <v/>
      </c>
      <c r="F941" s="3" t="str">
        <f t="shared" si="56"/>
        <v/>
      </c>
      <c r="G941" s="3" t="str">
        <f t="shared" si="57"/>
        <v>Khenarthi's Roost</v>
      </c>
      <c r="H941" s="17">
        <f t="shared" si="58"/>
        <v>1392</v>
      </c>
      <c r="I941" s="17">
        <f t="shared" si="59"/>
        <v>537</v>
      </c>
      <c r="J941">
        <v>6</v>
      </c>
      <c r="K941" s="3" t="str">
        <f>VLOOKUP(J941,'LibSets constants'!$A$4:$B$1012,2,FALSE)</f>
        <v>DLC_MORROWIND</v>
      </c>
      <c r="L941" s="3" t="str">
        <f>VLOOKUP(J941,'LibSets constants'!$A$4:$C$1012,3,FALSE)</f>
        <v>Morrowind</v>
      </c>
    </row>
    <row r="942" spans="1:12" x14ac:dyDescent="0.25">
      <c r="A942" s="5">
        <v>1393</v>
      </c>
      <c r="B942" s="5">
        <v>937</v>
      </c>
      <c r="C942" s="5">
        <v>1414</v>
      </c>
      <c r="D942" t="s">
        <v>3705</v>
      </c>
      <c r="E942" s="3" t="str">
        <f t="array" ref="E942">IF(OR(EXACT(A942,'ESO Dungeon constants'!$D$3:$D$987)),"X","")</f>
        <v/>
      </c>
      <c r="F942" s="3" t="str">
        <f t="shared" si="56"/>
        <v/>
      </c>
      <c r="G942" s="3" t="str">
        <f t="shared" si="57"/>
        <v>Telvanni Peninsula</v>
      </c>
      <c r="H942" s="17">
        <f t="shared" si="58"/>
        <v>1393</v>
      </c>
      <c r="I942" s="17">
        <f t="shared" si="59"/>
        <v>1414</v>
      </c>
      <c r="J942">
        <v>7</v>
      </c>
      <c r="K942" s="3" t="str">
        <f>VLOOKUP(J942,'LibSets constants'!$A$4:$B$1012,2,FALSE)</f>
        <v>DLC_HORNS_OF_THE_REACH</v>
      </c>
      <c r="L942" s="3" t="str">
        <f>VLOOKUP(J942,'LibSets constants'!$A$4:$C$1012,3,FALSE)</f>
        <v>Horns of the Reach</v>
      </c>
    </row>
    <row r="943" spans="1:12" x14ac:dyDescent="0.25">
      <c r="A943" s="5">
        <v>1394</v>
      </c>
      <c r="B943" s="5">
        <v>938</v>
      </c>
      <c r="C943" s="5">
        <v>1414</v>
      </c>
      <c r="D943" t="s">
        <v>3704</v>
      </c>
      <c r="E943" s="3" t="str">
        <f t="array" ref="E943">IF(OR(EXACT(A943,'ESO Dungeon constants'!$D$3:$D$987)),"X","")</f>
        <v/>
      </c>
      <c r="F943" s="3" t="str">
        <f t="shared" si="56"/>
        <v/>
      </c>
      <c r="G943" s="3" t="str">
        <f t="shared" si="57"/>
        <v>Telvanni Peninsula</v>
      </c>
      <c r="H943" s="17">
        <f t="shared" si="58"/>
        <v>1394</v>
      </c>
      <c r="I943" s="17">
        <f t="shared" si="59"/>
        <v>1414</v>
      </c>
      <c r="J943">
        <v>7</v>
      </c>
      <c r="K943" s="3" t="str">
        <f>VLOOKUP(J943,'LibSets constants'!$A$4:$B$1012,2,FALSE)</f>
        <v>DLC_HORNS_OF_THE_REACH</v>
      </c>
      <c r="L943" s="3" t="str">
        <f>VLOOKUP(J943,'LibSets constants'!$A$4:$C$1012,3,FALSE)</f>
        <v>Horns of the Reach</v>
      </c>
    </row>
    <row r="944" spans="1:12" x14ac:dyDescent="0.25">
      <c r="A944" s="5">
        <v>1395</v>
      </c>
      <c r="B944" s="5">
        <v>939</v>
      </c>
      <c r="C944" s="5">
        <v>1414</v>
      </c>
      <c r="D944" t="s">
        <v>3704</v>
      </c>
      <c r="E944" s="3" t="str">
        <f t="array" ref="E944">IF(OR(EXACT(A944,'ESO Dungeon constants'!$D$3:$D$987)),"X","")</f>
        <v/>
      </c>
      <c r="F944" s="3" t="str">
        <f t="shared" si="56"/>
        <v/>
      </c>
      <c r="G944" s="3" t="str">
        <f t="shared" si="57"/>
        <v>Telvanni Peninsula</v>
      </c>
      <c r="H944" s="17">
        <f t="shared" si="58"/>
        <v>1395</v>
      </c>
      <c r="I944" s="17">
        <f t="shared" si="59"/>
        <v>1414</v>
      </c>
      <c r="J944">
        <v>6</v>
      </c>
      <c r="K944" s="3" t="str">
        <f>VLOOKUP(J944,'LibSets constants'!$A$4:$B$1012,2,FALSE)</f>
        <v>DLC_MORROWIND</v>
      </c>
      <c r="L944" s="3" t="str">
        <f>VLOOKUP(J944,'LibSets constants'!$A$4:$C$1012,3,FALSE)</f>
        <v>Morrowind</v>
      </c>
    </row>
    <row r="945" spans="1:12" x14ac:dyDescent="0.25">
      <c r="A945" s="5">
        <v>1396</v>
      </c>
      <c r="B945" s="5">
        <v>940</v>
      </c>
      <c r="C945" s="5">
        <v>1414</v>
      </c>
      <c r="D945" t="s">
        <v>3703</v>
      </c>
      <c r="E945" s="3" t="str">
        <f t="array" ref="E945">IF(OR(EXACT(A945,'ESO Dungeon constants'!$D$3:$D$987)),"X","")</f>
        <v/>
      </c>
      <c r="F945" s="3" t="str">
        <f t="shared" si="56"/>
        <v/>
      </c>
      <c r="G945" s="3" t="str">
        <f t="shared" si="57"/>
        <v>Telvanni Peninsula</v>
      </c>
      <c r="H945" s="17">
        <f t="shared" si="58"/>
        <v>1396</v>
      </c>
      <c r="I945" s="17">
        <f t="shared" si="59"/>
        <v>1414</v>
      </c>
      <c r="J945">
        <v>6</v>
      </c>
      <c r="K945" s="3" t="str">
        <f>VLOOKUP(J945,'LibSets constants'!$A$4:$B$1012,2,FALSE)</f>
        <v>DLC_MORROWIND</v>
      </c>
      <c r="L945" s="3" t="str">
        <f>VLOOKUP(J945,'LibSets constants'!$A$4:$C$1012,3,FALSE)</f>
        <v>Morrowind</v>
      </c>
    </row>
    <row r="946" spans="1:12" x14ac:dyDescent="0.25">
      <c r="A946" s="5">
        <v>1397</v>
      </c>
      <c r="B946" s="5">
        <v>941</v>
      </c>
      <c r="C946" s="5">
        <v>1414</v>
      </c>
      <c r="D946" t="s">
        <v>3679</v>
      </c>
      <c r="E946" s="3" t="str">
        <f t="array" ref="E946">IF(OR(EXACT(A946,'ESO Dungeon constants'!$D$3:$D$987)),"X","")</f>
        <v/>
      </c>
      <c r="F946" s="3" t="str">
        <f t="shared" si="56"/>
        <v/>
      </c>
      <c r="G946" s="3" t="str">
        <f t="shared" si="57"/>
        <v>Telvanni Peninsula</v>
      </c>
      <c r="H946" s="17">
        <f t="shared" si="58"/>
        <v>1397</v>
      </c>
      <c r="I946" s="17">
        <f t="shared" si="59"/>
        <v>1414</v>
      </c>
      <c r="J946">
        <v>0</v>
      </c>
      <c r="K946" s="3" t="str">
        <f>VLOOKUP(J946,'LibSets constants'!$A$4:$B$1012,2,FALSE)</f>
        <v>DLC_BASE_GAME</v>
      </c>
      <c r="L946" s="3" t="str">
        <f>VLOOKUP(J946,'LibSets constants'!$A$4:$C$1012,3,FALSE)</f>
        <v>Included in base game</v>
      </c>
    </row>
    <row r="947" spans="1:12" x14ac:dyDescent="0.25">
      <c r="A947" s="5">
        <v>1398</v>
      </c>
      <c r="B947" s="5">
        <v>942</v>
      </c>
      <c r="C947" s="5">
        <v>1414</v>
      </c>
      <c r="D947" t="s">
        <v>3702</v>
      </c>
      <c r="E947" s="3" t="str">
        <f t="array" ref="E947">IF(OR(EXACT(A947,'ESO Dungeon constants'!$D$3:$D$987)),"X","")</f>
        <v/>
      </c>
      <c r="F947" s="3" t="str">
        <f t="shared" si="56"/>
        <v/>
      </c>
      <c r="G947" s="3" t="str">
        <f t="shared" si="57"/>
        <v>Telvanni Peninsula</v>
      </c>
      <c r="H947" s="17">
        <f t="shared" si="58"/>
        <v>1398</v>
      </c>
      <c r="I947" s="17">
        <f t="shared" si="59"/>
        <v>1414</v>
      </c>
      <c r="J947">
        <v>6</v>
      </c>
      <c r="K947" s="3" t="str">
        <f>VLOOKUP(J947,'LibSets constants'!$A$4:$B$1012,2,FALSE)</f>
        <v>DLC_MORROWIND</v>
      </c>
      <c r="L947" s="3" t="str">
        <f>VLOOKUP(J947,'LibSets constants'!$A$4:$C$1012,3,FALSE)</f>
        <v>Morrowind</v>
      </c>
    </row>
    <row r="948" spans="1:12" x14ac:dyDescent="0.25">
      <c r="A948" s="5">
        <v>1399</v>
      </c>
      <c r="B948" s="5">
        <v>943</v>
      </c>
      <c r="C948" s="5">
        <v>1414</v>
      </c>
      <c r="D948" t="s">
        <v>3701</v>
      </c>
      <c r="E948" s="3" t="str">
        <f t="array" ref="E948">IF(OR(EXACT(A948,'ESO Dungeon constants'!$D$3:$D$987)),"X","")</f>
        <v/>
      </c>
      <c r="F948" s="3" t="str">
        <f t="shared" si="56"/>
        <v/>
      </c>
      <c r="G948" s="3" t="str">
        <f t="shared" si="57"/>
        <v>Telvanni Peninsula</v>
      </c>
      <c r="H948" s="17">
        <f t="shared" si="58"/>
        <v>1399</v>
      </c>
      <c r="I948" s="17">
        <f t="shared" si="59"/>
        <v>1414</v>
      </c>
      <c r="J948">
        <v>6</v>
      </c>
      <c r="K948" s="3" t="str">
        <f>VLOOKUP(J948,'LibSets constants'!$A$4:$B$1012,2,FALSE)</f>
        <v>DLC_MORROWIND</v>
      </c>
      <c r="L948" s="3" t="str">
        <f>VLOOKUP(J948,'LibSets constants'!$A$4:$C$1012,3,FALSE)</f>
        <v>Morrowind</v>
      </c>
    </row>
    <row r="949" spans="1:12" x14ac:dyDescent="0.25">
      <c r="A949" s="5">
        <v>1400</v>
      </c>
      <c r="B949" s="5">
        <v>944</v>
      </c>
      <c r="C949" s="5">
        <v>1414</v>
      </c>
      <c r="D949" t="s">
        <v>3700</v>
      </c>
      <c r="E949" s="3" t="str">
        <f t="array" ref="E949">IF(OR(EXACT(A949,'ESO Dungeon constants'!$D$3:$D$987)),"X","")</f>
        <v/>
      </c>
      <c r="F949" s="3" t="str">
        <f t="shared" si="56"/>
        <v/>
      </c>
      <c r="G949" s="3" t="str">
        <f t="shared" si="57"/>
        <v>Telvanni Peninsula</v>
      </c>
      <c r="H949" s="17">
        <f t="shared" si="58"/>
        <v>1400</v>
      </c>
      <c r="I949" s="17">
        <f t="shared" si="59"/>
        <v>1414</v>
      </c>
      <c r="J949">
        <v>6</v>
      </c>
      <c r="K949" s="3" t="str">
        <f>VLOOKUP(J949,'LibSets constants'!$A$4:$B$1012,2,FALSE)</f>
        <v>DLC_MORROWIND</v>
      </c>
      <c r="L949" s="3" t="str">
        <f>VLOOKUP(J949,'LibSets constants'!$A$4:$C$1012,3,FALSE)</f>
        <v>Morrowind</v>
      </c>
    </row>
    <row r="950" spans="1:12" x14ac:dyDescent="0.25">
      <c r="A950" s="5">
        <v>1401</v>
      </c>
      <c r="B950" s="5">
        <v>945</v>
      </c>
      <c r="C950" s="5">
        <v>1414</v>
      </c>
      <c r="D950" t="s">
        <v>3699</v>
      </c>
      <c r="E950" s="3" t="str">
        <f t="array" ref="E950">IF(OR(EXACT(A950,'ESO Dungeon constants'!$D$3:$D$987)),"X","")</f>
        <v/>
      </c>
      <c r="F950" s="3" t="str">
        <f t="shared" si="56"/>
        <v/>
      </c>
      <c r="G950" s="3" t="str">
        <f t="shared" si="57"/>
        <v>Telvanni Peninsula</v>
      </c>
      <c r="H950" s="17">
        <f t="shared" si="58"/>
        <v>1401</v>
      </c>
      <c r="I950" s="17">
        <f t="shared" si="59"/>
        <v>1414</v>
      </c>
      <c r="J950">
        <v>6</v>
      </c>
      <c r="K950" s="3" t="str">
        <f>VLOOKUP(J950,'LibSets constants'!$A$4:$B$1012,2,FALSE)</f>
        <v>DLC_MORROWIND</v>
      </c>
      <c r="L950" s="3" t="str">
        <f>VLOOKUP(J950,'LibSets constants'!$A$4:$C$1012,3,FALSE)</f>
        <v>Morrowind</v>
      </c>
    </row>
    <row r="951" spans="1:12" x14ac:dyDescent="0.25">
      <c r="A951" s="5">
        <v>1402</v>
      </c>
      <c r="B951" s="5">
        <v>946</v>
      </c>
      <c r="C951" s="5">
        <v>1414</v>
      </c>
      <c r="D951" t="s">
        <v>3698</v>
      </c>
      <c r="E951" s="3" t="str">
        <f t="array" ref="E951">IF(OR(EXACT(A951,'ESO Dungeon constants'!$D$3:$D$987)),"X","")</f>
        <v/>
      </c>
      <c r="F951" s="3" t="str">
        <f t="shared" si="56"/>
        <v/>
      </c>
      <c r="G951" s="3" t="str">
        <f t="shared" si="57"/>
        <v>Telvanni Peninsula</v>
      </c>
      <c r="H951" s="17">
        <f t="shared" si="58"/>
        <v>1402</v>
      </c>
      <c r="I951" s="17">
        <f t="shared" si="59"/>
        <v>1414</v>
      </c>
      <c r="J951">
        <v>6</v>
      </c>
      <c r="K951" s="3" t="str">
        <f>VLOOKUP(J951,'LibSets constants'!$A$4:$B$1012,2,FALSE)</f>
        <v>DLC_MORROWIND</v>
      </c>
      <c r="L951" s="3" t="str">
        <f>VLOOKUP(J951,'LibSets constants'!$A$4:$C$1012,3,FALSE)</f>
        <v>Morrowind</v>
      </c>
    </row>
    <row r="952" spans="1:12" x14ac:dyDescent="0.25">
      <c r="A952" s="5">
        <v>1403</v>
      </c>
      <c r="B952" s="5">
        <v>947</v>
      </c>
      <c r="C952" s="5">
        <v>1414</v>
      </c>
      <c r="D952" t="s">
        <v>3697</v>
      </c>
      <c r="E952" s="3" t="str">
        <f t="array" ref="E952">IF(OR(EXACT(A952,'ESO Dungeon constants'!$D$3:$D$987)),"X","")</f>
        <v/>
      </c>
      <c r="F952" s="3" t="str">
        <f t="shared" si="56"/>
        <v/>
      </c>
      <c r="G952" s="3" t="str">
        <f t="shared" si="57"/>
        <v>Telvanni Peninsula</v>
      </c>
      <c r="H952" s="17">
        <f t="shared" si="58"/>
        <v>1403</v>
      </c>
      <c r="I952" s="17">
        <f t="shared" si="59"/>
        <v>1414</v>
      </c>
      <c r="J952">
        <v>6</v>
      </c>
      <c r="K952" s="3" t="str">
        <f>VLOOKUP(J952,'LibSets constants'!$A$4:$B$1012,2,FALSE)</f>
        <v>DLC_MORROWIND</v>
      </c>
      <c r="L952" s="3" t="str">
        <f>VLOOKUP(J952,'LibSets constants'!$A$4:$C$1012,3,FALSE)</f>
        <v>Morrowind</v>
      </c>
    </row>
    <row r="953" spans="1:12" x14ac:dyDescent="0.25">
      <c r="A953" s="5">
        <v>1404</v>
      </c>
      <c r="B953" s="5">
        <v>948</v>
      </c>
      <c r="C953" s="5">
        <v>1414</v>
      </c>
      <c r="D953" t="s">
        <v>3706</v>
      </c>
      <c r="E953" s="3" t="str">
        <f t="array" ref="E953">IF(OR(EXACT(A953,'ESO Dungeon constants'!$D$3:$D$987)),"X","")</f>
        <v/>
      </c>
      <c r="F953" s="3" t="str">
        <f t="shared" si="56"/>
        <v/>
      </c>
      <c r="G953" s="3" t="str">
        <f t="shared" si="57"/>
        <v>Telvanni Peninsula</v>
      </c>
      <c r="H953" s="17">
        <f t="shared" si="58"/>
        <v>1404</v>
      </c>
      <c r="I953" s="17">
        <f t="shared" si="59"/>
        <v>1414</v>
      </c>
      <c r="J953">
        <v>6</v>
      </c>
      <c r="K953" s="3" t="str">
        <f>VLOOKUP(J953,'LibSets constants'!$A$4:$B$1012,2,FALSE)</f>
        <v>DLC_MORROWIND</v>
      </c>
      <c r="L953" s="3" t="str">
        <f>VLOOKUP(J953,'LibSets constants'!$A$4:$C$1012,3,FALSE)</f>
        <v>Morrowind</v>
      </c>
    </row>
    <row r="954" spans="1:12" x14ac:dyDescent="0.25">
      <c r="A954" s="5">
        <v>1405</v>
      </c>
      <c r="B954" s="5">
        <v>949</v>
      </c>
      <c r="C954" s="5">
        <v>1414</v>
      </c>
      <c r="D954" t="s">
        <v>3707</v>
      </c>
      <c r="E954" s="3" t="str">
        <f t="array" ref="E954">IF(OR(EXACT(A954,'ESO Dungeon constants'!$D$3:$D$987)),"X","")</f>
        <v/>
      </c>
      <c r="F954" s="3" t="str">
        <f t="shared" si="56"/>
        <v/>
      </c>
      <c r="G954" s="3" t="str">
        <f t="shared" si="57"/>
        <v>Telvanni Peninsula</v>
      </c>
      <c r="H954" s="17">
        <f t="shared" si="58"/>
        <v>1405</v>
      </c>
      <c r="I954" s="17">
        <f t="shared" si="59"/>
        <v>1414</v>
      </c>
      <c r="J954">
        <v>6</v>
      </c>
      <c r="K954" s="3" t="str">
        <f>VLOOKUP(J954,'LibSets constants'!$A$4:$B$1012,2,FALSE)</f>
        <v>DLC_MORROWIND</v>
      </c>
      <c r="L954" s="3" t="str">
        <f>VLOOKUP(J954,'LibSets constants'!$A$4:$C$1012,3,FALSE)</f>
        <v>Morrowind</v>
      </c>
    </row>
    <row r="955" spans="1:12" x14ac:dyDescent="0.25">
      <c r="A955" s="5">
        <v>1406</v>
      </c>
      <c r="B955" s="5">
        <v>950</v>
      </c>
      <c r="C955" s="5">
        <v>1414</v>
      </c>
      <c r="D955" t="s">
        <v>3708</v>
      </c>
      <c r="E955" s="3" t="str">
        <f t="array" ref="E955">IF(OR(EXACT(A955,'ESO Dungeon constants'!$D$3:$D$987)),"X","")</f>
        <v/>
      </c>
      <c r="F955" s="3" t="str">
        <f t="shared" si="56"/>
        <v/>
      </c>
      <c r="G955" s="3" t="str">
        <f t="shared" si="57"/>
        <v>Telvanni Peninsula</v>
      </c>
      <c r="H955" s="17">
        <f t="shared" si="58"/>
        <v>1406</v>
      </c>
      <c r="I955" s="17">
        <f t="shared" si="59"/>
        <v>1414</v>
      </c>
      <c r="J955">
        <v>6</v>
      </c>
      <c r="K955" s="3" t="str">
        <f>VLOOKUP(J955,'LibSets constants'!$A$4:$B$1012,2,FALSE)</f>
        <v>DLC_MORROWIND</v>
      </c>
      <c r="L955" s="3" t="str">
        <f>VLOOKUP(J955,'LibSets constants'!$A$4:$C$1012,3,FALSE)</f>
        <v>Morrowind</v>
      </c>
    </row>
    <row r="956" spans="1:12" x14ac:dyDescent="0.25">
      <c r="A956" s="5">
        <v>1407</v>
      </c>
      <c r="B956" s="5">
        <v>951</v>
      </c>
      <c r="C956" s="5">
        <v>1414</v>
      </c>
      <c r="D956" t="s">
        <v>3696</v>
      </c>
      <c r="E956" s="3" t="str">
        <f t="array" ref="E956">IF(OR(EXACT(A956,'ESO Dungeon constants'!$D$3:$D$987)),"X","")</f>
        <v/>
      </c>
      <c r="F956" s="3" t="str">
        <f t="shared" si="56"/>
        <v/>
      </c>
      <c r="G956" s="3" t="str">
        <f t="shared" si="57"/>
        <v>Telvanni Peninsula</v>
      </c>
      <c r="H956" s="17">
        <f t="shared" si="58"/>
        <v>1407</v>
      </c>
      <c r="I956" s="17">
        <f t="shared" si="59"/>
        <v>1414</v>
      </c>
      <c r="J956">
        <v>6</v>
      </c>
      <c r="K956" s="3" t="str">
        <f>VLOOKUP(J956,'LibSets constants'!$A$4:$B$1012,2,FALSE)</f>
        <v>DLC_MORROWIND</v>
      </c>
      <c r="L956" s="3" t="str">
        <f>VLOOKUP(J956,'LibSets constants'!$A$4:$C$1012,3,FALSE)</f>
        <v>Morrowind</v>
      </c>
    </row>
    <row r="957" spans="1:12" x14ac:dyDescent="0.25">
      <c r="A957" s="5">
        <v>1408</v>
      </c>
      <c r="B957" s="5">
        <v>952</v>
      </c>
      <c r="C957" s="5">
        <v>1414</v>
      </c>
      <c r="D957" t="s">
        <v>3680</v>
      </c>
      <c r="E957" s="3" t="str">
        <f t="array" ref="E957">IF(OR(EXACT(A957,'ESO Dungeon constants'!$D$3:$D$987)),"X","")</f>
        <v/>
      </c>
      <c r="F957" s="3" t="str">
        <f t="shared" si="56"/>
        <v/>
      </c>
      <c r="G957" s="3" t="str">
        <f t="shared" si="57"/>
        <v>Telvanni Peninsula</v>
      </c>
      <c r="H957" s="17">
        <f t="shared" si="58"/>
        <v>1408</v>
      </c>
      <c r="I957" s="17">
        <f t="shared" si="59"/>
        <v>1414</v>
      </c>
      <c r="J957">
        <v>0</v>
      </c>
      <c r="K957" s="3" t="str">
        <f>VLOOKUP(J957,'LibSets constants'!$A$4:$B$1012,2,FALSE)</f>
        <v>DLC_BASE_GAME</v>
      </c>
      <c r="L957" s="3" t="str">
        <f>VLOOKUP(J957,'LibSets constants'!$A$4:$C$1012,3,FALSE)</f>
        <v>Included in base game</v>
      </c>
    </row>
    <row r="958" spans="1:12" x14ac:dyDescent="0.25">
      <c r="A958" s="5">
        <v>1409</v>
      </c>
      <c r="B958" s="5">
        <v>953</v>
      </c>
      <c r="C958" s="5">
        <v>1414</v>
      </c>
      <c r="D958" t="s">
        <v>3695</v>
      </c>
      <c r="E958" s="3" t="str">
        <f t="array" ref="E958">IF(OR(EXACT(A958,'ESO Dungeon constants'!$D$3:$D$987)),"X","")</f>
        <v/>
      </c>
      <c r="F958" s="3" t="str">
        <f t="shared" si="56"/>
        <v/>
      </c>
      <c r="G958" s="3" t="str">
        <f t="shared" si="57"/>
        <v>Telvanni Peninsula</v>
      </c>
      <c r="H958" s="17">
        <f t="shared" si="58"/>
        <v>1409</v>
      </c>
      <c r="I958" s="17">
        <f t="shared" si="59"/>
        <v>1414</v>
      </c>
      <c r="J958">
        <v>6</v>
      </c>
      <c r="K958" s="3" t="str">
        <f>VLOOKUP(J958,'LibSets constants'!$A$4:$B$1012,2,FALSE)</f>
        <v>DLC_MORROWIND</v>
      </c>
      <c r="L958" s="3" t="str">
        <f>VLOOKUP(J958,'LibSets constants'!$A$4:$C$1012,3,FALSE)</f>
        <v>Morrowind</v>
      </c>
    </row>
    <row r="959" spans="1:12" x14ac:dyDescent="0.25">
      <c r="A959" s="5">
        <v>1410</v>
      </c>
      <c r="B959" s="5">
        <v>954</v>
      </c>
      <c r="C959" s="5">
        <v>1414</v>
      </c>
      <c r="D959" t="s">
        <v>3694</v>
      </c>
      <c r="E959" s="3" t="str">
        <f t="array" ref="E959">IF(OR(EXACT(A959,'ESO Dungeon constants'!$D$3:$D$987)),"X","")</f>
        <v/>
      </c>
      <c r="F959" s="3" t="str">
        <f t="shared" si="56"/>
        <v/>
      </c>
      <c r="G959" s="3" t="str">
        <f t="shared" si="57"/>
        <v>Telvanni Peninsula</v>
      </c>
      <c r="H959" s="17">
        <f t="shared" si="58"/>
        <v>1410</v>
      </c>
      <c r="I959" s="17">
        <f t="shared" si="59"/>
        <v>1414</v>
      </c>
      <c r="J959">
        <v>6</v>
      </c>
      <c r="K959" s="3" t="str">
        <f>VLOOKUP(J959,'LibSets constants'!$A$4:$B$1012,2,FALSE)</f>
        <v>DLC_MORROWIND</v>
      </c>
      <c r="L959" s="3" t="str">
        <f>VLOOKUP(J959,'LibSets constants'!$A$4:$C$1012,3,FALSE)</f>
        <v>Morrowind</v>
      </c>
    </row>
    <row r="960" spans="1:12" x14ac:dyDescent="0.25">
      <c r="A960" s="5">
        <v>1411</v>
      </c>
      <c r="B960" s="5">
        <v>955</v>
      </c>
      <c r="C960" s="5">
        <v>1414</v>
      </c>
      <c r="D960" t="s">
        <v>3693</v>
      </c>
      <c r="E960" s="3" t="str">
        <f t="array" ref="E960">IF(OR(EXACT(A960,'ESO Dungeon constants'!$D$3:$D$987)),"X","")</f>
        <v/>
      </c>
      <c r="F960" s="3" t="str">
        <f t="shared" si="56"/>
        <v/>
      </c>
      <c r="G960" s="3" t="str">
        <f t="shared" si="57"/>
        <v>Telvanni Peninsula</v>
      </c>
      <c r="H960" s="17">
        <f t="shared" si="58"/>
        <v>1411</v>
      </c>
      <c r="I960" s="17">
        <f t="shared" si="59"/>
        <v>1414</v>
      </c>
      <c r="J960">
        <v>6</v>
      </c>
      <c r="K960" s="3" t="str">
        <f>VLOOKUP(J960,'LibSets constants'!$A$4:$B$1012,2,FALSE)</f>
        <v>DLC_MORROWIND</v>
      </c>
      <c r="L960" s="3" t="str">
        <f>VLOOKUP(J960,'LibSets constants'!$A$4:$C$1012,3,FALSE)</f>
        <v>Morrowind</v>
      </c>
    </row>
    <row r="961" spans="1:12" x14ac:dyDescent="0.25">
      <c r="A961" s="5">
        <v>1412</v>
      </c>
      <c r="B961" s="5">
        <v>956</v>
      </c>
      <c r="C961" s="5">
        <v>1414</v>
      </c>
      <c r="D961" t="s">
        <v>3692</v>
      </c>
      <c r="E961" s="3" t="str">
        <f t="array" ref="E961">IF(OR(EXACT(A961,'ESO Dungeon constants'!$D$3:$D$987)),"X","")</f>
        <v/>
      </c>
      <c r="F961" s="3" t="str">
        <f t="shared" si="56"/>
        <v/>
      </c>
      <c r="G961" s="3" t="str">
        <f t="shared" si="57"/>
        <v>Telvanni Peninsula</v>
      </c>
      <c r="H961" s="17">
        <f t="shared" si="58"/>
        <v>1412</v>
      </c>
      <c r="I961" s="17">
        <f t="shared" si="59"/>
        <v>1414</v>
      </c>
      <c r="J961">
        <v>6</v>
      </c>
      <c r="K961" s="3" t="str">
        <f>VLOOKUP(J961,'LibSets constants'!$A$4:$B$1012,2,FALSE)</f>
        <v>DLC_MORROWIND</v>
      </c>
      <c r="L961" s="3" t="str">
        <f>VLOOKUP(J961,'LibSets constants'!$A$4:$C$1012,3,FALSE)</f>
        <v>Morrowind</v>
      </c>
    </row>
    <row r="962" spans="1:12" x14ac:dyDescent="0.25">
      <c r="A962" s="5">
        <v>1413</v>
      </c>
      <c r="B962" s="5">
        <v>957</v>
      </c>
      <c r="C962" s="5">
        <v>1414</v>
      </c>
      <c r="D962" t="s">
        <v>3619</v>
      </c>
      <c r="E962" s="3" t="str">
        <f t="array" ref="E962">IF(OR(EXACT(A962,'ESO Dungeon constants'!$D$3:$D$987)),"X","")</f>
        <v/>
      </c>
      <c r="F962" s="3" t="str">
        <f t="shared" si="56"/>
        <v/>
      </c>
      <c r="G962" s="3" t="str">
        <f t="shared" si="57"/>
        <v>Telvanni Peninsula</v>
      </c>
      <c r="H962" s="17">
        <f t="shared" si="58"/>
        <v>1413</v>
      </c>
      <c r="I962" s="17">
        <f t="shared" si="59"/>
        <v>1414</v>
      </c>
      <c r="J962">
        <v>6</v>
      </c>
      <c r="K962" s="3" t="str">
        <f>VLOOKUP(J962,'LibSets constants'!$A$4:$B$1012,2,FALSE)</f>
        <v>DLC_MORROWIND</v>
      </c>
      <c r="L962" s="3" t="str">
        <f>VLOOKUP(J962,'LibSets constants'!$A$4:$C$1012,3,FALSE)</f>
        <v>Morrowind</v>
      </c>
    </row>
    <row r="963" spans="1:12" x14ac:dyDescent="0.25">
      <c r="A963" s="5">
        <v>1414</v>
      </c>
      <c r="B963" s="5">
        <v>958</v>
      </c>
      <c r="C963" s="5">
        <v>1414</v>
      </c>
      <c r="D963" t="s">
        <v>3691</v>
      </c>
      <c r="E963" s="3" t="str">
        <f t="array" ref="E963">IF(OR(EXACT(A963,'ESO Dungeon constants'!$D$3:$D$987)),"X","")</f>
        <v/>
      </c>
      <c r="F963" s="3" t="str">
        <f t="shared" si="56"/>
        <v>X</v>
      </c>
      <c r="G963" s="3" t="str">
        <f t="shared" si="57"/>
        <v/>
      </c>
      <c r="H963" s="17">
        <f t="shared" si="58"/>
        <v>1414</v>
      </c>
      <c r="I963" s="17">
        <f t="shared" si="59"/>
        <v>1414</v>
      </c>
      <c r="J963">
        <v>6</v>
      </c>
      <c r="K963" s="3" t="str">
        <f>VLOOKUP(J963,'LibSets constants'!$A$4:$B$1012,2,FALSE)</f>
        <v>DLC_MORROWIND</v>
      </c>
      <c r="L963" s="3" t="str">
        <f>VLOOKUP(J963,'LibSets constants'!$A$4:$C$1012,3,FALSE)</f>
        <v>Morrowind</v>
      </c>
    </row>
    <row r="964" spans="1:12" x14ac:dyDescent="0.25">
      <c r="A964" s="5">
        <v>1415</v>
      </c>
      <c r="B964" s="5">
        <v>959</v>
      </c>
      <c r="C964" s="5">
        <v>1414</v>
      </c>
      <c r="D964" t="s">
        <v>3681</v>
      </c>
      <c r="E964" s="3" t="str">
        <f t="array" ref="E964">IF(OR(EXACT(A964,'ESO Dungeon constants'!$D$3:$D$987)),"X","")</f>
        <v/>
      </c>
      <c r="F964" s="3" t="str">
        <f t="shared" si="56"/>
        <v/>
      </c>
      <c r="G964" s="3" t="str">
        <f t="shared" si="57"/>
        <v>Telvanni Peninsula</v>
      </c>
      <c r="H964" s="17">
        <f t="shared" si="58"/>
        <v>1415</v>
      </c>
      <c r="I964" s="17">
        <f t="shared" si="59"/>
        <v>1414</v>
      </c>
      <c r="J964">
        <v>0</v>
      </c>
      <c r="K964" s="3" t="str">
        <f>VLOOKUP(J964,'LibSets constants'!$A$4:$B$1012,2,FALSE)</f>
        <v>DLC_BASE_GAME</v>
      </c>
      <c r="L964" s="3" t="str">
        <f>VLOOKUP(J964,'LibSets constants'!$A$4:$C$1012,3,FALSE)</f>
        <v>Included in base game</v>
      </c>
    </row>
    <row r="965" spans="1:12" x14ac:dyDescent="0.25">
      <c r="A965" s="5">
        <v>1416</v>
      </c>
      <c r="B965" s="5">
        <v>960</v>
      </c>
      <c r="C965" s="5">
        <v>1414</v>
      </c>
      <c r="D965" t="s">
        <v>3690</v>
      </c>
      <c r="E965" s="3" t="str">
        <f t="array" ref="E965">IF(OR(EXACT(A965,'ESO Dungeon constants'!$D$3:$D$987)),"X","")</f>
        <v/>
      </c>
      <c r="F965" s="3" t="str">
        <f t="shared" ref="F965:F987" si="60">IF(EXACT(A965,C965),"X","")</f>
        <v/>
      </c>
      <c r="G965" s="3" t="str">
        <f t="shared" ref="G965:G987" si="61">IF(A965&lt;&gt;C965,VLOOKUP(C965,$A$5:$D$9954,4,FALSE),"")</f>
        <v>Telvanni Peninsula</v>
      </c>
      <c r="H965" s="17">
        <f t="shared" ref="H965:H987" si="62">A965</f>
        <v>1416</v>
      </c>
      <c r="I965" s="17">
        <f t="shared" ref="I965:I987" si="63">C965</f>
        <v>1414</v>
      </c>
      <c r="J965">
        <v>6</v>
      </c>
      <c r="K965" s="3" t="str">
        <f>VLOOKUP(J965,'LibSets constants'!$A$4:$B$1012,2,FALSE)</f>
        <v>DLC_MORROWIND</v>
      </c>
      <c r="L965" s="3" t="str">
        <f>VLOOKUP(J965,'LibSets constants'!$A$4:$C$1012,3,FALSE)</f>
        <v>Morrowind</v>
      </c>
    </row>
    <row r="966" spans="1:12" x14ac:dyDescent="0.25">
      <c r="A966" s="5">
        <v>1417</v>
      </c>
      <c r="B966" s="5">
        <v>961</v>
      </c>
      <c r="C966" s="5">
        <v>1414</v>
      </c>
      <c r="D966" t="s">
        <v>3689</v>
      </c>
      <c r="E966" s="3" t="str">
        <f t="array" ref="E966">IF(OR(EXACT(A966,'ESO Dungeon constants'!$D$3:$D$987)),"X","")</f>
        <v/>
      </c>
      <c r="F966" s="3" t="str">
        <f t="shared" si="60"/>
        <v/>
      </c>
      <c r="G966" s="3" t="str">
        <f t="shared" si="61"/>
        <v>Telvanni Peninsula</v>
      </c>
      <c r="H966" s="17">
        <f t="shared" si="62"/>
        <v>1417</v>
      </c>
      <c r="I966" s="17">
        <f t="shared" si="63"/>
        <v>1414</v>
      </c>
      <c r="J966">
        <v>6</v>
      </c>
      <c r="K966" s="3" t="str">
        <f>VLOOKUP(J966,'LibSets constants'!$A$4:$B$1012,2,FALSE)</f>
        <v>DLC_MORROWIND</v>
      </c>
      <c r="L966" s="3" t="str">
        <f>VLOOKUP(J966,'LibSets constants'!$A$4:$C$1012,3,FALSE)</f>
        <v>Morrowind</v>
      </c>
    </row>
    <row r="967" spans="1:12" x14ac:dyDescent="0.25">
      <c r="A967" s="5">
        <v>1420</v>
      </c>
      <c r="B967" s="5">
        <v>962</v>
      </c>
      <c r="C967" s="5">
        <v>1414</v>
      </c>
      <c r="D967" t="s">
        <v>3688</v>
      </c>
      <c r="E967" s="3" t="str">
        <f t="array" ref="E967">IF(OR(EXACT(A967,'ESO Dungeon constants'!$D$3:$D$987)),"X","")</f>
        <v/>
      </c>
      <c r="F967" s="3" t="str">
        <f t="shared" si="60"/>
        <v/>
      </c>
      <c r="G967" s="3" t="str">
        <f t="shared" si="61"/>
        <v>Telvanni Peninsula</v>
      </c>
      <c r="H967" s="17">
        <f t="shared" si="62"/>
        <v>1420</v>
      </c>
      <c r="I967" s="17">
        <f t="shared" si="63"/>
        <v>1414</v>
      </c>
      <c r="J967">
        <v>6</v>
      </c>
      <c r="K967" s="3" t="str">
        <f>VLOOKUP(J967,'LibSets constants'!$A$4:$B$1012,2,FALSE)</f>
        <v>DLC_MORROWIND</v>
      </c>
      <c r="L967" s="3" t="str">
        <f>VLOOKUP(J967,'LibSets constants'!$A$4:$C$1012,3,FALSE)</f>
        <v>Morrowind</v>
      </c>
    </row>
    <row r="968" spans="1:12" x14ac:dyDescent="0.25">
      <c r="A968" s="5">
        <v>1421</v>
      </c>
      <c r="B968" s="5">
        <v>963</v>
      </c>
      <c r="C968" s="5">
        <v>1414</v>
      </c>
      <c r="D968" t="s">
        <v>3687</v>
      </c>
      <c r="E968" s="3" t="str">
        <f t="array" ref="E968">IF(OR(EXACT(A968,'ESO Dungeon constants'!$D$3:$D$987)),"X","")</f>
        <v/>
      </c>
      <c r="F968" s="3" t="str">
        <f t="shared" si="60"/>
        <v/>
      </c>
      <c r="G968" s="3" t="str">
        <f t="shared" si="61"/>
        <v>Telvanni Peninsula</v>
      </c>
      <c r="H968" s="17">
        <f t="shared" si="62"/>
        <v>1421</v>
      </c>
      <c r="I968" s="17">
        <f t="shared" si="63"/>
        <v>1414</v>
      </c>
      <c r="J968">
        <v>6</v>
      </c>
      <c r="K968" s="3" t="str">
        <f>VLOOKUP(J968,'LibSets constants'!$A$4:$B$1012,2,FALSE)</f>
        <v>DLC_MORROWIND</v>
      </c>
      <c r="L968" s="3" t="str">
        <f>VLOOKUP(J968,'LibSets constants'!$A$4:$C$1012,3,FALSE)</f>
        <v>Morrowind</v>
      </c>
    </row>
    <row r="969" spans="1:12" x14ac:dyDescent="0.25">
      <c r="A969" s="5">
        <v>1422</v>
      </c>
      <c r="B969" s="5">
        <v>964</v>
      </c>
      <c r="C969" s="5">
        <v>1414</v>
      </c>
      <c r="D969" t="s">
        <v>3686</v>
      </c>
      <c r="E969" s="3" t="str">
        <f t="array" ref="E969">IF(OR(EXACT(A969,'ESO Dungeon constants'!$D$3:$D$987)),"X","")</f>
        <v/>
      </c>
      <c r="F969" s="3" t="str">
        <f t="shared" si="60"/>
        <v/>
      </c>
      <c r="G969" s="3" t="str">
        <f t="shared" si="61"/>
        <v>Telvanni Peninsula</v>
      </c>
      <c r="H969" s="17">
        <f t="shared" si="62"/>
        <v>1422</v>
      </c>
      <c r="I969" s="17">
        <f t="shared" si="63"/>
        <v>1414</v>
      </c>
      <c r="J969">
        <v>6</v>
      </c>
      <c r="K969" s="3" t="str">
        <f>VLOOKUP(J969,'LibSets constants'!$A$4:$B$1012,2,FALSE)</f>
        <v>DLC_MORROWIND</v>
      </c>
      <c r="L969" s="3" t="str">
        <f>VLOOKUP(J969,'LibSets constants'!$A$4:$C$1012,3,FALSE)</f>
        <v>Morrowind</v>
      </c>
    </row>
    <row r="970" spans="1:12" x14ac:dyDescent="0.25">
      <c r="A970" s="5">
        <v>1423</v>
      </c>
      <c r="B970" s="5">
        <v>965</v>
      </c>
      <c r="C970" s="5">
        <v>1414</v>
      </c>
      <c r="D970" t="s">
        <v>3685</v>
      </c>
      <c r="E970" s="3" t="str">
        <f t="array" ref="E970">IF(OR(EXACT(A970,'ESO Dungeon constants'!$D$3:$D$987)),"X","")</f>
        <v/>
      </c>
      <c r="F970" s="3" t="str">
        <f t="shared" si="60"/>
        <v/>
      </c>
      <c r="G970" s="3" t="str">
        <f t="shared" si="61"/>
        <v>Telvanni Peninsula</v>
      </c>
      <c r="H970" s="17">
        <f t="shared" si="62"/>
        <v>1423</v>
      </c>
      <c r="I970" s="17">
        <f t="shared" si="63"/>
        <v>1414</v>
      </c>
      <c r="J970">
        <v>0</v>
      </c>
      <c r="K970" s="3" t="str">
        <f>VLOOKUP(J970,'LibSets constants'!$A$4:$B$1012,2,FALSE)</f>
        <v>DLC_BASE_GAME</v>
      </c>
      <c r="L970" s="3" t="str">
        <f>VLOOKUP(J970,'LibSets constants'!$A$4:$C$1012,3,FALSE)</f>
        <v>Included in base game</v>
      </c>
    </row>
    <row r="971" spans="1:12" x14ac:dyDescent="0.25">
      <c r="A971" s="5">
        <v>1424</v>
      </c>
      <c r="B971" s="5">
        <v>966</v>
      </c>
      <c r="C971" s="5">
        <v>1414</v>
      </c>
      <c r="D971" t="s">
        <v>3684</v>
      </c>
      <c r="E971" s="3" t="str">
        <f t="array" ref="E971">IF(OR(EXACT(A971,'ESO Dungeon constants'!$D$3:$D$987)),"X","")</f>
        <v/>
      </c>
      <c r="F971" s="3" t="str">
        <f t="shared" si="60"/>
        <v/>
      </c>
      <c r="G971" s="3" t="str">
        <f t="shared" si="61"/>
        <v>Telvanni Peninsula</v>
      </c>
      <c r="H971" s="17">
        <f t="shared" si="62"/>
        <v>1424</v>
      </c>
      <c r="I971" s="17">
        <f t="shared" si="63"/>
        <v>1414</v>
      </c>
      <c r="J971">
        <v>0</v>
      </c>
      <c r="K971" s="3" t="str">
        <f>VLOOKUP(J971,'LibSets constants'!$A$4:$B$1012,2,FALSE)</f>
        <v>DLC_BASE_GAME</v>
      </c>
      <c r="L971" s="3" t="str">
        <f>VLOOKUP(J971,'LibSets constants'!$A$4:$C$1012,3,FALSE)</f>
        <v>Included in base game</v>
      </c>
    </row>
    <row r="972" spans="1:12" x14ac:dyDescent="0.25">
      <c r="A972" s="5">
        <v>1425</v>
      </c>
      <c r="B972" s="5">
        <v>967</v>
      </c>
      <c r="C972" s="5">
        <v>1414</v>
      </c>
      <c r="D972" t="s">
        <v>3683</v>
      </c>
      <c r="E972" s="3" t="str">
        <f t="array" ref="E972">IF(OR(EXACT(A972,'ESO Dungeon constants'!$D$3:$D$987)),"X","")</f>
        <v/>
      </c>
      <c r="F972" s="3" t="str">
        <f t="shared" si="60"/>
        <v/>
      </c>
      <c r="G972" s="3" t="str">
        <f t="shared" si="61"/>
        <v>Telvanni Peninsula</v>
      </c>
      <c r="H972" s="17">
        <f t="shared" si="62"/>
        <v>1425</v>
      </c>
      <c r="I972" s="17">
        <f t="shared" si="63"/>
        <v>1414</v>
      </c>
      <c r="J972">
        <v>0</v>
      </c>
      <c r="K972" s="3" t="str">
        <f>VLOOKUP(J972,'LibSets constants'!$A$4:$B$1012,2,FALSE)</f>
        <v>DLC_BASE_GAME</v>
      </c>
      <c r="L972" s="3" t="str">
        <f>VLOOKUP(J972,'LibSets constants'!$A$4:$C$1012,3,FALSE)</f>
        <v>Included in base game</v>
      </c>
    </row>
    <row r="973" spans="1:12" x14ac:dyDescent="0.25">
      <c r="A973" s="5">
        <v>1427</v>
      </c>
      <c r="B973" s="5">
        <v>968</v>
      </c>
      <c r="C973" s="5">
        <v>1414</v>
      </c>
      <c r="D973" t="s">
        <v>3682</v>
      </c>
      <c r="E973" s="3" t="str">
        <f t="array" ref="E973">IF(OR(EXACT(A973,'ESO Dungeon constants'!$D$3:$D$987)),"X","")</f>
        <v>X</v>
      </c>
      <c r="F973" s="3" t="str">
        <f t="shared" si="60"/>
        <v/>
      </c>
      <c r="G973" s="3" t="str">
        <f t="shared" si="61"/>
        <v>Telvanni Peninsula</v>
      </c>
      <c r="H973" s="17">
        <f t="shared" si="62"/>
        <v>1427</v>
      </c>
      <c r="I973" s="17">
        <f t="shared" si="63"/>
        <v>1414</v>
      </c>
      <c r="J973">
        <v>0</v>
      </c>
      <c r="K973" s="3" t="str">
        <f>VLOOKUP(J973,'LibSets constants'!$A$4:$B$1012,2,FALSE)</f>
        <v>DLC_BASE_GAME</v>
      </c>
      <c r="L973" s="3" t="str">
        <f>VLOOKUP(J973,'LibSets constants'!$A$4:$C$1012,3,FALSE)</f>
        <v>Included in base game</v>
      </c>
    </row>
    <row r="974" spans="1:12" x14ac:dyDescent="0.25">
      <c r="A974" s="5">
        <v>1432</v>
      </c>
      <c r="B974" s="5">
        <v>969</v>
      </c>
      <c r="C974" s="5">
        <v>1318</v>
      </c>
      <c r="D974" t="s">
        <v>3561</v>
      </c>
      <c r="E974" s="3" t="str">
        <f t="array" ref="E974">IF(OR(EXACT(A974,'ESO Dungeon constants'!$D$3:$D$987)),"X","")</f>
        <v/>
      </c>
      <c r="F974" s="3" t="str">
        <f t="shared" si="60"/>
        <v/>
      </c>
      <c r="G974" s="3" t="str">
        <f t="shared" si="61"/>
        <v>High Isle</v>
      </c>
      <c r="H974" s="17">
        <f t="shared" si="62"/>
        <v>1432</v>
      </c>
      <c r="I974" s="17">
        <f t="shared" si="63"/>
        <v>1318</v>
      </c>
      <c r="J974">
        <v>0</v>
      </c>
      <c r="K974" s="3" t="str">
        <f>VLOOKUP(J974,'LibSets constants'!$A$4:$B$1012,2,FALSE)</f>
        <v>DLC_BASE_GAME</v>
      </c>
      <c r="L974" s="3" t="str">
        <f>VLOOKUP(J974,'LibSets constants'!$A$4:$C$1012,3,FALSE)</f>
        <v>Included in base game</v>
      </c>
    </row>
    <row r="975" spans="1:12" x14ac:dyDescent="0.25">
      <c r="A975" s="5">
        <v>1433</v>
      </c>
      <c r="B975" s="5">
        <v>970</v>
      </c>
      <c r="C975" s="5">
        <v>1414</v>
      </c>
      <c r="D975" t="s">
        <v>3676</v>
      </c>
      <c r="E975" s="3" t="str">
        <f t="array" ref="E975">IF(OR(EXACT(A975,'ESO Dungeon constants'!$D$3:$D$987)),"X","")</f>
        <v/>
      </c>
      <c r="F975" s="3" t="str">
        <f t="shared" si="60"/>
        <v/>
      </c>
      <c r="G975" s="3" t="str">
        <f t="shared" si="61"/>
        <v>Telvanni Peninsula</v>
      </c>
      <c r="H975" s="17">
        <f t="shared" si="62"/>
        <v>1433</v>
      </c>
      <c r="I975" s="17">
        <f t="shared" si="63"/>
        <v>1414</v>
      </c>
      <c r="J975">
        <v>0</v>
      </c>
      <c r="K975" s="3" t="str">
        <f>VLOOKUP(J975,'LibSets constants'!$A$4:$B$1012,2,FALSE)</f>
        <v>DLC_BASE_GAME</v>
      </c>
      <c r="L975" s="3" t="str">
        <f>VLOOKUP(J975,'LibSets constants'!$A$4:$C$1012,3,FALSE)</f>
        <v>Included in base game</v>
      </c>
    </row>
    <row r="976" spans="1:12" x14ac:dyDescent="0.25">
      <c r="A976" s="5">
        <v>1434</v>
      </c>
      <c r="B976" s="5">
        <v>971</v>
      </c>
      <c r="C976" s="5">
        <v>1414</v>
      </c>
      <c r="D976" t="s">
        <v>3677</v>
      </c>
      <c r="E976" s="3" t="str">
        <f t="array" ref="E976">IF(OR(EXACT(A976,'ESO Dungeon constants'!$D$3:$D$987)),"X","")</f>
        <v/>
      </c>
      <c r="F976" s="3" t="str">
        <f t="shared" si="60"/>
        <v/>
      </c>
      <c r="G976" s="3" t="str">
        <f t="shared" si="61"/>
        <v>Telvanni Peninsula</v>
      </c>
      <c r="H976" s="17">
        <f t="shared" si="62"/>
        <v>1434</v>
      </c>
      <c r="I976" s="17">
        <f t="shared" si="63"/>
        <v>1414</v>
      </c>
      <c r="J976">
        <v>0</v>
      </c>
      <c r="K976" s="3" t="str">
        <f>VLOOKUP(J976,'LibSets constants'!$A$4:$B$1012,2,FALSE)</f>
        <v>DLC_BASE_GAME</v>
      </c>
      <c r="L976" s="3" t="str">
        <f>VLOOKUP(J976,'LibSets constants'!$A$4:$C$1012,3,FALSE)</f>
        <v>Included in base game</v>
      </c>
    </row>
    <row r="977" spans="1:12" x14ac:dyDescent="0.25">
      <c r="A977" s="5">
        <v>1435</v>
      </c>
      <c r="B977" s="5">
        <v>972</v>
      </c>
      <c r="C977" s="5">
        <v>1383</v>
      </c>
      <c r="D977" t="s">
        <v>3675</v>
      </c>
      <c r="E977" s="3" t="str">
        <f t="array" ref="E977">IF(OR(EXACT(A977,'ESO Dungeon constants'!$D$3:$D$987)),"X","")</f>
        <v/>
      </c>
      <c r="F977" s="3" t="str">
        <f t="shared" si="60"/>
        <v/>
      </c>
      <c r="G977" s="3" t="str">
        <f t="shared" si="61"/>
        <v>Galen</v>
      </c>
      <c r="H977" s="17">
        <f t="shared" si="62"/>
        <v>1435</v>
      </c>
      <c r="I977" s="17">
        <f t="shared" si="63"/>
        <v>1383</v>
      </c>
      <c r="J977">
        <v>0</v>
      </c>
      <c r="K977" s="3" t="str">
        <f>VLOOKUP(J977,'LibSets constants'!$A$4:$B$1012,2,FALSE)</f>
        <v>DLC_BASE_GAME</v>
      </c>
      <c r="L977" s="3" t="str">
        <f>VLOOKUP(J977,'LibSets constants'!$A$4:$C$1012,3,FALSE)</f>
        <v>Included in base game</v>
      </c>
    </row>
    <row r="978" spans="1:12" x14ac:dyDescent="0.25">
      <c r="A978" s="5">
        <v>1436</v>
      </c>
      <c r="B978" s="5">
        <v>973</v>
      </c>
      <c r="C978" s="5">
        <v>1413</v>
      </c>
      <c r="D978" t="s">
        <v>3912</v>
      </c>
      <c r="E978" s="3" t="str">
        <f t="array" ref="E978">IF(OR(EXACT(A978,'ESO Dungeon constants'!$D$3:$D$987)),"X","")</f>
        <v>X</v>
      </c>
      <c r="F978" s="3" t="str">
        <f t="shared" si="60"/>
        <v/>
      </c>
      <c r="G978" s="3" t="str">
        <f t="shared" si="61"/>
        <v>Apocrypha</v>
      </c>
      <c r="H978" s="17">
        <f t="shared" si="62"/>
        <v>1436</v>
      </c>
      <c r="I978" s="17">
        <f t="shared" si="63"/>
        <v>1413</v>
      </c>
      <c r="J978">
        <v>0</v>
      </c>
      <c r="K978" s="3" t="str">
        <f>VLOOKUP(J978,'LibSets constants'!$A$4:$B$1012,2,FALSE)</f>
        <v>DLC_BASE_GAME</v>
      </c>
      <c r="L978" s="3" t="str">
        <f>VLOOKUP(J978,'LibSets constants'!$A$4:$C$1012,3,FALSE)</f>
        <v>Included in base game</v>
      </c>
    </row>
    <row r="979" spans="1:12" x14ac:dyDescent="0.25">
      <c r="A979" s="5">
        <v>1437</v>
      </c>
      <c r="B979" s="5">
        <v>974</v>
      </c>
      <c r="C979" s="5">
        <v>981</v>
      </c>
      <c r="D979" t="s">
        <v>3771</v>
      </c>
      <c r="E979" s="3" t="str">
        <f t="array" ref="E979">IF(OR(EXACT(A979,'ESO Dungeon constants'!$D$3:$D$987)),"X","")</f>
        <v/>
      </c>
      <c r="F979" s="3" t="str">
        <f t="shared" si="60"/>
        <v/>
      </c>
      <c r="G979" s="3" t="str">
        <f t="shared" si="61"/>
        <v>The Brass Fortress</v>
      </c>
      <c r="H979" s="17">
        <f t="shared" si="62"/>
        <v>1437</v>
      </c>
      <c r="I979" s="17">
        <f t="shared" si="63"/>
        <v>981</v>
      </c>
      <c r="J979">
        <v>0</v>
      </c>
      <c r="K979" s="3" t="str">
        <f>VLOOKUP(J979,'LibSets constants'!$A$4:$B$1012,2,FALSE)</f>
        <v>DLC_BASE_GAME</v>
      </c>
      <c r="L979" s="3" t="str">
        <f>VLOOKUP(J979,'LibSets constants'!$A$4:$C$1012,3,FALSE)</f>
        <v>Included in base game</v>
      </c>
    </row>
    <row r="980" spans="1:12" x14ac:dyDescent="0.25">
      <c r="A980" s="5">
        <v>1438</v>
      </c>
      <c r="B980" s="5">
        <v>975</v>
      </c>
      <c r="C980" s="5">
        <v>104</v>
      </c>
      <c r="D980" t="s">
        <v>3911</v>
      </c>
      <c r="E980" s="3" t="str">
        <f t="array" ref="E980">IF(OR(EXACT(A980,'ESO Dungeon constants'!$D$3:$D$987)),"X","")</f>
        <v/>
      </c>
      <c r="F980" s="3" t="str">
        <f t="shared" si="60"/>
        <v/>
      </c>
      <c r="G980" s="3" t="str">
        <f t="shared" si="61"/>
        <v>Alik'r Desert</v>
      </c>
      <c r="H980" s="17">
        <f t="shared" si="62"/>
        <v>1438</v>
      </c>
      <c r="I980" s="17">
        <f t="shared" si="63"/>
        <v>104</v>
      </c>
      <c r="J980">
        <v>0</v>
      </c>
      <c r="K980" s="3" t="str">
        <f>VLOOKUP(J980,'LibSets constants'!$A$4:$B$1012,2,FALSE)</f>
        <v>DLC_BASE_GAME</v>
      </c>
      <c r="L980" s="3" t="str">
        <f>VLOOKUP(J980,'LibSets constants'!$A$4:$C$1012,3,FALSE)</f>
        <v>Included in base game</v>
      </c>
    </row>
    <row r="981" spans="1:12" x14ac:dyDescent="0.25">
      <c r="A981" s="5">
        <v>1439</v>
      </c>
      <c r="B981" s="5">
        <v>976</v>
      </c>
      <c r="C981" s="5">
        <v>849</v>
      </c>
      <c r="D981" t="s">
        <v>3910</v>
      </c>
      <c r="E981" s="3" t="str">
        <f t="array" ref="E981">IF(OR(EXACT(A981,'ESO Dungeon constants'!$D$3:$D$987)),"X","")</f>
        <v/>
      </c>
      <c r="F981" s="3" t="str">
        <f t="shared" si="60"/>
        <v/>
      </c>
      <c r="G981" s="3" t="str">
        <f t="shared" si="61"/>
        <v>Vvardenfell</v>
      </c>
      <c r="H981" s="17">
        <f t="shared" si="62"/>
        <v>1439</v>
      </c>
      <c r="I981" s="17">
        <f t="shared" si="63"/>
        <v>849</v>
      </c>
      <c r="J981">
        <v>0</v>
      </c>
      <c r="K981" s="3" t="str">
        <f>VLOOKUP(J981,'LibSets constants'!$A$4:$B$1012,2,FALSE)</f>
        <v>DLC_BASE_GAME</v>
      </c>
      <c r="L981" s="3" t="str">
        <f>VLOOKUP(J981,'LibSets constants'!$A$4:$C$1012,3,FALSE)</f>
        <v>Included in base game</v>
      </c>
    </row>
    <row r="982" spans="1:12" x14ac:dyDescent="0.25">
      <c r="A982" s="5">
        <v>1468</v>
      </c>
      <c r="B982" s="5">
        <v>977</v>
      </c>
      <c r="C982" s="5">
        <v>1414</v>
      </c>
      <c r="D982" t="s">
        <v>3770</v>
      </c>
      <c r="E982" s="3" t="str">
        <f t="array" ref="E982">IF(OR(EXACT(A982,'ESO Dungeon constants'!$D$3:$D$987)),"X","")</f>
        <v/>
      </c>
      <c r="F982" s="3" t="str">
        <f t="shared" si="60"/>
        <v/>
      </c>
      <c r="G982" s="3" t="str">
        <f t="shared" si="61"/>
        <v>Telvanni Peninsula</v>
      </c>
      <c r="H982" s="17">
        <f t="shared" si="62"/>
        <v>1468</v>
      </c>
      <c r="I982" s="17">
        <f t="shared" si="63"/>
        <v>1414</v>
      </c>
      <c r="J982">
        <v>0</v>
      </c>
      <c r="K982" s="3" t="str">
        <f>VLOOKUP(J982,'LibSets constants'!$A$4:$B$1012,2,FALSE)</f>
        <v>DLC_BASE_GAME</v>
      </c>
      <c r="L982" s="3" t="str">
        <f>VLOOKUP(J982,'LibSets constants'!$A$4:$C$1012,3,FALSE)</f>
        <v>Included in base game</v>
      </c>
    </row>
    <row r="983" spans="1:12" x14ac:dyDescent="0.25">
      <c r="A983" s="5">
        <v>1470</v>
      </c>
      <c r="B983" s="5">
        <v>978</v>
      </c>
      <c r="C983" s="5">
        <v>1207</v>
      </c>
      <c r="D983" t="s">
        <v>3886</v>
      </c>
      <c r="E983" s="3" t="str">
        <f t="array" ref="E983">IF(OR(EXACT(A983,'ESO Dungeon constants'!$D$3:$D$987)),"X","")</f>
        <v>X</v>
      </c>
      <c r="F983" s="3" t="str">
        <f t="shared" si="60"/>
        <v/>
      </c>
      <c r="G983" s="3" t="str">
        <f t="shared" si="61"/>
        <v>The Reach</v>
      </c>
      <c r="H983" s="17">
        <f t="shared" si="62"/>
        <v>1470</v>
      </c>
      <c r="I983" s="17">
        <f t="shared" si="63"/>
        <v>1207</v>
      </c>
      <c r="J983">
        <v>0</v>
      </c>
      <c r="K983" s="3" t="str">
        <f>VLOOKUP(J983,'LibSets constants'!$A$4:$B$1012,2,FALSE)</f>
        <v>DLC_BASE_GAME</v>
      </c>
      <c r="L983" s="3" t="str">
        <f>VLOOKUP(J983,'LibSets constants'!$A$4:$C$1012,3,FALSE)</f>
        <v>Included in base game</v>
      </c>
    </row>
    <row r="984" spans="1:12" x14ac:dyDescent="0.25">
      <c r="A984" s="5">
        <v>1471</v>
      </c>
      <c r="B984" s="5">
        <v>979</v>
      </c>
      <c r="C984" s="5">
        <v>684</v>
      </c>
      <c r="D984" t="s">
        <v>3887</v>
      </c>
      <c r="E984" s="3" t="str">
        <f t="array" ref="E984">IF(OR(EXACT(A984,'ESO Dungeon constants'!$D$3:$D$987)),"X","")</f>
        <v>X</v>
      </c>
      <c r="F984" s="3" t="str">
        <f t="shared" si="60"/>
        <v/>
      </c>
      <c r="G984" s="3" t="str">
        <f t="shared" si="61"/>
        <v>Wrothgar</v>
      </c>
      <c r="H984" s="17">
        <f t="shared" si="62"/>
        <v>1471</v>
      </c>
      <c r="I984" s="17">
        <f t="shared" si="63"/>
        <v>684</v>
      </c>
      <c r="J984">
        <v>0</v>
      </c>
      <c r="K984" s="3" t="str">
        <f>VLOOKUP(J984,'LibSets constants'!$A$4:$B$1012,2,FALSE)</f>
        <v>DLC_BASE_GAME</v>
      </c>
      <c r="L984" s="3" t="str">
        <f>VLOOKUP(J984,'LibSets constants'!$A$4:$C$1012,3,FALSE)</f>
        <v>Included in base game</v>
      </c>
    </row>
    <row r="985" spans="1:12" x14ac:dyDescent="0.25">
      <c r="A985" s="5">
        <v>1472</v>
      </c>
      <c r="B985" s="5">
        <v>980</v>
      </c>
      <c r="C985" s="5">
        <v>1383</v>
      </c>
      <c r="D985" t="s">
        <v>3772</v>
      </c>
      <c r="E985" s="3" t="str">
        <f t="array" ref="E985">IF(OR(EXACT(A985,'ESO Dungeon constants'!$D$3:$D$987)),"X","")</f>
        <v/>
      </c>
      <c r="F985" s="3" t="str">
        <f t="shared" si="60"/>
        <v/>
      </c>
      <c r="G985" s="3" t="str">
        <f t="shared" si="61"/>
        <v>Galen</v>
      </c>
      <c r="H985" s="17">
        <f t="shared" si="62"/>
        <v>1472</v>
      </c>
      <c r="I985" s="17">
        <f t="shared" si="63"/>
        <v>1383</v>
      </c>
      <c r="J985">
        <v>0</v>
      </c>
      <c r="K985" s="3" t="str">
        <f>VLOOKUP(J985,'LibSets constants'!$A$4:$B$1012,2,FALSE)</f>
        <v>DLC_BASE_GAME</v>
      </c>
      <c r="L985" s="3" t="str">
        <f>VLOOKUP(J985,'LibSets constants'!$A$4:$C$1012,3,FALSE)</f>
        <v>Included in base game</v>
      </c>
    </row>
    <row r="986" spans="1:12" x14ac:dyDescent="0.25">
      <c r="A986" s="5">
        <v>1473</v>
      </c>
      <c r="B986" s="5">
        <v>981</v>
      </c>
      <c r="C986" s="5">
        <v>1413</v>
      </c>
      <c r="D986" t="s">
        <v>3773</v>
      </c>
      <c r="E986" s="3" t="str">
        <f t="array" ref="E986">IF(OR(EXACT(A986,'ESO Dungeon constants'!$D$3:$D$987)),"X","")</f>
        <v/>
      </c>
      <c r="F986" s="3" t="str">
        <f t="shared" si="60"/>
        <v/>
      </c>
      <c r="G986" s="3" t="str">
        <f t="shared" si="61"/>
        <v>Apocrypha</v>
      </c>
      <c r="H986" s="17">
        <f t="shared" si="62"/>
        <v>1473</v>
      </c>
      <c r="I986" s="17">
        <f t="shared" si="63"/>
        <v>1413</v>
      </c>
      <c r="J986">
        <v>0</v>
      </c>
      <c r="K986" s="3" t="str">
        <f>VLOOKUP(J986,'LibSets constants'!$A$4:$B$1012,2,FALSE)</f>
        <v>DLC_BASE_GAME</v>
      </c>
      <c r="L986" s="3" t="str">
        <f>VLOOKUP(J986,'LibSets constants'!$A$4:$C$1012,3,FALSE)</f>
        <v>Included in base game</v>
      </c>
    </row>
    <row r="987" spans="1:12" x14ac:dyDescent="0.25">
      <c r="A987" s="5">
        <v>1479</v>
      </c>
      <c r="B987" s="5">
        <v>982</v>
      </c>
      <c r="C987" s="5">
        <v>1261</v>
      </c>
      <c r="D987" t="s">
        <v>3909</v>
      </c>
      <c r="E987" s="3" t="str">
        <f t="array" ref="E987">IF(OR(EXACT(A987,'ESO Dungeon constants'!$D$3:$D$987)),"X","")</f>
        <v/>
      </c>
      <c r="F987" s="3" t="str">
        <f t="shared" si="60"/>
        <v/>
      </c>
      <c r="G987" s="3" t="str">
        <f t="shared" si="61"/>
        <v>Blackwood</v>
      </c>
      <c r="H987" s="17">
        <f t="shared" si="62"/>
        <v>1479</v>
      </c>
      <c r="I987" s="17">
        <f t="shared" si="63"/>
        <v>1261</v>
      </c>
      <c r="J987">
        <v>0</v>
      </c>
      <c r="K987" s="3" t="str">
        <f>VLOOKUP(J987,'LibSets constants'!$A$4:$B$1012,2,FALSE)</f>
        <v>DLC_BASE_GAME</v>
      </c>
      <c r="L987" s="3" t="str">
        <f>VLOOKUP(J987,'LibSets constants'!$A$4:$C$1012,3,FALSE)</f>
        <v>Included in base game</v>
      </c>
    </row>
  </sheetData>
  <autoFilter ref="A2:L987" xr:uid="{00000000-0009-0000-0000-000005000000}">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4"/>
  <sheetViews>
    <sheetView workbookViewId="0">
      <pane xSplit="5" ySplit="2" topLeftCell="H3" activePane="bottomRight" state="frozen"/>
      <selection pane="topRight" activeCell="F1" sqref="F1"/>
      <selection pane="bottomLeft" activeCell="A2" sqref="A2"/>
      <selection pane="bottomRight" activeCell="A2" sqref="A2"/>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18" t="s">
        <v>3920</v>
      </c>
      <c r="B1" s="118"/>
      <c r="C1" s="118"/>
      <c r="D1" s="118"/>
      <c r="E1" s="118"/>
    </row>
    <row r="2" spans="1:11" s="1" customFormat="1" x14ac:dyDescent="0.25">
      <c r="A2" s="1" t="s">
        <v>94</v>
      </c>
      <c r="B2" s="1" t="s">
        <v>101</v>
      </c>
      <c r="C2" s="1" t="s">
        <v>98</v>
      </c>
      <c r="D2" s="1" t="s">
        <v>99</v>
      </c>
      <c r="E2" s="1" t="s">
        <v>725</v>
      </c>
      <c r="F2" s="1" t="s">
        <v>1372</v>
      </c>
      <c r="G2" s="1" t="s">
        <v>1371</v>
      </c>
      <c r="H2" s="1" t="s">
        <v>1417</v>
      </c>
      <c r="I2" s="1" t="s">
        <v>1506</v>
      </c>
      <c r="J2" s="1" t="s">
        <v>1418</v>
      </c>
      <c r="K2" s="102" t="s">
        <v>3863</v>
      </c>
    </row>
    <row r="3" spans="1:11" x14ac:dyDescent="0.25">
      <c r="A3">
        <v>308</v>
      </c>
      <c r="B3">
        <v>120</v>
      </c>
      <c r="C3">
        <v>104</v>
      </c>
      <c r="D3" t="s">
        <v>206</v>
      </c>
      <c r="E3" t="s">
        <v>112</v>
      </c>
      <c r="F3">
        <v>308</v>
      </c>
      <c r="G3">
        <v>104</v>
      </c>
      <c r="H3">
        <v>0</v>
      </c>
      <c r="I3" t="s">
        <v>1439</v>
      </c>
      <c r="J3" t="s">
        <v>84</v>
      </c>
      <c r="K3" s="21" t="str">
        <f>"["&amp;A3&amp;"]={parentZoneId="&amp;C3&amp;", DLCID="&amp;I3&amp;"},   --"&amp;D3</f>
        <v>[308]={parentZoneId=104, DLCID=DLC_BASE_GAME},   --Lost City of the Na-Totambu</v>
      </c>
    </row>
    <row r="4" spans="1:11" x14ac:dyDescent="0.25">
      <c r="A4">
        <v>486</v>
      </c>
      <c r="B4">
        <v>267</v>
      </c>
      <c r="C4">
        <v>381</v>
      </c>
      <c r="D4" t="s">
        <v>350</v>
      </c>
      <c r="E4" t="s">
        <v>262</v>
      </c>
      <c r="F4">
        <v>486</v>
      </c>
      <c r="G4">
        <v>381</v>
      </c>
      <c r="H4">
        <v>0</v>
      </c>
      <c r="I4" t="s">
        <v>1439</v>
      </c>
      <c r="J4" t="s">
        <v>84</v>
      </c>
      <c r="K4" s="21" t="str">
        <f t="shared" ref="K4:K34" si="0">"["&amp;A4&amp;"]={parentZoneId="&amp;C4&amp;", DLCID="&amp;I4&amp;"},   --"&amp;D4</f>
        <v>[486]={parentZoneId=381, DLCID=DLC_BASE_GAME},   --Toothmaul Gully</v>
      </c>
    </row>
    <row r="5" spans="1:11" x14ac:dyDescent="0.25">
      <c r="A5">
        <v>169</v>
      </c>
      <c r="B5">
        <v>35</v>
      </c>
      <c r="C5">
        <v>92</v>
      </c>
      <c r="D5" t="s">
        <v>124</v>
      </c>
      <c r="E5" t="s">
        <v>109</v>
      </c>
      <c r="F5">
        <v>169</v>
      </c>
      <c r="G5">
        <v>92</v>
      </c>
      <c r="H5">
        <v>0</v>
      </c>
      <c r="I5" t="s">
        <v>1439</v>
      </c>
      <c r="J5" t="s">
        <v>84</v>
      </c>
      <c r="K5" s="21" t="str">
        <f t="shared" si="0"/>
        <v>[169]={parentZoneId=92, DLCID=DLC_BASE_GAME},   --Razak's Wheel</v>
      </c>
    </row>
    <row r="6" spans="1:11" x14ac:dyDescent="0.25">
      <c r="A6">
        <v>557</v>
      </c>
      <c r="B6">
        <v>323</v>
      </c>
      <c r="C6">
        <v>347</v>
      </c>
      <c r="D6" t="s">
        <v>402</v>
      </c>
      <c r="E6" t="s">
        <v>239</v>
      </c>
      <c r="F6">
        <v>557</v>
      </c>
      <c r="G6">
        <v>347</v>
      </c>
      <c r="H6">
        <v>0</v>
      </c>
      <c r="I6" t="s">
        <v>1439</v>
      </c>
      <c r="J6" t="s">
        <v>84</v>
      </c>
      <c r="K6" s="21" t="str">
        <f t="shared" si="0"/>
        <v>[557]={parentZoneId=347, DLCID=DLC_BASE_GAME},   --Village of the Lost</v>
      </c>
    </row>
    <row r="7" spans="1:11" x14ac:dyDescent="0.25">
      <c r="A7">
        <v>306</v>
      </c>
      <c r="B7">
        <v>119</v>
      </c>
      <c r="C7">
        <v>57</v>
      </c>
      <c r="D7" t="s">
        <v>205</v>
      </c>
      <c r="E7" t="s">
        <v>107</v>
      </c>
      <c r="F7">
        <v>306</v>
      </c>
      <c r="G7">
        <v>57</v>
      </c>
      <c r="H7">
        <v>0</v>
      </c>
      <c r="I7" t="s">
        <v>1439</v>
      </c>
      <c r="J7" t="s">
        <v>84</v>
      </c>
      <c r="K7" s="21" t="str">
        <f t="shared" si="0"/>
        <v>[306]={parentZoneId=57, DLCID=DLC_BASE_GAME},   --Forgotten Crypts</v>
      </c>
    </row>
    <row r="8" spans="1:11" x14ac:dyDescent="0.25">
      <c r="A8">
        <v>339</v>
      </c>
      <c r="B8">
        <v>151</v>
      </c>
      <c r="C8">
        <v>101</v>
      </c>
      <c r="D8" t="s">
        <v>236</v>
      </c>
      <c r="E8" t="s">
        <v>110</v>
      </c>
      <c r="F8">
        <v>339</v>
      </c>
      <c r="G8">
        <v>101</v>
      </c>
      <c r="H8">
        <v>0</v>
      </c>
      <c r="I8" t="s">
        <v>1439</v>
      </c>
      <c r="J8" t="s">
        <v>84</v>
      </c>
      <c r="K8" s="21" t="str">
        <f t="shared" si="0"/>
        <v>[339]={parentZoneId=101, DLCID=DLC_BASE_GAME},   --Hall of the Dead</v>
      </c>
    </row>
    <row r="9" spans="1:11" x14ac:dyDescent="0.25">
      <c r="A9">
        <v>284</v>
      </c>
      <c r="B9">
        <v>112</v>
      </c>
      <c r="C9">
        <v>3</v>
      </c>
      <c r="D9" t="s">
        <v>198</v>
      </c>
      <c r="E9" t="s">
        <v>103</v>
      </c>
      <c r="F9">
        <v>284</v>
      </c>
      <c r="G9">
        <v>3</v>
      </c>
      <c r="H9">
        <v>0</v>
      </c>
      <c r="I9" t="s">
        <v>1439</v>
      </c>
      <c r="J9" t="s">
        <v>84</v>
      </c>
      <c r="K9" s="21" t="str">
        <f t="shared" si="0"/>
        <v>[284]={parentZoneId=3, DLCID=DLC_BASE_GAME},   --Bad Man's Hallows</v>
      </c>
    </row>
    <row r="10" spans="1:11" x14ac:dyDescent="0.25">
      <c r="A10">
        <v>124</v>
      </c>
      <c r="B10">
        <v>20</v>
      </c>
      <c r="C10">
        <v>383</v>
      </c>
      <c r="D10" t="s">
        <v>115</v>
      </c>
      <c r="E10" t="s">
        <v>264</v>
      </c>
      <c r="F10">
        <v>124</v>
      </c>
      <c r="G10">
        <v>383</v>
      </c>
      <c r="H10">
        <v>0</v>
      </c>
      <c r="I10" t="s">
        <v>1439</v>
      </c>
      <c r="J10" t="s">
        <v>84</v>
      </c>
      <c r="K10" s="21" t="str">
        <f t="shared" si="0"/>
        <v>[124]={parentZoneId=383, DLCID=DLC_BASE_GAME},   --Root Sunder Ruins</v>
      </c>
    </row>
    <row r="11" spans="1:11" x14ac:dyDescent="0.25">
      <c r="A11">
        <v>137</v>
      </c>
      <c r="B11">
        <v>25</v>
      </c>
      <c r="C11">
        <v>108</v>
      </c>
      <c r="D11" t="s">
        <v>117</v>
      </c>
      <c r="E11" t="s">
        <v>113</v>
      </c>
      <c r="F11">
        <v>137</v>
      </c>
      <c r="G11">
        <v>108</v>
      </c>
      <c r="H11">
        <v>0</v>
      </c>
      <c r="I11" t="s">
        <v>1439</v>
      </c>
      <c r="J11" t="s">
        <v>84</v>
      </c>
      <c r="K11" s="21" t="str">
        <f t="shared" si="0"/>
        <v>[137]={parentZoneId=108, DLCID=DLC_BASE_GAME},   --Rulanyil's Fall</v>
      </c>
    </row>
    <row r="12" spans="1:11" x14ac:dyDescent="0.25">
      <c r="A12">
        <v>138</v>
      </c>
      <c r="B12">
        <v>26</v>
      </c>
      <c r="C12">
        <v>58</v>
      </c>
      <c r="D12" t="s">
        <v>118</v>
      </c>
      <c r="E12" t="s">
        <v>108</v>
      </c>
      <c r="F12">
        <v>138</v>
      </c>
      <c r="G12">
        <v>58</v>
      </c>
      <c r="H12">
        <v>0</v>
      </c>
      <c r="I12" t="s">
        <v>1439</v>
      </c>
      <c r="J12" t="s">
        <v>84</v>
      </c>
      <c r="K12" s="21" t="str">
        <f t="shared" si="0"/>
        <v>[138]={parentZoneId=58, DLCID=DLC_BASE_GAME},   --Crimson Cove</v>
      </c>
    </row>
    <row r="13" spans="1:11" x14ac:dyDescent="0.25">
      <c r="A13">
        <v>487</v>
      </c>
      <c r="B13">
        <v>268</v>
      </c>
      <c r="C13">
        <v>382</v>
      </c>
      <c r="D13" t="s">
        <v>351</v>
      </c>
      <c r="E13" t="s">
        <v>263</v>
      </c>
      <c r="F13">
        <v>487</v>
      </c>
      <c r="G13">
        <v>382</v>
      </c>
      <c r="H13">
        <v>0</v>
      </c>
      <c r="I13" t="s">
        <v>1439</v>
      </c>
      <c r="J13" t="s">
        <v>84</v>
      </c>
      <c r="K13" s="21" t="str">
        <f t="shared" si="0"/>
        <v>[487]={parentZoneId=382, DLCID=DLC_BASE_GAME},   --The Vile Manse</v>
      </c>
    </row>
    <row r="14" spans="1:11" x14ac:dyDescent="0.25">
      <c r="A14">
        <v>162</v>
      </c>
      <c r="B14">
        <v>32</v>
      </c>
      <c r="C14">
        <v>20</v>
      </c>
      <c r="D14" t="s">
        <v>121</v>
      </c>
      <c r="E14" t="s">
        <v>105</v>
      </c>
      <c r="F14">
        <v>162</v>
      </c>
      <c r="G14">
        <v>20</v>
      </c>
      <c r="H14">
        <v>0</v>
      </c>
      <c r="I14" t="s">
        <v>1439</v>
      </c>
      <c r="J14" t="s">
        <v>84</v>
      </c>
      <c r="K14" s="21" t="str">
        <f t="shared" si="0"/>
        <v>[162]={parentZoneId=20, DLCID=DLC_BASE_GAME},   --Obsidian Scar</v>
      </c>
    </row>
    <row r="15" spans="1:11" x14ac:dyDescent="0.25">
      <c r="A15">
        <v>134</v>
      </c>
      <c r="B15">
        <v>24</v>
      </c>
      <c r="C15">
        <v>117</v>
      </c>
      <c r="D15" t="s">
        <v>116</v>
      </c>
      <c r="E15" t="s">
        <v>114</v>
      </c>
      <c r="F15">
        <v>134</v>
      </c>
      <c r="G15">
        <v>117</v>
      </c>
      <c r="H15">
        <v>0</v>
      </c>
      <c r="I15" t="s">
        <v>1439</v>
      </c>
      <c r="J15" t="s">
        <v>84</v>
      </c>
      <c r="K15" s="21" t="str">
        <f t="shared" si="0"/>
        <v>[134]={parentZoneId=117, DLCID=DLC_BASE_GAME},   --Sanguine's Demesne</v>
      </c>
    </row>
    <row r="16" spans="1:11" x14ac:dyDescent="0.25">
      <c r="A16">
        <v>216</v>
      </c>
      <c r="B16">
        <v>56</v>
      </c>
      <c r="C16">
        <v>41</v>
      </c>
      <c r="D16" t="s">
        <v>144</v>
      </c>
      <c r="E16" t="s">
        <v>106</v>
      </c>
      <c r="F16">
        <v>216</v>
      </c>
      <c r="G16">
        <v>41</v>
      </c>
      <c r="H16">
        <v>0</v>
      </c>
      <c r="I16" t="s">
        <v>1439</v>
      </c>
      <c r="J16" t="s">
        <v>84</v>
      </c>
      <c r="K16" s="21" t="str">
        <f t="shared" si="0"/>
        <v>[216]={parentZoneId=41, DLCID=DLC_BASE_GAME},   --Crow's Wood</v>
      </c>
    </row>
    <row r="17" spans="1:11" x14ac:dyDescent="0.25">
      <c r="A17">
        <v>142</v>
      </c>
      <c r="B17">
        <v>27</v>
      </c>
      <c r="C17">
        <v>19</v>
      </c>
      <c r="D17" t="s">
        <v>119</v>
      </c>
      <c r="E17" t="s">
        <v>104</v>
      </c>
      <c r="F17">
        <v>142</v>
      </c>
      <c r="G17">
        <v>19</v>
      </c>
      <c r="H17">
        <v>0</v>
      </c>
      <c r="I17" t="s">
        <v>1439</v>
      </c>
      <c r="J17" t="s">
        <v>84</v>
      </c>
      <c r="K17" s="21" t="str">
        <f t="shared" si="0"/>
        <v>[142]={parentZoneId=19, DLCID=DLC_BASE_GAME},   --Bonesnap Ruins</v>
      </c>
    </row>
    <row r="18" spans="1:11" x14ac:dyDescent="0.25">
      <c r="A18">
        <v>341</v>
      </c>
      <c r="B18">
        <v>152</v>
      </c>
      <c r="C18">
        <v>103</v>
      </c>
      <c r="D18" t="s">
        <v>237</v>
      </c>
      <c r="E18" t="s">
        <v>111</v>
      </c>
      <c r="F18">
        <v>341</v>
      </c>
      <c r="G18">
        <v>103</v>
      </c>
      <c r="H18">
        <v>0</v>
      </c>
      <c r="I18" t="s">
        <v>1439</v>
      </c>
      <c r="J18" t="s">
        <v>84</v>
      </c>
      <c r="K18" s="21" t="str">
        <f t="shared" si="0"/>
        <v>[341]={parentZoneId=103, DLCID=DLC_BASE_GAME},   --The Lion's Den</v>
      </c>
    </row>
    <row r="19" spans="1:11" x14ac:dyDescent="0.25">
      <c r="A19">
        <v>706</v>
      </c>
      <c r="B19">
        <v>396</v>
      </c>
      <c r="C19">
        <v>684</v>
      </c>
      <c r="D19" t="s">
        <v>466</v>
      </c>
      <c r="E19" t="s">
        <v>450</v>
      </c>
      <c r="F19">
        <v>706</v>
      </c>
      <c r="G19">
        <v>684</v>
      </c>
      <c r="H19">
        <v>2</v>
      </c>
      <c r="I19" t="s">
        <v>1441</v>
      </c>
      <c r="J19" t="s">
        <v>726</v>
      </c>
      <c r="K19" s="21" t="str">
        <f t="shared" si="0"/>
        <v>[706]={parentZoneId=684, DLCID=DLC_ORSINIUM},   --Old Orsinium</v>
      </c>
    </row>
    <row r="20" spans="1:11" x14ac:dyDescent="0.25">
      <c r="A20">
        <v>705</v>
      </c>
      <c r="B20">
        <v>395</v>
      </c>
      <c r="C20">
        <v>684</v>
      </c>
      <c r="D20" t="s">
        <v>465</v>
      </c>
      <c r="E20" t="s">
        <v>450</v>
      </c>
      <c r="F20">
        <v>705</v>
      </c>
      <c r="G20">
        <v>684</v>
      </c>
      <c r="H20">
        <v>2</v>
      </c>
      <c r="I20" t="s">
        <v>1441</v>
      </c>
      <c r="J20" t="s">
        <v>726</v>
      </c>
      <c r="K20" s="21" t="str">
        <f t="shared" si="0"/>
        <v>[705]={parentZoneId=684, DLCID=DLC_ORSINIUM},   --Rkindaleft</v>
      </c>
    </row>
    <row r="21" spans="1:11" x14ac:dyDescent="0.25">
      <c r="A21">
        <v>919</v>
      </c>
      <c r="B21">
        <v>530</v>
      </c>
      <c r="C21">
        <v>849</v>
      </c>
      <c r="D21" t="s">
        <v>591</v>
      </c>
      <c r="E21" t="s">
        <v>530</v>
      </c>
      <c r="F21">
        <v>919</v>
      </c>
      <c r="G21">
        <v>849</v>
      </c>
      <c r="H21">
        <v>6</v>
      </c>
      <c r="I21" t="s">
        <v>1445</v>
      </c>
      <c r="J21" t="s">
        <v>727</v>
      </c>
      <c r="K21" s="21" t="str">
        <f t="shared" si="0"/>
        <v>[919]={parentZoneId=849, DLCID=DLC_MORROWIND},   --Forgotten Wastes</v>
      </c>
    </row>
    <row r="22" spans="1:11" x14ac:dyDescent="0.25">
      <c r="A22">
        <v>918</v>
      </c>
      <c r="B22">
        <v>529</v>
      </c>
      <c r="C22">
        <v>849</v>
      </c>
      <c r="D22" t="s">
        <v>590</v>
      </c>
      <c r="E22" t="s">
        <v>530</v>
      </c>
      <c r="F22">
        <v>918</v>
      </c>
      <c r="G22">
        <v>849</v>
      </c>
      <c r="H22">
        <v>6</v>
      </c>
      <c r="I22" t="s">
        <v>1445</v>
      </c>
      <c r="J22" t="s">
        <v>727</v>
      </c>
      <c r="K22" s="21" t="str">
        <f t="shared" si="0"/>
        <v>[918]={parentZoneId=849, DLCID=DLC_MORROWIND},   --Nchuleftingth</v>
      </c>
    </row>
    <row r="23" spans="1:11" x14ac:dyDescent="0.25">
      <c r="A23">
        <v>1020</v>
      </c>
      <c r="B23">
        <v>625</v>
      </c>
      <c r="C23">
        <v>1011</v>
      </c>
      <c r="D23" t="s">
        <v>672</v>
      </c>
      <c r="E23" t="s">
        <v>79</v>
      </c>
      <c r="F23">
        <v>1020</v>
      </c>
      <c r="G23">
        <v>1011</v>
      </c>
      <c r="H23">
        <v>10</v>
      </c>
      <c r="I23" t="s">
        <v>1449</v>
      </c>
      <c r="J23" t="s">
        <v>79</v>
      </c>
      <c r="K23" s="21" t="str">
        <f t="shared" si="0"/>
        <v>[1020]={parentZoneId=1011, DLCID=DLC_SUMMERSET},   --Karnwasten</v>
      </c>
    </row>
    <row r="24" spans="1:11" x14ac:dyDescent="0.25">
      <c r="A24">
        <v>1021</v>
      </c>
      <c r="B24">
        <v>626</v>
      </c>
      <c r="C24">
        <v>1011</v>
      </c>
      <c r="D24" t="s">
        <v>673</v>
      </c>
      <c r="E24" t="s">
        <v>79</v>
      </c>
      <c r="F24">
        <v>1021</v>
      </c>
      <c r="G24">
        <v>1011</v>
      </c>
      <c r="H24">
        <v>10</v>
      </c>
      <c r="I24" t="s">
        <v>1449</v>
      </c>
      <c r="J24" t="s">
        <v>79</v>
      </c>
      <c r="K24" s="21" t="str">
        <f t="shared" si="0"/>
        <v>[1021]={parentZoneId=1011, DLCID=DLC_SUMMERSET},   --Sunhold</v>
      </c>
    </row>
    <row r="25" spans="1:11" x14ac:dyDescent="0.25">
      <c r="A25">
        <v>1090</v>
      </c>
      <c r="B25">
        <v>684</v>
      </c>
      <c r="C25">
        <v>1086</v>
      </c>
      <c r="D25" t="s">
        <v>1388</v>
      </c>
      <c r="E25" t="s">
        <v>1386</v>
      </c>
      <c r="F25">
        <v>1090</v>
      </c>
      <c r="G25">
        <v>1086</v>
      </c>
      <c r="H25">
        <v>14</v>
      </c>
      <c r="I25" t="s">
        <v>1453</v>
      </c>
      <c r="J25" t="s">
        <v>728</v>
      </c>
      <c r="K25" s="21" t="str">
        <f t="shared" si="0"/>
        <v>[1090]={parentZoneId=1086, DLCID=DLC_ELSWEYR},   --Orcrest</v>
      </c>
    </row>
    <row r="26" spans="1:11" x14ac:dyDescent="0.25">
      <c r="A26">
        <v>1089</v>
      </c>
      <c r="B26">
        <v>683</v>
      </c>
      <c r="C26">
        <v>1086</v>
      </c>
      <c r="D26" t="s">
        <v>1387</v>
      </c>
      <c r="E26" t="s">
        <v>1386</v>
      </c>
      <c r="F26">
        <v>1089</v>
      </c>
      <c r="G26">
        <v>1086</v>
      </c>
      <c r="H26">
        <v>14</v>
      </c>
      <c r="I26" t="s">
        <v>1453</v>
      </c>
      <c r="J26" t="s">
        <v>728</v>
      </c>
      <c r="K26" s="21" t="str">
        <f t="shared" si="0"/>
        <v>[1089]={parentZoneId=1086, DLCID=DLC_ELSWEYR},   --Rimmen Necropolis</v>
      </c>
    </row>
    <row r="27" spans="1:11" x14ac:dyDescent="0.25">
      <c r="A27">
        <v>1187</v>
      </c>
      <c r="B27">
        <v>767</v>
      </c>
      <c r="C27">
        <v>1161</v>
      </c>
      <c r="D27" t="s">
        <v>1697</v>
      </c>
      <c r="E27" t="s">
        <v>1711</v>
      </c>
      <c r="F27">
        <v>1187</v>
      </c>
      <c r="G27">
        <v>1161</v>
      </c>
      <c r="H27">
        <v>18</v>
      </c>
      <c r="I27" t="s">
        <v>1606</v>
      </c>
      <c r="J27" t="s">
        <v>1607</v>
      </c>
      <c r="K27" s="21" t="str">
        <f t="shared" si="0"/>
        <v>[1187]={parentZoneId=1161, DLCID=DLC_GREYMOOR},   --Nchuthnkarst</v>
      </c>
    </row>
    <row r="28" spans="1:11" x14ac:dyDescent="0.25">
      <c r="A28">
        <v>1186</v>
      </c>
      <c r="B28">
        <v>766</v>
      </c>
      <c r="C28">
        <v>1160</v>
      </c>
      <c r="D28" t="s">
        <v>1704</v>
      </c>
      <c r="E28" t="s">
        <v>1681</v>
      </c>
      <c r="F28">
        <v>1186</v>
      </c>
      <c r="G28">
        <v>1160</v>
      </c>
      <c r="H28">
        <v>18</v>
      </c>
      <c r="I28" t="s">
        <v>1606</v>
      </c>
      <c r="J28" t="s">
        <v>1607</v>
      </c>
      <c r="K28" s="21" t="str">
        <f t="shared" si="0"/>
        <v>[1186]={parentZoneId=1160, DLCID=DLC_GREYMOOR},   --Labyrinthian</v>
      </c>
    </row>
    <row r="29" spans="1:11" x14ac:dyDescent="0.25">
      <c r="A29">
        <v>1260</v>
      </c>
      <c r="B29">
        <v>833</v>
      </c>
      <c r="C29">
        <v>1261</v>
      </c>
      <c r="D29" t="s">
        <v>2436</v>
      </c>
      <c r="E29" t="s">
        <v>2382</v>
      </c>
      <c r="F29">
        <v>1260</v>
      </c>
      <c r="G29">
        <v>1261</v>
      </c>
      <c r="H29">
        <v>22</v>
      </c>
      <c r="I29" t="s">
        <v>2381</v>
      </c>
      <c r="J29" t="s">
        <v>2382</v>
      </c>
      <c r="K29" s="21" t="str">
        <f t="shared" si="0"/>
        <v>[1260]={parentZoneId=1261, DLCID=DLC_BLACKWOOD},   --The Silent Halls</v>
      </c>
    </row>
    <row r="30" spans="1:11" x14ac:dyDescent="0.25">
      <c r="A30">
        <v>1259</v>
      </c>
      <c r="B30">
        <v>832</v>
      </c>
      <c r="C30">
        <v>1261</v>
      </c>
      <c r="D30" t="s">
        <v>2435</v>
      </c>
      <c r="E30" t="s">
        <v>2382</v>
      </c>
      <c r="F30">
        <v>1259</v>
      </c>
      <c r="G30">
        <v>1261</v>
      </c>
      <c r="H30">
        <v>22</v>
      </c>
      <c r="I30" t="s">
        <v>2381</v>
      </c>
      <c r="J30" t="s">
        <v>2382</v>
      </c>
      <c r="K30" s="21" t="str">
        <f t="shared" si="0"/>
        <v>[1259]={parentZoneId=1261, DLCID=DLC_BLACKWOOD},   --Zenithar's Abbey</v>
      </c>
    </row>
    <row r="31" spans="1:11" x14ac:dyDescent="0.25">
      <c r="A31">
        <v>1338</v>
      </c>
      <c r="B31">
        <v>901</v>
      </c>
      <c r="C31">
        <v>1318</v>
      </c>
      <c r="D31" t="s">
        <v>3354</v>
      </c>
      <c r="E31" t="s">
        <v>3322</v>
      </c>
      <c r="F31">
        <v>1338</v>
      </c>
      <c r="G31">
        <v>1318</v>
      </c>
      <c r="H31">
        <v>26</v>
      </c>
      <c r="I31" t="s">
        <v>3323</v>
      </c>
      <c r="J31" t="s">
        <v>3322</v>
      </c>
      <c r="K31" s="21" t="str">
        <f t="shared" si="0"/>
        <v>[1338]={parentZoneId=1318, DLCID=DLC_HIGH_ISLE},   --Ghost Haven Bay</v>
      </c>
    </row>
    <row r="32" spans="1:11" x14ac:dyDescent="0.25">
      <c r="A32">
        <v>1337</v>
      </c>
      <c r="B32">
        <v>900</v>
      </c>
      <c r="C32">
        <v>1318</v>
      </c>
      <c r="D32" t="s">
        <v>3355</v>
      </c>
      <c r="E32" t="s">
        <v>3322</v>
      </c>
      <c r="F32">
        <v>1337</v>
      </c>
      <c r="G32">
        <v>1318</v>
      </c>
      <c r="H32">
        <v>26</v>
      </c>
      <c r="I32" t="s">
        <v>3323</v>
      </c>
      <c r="J32" t="s">
        <v>3322</v>
      </c>
      <c r="K32" s="21" t="str">
        <f t="shared" si="0"/>
        <v>[1337]={parentZoneId=1318, DLCID=DLC_HIGH_ISLE},   --Spire of the Crimson Coin</v>
      </c>
    </row>
    <row r="33" spans="1:11" x14ac:dyDescent="0.25">
      <c r="A33">
        <v>1416</v>
      </c>
      <c r="B33">
        <v>960</v>
      </c>
      <c r="C33">
        <v>1413</v>
      </c>
      <c r="D33" t="s">
        <v>3690</v>
      </c>
      <c r="E33" t="s">
        <v>3619</v>
      </c>
      <c r="F33">
        <v>1416</v>
      </c>
      <c r="G33">
        <v>1413</v>
      </c>
      <c r="H33">
        <v>30</v>
      </c>
      <c r="I33" t="s">
        <v>3639</v>
      </c>
      <c r="J33" t="s">
        <v>3640</v>
      </c>
      <c r="K33" s="21" t="str">
        <f t="shared" si="0"/>
        <v>[1416]={parentZoneId=1413, DLCID=DLC_NECROM},   --The Underweave</v>
      </c>
    </row>
    <row r="34" spans="1:11" x14ac:dyDescent="0.25">
      <c r="A34">
        <v>1415</v>
      </c>
      <c r="B34">
        <v>959</v>
      </c>
      <c r="C34">
        <v>1414</v>
      </c>
      <c r="D34" t="s">
        <v>3681</v>
      </c>
      <c r="E34" t="s">
        <v>3691</v>
      </c>
      <c r="F34">
        <v>1415</v>
      </c>
      <c r="G34">
        <v>1414</v>
      </c>
      <c r="H34">
        <v>30</v>
      </c>
      <c r="I34" t="s">
        <v>3639</v>
      </c>
      <c r="J34" t="s">
        <v>3640</v>
      </c>
      <c r="K34" s="21" t="str">
        <f t="shared" si="0"/>
        <v>[1415]={parentZoneId=1414, DLCID=DLC_NECROM},   --Gorne</v>
      </c>
    </row>
  </sheetData>
  <autoFilter ref="A2:J2" xr:uid="{DC33C5AE-75C2-45CC-8E86-2ECA7DDDD7AB}">
    <sortState xmlns:xlrd2="http://schemas.microsoft.com/office/spreadsheetml/2017/richdata2" ref="A3:J34">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3" activePane="bottomLeft" state="frozen"/>
      <selection pane="bottomLeft" activeCell="C12" sqref="C12"/>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5.140625" style="5" bestFit="1" customWidth="1"/>
    <col min="6" max="6" width="21.85546875" bestFit="1" customWidth="1"/>
    <col min="7" max="7" width="11.42578125" style="36"/>
  </cols>
  <sheetData>
    <row r="1" spans="1:17" s="36" customFormat="1" x14ac:dyDescent="0.25">
      <c r="A1"/>
      <c r="B1"/>
      <c r="C1" s="51" t="s">
        <v>3775</v>
      </c>
      <c r="D1"/>
      <c r="E1" s="70"/>
      <c r="F1" s="70"/>
      <c r="G1" s="70"/>
      <c r="H1" s="70"/>
      <c r="I1" s="70"/>
      <c r="J1" s="53"/>
      <c r="K1" s="53"/>
      <c r="L1" s="53"/>
      <c r="M1" s="53"/>
      <c r="N1" s="53"/>
      <c r="O1" s="53"/>
      <c r="P1" s="53"/>
      <c r="Q1" s="53"/>
    </row>
    <row r="2" spans="1:17" s="1" customFormat="1" x14ac:dyDescent="0.25">
      <c r="A2" t="s">
        <v>1365</v>
      </c>
      <c r="B2" t="s">
        <v>1366</v>
      </c>
      <c r="C2" t="s">
        <v>1368</v>
      </c>
      <c r="D2" t="s">
        <v>94</v>
      </c>
      <c r="E2" s="3" t="s">
        <v>1369</v>
      </c>
      <c r="F2" s="3" t="s">
        <v>101</v>
      </c>
      <c r="G2"/>
      <c r="H2"/>
    </row>
    <row r="3" spans="1:17" x14ac:dyDescent="0.25">
      <c r="A3">
        <v>1</v>
      </c>
      <c r="B3">
        <v>2</v>
      </c>
      <c r="C3" t="s">
        <v>103</v>
      </c>
      <c r="D3">
        <v>3</v>
      </c>
      <c r="E3" s="3" t="str">
        <f>VLOOKUP(D3,'ESO zone constants'!$A$5:$D$10001,4,FALSE)</f>
        <v>Glenumbra</v>
      </c>
      <c r="F3" s="3">
        <f>VLOOKUP(D3,'ESO zone constants'!$A$5:$B$10001,2,FALSE)</f>
        <v>2</v>
      </c>
      <c r="G3"/>
    </row>
    <row r="4" spans="1:17" x14ac:dyDescent="0.25">
      <c r="A4">
        <v>7</v>
      </c>
      <c r="B4">
        <v>11</v>
      </c>
      <c r="C4" t="s">
        <v>106</v>
      </c>
      <c r="D4">
        <v>41</v>
      </c>
      <c r="E4" s="3" t="str">
        <f>VLOOKUP(D4,'ESO zone constants'!$A$5:$D$10001,4,FALSE)</f>
        <v>Stonefalls</v>
      </c>
      <c r="F4" s="3">
        <f>VLOOKUP(D4,'ESO zone constants'!$A$5:$B$10001,2,FALSE)</f>
        <v>9</v>
      </c>
      <c r="G4"/>
    </row>
    <row r="5" spans="1:17" x14ac:dyDescent="0.25">
      <c r="A5">
        <v>9</v>
      </c>
      <c r="B5">
        <v>7</v>
      </c>
      <c r="C5" t="s">
        <v>264</v>
      </c>
      <c r="D5">
        <v>383</v>
      </c>
      <c r="E5" s="3" t="str">
        <f>VLOOKUP(D5,'ESO zone constants'!$A$5:$D$10001,4,FALSE)</f>
        <v>Grahtwood</v>
      </c>
      <c r="F5" s="3">
        <f>VLOOKUP(D5,'ESO zone constants'!$A$5:$B$10001,2,FALSE)</f>
        <v>181</v>
      </c>
      <c r="G5"/>
    </row>
    <row r="6" spans="1:17" x14ac:dyDescent="0.25">
      <c r="A6">
        <v>10</v>
      </c>
      <c r="B6">
        <v>3</v>
      </c>
      <c r="C6" t="s">
        <v>105</v>
      </c>
      <c r="D6">
        <v>20</v>
      </c>
      <c r="E6" s="3" t="str">
        <f>VLOOKUP(D6,'ESO zone constants'!$A$5:$D$10001,4,FALSE)</f>
        <v>Rivenspire</v>
      </c>
      <c r="F6" s="3">
        <f>VLOOKUP(D6,'ESO zone constants'!$A$5:$B$10001,2,FALSE)</f>
        <v>5</v>
      </c>
      <c r="G6"/>
    </row>
    <row r="7" spans="1:17" x14ac:dyDescent="0.25">
      <c r="A7">
        <v>12</v>
      </c>
      <c r="B7">
        <v>4</v>
      </c>
      <c r="C7" t="s">
        <v>104</v>
      </c>
      <c r="D7">
        <v>19</v>
      </c>
      <c r="E7" s="3" t="str">
        <f>VLOOKUP(D7,'ESO zone constants'!$A$5:$D$10001,4,FALSE)</f>
        <v>Stormhaven</v>
      </c>
      <c r="F7" s="3">
        <f>VLOOKUP(D7,'ESO zone constants'!$A$5:$B$10001,2,FALSE)</f>
        <v>4</v>
      </c>
      <c r="G7"/>
    </row>
    <row r="8" spans="1:17" x14ac:dyDescent="0.25">
      <c r="A8">
        <v>13</v>
      </c>
      <c r="B8">
        <v>10</v>
      </c>
      <c r="C8" t="s">
        <v>107</v>
      </c>
      <c r="D8">
        <v>57</v>
      </c>
      <c r="E8" s="3" t="str">
        <f>VLOOKUP(D8,'ESO zone constants'!$A$5:$D$10001,4,FALSE)</f>
        <v>Deshaan</v>
      </c>
      <c r="F8" s="3">
        <f>VLOOKUP(D8,'ESO zone constants'!$A$5:$B$10001,2,FALSE)</f>
        <v>10</v>
      </c>
      <c r="G8"/>
    </row>
    <row r="9" spans="1:17" x14ac:dyDescent="0.25">
      <c r="A9">
        <v>16</v>
      </c>
      <c r="B9">
        <v>14</v>
      </c>
      <c r="C9" t="s">
        <v>125</v>
      </c>
      <c r="D9">
        <v>181</v>
      </c>
      <c r="E9" s="3" t="str">
        <f>VLOOKUP(D9,'ESO zone constants'!$A$5:$D$10001,4,FALSE)</f>
        <v>Cyrodiil</v>
      </c>
      <c r="F9" s="3">
        <f>VLOOKUP(D9,'ESO zone constants'!$A$5:$B$10001,2,FALSE)</f>
        <v>38</v>
      </c>
      <c r="G9"/>
    </row>
    <row r="10" spans="1:17" x14ac:dyDescent="0.25">
      <c r="A10">
        <v>20</v>
      </c>
      <c r="B10">
        <v>6</v>
      </c>
      <c r="C10" t="s">
        <v>109</v>
      </c>
      <c r="D10">
        <v>92</v>
      </c>
      <c r="E10" s="3" t="str">
        <f>VLOOKUP(D10,'ESO zone constants'!$A$5:$D$10001,4,FALSE)</f>
        <v>Bangkorai</v>
      </c>
      <c r="F10" s="3">
        <f>VLOOKUP(D10,'ESO zone constants'!$A$5:$B$10001,2,FALSE)</f>
        <v>14</v>
      </c>
      <c r="G10"/>
    </row>
    <row r="11" spans="1:17" x14ac:dyDescent="0.25">
      <c r="A11">
        <v>22</v>
      </c>
      <c r="B11">
        <v>8</v>
      </c>
      <c r="C11" t="s">
        <v>108</v>
      </c>
      <c r="D11">
        <v>58</v>
      </c>
      <c r="E11" s="3" t="str">
        <f>VLOOKUP(D11,'ESO zone constants'!$A$5:$D$10001,4,FALSE)</f>
        <v>Malabal Tor</v>
      </c>
      <c r="F11" s="3">
        <f>VLOOKUP(D11,'ESO zone constants'!$A$5:$B$10001,2,FALSE)</f>
        <v>11</v>
      </c>
      <c r="G11"/>
    </row>
    <row r="12" spans="1:17" x14ac:dyDescent="0.25">
      <c r="A12">
        <v>26</v>
      </c>
      <c r="B12">
        <v>9</v>
      </c>
      <c r="C12" t="s">
        <v>114</v>
      </c>
      <c r="D12">
        <v>117</v>
      </c>
      <c r="E12" s="3" t="str">
        <f>VLOOKUP(D12,'ESO zone constants'!$A$5:$D$10001,4,FALSE)</f>
        <v>Shadowfen</v>
      </c>
      <c r="F12" s="3">
        <f>VLOOKUP(D12,'ESO zone constants'!$A$5:$B$10001,2,FALSE)</f>
        <v>19</v>
      </c>
      <c r="G12"/>
    </row>
    <row r="13" spans="1:17" x14ac:dyDescent="0.25">
      <c r="A13">
        <v>30</v>
      </c>
      <c r="B13">
        <v>5</v>
      </c>
      <c r="C13" t="s">
        <v>112</v>
      </c>
      <c r="D13">
        <v>104</v>
      </c>
      <c r="E13" s="3" t="str">
        <f>VLOOKUP(D13,'ESO zone constants'!$A$5:$D$10001,4,FALSE)</f>
        <v>Alik'r Desert</v>
      </c>
      <c r="F13" s="3">
        <f>VLOOKUP(D13,'ESO zone constants'!$A$5:$B$10001,2,FALSE)</f>
        <v>17</v>
      </c>
      <c r="G13"/>
    </row>
    <row r="14" spans="1:17" x14ac:dyDescent="0.25">
      <c r="A14">
        <v>61</v>
      </c>
      <c r="B14">
        <v>13</v>
      </c>
      <c r="C14" t="s">
        <v>110</v>
      </c>
      <c r="D14">
        <v>101</v>
      </c>
      <c r="E14" s="3" t="str">
        <f>VLOOKUP(D14,'ESO zone constants'!$A$5:$D$10001,4,FALSE)</f>
        <v>Eastmarch</v>
      </c>
      <c r="F14" s="3">
        <f>VLOOKUP(D14,'ESO zone constants'!$A$5:$B$10001,2,FALSE)</f>
        <v>15</v>
      </c>
      <c r="G14"/>
    </row>
    <row r="15" spans="1:17" x14ac:dyDescent="0.25">
      <c r="A15">
        <v>74</v>
      </c>
      <c r="B15">
        <v>22</v>
      </c>
      <c r="C15" t="s">
        <v>196</v>
      </c>
      <c r="D15">
        <v>280</v>
      </c>
      <c r="E15" s="3" t="str">
        <f>VLOOKUP(D15,'ESO zone constants'!$A$5:$D$10001,4,FALSE)</f>
        <v>Bleakrock Isle</v>
      </c>
      <c r="F15" s="3">
        <f>VLOOKUP(D15,'ESO zone constants'!$A$5:$B$10001,2,FALSE)</f>
        <v>110</v>
      </c>
      <c r="G15"/>
    </row>
    <row r="16" spans="1:17" x14ac:dyDescent="0.25">
      <c r="A16">
        <v>75</v>
      </c>
      <c r="B16">
        <v>18</v>
      </c>
      <c r="C16" t="s">
        <v>197</v>
      </c>
      <c r="D16">
        <v>281</v>
      </c>
      <c r="E16" s="3" t="str">
        <f>VLOOKUP(D16,'ESO zone constants'!$A$5:$D$10001,4,FALSE)</f>
        <v>Bal Foyen</v>
      </c>
      <c r="F16" s="3">
        <f>VLOOKUP(D16,'ESO zone constants'!$A$5:$B$10001,2,FALSE)</f>
        <v>111</v>
      </c>
      <c r="G16"/>
    </row>
    <row r="17" spans="1:7" x14ac:dyDescent="0.25">
      <c r="A17">
        <v>125</v>
      </c>
      <c r="B17">
        <v>12</v>
      </c>
      <c r="C17" t="s">
        <v>111</v>
      </c>
      <c r="D17">
        <v>103</v>
      </c>
      <c r="E17" s="3" t="str">
        <f>VLOOKUP(D17,'ESO zone constants'!$A$5:$D$10001,4,FALSE)</f>
        <v>The Rift</v>
      </c>
      <c r="F17" s="3">
        <f>VLOOKUP(D17,'ESO zone constants'!$A$5:$B$10001,2,FALSE)</f>
        <v>16</v>
      </c>
      <c r="G17"/>
    </row>
    <row r="18" spans="1:7" x14ac:dyDescent="0.25">
      <c r="A18">
        <v>143</v>
      </c>
      <c r="B18">
        <v>15</v>
      </c>
      <c r="C18" t="s">
        <v>262</v>
      </c>
      <c r="D18">
        <v>381</v>
      </c>
      <c r="E18" s="3" t="str">
        <f>VLOOKUP(D18,'ESO zone constants'!$A$5:$D$10001,4,FALSE)</f>
        <v>Auridon</v>
      </c>
      <c r="F18" s="3">
        <f>VLOOKUP(D18,'ESO zone constants'!$A$5:$B$10001,2,FALSE)</f>
        <v>179</v>
      </c>
      <c r="G18"/>
    </row>
    <row r="19" spans="1:7" x14ac:dyDescent="0.25">
      <c r="A19">
        <v>201</v>
      </c>
      <c r="B19">
        <v>19</v>
      </c>
      <c r="C19" t="s">
        <v>383</v>
      </c>
      <c r="D19">
        <v>534</v>
      </c>
      <c r="E19" s="3" t="str">
        <f>VLOOKUP(D19,'ESO zone constants'!$A$5:$D$10001,4,FALSE)</f>
        <v>Stros M'Kai</v>
      </c>
      <c r="F19" s="3">
        <f>VLOOKUP(D19,'ESO zone constants'!$A$5:$B$10001,2,FALSE)</f>
        <v>305</v>
      </c>
      <c r="G19"/>
    </row>
    <row r="20" spans="1:7" x14ac:dyDescent="0.25">
      <c r="A20">
        <v>227</v>
      </c>
      <c r="B20">
        <v>20</v>
      </c>
      <c r="C20" t="s">
        <v>384</v>
      </c>
      <c r="D20">
        <v>535</v>
      </c>
      <c r="E20" s="3" t="str">
        <f>VLOOKUP(D20,'ESO zone constants'!$A$5:$D$10001,4,FALSE)</f>
        <v>Betnikh</v>
      </c>
      <c r="F20" s="3">
        <f>VLOOKUP(D20,'ESO zone constants'!$A$5:$B$10001,2,FALSE)</f>
        <v>306</v>
      </c>
      <c r="G20"/>
    </row>
    <row r="21" spans="1:7" x14ac:dyDescent="0.25">
      <c r="A21">
        <v>255</v>
      </c>
      <c r="B21">
        <v>23</v>
      </c>
      <c r="C21" t="s">
        <v>239</v>
      </c>
      <c r="D21">
        <v>347</v>
      </c>
      <c r="E21" s="3" t="str">
        <f>VLOOKUP(D21,'ESO zone constants'!$A$5:$D$10001,4,FALSE)</f>
        <v>Coldharbour</v>
      </c>
      <c r="F21" s="3">
        <f>VLOOKUP(D21,'ESO zone constants'!$A$5:$B$10001,2,FALSE)</f>
        <v>155</v>
      </c>
      <c r="G21"/>
    </row>
    <row r="22" spans="1:7" x14ac:dyDescent="0.25">
      <c r="A22">
        <v>256</v>
      </c>
      <c r="B22">
        <v>17</v>
      </c>
      <c r="C22" t="s">
        <v>263</v>
      </c>
      <c r="D22">
        <v>382</v>
      </c>
      <c r="E22" s="3" t="str">
        <f>VLOOKUP(D22,'ESO zone constants'!$A$5:$D$10001,4,FALSE)</f>
        <v>Reaper's March</v>
      </c>
      <c r="F22" s="3">
        <f>VLOOKUP(D22,'ESO zone constants'!$A$5:$B$10001,2,FALSE)</f>
        <v>180</v>
      </c>
      <c r="G22"/>
    </row>
    <row r="23" spans="1:7" x14ac:dyDescent="0.25">
      <c r="A23">
        <v>258</v>
      </c>
      <c r="B23">
        <v>21</v>
      </c>
      <c r="C23" t="s">
        <v>385</v>
      </c>
      <c r="D23">
        <v>537</v>
      </c>
      <c r="E23" s="3" t="str">
        <f>VLOOKUP(D23,'ESO zone constants'!$A$5:$D$10001,4,FALSE)</f>
        <v>Khenarthi's Roost</v>
      </c>
      <c r="F23" s="3">
        <f>VLOOKUP(D23,'ESO zone constants'!$A$5:$B$10001,2,FALSE)</f>
        <v>307</v>
      </c>
      <c r="G23"/>
    </row>
    <row r="24" spans="1:7" x14ac:dyDescent="0.25">
      <c r="A24">
        <v>300</v>
      </c>
      <c r="B24">
        <v>16</v>
      </c>
      <c r="C24" t="s">
        <v>113</v>
      </c>
      <c r="D24">
        <v>108</v>
      </c>
      <c r="E24" s="3" t="str">
        <f>VLOOKUP(D24,'ESO zone constants'!$A$5:$D$10001,4,FALSE)</f>
        <v>Greenshade</v>
      </c>
      <c r="F24" s="3">
        <f>VLOOKUP(D24,'ESO zone constants'!$A$5:$B$10001,2,FALSE)</f>
        <v>18</v>
      </c>
      <c r="G24"/>
    </row>
    <row r="25" spans="1:7" x14ac:dyDescent="0.25">
      <c r="A25">
        <v>660</v>
      </c>
      <c r="B25">
        <v>26</v>
      </c>
      <c r="C25" t="s">
        <v>39</v>
      </c>
      <c r="D25">
        <v>584</v>
      </c>
      <c r="E25" s="3" t="str">
        <f>VLOOKUP(D25,'ESO zone constants'!$A$5:$D$10001,4,FALSE)</f>
        <v>Imperial City</v>
      </c>
      <c r="F25" s="3">
        <f>VLOOKUP(D25,'ESO zone constants'!$A$5:$B$10001,2,FALSE)</f>
        <v>347</v>
      </c>
      <c r="G25"/>
    </row>
    <row r="26" spans="1:7" x14ac:dyDescent="0.25">
      <c r="A26">
        <v>667</v>
      </c>
      <c r="B26">
        <v>27</v>
      </c>
      <c r="C26" t="s">
        <v>450</v>
      </c>
      <c r="D26">
        <v>684</v>
      </c>
      <c r="E26" s="3" t="str">
        <f>VLOOKUP(D26,'ESO zone constants'!$A$5:$D$10001,4,FALSE)</f>
        <v>Wrothgar</v>
      </c>
      <c r="F26" s="3">
        <f>VLOOKUP(D26,'ESO zone constants'!$A$5:$B$10001,2,FALSE)</f>
        <v>380</v>
      </c>
      <c r="G26"/>
    </row>
    <row r="27" spans="1:7" x14ac:dyDescent="0.25">
      <c r="A27">
        <v>994</v>
      </c>
      <c r="B27">
        <v>28</v>
      </c>
      <c r="C27" t="s">
        <v>507</v>
      </c>
      <c r="D27">
        <v>816</v>
      </c>
      <c r="E27" s="3" t="str">
        <f>VLOOKUP(D27,'ESO zone constants'!$A$5:$D$10001,4,FALSE)</f>
        <v>Hew's Bane</v>
      </c>
      <c r="F27" s="3">
        <f>VLOOKUP(D27,'ESO zone constants'!$A$5:$B$10001,2,FALSE)</f>
        <v>443</v>
      </c>
      <c r="G27"/>
    </row>
    <row r="28" spans="1:7" x14ac:dyDescent="0.25">
      <c r="A28">
        <v>1006</v>
      </c>
      <c r="B28">
        <v>29</v>
      </c>
      <c r="C28" t="s">
        <v>513</v>
      </c>
      <c r="D28">
        <v>823</v>
      </c>
      <c r="E28" s="3" t="str">
        <f>VLOOKUP(D28,'ESO zone constants'!$A$5:$D$10001,4,FALSE)</f>
        <v>Gold Coast</v>
      </c>
      <c r="F28" s="3">
        <f>VLOOKUP(D28,'ESO zone constants'!$A$5:$B$10001,2,FALSE)</f>
        <v>449</v>
      </c>
      <c r="G28"/>
    </row>
    <row r="29" spans="1:7" x14ac:dyDescent="0.25">
      <c r="A29">
        <v>1060</v>
      </c>
      <c r="B29">
        <v>30</v>
      </c>
      <c r="C29" t="s">
        <v>530</v>
      </c>
      <c r="D29">
        <v>849</v>
      </c>
      <c r="E29" s="3" t="str">
        <f>VLOOKUP(D29,'ESO zone constants'!$A$5:$D$10001,4,FALSE)</f>
        <v>Vvardenfell</v>
      </c>
      <c r="F29" s="3">
        <f>VLOOKUP(D29,'ESO zone constants'!$A$5:$B$10001,2,FALSE)</f>
        <v>468</v>
      </c>
      <c r="G29"/>
    </row>
    <row r="30" spans="1:7" x14ac:dyDescent="0.25">
      <c r="A30">
        <v>1126</v>
      </c>
      <c r="B30">
        <v>25</v>
      </c>
      <c r="C30" t="s">
        <v>563</v>
      </c>
      <c r="D30">
        <v>888</v>
      </c>
      <c r="E30" s="3" t="str">
        <f>VLOOKUP(D30,'ESO zone constants'!$A$5:$D$10001,4,FALSE)</f>
        <v>Craglorn</v>
      </c>
      <c r="F30" s="3">
        <f>VLOOKUP(D30,'ESO zone constants'!$A$5:$B$10001,2,FALSE)</f>
        <v>501</v>
      </c>
      <c r="G30"/>
    </row>
    <row r="31" spans="1:7" x14ac:dyDescent="0.25">
      <c r="A31">
        <v>1313</v>
      </c>
      <c r="B31">
        <v>31</v>
      </c>
      <c r="C31" t="s">
        <v>78</v>
      </c>
      <c r="D31">
        <v>980</v>
      </c>
      <c r="E31" s="3" t="str">
        <f>VLOOKUP(D31,'ESO zone constants'!$A$5:$D$10001,4,FALSE)</f>
        <v>Clockwork City</v>
      </c>
      <c r="F31" s="3">
        <f>VLOOKUP(D31,'ESO zone constants'!$A$5:$B$10001,2,FALSE)</f>
        <v>590</v>
      </c>
      <c r="G31"/>
    </row>
    <row r="32" spans="1:7" x14ac:dyDescent="0.25">
      <c r="A32">
        <v>1349</v>
      </c>
      <c r="B32">
        <v>32</v>
      </c>
      <c r="C32" t="s">
        <v>79</v>
      </c>
      <c r="D32">
        <v>1011</v>
      </c>
      <c r="E32" s="3" t="str">
        <f>VLOOKUP(D32,'ESO zone constants'!$A$5:$D$10001,4,FALSE)</f>
        <v>Summerset</v>
      </c>
      <c r="F32" s="3">
        <f>VLOOKUP(D32,'ESO zone constants'!$A$5:$B$10001,2,FALSE)</f>
        <v>617</v>
      </c>
      <c r="G32"/>
    </row>
    <row r="33" spans="1:7" x14ac:dyDescent="0.25">
      <c r="A33">
        <v>1429</v>
      </c>
      <c r="B33">
        <v>33</v>
      </c>
      <c r="C33" t="s">
        <v>679</v>
      </c>
      <c r="D33">
        <v>1027</v>
      </c>
      <c r="E33" s="3" t="str">
        <f>VLOOKUP(D33,'ESO zone constants'!$A$5:$D$10001,4,FALSE)</f>
        <v>Artaeum</v>
      </c>
      <c r="F33" s="3">
        <f>VLOOKUP(D33,'ESO zone constants'!$A$5:$B$10001,2,FALSE)</f>
        <v>633</v>
      </c>
      <c r="G33"/>
    </row>
    <row r="34" spans="1:7" x14ac:dyDescent="0.25">
      <c r="A34">
        <v>1484</v>
      </c>
      <c r="B34">
        <v>34</v>
      </c>
      <c r="C34" t="s">
        <v>80</v>
      </c>
      <c r="D34">
        <v>726</v>
      </c>
      <c r="E34" s="3" t="str">
        <f>VLOOKUP(D34,'ESO zone constants'!$A$5:$D$10001,4,FALSE)</f>
        <v>Murkmire</v>
      </c>
      <c r="F34" s="3">
        <f>VLOOKUP(D34,'ESO zone constants'!$A$5:$B$10001,2,FALSE)</f>
        <v>408</v>
      </c>
      <c r="G34"/>
    </row>
    <row r="35" spans="1:7" x14ac:dyDescent="0.25">
      <c r="A35">
        <v>1552</v>
      </c>
      <c r="B35">
        <v>35</v>
      </c>
      <c r="C35" t="s">
        <v>713</v>
      </c>
      <c r="D35">
        <v>1072</v>
      </c>
      <c r="E35" s="3" t="str">
        <f>VLOOKUP(D35,'ESO zone constants'!$A$5:$D$10001,4,FALSE)</f>
        <v>Norg-Tzel</v>
      </c>
      <c r="F35" s="3">
        <f>VLOOKUP(D35,'ESO zone constants'!$A$5:$B$10001,2,FALSE)</f>
        <v>669</v>
      </c>
      <c r="G35"/>
    </row>
    <row r="36" spans="1:7" x14ac:dyDescent="0.25">
      <c r="A36">
        <v>1555</v>
      </c>
      <c r="B36">
        <v>36</v>
      </c>
      <c r="C36" t="s">
        <v>1386</v>
      </c>
      <c r="D36">
        <v>1086</v>
      </c>
      <c r="E36" s="3" t="str">
        <f>VLOOKUP(D36,'ESO zone constants'!$A$5:$D$10001,4,FALSE)</f>
        <v>Northern Elsweyr</v>
      </c>
      <c r="F36" s="3">
        <f>VLOOKUP(D36,'ESO zone constants'!$A$5:$B$10001,2,FALSE)</f>
        <v>682</v>
      </c>
      <c r="G36"/>
    </row>
    <row r="37" spans="1:7" x14ac:dyDescent="0.25">
      <c r="A37">
        <v>1654</v>
      </c>
      <c r="B37">
        <v>37</v>
      </c>
      <c r="C37" t="s">
        <v>1580</v>
      </c>
      <c r="D37">
        <v>1133</v>
      </c>
      <c r="E37" s="3" t="str">
        <f>VLOOKUP(D37,'ESO zone constants'!$A$5:$D$10001,4,FALSE)</f>
        <v>Southern Elsweyr</v>
      </c>
      <c r="F37" s="3">
        <f>VLOOKUP(D37,'ESO zone constants'!$A$5:$B$10001,2,FALSE)</f>
        <v>721</v>
      </c>
      <c r="G37"/>
    </row>
    <row r="38" spans="1:7" x14ac:dyDescent="0.25">
      <c r="A38">
        <v>1719</v>
      </c>
      <c r="B38">
        <v>38</v>
      </c>
      <c r="C38" t="s">
        <v>1681</v>
      </c>
      <c r="D38">
        <v>1160</v>
      </c>
      <c r="E38" s="3" t="str">
        <f>VLOOKUP(D38,'ESO zone constants'!$A$5:$D$10001,4,FALSE)</f>
        <v>Western Skyrim</v>
      </c>
      <c r="F38" s="3">
        <f>VLOOKUP(D38,'ESO zone constants'!$A$5:$B$10001,2,FALSE)</f>
        <v>744</v>
      </c>
      <c r="G38"/>
    </row>
    <row r="39" spans="1:7" x14ac:dyDescent="0.25">
      <c r="A39">
        <v>1747</v>
      </c>
      <c r="B39">
        <v>39</v>
      </c>
      <c r="C39" t="s">
        <v>1711</v>
      </c>
      <c r="D39">
        <v>1161</v>
      </c>
      <c r="E39" s="3" t="str">
        <f>VLOOKUP(D39,'ESO zone constants'!$A$5:$D$10001,4,FALSE)</f>
        <v>Blackreach: Greymoor Caverns</v>
      </c>
      <c r="F39" s="3">
        <f>VLOOKUP(D39,'ESO zone constants'!$A$5:$B$10001,2,FALSE)</f>
        <v>745</v>
      </c>
      <c r="G39"/>
    </row>
    <row r="40" spans="1:7" x14ac:dyDescent="0.25">
      <c r="A40">
        <v>1814</v>
      </c>
      <c r="B40">
        <v>42</v>
      </c>
      <c r="C40" t="s">
        <v>2207</v>
      </c>
      <c r="D40">
        <v>1207</v>
      </c>
      <c r="E40" s="3" t="str">
        <f>VLOOKUP(D40,'ESO zone constants'!$A$5:$D$10001,4,FALSE)</f>
        <v>The Reach</v>
      </c>
      <c r="F40" s="3">
        <f>VLOOKUP(D40,'ESO zone constants'!$A$5:$B$10001,2,FALSE)</f>
        <v>784</v>
      </c>
      <c r="G40"/>
    </row>
    <row r="41" spans="1:7" x14ac:dyDescent="0.25">
      <c r="A41">
        <v>1850</v>
      </c>
      <c r="B41">
        <v>41</v>
      </c>
      <c r="C41" t="s">
        <v>2208</v>
      </c>
      <c r="D41">
        <v>1208</v>
      </c>
      <c r="E41" s="3" t="str">
        <f>VLOOKUP(D41,'ESO zone constants'!$A$5:$D$10001,4,FALSE)</f>
        <v>Blackreach: Arkthzand Cavern</v>
      </c>
      <c r="F41" s="3">
        <f>VLOOKUP(D41,'ESO zone constants'!$A$5:$B$10001,2,FALSE)</f>
        <v>785</v>
      </c>
      <c r="G41"/>
    </row>
    <row r="42" spans="1:7" x14ac:dyDescent="0.25">
      <c r="A42">
        <v>1887</v>
      </c>
      <c r="B42">
        <v>43</v>
      </c>
      <c r="C42" t="s">
        <v>2382</v>
      </c>
      <c r="D42">
        <v>1261</v>
      </c>
      <c r="E42" s="3" t="str">
        <f>VLOOKUP(D42,'ESO zone constants'!$A$5:$D$10001,4,FALSE)</f>
        <v>Blackwood</v>
      </c>
      <c r="F42" s="3">
        <f>VLOOKUP(D42,'ESO zone constants'!$A$5:$B$10001,2,FALSE)</f>
        <v>835</v>
      </c>
      <c r="G42"/>
    </row>
    <row r="43" spans="1:7" x14ac:dyDescent="0.25">
      <c r="A43">
        <v>2021</v>
      </c>
      <c r="B43">
        <v>45</v>
      </c>
      <c r="C43" t="s">
        <v>2438</v>
      </c>
      <c r="D43">
        <v>1286</v>
      </c>
      <c r="E43" s="3" t="str">
        <f>VLOOKUP(D43,'ESO zone constants'!$A$5:$D$10001,4,FALSE)</f>
        <v>The Deadlands</v>
      </c>
      <c r="F43" s="3">
        <f>VLOOKUP(D43,'ESO zone constants'!$A$5:$B$10001,2,FALSE)</f>
        <v>858</v>
      </c>
      <c r="G43"/>
    </row>
    <row r="44" spans="1:7" x14ac:dyDescent="0.25">
      <c r="A44">
        <v>2035</v>
      </c>
      <c r="B44">
        <v>47</v>
      </c>
      <c r="C44" t="s">
        <v>3406</v>
      </c>
      <c r="D44">
        <v>1282</v>
      </c>
      <c r="E44" s="3" t="str">
        <f>VLOOKUP(D44,'ESO zone constants'!$A$5:$D$10001,4,FALSE)</f>
        <v>Fargrave</v>
      </c>
      <c r="F44" s="3">
        <f>VLOOKUP(D44,'ESO zone constants'!$A$5:$B$10001,2,FALSE)</f>
        <v>854</v>
      </c>
      <c r="G44"/>
    </row>
    <row r="45" spans="1:7" x14ac:dyDescent="0.25">
      <c r="A45">
        <v>2114</v>
      </c>
      <c r="B45">
        <v>46</v>
      </c>
      <c r="C45" t="s">
        <v>3345</v>
      </c>
      <c r="D45">
        <v>1318</v>
      </c>
      <c r="E45" s="3" t="str">
        <f>VLOOKUP(D45,'ESO zone constants'!$A$5:$D$10001,4,FALSE)</f>
        <v>High Isle</v>
      </c>
      <c r="F45" s="3">
        <f>VLOOKUP(D45,'ESO zone constants'!$A$5:$B$10001,2,FALSE)</f>
        <v>884</v>
      </c>
      <c r="G45"/>
    </row>
    <row r="46" spans="1:7" x14ac:dyDescent="0.25">
      <c r="A46">
        <v>2119</v>
      </c>
      <c r="B46">
        <v>44</v>
      </c>
      <c r="C46" t="s">
        <v>2674</v>
      </c>
      <c r="D46">
        <v>1283</v>
      </c>
      <c r="E46" s="3" t="str">
        <f>VLOOKUP(D46,'ESO zone constants'!$A$5:$D$10001,4,FALSE)</f>
        <v>The Shambles</v>
      </c>
      <c r="F46" s="3">
        <f>VLOOKUP(D46,'ESO zone constants'!$A$5:$B$10001,2,FALSE)</f>
        <v>855</v>
      </c>
    </row>
    <row r="47" spans="1:7" x14ac:dyDescent="0.25">
      <c r="A47">
        <v>2212</v>
      </c>
      <c r="B47">
        <v>48</v>
      </c>
      <c r="C47" t="s">
        <v>3468</v>
      </c>
      <c r="D47">
        <v>1383</v>
      </c>
      <c r="E47" s="3" t="str">
        <f>VLOOKUP(D47,'ESO zone constants'!$A$5:$D$10001,4,FALSE)</f>
        <v>Galen</v>
      </c>
      <c r="F47" s="3">
        <f>VLOOKUP(D47,'ESO zone constants'!$A$5:$B$10001,2,FALSE)</f>
        <v>929</v>
      </c>
    </row>
    <row r="48" spans="1:7" x14ac:dyDescent="0.25">
      <c r="A48" s="5">
        <v>2274</v>
      </c>
      <c r="B48" s="5">
        <v>49</v>
      </c>
      <c r="C48" s="5" t="s">
        <v>3691</v>
      </c>
      <c r="D48" s="5">
        <v>1414</v>
      </c>
      <c r="E48" s="3" t="s">
        <v>3691</v>
      </c>
      <c r="F48" s="3">
        <f>VLOOKUP(D48,'ESO zone constants'!$A$5:$B$10001,2,FALSE)</f>
        <v>958</v>
      </c>
    </row>
    <row r="49" spans="1:6" x14ac:dyDescent="0.25">
      <c r="A49" s="5">
        <v>2275</v>
      </c>
      <c r="B49" s="5">
        <v>50</v>
      </c>
      <c r="C49" s="5" t="s">
        <v>3619</v>
      </c>
      <c r="D49" s="5">
        <v>1413</v>
      </c>
      <c r="E49" s="3" t="s">
        <v>3619</v>
      </c>
      <c r="F49" s="3">
        <f>VLOOKUP(D49,'ESO zone constants'!$A$5:$B$10001,2,FALSE)</f>
        <v>957</v>
      </c>
    </row>
    <row r="50" spans="1:6" x14ac:dyDescent="0.25">
      <c r="E50" s="3"/>
      <c r="F50" s="3"/>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49">
      <sortCondition ref="A2:A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37"/>
  <sheetViews>
    <sheetView zoomScale="85" zoomScaleNormal="85" workbookViewId="0">
      <pane ySplit="2" topLeftCell="A504" activePane="bottomLeft" state="frozen"/>
      <selection pane="bottomLeft" activeCell="J3" sqref="J3:J537"/>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1" t="s">
        <v>3775</v>
      </c>
      <c r="J1" s="30"/>
      <c r="K1" s="3"/>
      <c r="L1" s="3"/>
      <c r="M1" s="3"/>
      <c r="N1" s="3"/>
    </row>
    <row r="2" spans="1:14" x14ac:dyDescent="0.25">
      <c r="A2" s="54" t="s">
        <v>1712</v>
      </c>
      <c r="B2" s="1" t="s">
        <v>1713</v>
      </c>
      <c r="C2" s="1" t="s">
        <v>1714</v>
      </c>
      <c r="D2" s="1" t="s">
        <v>1715</v>
      </c>
      <c r="E2" s="1" t="s">
        <v>1717</v>
      </c>
      <c r="F2" s="1" t="s">
        <v>1716</v>
      </c>
      <c r="G2" s="1" t="s">
        <v>1718</v>
      </c>
      <c r="H2" s="1" t="s">
        <v>1719</v>
      </c>
      <c r="I2" s="1" t="s">
        <v>3188</v>
      </c>
      <c r="J2" s="30" t="s">
        <v>2399</v>
      </c>
      <c r="K2" s="3" t="s">
        <v>1712</v>
      </c>
      <c r="L2" s="3" t="s">
        <v>1370</v>
      </c>
      <c r="M2" s="3" t="s">
        <v>1367</v>
      </c>
      <c r="N2" s="3" t="s">
        <v>99</v>
      </c>
    </row>
    <row r="3" spans="1:14" x14ac:dyDescent="0.25">
      <c r="A3" s="94">
        <v>1</v>
      </c>
      <c r="B3">
        <v>2</v>
      </c>
      <c r="C3">
        <v>1</v>
      </c>
      <c r="D3" t="s">
        <v>103</v>
      </c>
      <c r="E3">
        <v>2</v>
      </c>
      <c r="F3">
        <v>3</v>
      </c>
      <c r="G3" t="s">
        <v>103</v>
      </c>
      <c r="H3">
        <v>1</v>
      </c>
      <c r="I3" t="s">
        <v>2774</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4">
        <v>2</v>
      </c>
      <c r="B4">
        <v>2</v>
      </c>
      <c r="C4">
        <v>1</v>
      </c>
      <c r="D4" t="s">
        <v>103</v>
      </c>
      <c r="E4">
        <v>2</v>
      </c>
      <c r="F4">
        <v>3</v>
      </c>
      <c r="G4" t="s">
        <v>103</v>
      </c>
      <c r="H4">
        <v>1</v>
      </c>
      <c r="I4" t="s">
        <v>2775</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4">
        <v>3</v>
      </c>
      <c r="B5">
        <v>2</v>
      </c>
      <c r="C5">
        <v>1</v>
      </c>
      <c r="D5" t="s">
        <v>103</v>
      </c>
      <c r="E5">
        <v>2</v>
      </c>
      <c r="F5">
        <v>3</v>
      </c>
      <c r="G5" t="s">
        <v>103</v>
      </c>
      <c r="H5">
        <v>1</v>
      </c>
      <c r="I5" t="s">
        <v>2776</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4">
        <v>4</v>
      </c>
      <c r="B6">
        <v>2</v>
      </c>
      <c r="C6">
        <v>1</v>
      </c>
      <c r="D6" t="s">
        <v>103</v>
      </c>
      <c r="E6">
        <v>2</v>
      </c>
      <c r="F6">
        <v>3</v>
      </c>
      <c r="G6" t="s">
        <v>103</v>
      </c>
      <c r="H6">
        <v>1</v>
      </c>
      <c r="I6" t="s">
        <v>2777</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4">
        <v>5</v>
      </c>
      <c r="B7">
        <v>2</v>
      </c>
      <c r="C7">
        <v>1</v>
      </c>
      <c r="D7" t="s">
        <v>103</v>
      </c>
      <c r="E7">
        <v>2</v>
      </c>
      <c r="F7">
        <v>3</v>
      </c>
      <c r="G7" t="s">
        <v>103</v>
      </c>
      <c r="H7">
        <v>1</v>
      </c>
      <c r="I7" t="s">
        <v>3778</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4">
        <v>6</v>
      </c>
      <c r="B8">
        <v>2</v>
      </c>
      <c r="C8">
        <v>1</v>
      </c>
      <c r="D8" t="s">
        <v>103</v>
      </c>
      <c r="E8">
        <v>2</v>
      </c>
      <c r="F8">
        <v>3</v>
      </c>
      <c r="G8" t="s">
        <v>103</v>
      </c>
      <c r="H8">
        <v>1</v>
      </c>
      <c r="I8" t="s">
        <v>2778</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4">
        <v>7</v>
      </c>
      <c r="B9">
        <v>2</v>
      </c>
      <c r="C9">
        <v>1</v>
      </c>
      <c r="D9" t="s">
        <v>103</v>
      </c>
      <c r="E9">
        <v>2</v>
      </c>
      <c r="F9">
        <v>3</v>
      </c>
      <c r="G9" t="s">
        <v>103</v>
      </c>
      <c r="H9">
        <v>1</v>
      </c>
      <c r="I9" t="s">
        <v>2779</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4">
        <v>8</v>
      </c>
      <c r="B10">
        <v>2</v>
      </c>
      <c r="C10">
        <v>1</v>
      </c>
      <c r="D10" t="s">
        <v>103</v>
      </c>
      <c r="E10">
        <v>2</v>
      </c>
      <c r="F10">
        <v>3</v>
      </c>
      <c r="G10" t="s">
        <v>103</v>
      </c>
      <c r="H10">
        <v>1</v>
      </c>
      <c r="I10" t="s">
        <v>2780</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4">
        <v>9</v>
      </c>
      <c r="B11">
        <v>3</v>
      </c>
      <c r="C11">
        <v>10</v>
      </c>
      <c r="D11" t="s">
        <v>2302</v>
      </c>
      <c r="E11">
        <v>5</v>
      </c>
      <c r="F11">
        <v>20</v>
      </c>
      <c r="G11" t="s">
        <v>2302</v>
      </c>
      <c r="H11">
        <v>1</v>
      </c>
      <c r="I11" t="s">
        <v>2781</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4">
        <v>10</v>
      </c>
      <c r="B12">
        <v>3</v>
      </c>
      <c r="C12">
        <v>10</v>
      </c>
      <c r="D12" t="s">
        <v>2302</v>
      </c>
      <c r="E12">
        <v>5</v>
      </c>
      <c r="F12">
        <v>20</v>
      </c>
      <c r="G12" t="s">
        <v>2302</v>
      </c>
      <c r="H12">
        <v>1</v>
      </c>
      <c r="I12" t="s">
        <v>2782</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4">
        <v>11</v>
      </c>
      <c r="B13">
        <v>3</v>
      </c>
      <c r="C13">
        <v>10</v>
      </c>
      <c r="D13" t="s">
        <v>2302</v>
      </c>
      <c r="E13">
        <v>5</v>
      </c>
      <c r="F13">
        <v>20</v>
      </c>
      <c r="G13" t="s">
        <v>2302</v>
      </c>
      <c r="H13">
        <v>1</v>
      </c>
      <c r="I13" t="s">
        <v>2783</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4">
        <v>12</v>
      </c>
      <c r="B14">
        <v>3</v>
      </c>
      <c r="C14">
        <v>10</v>
      </c>
      <c r="D14" t="s">
        <v>2302</v>
      </c>
      <c r="E14">
        <v>5</v>
      </c>
      <c r="F14">
        <v>20</v>
      </c>
      <c r="G14" t="s">
        <v>2302</v>
      </c>
      <c r="H14">
        <v>1</v>
      </c>
      <c r="I14" t="s">
        <v>2784</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4">
        <v>13</v>
      </c>
      <c r="B15">
        <v>3</v>
      </c>
      <c r="C15">
        <v>10</v>
      </c>
      <c r="D15" t="s">
        <v>2302</v>
      </c>
      <c r="E15">
        <v>5</v>
      </c>
      <c r="F15">
        <v>20</v>
      </c>
      <c r="G15" t="s">
        <v>2302</v>
      </c>
      <c r="H15">
        <v>1</v>
      </c>
      <c r="I15" t="s">
        <v>2785</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4">
        <v>14</v>
      </c>
      <c r="B16">
        <v>4</v>
      </c>
      <c r="C16">
        <v>12</v>
      </c>
      <c r="D16" t="s">
        <v>2303</v>
      </c>
      <c r="E16">
        <v>4</v>
      </c>
      <c r="F16">
        <v>19</v>
      </c>
      <c r="G16" t="s">
        <v>2303</v>
      </c>
      <c r="H16">
        <v>1</v>
      </c>
      <c r="I16" t="s">
        <v>3779</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4">
        <v>15</v>
      </c>
      <c r="B17">
        <v>4</v>
      </c>
      <c r="C17">
        <v>12</v>
      </c>
      <c r="D17" t="s">
        <v>2303</v>
      </c>
      <c r="E17">
        <v>4</v>
      </c>
      <c r="F17">
        <v>19</v>
      </c>
      <c r="G17" t="s">
        <v>2303</v>
      </c>
      <c r="H17">
        <v>1</v>
      </c>
      <c r="I17" t="s">
        <v>3780</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4">
        <v>16</v>
      </c>
      <c r="B18">
        <v>4</v>
      </c>
      <c r="C18">
        <v>12</v>
      </c>
      <c r="D18" t="s">
        <v>2303</v>
      </c>
      <c r="E18">
        <v>4</v>
      </c>
      <c r="F18">
        <v>19</v>
      </c>
      <c r="G18" t="s">
        <v>2303</v>
      </c>
      <c r="H18">
        <v>1</v>
      </c>
      <c r="I18" t="s">
        <v>3781</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4">
        <v>17</v>
      </c>
      <c r="B19">
        <v>4</v>
      </c>
      <c r="C19">
        <v>12</v>
      </c>
      <c r="D19" t="s">
        <v>2303</v>
      </c>
      <c r="E19">
        <v>4</v>
      </c>
      <c r="F19">
        <v>19</v>
      </c>
      <c r="G19" t="s">
        <v>2303</v>
      </c>
      <c r="H19">
        <v>1</v>
      </c>
      <c r="I19" t="s">
        <v>3782</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4">
        <v>18</v>
      </c>
      <c r="B20">
        <v>4</v>
      </c>
      <c r="C20">
        <v>12</v>
      </c>
      <c r="D20" t="s">
        <v>2303</v>
      </c>
      <c r="E20">
        <v>4</v>
      </c>
      <c r="F20">
        <v>19</v>
      </c>
      <c r="G20" t="s">
        <v>2303</v>
      </c>
      <c r="H20">
        <v>1</v>
      </c>
      <c r="I20" t="s">
        <v>3783</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4">
        <v>19</v>
      </c>
      <c r="B21">
        <v>4</v>
      </c>
      <c r="C21">
        <v>12</v>
      </c>
      <c r="D21" t="s">
        <v>2303</v>
      </c>
      <c r="E21">
        <v>4</v>
      </c>
      <c r="F21">
        <v>19</v>
      </c>
      <c r="G21" t="s">
        <v>2303</v>
      </c>
      <c r="H21">
        <v>1</v>
      </c>
      <c r="I21" t="s">
        <v>3784</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4">
        <v>20</v>
      </c>
      <c r="B22">
        <v>2</v>
      </c>
      <c r="C22">
        <v>1</v>
      </c>
      <c r="D22" t="s">
        <v>103</v>
      </c>
      <c r="E22">
        <v>2</v>
      </c>
      <c r="F22">
        <v>3</v>
      </c>
      <c r="G22" t="s">
        <v>103</v>
      </c>
      <c r="H22">
        <v>1</v>
      </c>
      <c r="I22" t="s">
        <v>2786</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4">
        <v>21</v>
      </c>
      <c r="B23">
        <v>7</v>
      </c>
      <c r="C23">
        <v>9</v>
      </c>
      <c r="D23" t="s">
        <v>2286</v>
      </c>
      <c r="E23">
        <v>181</v>
      </c>
      <c r="F23">
        <v>383</v>
      </c>
      <c r="G23" t="s">
        <v>2286</v>
      </c>
      <c r="H23">
        <v>1</v>
      </c>
      <c r="I23" t="s">
        <v>2787</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4">
        <v>22</v>
      </c>
      <c r="B24">
        <v>4</v>
      </c>
      <c r="C24">
        <v>12</v>
      </c>
      <c r="D24" t="s">
        <v>2303</v>
      </c>
      <c r="E24">
        <v>4</v>
      </c>
      <c r="F24">
        <v>19</v>
      </c>
      <c r="G24" t="s">
        <v>2303</v>
      </c>
      <c r="H24">
        <v>1</v>
      </c>
      <c r="I24" t="s">
        <v>3785</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4">
        <v>23</v>
      </c>
      <c r="B25">
        <v>4</v>
      </c>
      <c r="C25">
        <v>12</v>
      </c>
      <c r="D25" t="s">
        <v>2303</v>
      </c>
      <c r="E25">
        <v>4</v>
      </c>
      <c r="F25">
        <v>19</v>
      </c>
      <c r="G25" t="s">
        <v>2303</v>
      </c>
      <c r="H25">
        <v>1</v>
      </c>
      <c r="I25" t="s">
        <v>3786</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4">
        <v>24</v>
      </c>
      <c r="B26">
        <v>10</v>
      </c>
      <c r="C26">
        <v>13</v>
      </c>
      <c r="D26" t="s">
        <v>107</v>
      </c>
      <c r="E26">
        <v>10</v>
      </c>
      <c r="F26">
        <v>57</v>
      </c>
      <c r="G26" t="s">
        <v>107</v>
      </c>
      <c r="H26">
        <v>1</v>
      </c>
      <c r="I26" t="s">
        <v>2788</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4">
        <v>25</v>
      </c>
      <c r="B27">
        <v>10</v>
      </c>
      <c r="C27">
        <v>13</v>
      </c>
      <c r="D27" t="s">
        <v>107</v>
      </c>
      <c r="E27">
        <v>10</v>
      </c>
      <c r="F27">
        <v>57</v>
      </c>
      <c r="G27" t="s">
        <v>107</v>
      </c>
      <c r="H27">
        <v>1</v>
      </c>
      <c r="I27" t="s">
        <v>2789</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4">
        <v>26</v>
      </c>
      <c r="B28">
        <v>10</v>
      </c>
      <c r="C28">
        <v>13</v>
      </c>
      <c r="D28" t="s">
        <v>107</v>
      </c>
      <c r="E28">
        <v>10</v>
      </c>
      <c r="F28">
        <v>57</v>
      </c>
      <c r="G28" t="s">
        <v>107</v>
      </c>
      <c r="H28">
        <v>1</v>
      </c>
      <c r="I28" t="s">
        <v>2790</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4">
        <v>27</v>
      </c>
      <c r="B29">
        <v>10</v>
      </c>
      <c r="C29">
        <v>13</v>
      </c>
      <c r="D29" t="s">
        <v>107</v>
      </c>
      <c r="E29">
        <v>10</v>
      </c>
      <c r="F29">
        <v>57</v>
      </c>
      <c r="G29" t="s">
        <v>107</v>
      </c>
      <c r="H29">
        <v>1</v>
      </c>
      <c r="I29" t="s">
        <v>2791</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4">
        <v>28</v>
      </c>
      <c r="B30">
        <v>10</v>
      </c>
      <c r="C30">
        <v>13</v>
      </c>
      <c r="D30" t="s">
        <v>107</v>
      </c>
      <c r="E30">
        <v>10</v>
      </c>
      <c r="F30">
        <v>57</v>
      </c>
      <c r="G30" t="s">
        <v>107</v>
      </c>
      <c r="H30">
        <v>1</v>
      </c>
      <c r="I30" t="s">
        <v>2792</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4">
        <v>29</v>
      </c>
      <c r="B31">
        <v>10</v>
      </c>
      <c r="C31">
        <v>13</v>
      </c>
      <c r="D31" t="s">
        <v>107</v>
      </c>
      <c r="E31">
        <v>10</v>
      </c>
      <c r="F31">
        <v>57</v>
      </c>
      <c r="G31" t="s">
        <v>107</v>
      </c>
      <c r="H31">
        <v>1</v>
      </c>
      <c r="I31" t="s">
        <v>3181</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4">
        <v>30</v>
      </c>
      <c r="B32">
        <v>10</v>
      </c>
      <c r="C32">
        <v>13</v>
      </c>
      <c r="D32" t="s">
        <v>107</v>
      </c>
      <c r="E32">
        <v>10</v>
      </c>
      <c r="F32">
        <v>57</v>
      </c>
      <c r="G32" t="s">
        <v>107</v>
      </c>
      <c r="H32">
        <v>1</v>
      </c>
      <c r="I32" t="s">
        <v>2793</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4">
        <v>31</v>
      </c>
      <c r="B33">
        <v>4</v>
      </c>
      <c r="C33">
        <v>12</v>
      </c>
      <c r="D33" t="s">
        <v>2303</v>
      </c>
      <c r="E33">
        <v>4</v>
      </c>
      <c r="F33">
        <v>19</v>
      </c>
      <c r="G33" t="s">
        <v>2303</v>
      </c>
      <c r="H33">
        <v>1</v>
      </c>
      <c r="I33" t="s">
        <v>3787</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4">
        <v>32</v>
      </c>
      <c r="B34">
        <v>10</v>
      </c>
      <c r="C34">
        <v>13</v>
      </c>
      <c r="D34" t="s">
        <v>107</v>
      </c>
      <c r="E34">
        <v>10</v>
      </c>
      <c r="F34">
        <v>57</v>
      </c>
      <c r="G34" t="s">
        <v>107</v>
      </c>
      <c r="H34">
        <v>1</v>
      </c>
      <c r="I34" t="s">
        <v>2794</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4">
        <v>33</v>
      </c>
      <c r="B35">
        <v>6</v>
      </c>
      <c r="C35">
        <v>20</v>
      </c>
      <c r="D35" t="s">
        <v>109</v>
      </c>
      <c r="E35">
        <v>14</v>
      </c>
      <c r="F35">
        <v>92</v>
      </c>
      <c r="G35" t="s">
        <v>109</v>
      </c>
      <c r="H35">
        <v>1</v>
      </c>
      <c r="I35" t="s">
        <v>2795</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4">
        <v>34</v>
      </c>
      <c r="B36">
        <v>6</v>
      </c>
      <c r="C36">
        <v>20</v>
      </c>
      <c r="D36" t="s">
        <v>109</v>
      </c>
      <c r="E36">
        <v>14</v>
      </c>
      <c r="F36">
        <v>92</v>
      </c>
      <c r="G36" t="s">
        <v>109</v>
      </c>
      <c r="H36">
        <v>1</v>
      </c>
      <c r="I36" t="s">
        <v>2796</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4">
        <v>35</v>
      </c>
      <c r="B37">
        <v>6</v>
      </c>
      <c r="C37">
        <v>20</v>
      </c>
      <c r="D37" t="s">
        <v>109</v>
      </c>
      <c r="E37">
        <v>14</v>
      </c>
      <c r="F37">
        <v>92</v>
      </c>
      <c r="G37" t="s">
        <v>109</v>
      </c>
      <c r="H37">
        <v>1</v>
      </c>
      <c r="I37" t="s">
        <v>2797</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4">
        <v>36</v>
      </c>
      <c r="B38">
        <v>6</v>
      </c>
      <c r="C38">
        <v>20</v>
      </c>
      <c r="D38" t="s">
        <v>109</v>
      </c>
      <c r="E38">
        <v>14</v>
      </c>
      <c r="F38">
        <v>92</v>
      </c>
      <c r="G38" t="s">
        <v>109</v>
      </c>
      <c r="H38">
        <v>1</v>
      </c>
      <c r="I38" t="s">
        <v>2798</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4">
        <v>37</v>
      </c>
      <c r="B39">
        <v>6</v>
      </c>
      <c r="C39">
        <v>20</v>
      </c>
      <c r="D39" t="s">
        <v>109</v>
      </c>
      <c r="E39">
        <v>14</v>
      </c>
      <c r="F39">
        <v>92</v>
      </c>
      <c r="G39" t="s">
        <v>109</v>
      </c>
      <c r="H39">
        <v>1</v>
      </c>
      <c r="I39" t="s">
        <v>2799</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4">
        <v>38</v>
      </c>
      <c r="B40">
        <v>6</v>
      </c>
      <c r="C40">
        <v>20</v>
      </c>
      <c r="D40" t="s">
        <v>109</v>
      </c>
      <c r="E40">
        <v>14</v>
      </c>
      <c r="F40">
        <v>92</v>
      </c>
      <c r="G40" t="s">
        <v>109</v>
      </c>
      <c r="H40">
        <v>1</v>
      </c>
      <c r="I40" t="s">
        <v>2800</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4">
        <v>39</v>
      </c>
      <c r="B41">
        <v>6</v>
      </c>
      <c r="C41">
        <v>20</v>
      </c>
      <c r="D41" t="s">
        <v>109</v>
      </c>
      <c r="E41">
        <v>14</v>
      </c>
      <c r="F41">
        <v>92</v>
      </c>
      <c r="G41" t="s">
        <v>109</v>
      </c>
      <c r="H41">
        <v>1</v>
      </c>
      <c r="I41" t="s">
        <v>2801</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4">
        <v>40</v>
      </c>
      <c r="B42">
        <v>6</v>
      </c>
      <c r="C42">
        <v>20</v>
      </c>
      <c r="D42" t="s">
        <v>109</v>
      </c>
      <c r="E42">
        <v>14</v>
      </c>
      <c r="F42">
        <v>92</v>
      </c>
      <c r="G42" t="s">
        <v>109</v>
      </c>
      <c r="H42">
        <v>1</v>
      </c>
      <c r="I42" t="s">
        <v>2802</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4">
        <v>41</v>
      </c>
      <c r="B43">
        <v>11</v>
      </c>
      <c r="C43">
        <v>7</v>
      </c>
      <c r="D43" t="s">
        <v>2307</v>
      </c>
      <c r="E43">
        <v>9</v>
      </c>
      <c r="F43">
        <v>41</v>
      </c>
      <c r="G43" t="s">
        <v>2307</v>
      </c>
      <c r="H43">
        <v>1</v>
      </c>
      <c r="I43" t="s">
        <v>2803</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4">
        <v>42</v>
      </c>
      <c r="B44">
        <v>5</v>
      </c>
      <c r="C44">
        <v>30</v>
      </c>
      <c r="D44" t="s">
        <v>3182</v>
      </c>
      <c r="E44">
        <v>17</v>
      </c>
      <c r="F44">
        <v>104</v>
      </c>
      <c r="G44" t="s">
        <v>2301</v>
      </c>
      <c r="H44">
        <v>1</v>
      </c>
      <c r="I44" t="s">
        <v>2804</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4">
        <v>43</v>
      </c>
      <c r="B45">
        <v>5</v>
      </c>
      <c r="C45">
        <v>30</v>
      </c>
      <c r="D45" t="s">
        <v>3182</v>
      </c>
      <c r="E45">
        <v>17</v>
      </c>
      <c r="F45">
        <v>104</v>
      </c>
      <c r="G45" t="s">
        <v>2301</v>
      </c>
      <c r="H45">
        <v>1</v>
      </c>
      <c r="I45" t="s">
        <v>2805</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4">
        <v>44</v>
      </c>
      <c r="B46">
        <v>5</v>
      </c>
      <c r="C46">
        <v>30</v>
      </c>
      <c r="D46" t="s">
        <v>3182</v>
      </c>
      <c r="E46">
        <v>17</v>
      </c>
      <c r="F46">
        <v>104</v>
      </c>
      <c r="G46" t="s">
        <v>2301</v>
      </c>
      <c r="H46">
        <v>1</v>
      </c>
      <c r="I46" t="s">
        <v>2806</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4">
        <v>45</v>
      </c>
      <c r="B47">
        <v>5</v>
      </c>
      <c r="C47">
        <v>30</v>
      </c>
      <c r="D47" t="s">
        <v>3182</v>
      </c>
      <c r="E47">
        <v>17</v>
      </c>
      <c r="F47">
        <v>104</v>
      </c>
      <c r="G47" t="s">
        <v>2301</v>
      </c>
      <c r="H47">
        <v>1</v>
      </c>
      <c r="I47" t="s">
        <v>2807</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4">
        <v>46</v>
      </c>
      <c r="B48">
        <v>5</v>
      </c>
      <c r="C48">
        <v>30</v>
      </c>
      <c r="D48" t="s">
        <v>3182</v>
      </c>
      <c r="E48">
        <v>17</v>
      </c>
      <c r="F48">
        <v>104</v>
      </c>
      <c r="G48" t="s">
        <v>2301</v>
      </c>
      <c r="H48">
        <v>1</v>
      </c>
      <c r="I48" t="s">
        <v>2808</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4">
        <v>47</v>
      </c>
      <c r="B49">
        <v>9</v>
      </c>
      <c r="C49">
        <v>26</v>
      </c>
      <c r="D49" t="s">
        <v>2306</v>
      </c>
      <c r="E49">
        <v>19</v>
      </c>
      <c r="F49">
        <v>117</v>
      </c>
      <c r="G49" t="s">
        <v>2306</v>
      </c>
      <c r="H49">
        <v>1</v>
      </c>
      <c r="I49" t="s">
        <v>2809</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4">
        <v>48</v>
      </c>
      <c r="B50">
        <v>9</v>
      </c>
      <c r="C50">
        <v>26</v>
      </c>
      <c r="D50" t="s">
        <v>2306</v>
      </c>
      <c r="E50">
        <v>19</v>
      </c>
      <c r="F50">
        <v>117</v>
      </c>
      <c r="G50" t="s">
        <v>2306</v>
      </c>
      <c r="H50">
        <v>1</v>
      </c>
      <c r="I50" t="s">
        <v>2810</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4">
        <v>49</v>
      </c>
      <c r="B51">
        <v>9</v>
      </c>
      <c r="C51">
        <v>26</v>
      </c>
      <c r="D51" t="s">
        <v>2306</v>
      </c>
      <c r="E51">
        <v>19</v>
      </c>
      <c r="F51">
        <v>117</v>
      </c>
      <c r="G51" t="s">
        <v>2306</v>
      </c>
      <c r="H51">
        <v>1</v>
      </c>
      <c r="I51" t="s">
        <v>2811</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4">
        <v>50</v>
      </c>
      <c r="B52">
        <v>9</v>
      </c>
      <c r="C52">
        <v>26</v>
      </c>
      <c r="D52" t="s">
        <v>2306</v>
      </c>
      <c r="E52">
        <v>19</v>
      </c>
      <c r="F52">
        <v>117</v>
      </c>
      <c r="G52" t="s">
        <v>2306</v>
      </c>
      <c r="H52">
        <v>1</v>
      </c>
      <c r="I52" t="s">
        <v>2812</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4">
        <v>51</v>
      </c>
      <c r="B53">
        <v>9</v>
      </c>
      <c r="C53">
        <v>26</v>
      </c>
      <c r="D53" t="s">
        <v>2306</v>
      </c>
      <c r="E53">
        <v>19</v>
      </c>
      <c r="F53">
        <v>117</v>
      </c>
      <c r="G53" t="s">
        <v>2306</v>
      </c>
      <c r="H53">
        <v>1</v>
      </c>
      <c r="I53" t="s">
        <v>2813</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4">
        <v>52</v>
      </c>
      <c r="B54">
        <v>9</v>
      </c>
      <c r="C54">
        <v>26</v>
      </c>
      <c r="D54" t="s">
        <v>2306</v>
      </c>
      <c r="E54">
        <v>19</v>
      </c>
      <c r="F54">
        <v>117</v>
      </c>
      <c r="G54" t="s">
        <v>2306</v>
      </c>
      <c r="H54">
        <v>1</v>
      </c>
      <c r="I54" t="s">
        <v>2814</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4">
        <v>53</v>
      </c>
      <c r="B55">
        <v>9</v>
      </c>
      <c r="C55">
        <v>26</v>
      </c>
      <c r="D55" t="s">
        <v>2306</v>
      </c>
      <c r="E55">
        <v>19</v>
      </c>
      <c r="F55">
        <v>117</v>
      </c>
      <c r="G55" t="s">
        <v>2306</v>
      </c>
      <c r="H55">
        <v>1</v>
      </c>
      <c r="I55" t="s">
        <v>2815</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4">
        <v>55</v>
      </c>
      <c r="B56">
        <v>3</v>
      </c>
      <c r="C56">
        <v>10</v>
      </c>
      <c r="D56" t="s">
        <v>2302</v>
      </c>
      <c r="E56">
        <v>5</v>
      </c>
      <c r="F56">
        <v>20</v>
      </c>
      <c r="G56" t="s">
        <v>2302</v>
      </c>
      <c r="H56">
        <v>1</v>
      </c>
      <c r="I56" t="s">
        <v>2816</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4">
        <v>56</v>
      </c>
      <c r="B57">
        <v>4</v>
      </c>
      <c r="C57">
        <v>12</v>
      </c>
      <c r="D57" t="s">
        <v>2303</v>
      </c>
      <c r="E57">
        <v>4</v>
      </c>
      <c r="F57">
        <v>19</v>
      </c>
      <c r="G57" t="s">
        <v>2303</v>
      </c>
      <c r="H57">
        <v>1</v>
      </c>
      <c r="I57" t="s">
        <v>3788</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4">
        <v>57</v>
      </c>
      <c r="B58">
        <v>5</v>
      </c>
      <c r="C58">
        <v>30</v>
      </c>
      <c r="D58" t="s">
        <v>3182</v>
      </c>
      <c r="E58">
        <v>17</v>
      </c>
      <c r="F58">
        <v>104</v>
      </c>
      <c r="G58" t="s">
        <v>2301</v>
      </c>
      <c r="H58">
        <v>1</v>
      </c>
      <c r="I58" t="s">
        <v>2817</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4">
        <v>58</v>
      </c>
      <c r="B59">
        <v>5</v>
      </c>
      <c r="C59">
        <v>30</v>
      </c>
      <c r="D59" t="s">
        <v>3182</v>
      </c>
      <c r="E59">
        <v>17</v>
      </c>
      <c r="F59">
        <v>104</v>
      </c>
      <c r="G59" t="s">
        <v>2301</v>
      </c>
      <c r="H59">
        <v>1</v>
      </c>
      <c r="I59" t="s">
        <v>2818</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4">
        <v>59</v>
      </c>
      <c r="B60">
        <v>5</v>
      </c>
      <c r="C60">
        <v>30</v>
      </c>
      <c r="D60" t="s">
        <v>3182</v>
      </c>
      <c r="E60">
        <v>17</v>
      </c>
      <c r="F60">
        <v>104</v>
      </c>
      <c r="G60" t="s">
        <v>2301</v>
      </c>
      <c r="H60">
        <v>1</v>
      </c>
      <c r="I60" t="s">
        <v>2819</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4">
        <v>60</v>
      </c>
      <c r="B61">
        <v>5</v>
      </c>
      <c r="C61">
        <v>30</v>
      </c>
      <c r="D61" t="s">
        <v>3182</v>
      </c>
      <c r="E61">
        <v>17</v>
      </c>
      <c r="F61">
        <v>104</v>
      </c>
      <c r="G61" t="s">
        <v>2301</v>
      </c>
      <c r="H61">
        <v>1</v>
      </c>
      <c r="I61" t="s">
        <v>2820</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4">
        <v>61</v>
      </c>
      <c r="B62">
        <v>5</v>
      </c>
      <c r="C62">
        <v>30</v>
      </c>
      <c r="D62" t="s">
        <v>3182</v>
      </c>
      <c r="E62">
        <v>17</v>
      </c>
      <c r="F62">
        <v>104</v>
      </c>
      <c r="G62" t="s">
        <v>2301</v>
      </c>
      <c r="H62">
        <v>1</v>
      </c>
      <c r="I62" t="s">
        <v>2821</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4">
        <v>62</v>
      </c>
      <c r="B63">
        <v>2</v>
      </c>
      <c r="C63">
        <v>1</v>
      </c>
      <c r="D63" t="s">
        <v>103</v>
      </c>
      <c r="E63">
        <v>2</v>
      </c>
      <c r="F63">
        <v>3</v>
      </c>
      <c r="G63" t="s">
        <v>103</v>
      </c>
      <c r="H63">
        <v>1</v>
      </c>
      <c r="I63" t="s">
        <v>2822</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4">
        <v>63</v>
      </c>
      <c r="B64">
        <v>6</v>
      </c>
      <c r="C64">
        <v>20</v>
      </c>
      <c r="D64" t="s">
        <v>109</v>
      </c>
      <c r="E64">
        <v>14</v>
      </c>
      <c r="F64">
        <v>92</v>
      </c>
      <c r="G64" t="s">
        <v>109</v>
      </c>
      <c r="H64">
        <v>1</v>
      </c>
      <c r="I64" t="s">
        <v>2823</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4">
        <v>64</v>
      </c>
      <c r="B65">
        <v>2</v>
      </c>
      <c r="C65">
        <v>1</v>
      </c>
      <c r="D65" t="s">
        <v>103</v>
      </c>
      <c r="E65">
        <v>2</v>
      </c>
      <c r="F65">
        <v>3</v>
      </c>
      <c r="G65" t="s">
        <v>103</v>
      </c>
      <c r="H65">
        <v>1</v>
      </c>
      <c r="I65" t="s">
        <v>2824</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4">
        <v>65</v>
      </c>
      <c r="B66">
        <v>11</v>
      </c>
      <c r="C66">
        <v>7</v>
      </c>
      <c r="D66" t="s">
        <v>2307</v>
      </c>
      <c r="E66">
        <v>9</v>
      </c>
      <c r="F66">
        <v>41</v>
      </c>
      <c r="G66" t="s">
        <v>2307</v>
      </c>
      <c r="H66">
        <v>1</v>
      </c>
      <c r="I66" t="s">
        <v>2825</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4">
        <v>66</v>
      </c>
      <c r="B67">
        <v>11</v>
      </c>
      <c r="C67">
        <v>7</v>
      </c>
      <c r="D67" t="s">
        <v>2307</v>
      </c>
      <c r="E67">
        <v>9</v>
      </c>
      <c r="F67">
        <v>41</v>
      </c>
      <c r="G67" t="s">
        <v>2307</v>
      </c>
      <c r="H67">
        <v>1</v>
      </c>
      <c r="I67" t="s">
        <v>2826</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4">
        <v>67</v>
      </c>
      <c r="B68">
        <v>11</v>
      </c>
      <c r="C68">
        <v>7</v>
      </c>
      <c r="D68" t="s">
        <v>2307</v>
      </c>
      <c r="E68">
        <v>9</v>
      </c>
      <c r="F68">
        <v>41</v>
      </c>
      <c r="G68" t="s">
        <v>2307</v>
      </c>
      <c r="H68">
        <v>1</v>
      </c>
      <c r="I68" t="s">
        <v>2827</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4">
        <v>68</v>
      </c>
      <c r="B69">
        <v>11</v>
      </c>
      <c r="C69">
        <v>7</v>
      </c>
      <c r="D69" t="s">
        <v>2307</v>
      </c>
      <c r="E69">
        <v>9</v>
      </c>
      <c r="F69">
        <v>41</v>
      </c>
      <c r="G69" t="s">
        <v>2307</v>
      </c>
      <c r="H69">
        <v>1</v>
      </c>
      <c r="I69" t="s">
        <v>2828</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4">
        <v>69</v>
      </c>
      <c r="B70">
        <v>11</v>
      </c>
      <c r="C70">
        <v>7</v>
      </c>
      <c r="D70" t="s">
        <v>2307</v>
      </c>
      <c r="E70">
        <v>9</v>
      </c>
      <c r="F70">
        <v>41</v>
      </c>
      <c r="G70" t="s">
        <v>2307</v>
      </c>
      <c r="H70">
        <v>1</v>
      </c>
      <c r="I70" t="s">
        <v>2829</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4">
        <v>71</v>
      </c>
      <c r="B71">
        <v>11</v>
      </c>
      <c r="C71">
        <v>7</v>
      </c>
      <c r="D71" t="s">
        <v>2307</v>
      </c>
      <c r="E71">
        <v>9</v>
      </c>
      <c r="F71">
        <v>41</v>
      </c>
      <c r="G71" t="s">
        <v>2307</v>
      </c>
      <c r="H71">
        <v>1</v>
      </c>
      <c r="I71" t="s">
        <v>2830</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4">
        <v>72</v>
      </c>
      <c r="B72">
        <v>11</v>
      </c>
      <c r="C72">
        <v>7</v>
      </c>
      <c r="D72" t="s">
        <v>2307</v>
      </c>
      <c r="E72">
        <v>9</v>
      </c>
      <c r="F72">
        <v>41</v>
      </c>
      <c r="G72" t="s">
        <v>2307</v>
      </c>
      <c r="H72">
        <v>1</v>
      </c>
      <c r="I72" t="s">
        <v>2831</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4">
        <v>73</v>
      </c>
      <c r="B73">
        <v>11</v>
      </c>
      <c r="C73">
        <v>7</v>
      </c>
      <c r="D73" t="s">
        <v>2307</v>
      </c>
      <c r="E73">
        <v>9</v>
      </c>
      <c r="F73">
        <v>41</v>
      </c>
      <c r="G73" t="s">
        <v>2307</v>
      </c>
      <c r="H73">
        <v>1</v>
      </c>
      <c r="I73" t="s">
        <v>2832</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4">
        <v>74</v>
      </c>
      <c r="B74">
        <v>11</v>
      </c>
      <c r="C74">
        <v>7</v>
      </c>
      <c r="D74" t="s">
        <v>2307</v>
      </c>
      <c r="E74">
        <v>9</v>
      </c>
      <c r="F74">
        <v>41</v>
      </c>
      <c r="G74" t="s">
        <v>2307</v>
      </c>
      <c r="H74">
        <v>1</v>
      </c>
      <c r="I74" t="s">
        <v>2833</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4">
        <v>75</v>
      </c>
      <c r="B75">
        <v>11</v>
      </c>
      <c r="C75">
        <v>7</v>
      </c>
      <c r="D75" t="s">
        <v>2307</v>
      </c>
      <c r="E75">
        <v>9</v>
      </c>
      <c r="F75">
        <v>41</v>
      </c>
      <c r="G75" t="s">
        <v>2307</v>
      </c>
      <c r="H75">
        <v>1</v>
      </c>
      <c r="I75" t="s">
        <v>2834</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4">
        <v>76</v>
      </c>
      <c r="B76">
        <v>11</v>
      </c>
      <c r="C76">
        <v>7</v>
      </c>
      <c r="D76" t="s">
        <v>2307</v>
      </c>
      <c r="E76">
        <v>9</v>
      </c>
      <c r="F76">
        <v>41</v>
      </c>
      <c r="G76" t="s">
        <v>2307</v>
      </c>
      <c r="H76">
        <v>1</v>
      </c>
      <c r="I76" t="s">
        <v>2835</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4">
        <v>77</v>
      </c>
      <c r="B77">
        <v>11</v>
      </c>
      <c r="C77">
        <v>7</v>
      </c>
      <c r="D77" t="s">
        <v>2307</v>
      </c>
      <c r="E77">
        <v>9</v>
      </c>
      <c r="F77">
        <v>41</v>
      </c>
      <c r="G77" t="s">
        <v>2307</v>
      </c>
      <c r="H77">
        <v>1</v>
      </c>
      <c r="I77" t="s">
        <v>2836</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4">
        <v>78</v>
      </c>
      <c r="B78">
        <v>9</v>
      </c>
      <c r="C78">
        <v>26</v>
      </c>
      <c r="D78" t="s">
        <v>2306</v>
      </c>
      <c r="E78">
        <v>19</v>
      </c>
      <c r="F78">
        <v>117</v>
      </c>
      <c r="G78" t="s">
        <v>2306</v>
      </c>
      <c r="H78">
        <v>1</v>
      </c>
      <c r="I78" t="s">
        <v>2837</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4">
        <v>79</v>
      </c>
      <c r="B79">
        <v>10</v>
      </c>
      <c r="C79">
        <v>13</v>
      </c>
      <c r="D79" t="s">
        <v>107</v>
      </c>
      <c r="E79">
        <v>10</v>
      </c>
      <c r="F79">
        <v>57</v>
      </c>
      <c r="G79" t="s">
        <v>107</v>
      </c>
      <c r="H79">
        <v>1</v>
      </c>
      <c r="I79" t="s">
        <v>2838</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4">
        <v>80</v>
      </c>
      <c r="B80">
        <v>10</v>
      </c>
      <c r="C80">
        <v>13</v>
      </c>
      <c r="D80" t="s">
        <v>107</v>
      </c>
      <c r="E80">
        <v>10</v>
      </c>
      <c r="F80">
        <v>57</v>
      </c>
      <c r="G80" t="s">
        <v>107</v>
      </c>
      <c r="H80">
        <v>1</v>
      </c>
      <c r="I80" t="s">
        <v>2839</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4">
        <v>81</v>
      </c>
      <c r="B81">
        <v>10</v>
      </c>
      <c r="C81">
        <v>13</v>
      </c>
      <c r="D81" t="s">
        <v>107</v>
      </c>
      <c r="E81">
        <v>10</v>
      </c>
      <c r="F81">
        <v>57</v>
      </c>
      <c r="G81" t="s">
        <v>107</v>
      </c>
      <c r="H81">
        <v>1</v>
      </c>
      <c r="I81" t="s">
        <v>2840</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4">
        <v>82</v>
      </c>
      <c r="B82">
        <v>3</v>
      </c>
      <c r="C82">
        <v>10</v>
      </c>
      <c r="D82" t="s">
        <v>2302</v>
      </c>
      <c r="E82">
        <v>5</v>
      </c>
      <c r="F82">
        <v>20</v>
      </c>
      <c r="G82" t="s">
        <v>2302</v>
      </c>
      <c r="H82">
        <v>1</v>
      </c>
      <c r="I82" t="s">
        <v>2841</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4">
        <v>83</v>
      </c>
      <c r="B83">
        <v>3</v>
      </c>
      <c r="C83">
        <v>10</v>
      </c>
      <c r="D83" t="s">
        <v>2302</v>
      </c>
      <c r="E83">
        <v>5</v>
      </c>
      <c r="F83">
        <v>20</v>
      </c>
      <c r="G83" t="s">
        <v>2302</v>
      </c>
      <c r="H83">
        <v>1</v>
      </c>
      <c r="I83" t="s">
        <v>2842</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4">
        <v>84</v>
      </c>
      <c r="B84">
        <v>3</v>
      </c>
      <c r="C84">
        <v>10</v>
      </c>
      <c r="D84" t="s">
        <v>2302</v>
      </c>
      <c r="E84">
        <v>5</v>
      </c>
      <c r="F84">
        <v>20</v>
      </c>
      <c r="G84" t="s">
        <v>2302</v>
      </c>
      <c r="H84">
        <v>1</v>
      </c>
      <c r="I84" t="s">
        <v>2843</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4">
        <v>85</v>
      </c>
      <c r="B85">
        <v>9</v>
      </c>
      <c r="C85">
        <v>26</v>
      </c>
      <c r="D85" t="s">
        <v>2306</v>
      </c>
      <c r="E85">
        <v>19</v>
      </c>
      <c r="F85">
        <v>117</v>
      </c>
      <c r="G85" t="s">
        <v>2306</v>
      </c>
      <c r="H85">
        <v>1</v>
      </c>
      <c r="I85" t="s">
        <v>2844</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4">
        <v>86</v>
      </c>
      <c r="B86">
        <v>3</v>
      </c>
      <c r="C86">
        <v>10</v>
      </c>
      <c r="D86" t="s">
        <v>2302</v>
      </c>
      <c r="E86">
        <v>5</v>
      </c>
      <c r="F86">
        <v>20</v>
      </c>
      <c r="G86" t="s">
        <v>2302</v>
      </c>
      <c r="H86">
        <v>1</v>
      </c>
      <c r="I86" t="s">
        <v>2845</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4">
        <v>87</v>
      </c>
      <c r="B87">
        <v>13</v>
      </c>
      <c r="C87">
        <v>61</v>
      </c>
      <c r="D87" t="s">
        <v>2304</v>
      </c>
      <c r="E87">
        <v>15</v>
      </c>
      <c r="F87">
        <v>101</v>
      </c>
      <c r="G87" t="s">
        <v>2304</v>
      </c>
      <c r="H87">
        <v>1</v>
      </c>
      <c r="I87" t="s">
        <v>3252</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4">
        <v>88</v>
      </c>
      <c r="B88">
        <v>13</v>
      </c>
      <c r="C88">
        <v>61</v>
      </c>
      <c r="D88" t="s">
        <v>2304</v>
      </c>
      <c r="E88">
        <v>15</v>
      </c>
      <c r="F88">
        <v>101</v>
      </c>
      <c r="G88" t="s">
        <v>2304</v>
      </c>
      <c r="H88">
        <v>1</v>
      </c>
      <c r="I88" t="s">
        <v>3249</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4">
        <v>89</v>
      </c>
      <c r="B89">
        <v>13</v>
      </c>
      <c r="C89">
        <v>61</v>
      </c>
      <c r="D89" t="s">
        <v>2304</v>
      </c>
      <c r="E89">
        <v>15</v>
      </c>
      <c r="F89">
        <v>101</v>
      </c>
      <c r="G89" t="s">
        <v>2304</v>
      </c>
      <c r="H89">
        <v>1</v>
      </c>
      <c r="I89" t="s">
        <v>3254</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4">
        <v>90</v>
      </c>
      <c r="B90">
        <v>13</v>
      </c>
      <c r="C90">
        <v>61</v>
      </c>
      <c r="D90" t="s">
        <v>2304</v>
      </c>
      <c r="E90">
        <v>15</v>
      </c>
      <c r="F90">
        <v>101</v>
      </c>
      <c r="G90" t="s">
        <v>2304</v>
      </c>
      <c r="H90">
        <v>1</v>
      </c>
      <c r="I90" t="s">
        <v>3255</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4">
        <v>91</v>
      </c>
      <c r="B91">
        <v>13</v>
      </c>
      <c r="C91">
        <v>61</v>
      </c>
      <c r="D91" t="s">
        <v>2304</v>
      </c>
      <c r="E91">
        <v>15</v>
      </c>
      <c r="F91">
        <v>101</v>
      </c>
      <c r="G91" t="s">
        <v>2304</v>
      </c>
      <c r="H91">
        <v>1</v>
      </c>
      <c r="I91" t="s">
        <v>3256</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4">
        <v>92</v>
      </c>
      <c r="B92">
        <v>13</v>
      </c>
      <c r="C92">
        <v>61</v>
      </c>
      <c r="D92" t="s">
        <v>2304</v>
      </c>
      <c r="E92">
        <v>15</v>
      </c>
      <c r="F92">
        <v>101</v>
      </c>
      <c r="G92" t="s">
        <v>2304</v>
      </c>
      <c r="H92">
        <v>1</v>
      </c>
      <c r="I92" t="s">
        <v>3251</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4">
        <v>93</v>
      </c>
      <c r="B93">
        <v>13</v>
      </c>
      <c r="C93">
        <v>61</v>
      </c>
      <c r="D93" t="s">
        <v>2304</v>
      </c>
      <c r="E93">
        <v>15</v>
      </c>
      <c r="F93">
        <v>101</v>
      </c>
      <c r="G93" t="s">
        <v>2304</v>
      </c>
      <c r="H93">
        <v>1</v>
      </c>
      <c r="I93" t="s">
        <v>3258</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4">
        <v>94</v>
      </c>
      <c r="B94">
        <v>13</v>
      </c>
      <c r="C94">
        <v>61</v>
      </c>
      <c r="D94" t="s">
        <v>2304</v>
      </c>
      <c r="E94">
        <v>15</v>
      </c>
      <c r="F94">
        <v>101</v>
      </c>
      <c r="G94" t="s">
        <v>2304</v>
      </c>
      <c r="H94">
        <v>1</v>
      </c>
      <c r="I94" t="s">
        <v>3259</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4">
        <v>95</v>
      </c>
      <c r="B95">
        <v>13</v>
      </c>
      <c r="C95">
        <v>61</v>
      </c>
      <c r="D95" t="s">
        <v>2304</v>
      </c>
      <c r="E95">
        <v>15</v>
      </c>
      <c r="F95">
        <v>101</v>
      </c>
      <c r="G95" t="s">
        <v>2304</v>
      </c>
      <c r="H95">
        <v>1</v>
      </c>
      <c r="I95" t="s">
        <v>3260</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4">
        <v>96</v>
      </c>
      <c r="B96">
        <v>13</v>
      </c>
      <c r="C96">
        <v>61</v>
      </c>
      <c r="D96" t="s">
        <v>2304</v>
      </c>
      <c r="E96">
        <v>15</v>
      </c>
      <c r="F96">
        <v>101</v>
      </c>
      <c r="G96" t="s">
        <v>2304</v>
      </c>
      <c r="H96">
        <v>1</v>
      </c>
      <c r="I96" t="s">
        <v>3245</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4">
        <v>97</v>
      </c>
      <c r="B97">
        <v>13</v>
      </c>
      <c r="C97">
        <v>61</v>
      </c>
      <c r="D97" t="s">
        <v>2304</v>
      </c>
      <c r="E97">
        <v>15</v>
      </c>
      <c r="F97">
        <v>101</v>
      </c>
      <c r="G97" t="s">
        <v>2304</v>
      </c>
      <c r="H97">
        <v>1</v>
      </c>
      <c r="I97" t="s">
        <v>3246</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4">
        <v>98</v>
      </c>
      <c r="B98">
        <v>11</v>
      </c>
      <c r="C98">
        <v>7</v>
      </c>
      <c r="D98" t="s">
        <v>2307</v>
      </c>
      <c r="E98">
        <v>9</v>
      </c>
      <c r="F98">
        <v>41</v>
      </c>
      <c r="G98" t="s">
        <v>2307</v>
      </c>
      <c r="H98">
        <v>6</v>
      </c>
      <c r="I98" t="s">
        <v>2846</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4">
        <v>99</v>
      </c>
      <c r="B99">
        <v>8</v>
      </c>
      <c r="C99">
        <v>22</v>
      </c>
      <c r="D99" t="s">
        <v>108</v>
      </c>
      <c r="E99">
        <v>11</v>
      </c>
      <c r="F99">
        <v>58</v>
      </c>
      <c r="G99" t="s">
        <v>108</v>
      </c>
      <c r="H99">
        <v>1</v>
      </c>
      <c r="I99" t="s">
        <v>2847</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4">
        <v>100</v>
      </c>
      <c r="B100">
        <v>8</v>
      </c>
      <c r="C100">
        <v>22</v>
      </c>
      <c r="D100" t="s">
        <v>108</v>
      </c>
      <c r="E100">
        <v>11</v>
      </c>
      <c r="F100">
        <v>58</v>
      </c>
      <c r="G100" t="s">
        <v>108</v>
      </c>
      <c r="H100">
        <v>1</v>
      </c>
      <c r="I100" t="s">
        <v>2848</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4">
        <v>101</v>
      </c>
      <c r="B101">
        <v>8</v>
      </c>
      <c r="C101">
        <v>22</v>
      </c>
      <c r="D101" t="s">
        <v>108</v>
      </c>
      <c r="E101">
        <v>11</v>
      </c>
      <c r="F101">
        <v>58</v>
      </c>
      <c r="G101" t="s">
        <v>108</v>
      </c>
      <c r="H101">
        <v>1</v>
      </c>
      <c r="I101" t="s">
        <v>3183</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4">
        <v>102</v>
      </c>
      <c r="B102">
        <v>8</v>
      </c>
      <c r="C102">
        <v>22</v>
      </c>
      <c r="D102" t="s">
        <v>108</v>
      </c>
      <c r="E102">
        <v>11</v>
      </c>
      <c r="F102">
        <v>58</v>
      </c>
      <c r="G102" t="s">
        <v>108</v>
      </c>
      <c r="H102">
        <v>1</v>
      </c>
      <c r="I102" t="s">
        <v>2849</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4">
        <v>103</v>
      </c>
      <c r="B103">
        <v>8</v>
      </c>
      <c r="C103">
        <v>22</v>
      </c>
      <c r="D103" t="s">
        <v>108</v>
      </c>
      <c r="E103">
        <v>11</v>
      </c>
      <c r="F103">
        <v>58</v>
      </c>
      <c r="G103" t="s">
        <v>108</v>
      </c>
      <c r="H103">
        <v>1</v>
      </c>
      <c r="I103" t="s">
        <v>2850</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4">
        <v>104</v>
      </c>
      <c r="B104">
        <v>8</v>
      </c>
      <c r="C104">
        <v>22</v>
      </c>
      <c r="D104" t="s">
        <v>108</v>
      </c>
      <c r="E104">
        <v>11</v>
      </c>
      <c r="F104">
        <v>58</v>
      </c>
      <c r="G104" t="s">
        <v>108</v>
      </c>
      <c r="H104">
        <v>1</v>
      </c>
      <c r="I104" t="s">
        <v>2851</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4">
        <v>105</v>
      </c>
      <c r="B105">
        <v>8</v>
      </c>
      <c r="C105">
        <v>22</v>
      </c>
      <c r="D105" t="s">
        <v>108</v>
      </c>
      <c r="E105">
        <v>11</v>
      </c>
      <c r="F105">
        <v>58</v>
      </c>
      <c r="G105" t="s">
        <v>108</v>
      </c>
      <c r="H105">
        <v>1</v>
      </c>
      <c r="I105" t="s">
        <v>2852</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4">
        <v>106</v>
      </c>
      <c r="B106">
        <v>8</v>
      </c>
      <c r="C106">
        <v>22</v>
      </c>
      <c r="D106" t="s">
        <v>108</v>
      </c>
      <c r="E106">
        <v>11</v>
      </c>
      <c r="F106">
        <v>58</v>
      </c>
      <c r="G106" t="s">
        <v>108</v>
      </c>
      <c r="H106">
        <v>1</v>
      </c>
      <c r="I106" t="s">
        <v>3789</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4">
        <v>107</v>
      </c>
      <c r="B107">
        <v>8</v>
      </c>
      <c r="C107">
        <v>22</v>
      </c>
      <c r="D107" t="s">
        <v>108</v>
      </c>
      <c r="E107">
        <v>11</v>
      </c>
      <c r="F107">
        <v>58</v>
      </c>
      <c r="G107" t="s">
        <v>108</v>
      </c>
      <c r="H107">
        <v>1</v>
      </c>
      <c r="I107" t="s">
        <v>2853</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4">
        <v>108</v>
      </c>
      <c r="B108">
        <v>11</v>
      </c>
      <c r="C108">
        <v>7</v>
      </c>
      <c r="D108" t="s">
        <v>2307</v>
      </c>
      <c r="E108">
        <v>9</v>
      </c>
      <c r="F108">
        <v>41</v>
      </c>
      <c r="G108" t="s">
        <v>2307</v>
      </c>
      <c r="H108">
        <v>1</v>
      </c>
      <c r="I108" t="s">
        <v>2854</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4">
        <v>109</v>
      </c>
      <c r="B109">
        <v>12</v>
      </c>
      <c r="C109">
        <v>125</v>
      </c>
      <c r="D109" t="s">
        <v>2305</v>
      </c>
      <c r="E109">
        <v>16</v>
      </c>
      <c r="F109">
        <v>103</v>
      </c>
      <c r="G109" t="s">
        <v>2305</v>
      </c>
      <c r="H109">
        <v>1</v>
      </c>
      <c r="I109" t="s">
        <v>2855</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4">
        <v>110</v>
      </c>
      <c r="B110">
        <v>12</v>
      </c>
      <c r="C110">
        <v>125</v>
      </c>
      <c r="D110" t="s">
        <v>2305</v>
      </c>
      <c r="E110">
        <v>16</v>
      </c>
      <c r="F110">
        <v>103</v>
      </c>
      <c r="G110" t="s">
        <v>2305</v>
      </c>
      <c r="H110">
        <v>1</v>
      </c>
      <c r="I110" t="s">
        <v>2856</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4">
        <v>111</v>
      </c>
      <c r="B111">
        <v>12</v>
      </c>
      <c r="C111">
        <v>125</v>
      </c>
      <c r="D111" t="s">
        <v>2305</v>
      </c>
      <c r="E111">
        <v>16</v>
      </c>
      <c r="F111">
        <v>103</v>
      </c>
      <c r="G111" t="s">
        <v>2305</v>
      </c>
      <c r="H111">
        <v>1</v>
      </c>
      <c r="I111" t="s">
        <v>2857</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4">
        <v>112</v>
      </c>
      <c r="B112">
        <v>12</v>
      </c>
      <c r="C112">
        <v>125</v>
      </c>
      <c r="D112" t="s">
        <v>2305</v>
      </c>
      <c r="E112">
        <v>16</v>
      </c>
      <c r="F112">
        <v>103</v>
      </c>
      <c r="G112" t="s">
        <v>2305</v>
      </c>
      <c r="H112">
        <v>1</v>
      </c>
      <c r="I112" t="s">
        <v>2858</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4">
        <v>113</v>
      </c>
      <c r="B113">
        <v>12</v>
      </c>
      <c r="C113">
        <v>125</v>
      </c>
      <c r="D113" t="s">
        <v>2305</v>
      </c>
      <c r="E113">
        <v>16</v>
      </c>
      <c r="F113">
        <v>103</v>
      </c>
      <c r="G113" t="s">
        <v>2305</v>
      </c>
      <c r="H113">
        <v>1</v>
      </c>
      <c r="I113" t="s">
        <v>2859</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4">
        <v>114</v>
      </c>
      <c r="B114">
        <v>12</v>
      </c>
      <c r="C114">
        <v>125</v>
      </c>
      <c r="D114" t="s">
        <v>2305</v>
      </c>
      <c r="E114">
        <v>16</v>
      </c>
      <c r="F114">
        <v>103</v>
      </c>
      <c r="G114" t="s">
        <v>2305</v>
      </c>
      <c r="H114">
        <v>1</v>
      </c>
      <c r="I114" t="s">
        <v>2860</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4">
        <v>115</v>
      </c>
      <c r="B115">
        <v>12</v>
      </c>
      <c r="C115">
        <v>125</v>
      </c>
      <c r="D115" t="s">
        <v>2305</v>
      </c>
      <c r="E115">
        <v>16</v>
      </c>
      <c r="F115">
        <v>103</v>
      </c>
      <c r="G115" t="s">
        <v>2305</v>
      </c>
      <c r="H115">
        <v>1</v>
      </c>
      <c r="I115" t="s">
        <v>2861</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4">
        <v>116</v>
      </c>
      <c r="B116">
        <v>12</v>
      </c>
      <c r="C116">
        <v>125</v>
      </c>
      <c r="D116" t="s">
        <v>2305</v>
      </c>
      <c r="E116">
        <v>16</v>
      </c>
      <c r="F116">
        <v>103</v>
      </c>
      <c r="G116" t="s">
        <v>2305</v>
      </c>
      <c r="H116">
        <v>1</v>
      </c>
      <c r="I116" t="s">
        <v>2862</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4">
        <v>117</v>
      </c>
      <c r="B117">
        <v>12</v>
      </c>
      <c r="C117">
        <v>125</v>
      </c>
      <c r="D117" t="s">
        <v>2305</v>
      </c>
      <c r="E117">
        <v>16</v>
      </c>
      <c r="F117">
        <v>103</v>
      </c>
      <c r="G117" t="s">
        <v>2305</v>
      </c>
      <c r="H117">
        <v>1</v>
      </c>
      <c r="I117" t="s">
        <v>2863</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4">
        <v>118</v>
      </c>
      <c r="B118">
        <v>12</v>
      </c>
      <c r="C118">
        <v>125</v>
      </c>
      <c r="D118" t="s">
        <v>2305</v>
      </c>
      <c r="E118">
        <v>16</v>
      </c>
      <c r="F118">
        <v>103</v>
      </c>
      <c r="G118" t="s">
        <v>2305</v>
      </c>
      <c r="H118">
        <v>1</v>
      </c>
      <c r="I118" t="s">
        <v>2864</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4">
        <v>119</v>
      </c>
      <c r="B119">
        <v>12</v>
      </c>
      <c r="C119">
        <v>125</v>
      </c>
      <c r="D119" t="s">
        <v>2305</v>
      </c>
      <c r="E119">
        <v>16</v>
      </c>
      <c r="F119">
        <v>103</v>
      </c>
      <c r="G119" t="s">
        <v>2305</v>
      </c>
      <c r="H119">
        <v>1</v>
      </c>
      <c r="I119" t="s">
        <v>2865</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4">
        <v>120</v>
      </c>
      <c r="B120">
        <v>12</v>
      </c>
      <c r="C120">
        <v>125</v>
      </c>
      <c r="D120" t="s">
        <v>2305</v>
      </c>
      <c r="E120">
        <v>16</v>
      </c>
      <c r="F120">
        <v>103</v>
      </c>
      <c r="G120" t="s">
        <v>2305</v>
      </c>
      <c r="H120">
        <v>1</v>
      </c>
      <c r="I120" t="s">
        <v>2866</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4">
        <v>121</v>
      </c>
      <c r="B121">
        <v>15</v>
      </c>
      <c r="C121">
        <v>143</v>
      </c>
      <c r="D121" t="s">
        <v>262</v>
      </c>
      <c r="E121">
        <v>179</v>
      </c>
      <c r="F121">
        <v>381</v>
      </c>
      <c r="G121" t="s">
        <v>262</v>
      </c>
      <c r="H121">
        <v>1</v>
      </c>
      <c r="I121" t="s">
        <v>2867</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4">
        <v>122</v>
      </c>
      <c r="B122">
        <v>15</v>
      </c>
      <c r="C122">
        <v>143</v>
      </c>
      <c r="D122" t="s">
        <v>262</v>
      </c>
      <c r="E122">
        <v>179</v>
      </c>
      <c r="F122">
        <v>381</v>
      </c>
      <c r="G122" t="s">
        <v>262</v>
      </c>
      <c r="H122">
        <v>1</v>
      </c>
      <c r="I122" t="s">
        <v>2868</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4">
        <v>123</v>
      </c>
      <c r="B123">
        <v>15</v>
      </c>
      <c r="C123">
        <v>143</v>
      </c>
      <c r="D123" t="s">
        <v>262</v>
      </c>
      <c r="E123">
        <v>179</v>
      </c>
      <c r="F123">
        <v>381</v>
      </c>
      <c r="G123" t="s">
        <v>262</v>
      </c>
      <c r="H123">
        <v>1</v>
      </c>
      <c r="I123" t="s">
        <v>2869</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4">
        <v>124</v>
      </c>
      <c r="B124">
        <v>15</v>
      </c>
      <c r="C124">
        <v>143</v>
      </c>
      <c r="D124" t="s">
        <v>262</v>
      </c>
      <c r="E124">
        <v>179</v>
      </c>
      <c r="F124">
        <v>381</v>
      </c>
      <c r="G124" t="s">
        <v>262</v>
      </c>
      <c r="H124">
        <v>1</v>
      </c>
      <c r="I124" t="s">
        <v>2870</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4">
        <v>125</v>
      </c>
      <c r="B125">
        <v>18</v>
      </c>
      <c r="C125">
        <v>75</v>
      </c>
      <c r="D125" t="s">
        <v>197</v>
      </c>
      <c r="E125">
        <v>111</v>
      </c>
      <c r="F125">
        <v>281</v>
      </c>
      <c r="G125" t="s">
        <v>197</v>
      </c>
      <c r="H125">
        <v>1</v>
      </c>
      <c r="I125" t="s">
        <v>2871</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4">
        <v>126</v>
      </c>
      <c r="B126">
        <v>18</v>
      </c>
      <c r="C126">
        <v>75</v>
      </c>
      <c r="D126" t="s">
        <v>197</v>
      </c>
      <c r="E126">
        <v>111</v>
      </c>
      <c r="F126">
        <v>281</v>
      </c>
      <c r="G126" t="s">
        <v>197</v>
      </c>
      <c r="H126">
        <v>1</v>
      </c>
      <c r="I126" t="s">
        <v>2872</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4">
        <v>127</v>
      </c>
      <c r="B127">
        <v>15</v>
      </c>
      <c r="C127">
        <v>143</v>
      </c>
      <c r="D127" t="s">
        <v>262</v>
      </c>
      <c r="E127">
        <v>179</v>
      </c>
      <c r="F127">
        <v>381</v>
      </c>
      <c r="G127" t="s">
        <v>262</v>
      </c>
      <c r="H127">
        <v>1</v>
      </c>
      <c r="I127" t="s">
        <v>2873</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4">
        <v>128</v>
      </c>
      <c r="B128">
        <v>23</v>
      </c>
      <c r="C128">
        <v>255</v>
      </c>
      <c r="D128" t="s">
        <v>2363</v>
      </c>
      <c r="E128">
        <v>155</v>
      </c>
      <c r="F128">
        <v>347</v>
      </c>
      <c r="G128" t="s">
        <v>2363</v>
      </c>
      <c r="H128">
        <v>1</v>
      </c>
      <c r="I128" t="s">
        <v>2874</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4">
        <v>129</v>
      </c>
      <c r="B129">
        <v>23</v>
      </c>
      <c r="C129">
        <v>255</v>
      </c>
      <c r="D129" t="s">
        <v>2363</v>
      </c>
      <c r="E129">
        <v>155</v>
      </c>
      <c r="F129">
        <v>347</v>
      </c>
      <c r="G129" t="s">
        <v>2363</v>
      </c>
      <c r="H129">
        <v>1</v>
      </c>
      <c r="I129" t="s">
        <v>2875</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4">
        <v>130</v>
      </c>
      <c r="B130">
        <v>23</v>
      </c>
      <c r="C130">
        <v>255</v>
      </c>
      <c r="D130" t="s">
        <v>2363</v>
      </c>
      <c r="E130">
        <v>155</v>
      </c>
      <c r="F130">
        <v>347</v>
      </c>
      <c r="G130" t="s">
        <v>2363</v>
      </c>
      <c r="H130">
        <v>1</v>
      </c>
      <c r="I130" t="s">
        <v>2876</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4">
        <v>131</v>
      </c>
      <c r="B131">
        <v>23</v>
      </c>
      <c r="C131">
        <v>255</v>
      </c>
      <c r="D131" t="s">
        <v>2363</v>
      </c>
      <c r="E131">
        <v>155</v>
      </c>
      <c r="F131">
        <v>347</v>
      </c>
      <c r="G131" t="s">
        <v>2363</v>
      </c>
      <c r="H131">
        <v>1</v>
      </c>
      <c r="I131" t="s">
        <v>2877</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4">
        <v>132</v>
      </c>
      <c r="B132">
        <v>23</v>
      </c>
      <c r="C132">
        <v>255</v>
      </c>
      <c r="D132" t="s">
        <v>2363</v>
      </c>
      <c r="E132">
        <v>155</v>
      </c>
      <c r="F132">
        <v>347</v>
      </c>
      <c r="G132" t="s">
        <v>2363</v>
      </c>
      <c r="H132">
        <v>1</v>
      </c>
      <c r="I132" t="s">
        <v>2878</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4">
        <v>133</v>
      </c>
      <c r="B133">
        <v>23</v>
      </c>
      <c r="C133">
        <v>255</v>
      </c>
      <c r="D133" t="s">
        <v>2363</v>
      </c>
      <c r="E133">
        <v>155</v>
      </c>
      <c r="F133">
        <v>347</v>
      </c>
      <c r="G133" t="s">
        <v>2363</v>
      </c>
      <c r="H133">
        <v>1</v>
      </c>
      <c r="I133" t="s">
        <v>2879</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4">
        <v>134</v>
      </c>
      <c r="B134">
        <v>23</v>
      </c>
      <c r="C134">
        <v>255</v>
      </c>
      <c r="D134" t="s">
        <v>2363</v>
      </c>
      <c r="E134">
        <v>155</v>
      </c>
      <c r="F134">
        <v>347</v>
      </c>
      <c r="G134" t="s">
        <v>2363</v>
      </c>
      <c r="H134">
        <v>1</v>
      </c>
      <c r="I134" t="s">
        <v>2880</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4">
        <v>135</v>
      </c>
      <c r="B135">
        <v>23</v>
      </c>
      <c r="C135">
        <v>255</v>
      </c>
      <c r="D135" t="s">
        <v>2363</v>
      </c>
      <c r="E135">
        <v>155</v>
      </c>
      <c r="F135">
        <v>347</v>
      </c>
      <c r="G135" t="s">
        <v>2363</v>
      </c>
      <c r="H135">
        <v>1</v>
      </c>
      <c r="I135" t="s">
        <v>2881</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4">
        <v>136</v>
      </c>
      <c r="B136">
        <v>23</v>
      </c>
      <c r="C136">
        <v>255</v>
      </c>
      <c r="D136" t="s">
        <v>2363</v>
      </c>
      <c r="E136">
        <v>155</v>
      </c>
      <c r="F136">
        <v>347</v>
      </c>
      <c r="G136" t="s">
        <v>2363</v>
      </c>
      <c r="H136">
        <v>1</v>
      </c>
      <c r="I136" t="s">
        <v>2882</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4">
        <v>137</v>
      </c>
      <c r="B137">
        <v>5</v>
      </c>
      <c r="C137">
        <v>30</v>
      </c>
      <c r="D137" t="s">
        <v>3182</v>
      </c>
      <c r="E137">
        <v>17</v>
      </c>
      <c r="F137">
        <v>104</v>
      </c>
      <c r="G137" t="s">
        <v>2301</v>
      </c>
      <c r="H137">
        <v>1</v>
      </c>
      <c r="I137" t="s">
        <v>2883</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4">
        <v>138</v>
      </c>
      <c r="B138">
        <v>19</v>
      </c>
      <c r="C138">
        <v>201</v>
      </c>
      <c r="D138" t="s">
        <v>383</v>
      </c>
      <c r="E138">
        <v>305</v>
      </c>
      <c r="F138">
        <v>534</v>
      </c>
      <c r="G138" t="s">
        <v>383</v>
      </c>
      <c r="H138">
        <v>1</v>
      </c>
      <c r="I138" t="s">
        <v>2884</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4">
        <v>139</v>
      </c>
      <c r="B139">
        <v>23</v>
      </c>
      <c r="C139">
        <v>255</v>
      </c>
      <c r="D139" t="s">
        <v>2363</v>
      </c>
      <c r="E139">
        <v>155</v>
      </c>
      <c r="F139">
        <v>347</v>
      </c>
      <c r="G139" t="s">
        <v>2363</v>
      </c>
      <c r="H139">
        <v>1</v>
      </c>
      <c r="I139" t="s">
        <v>2885</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4">
        <v>140</v>
      </c>
      <c r="B140">
        <v>23</v>
      </c>
      <c r="C140">
        <v>255</v>
      </c>
      <c r="D140" t="s">
        <v>2363</v>
      </c>
      <c r="E140">
        <v>155</v>
      </c>
      <c r="F140">
        <v>347</v>
      </c>
      <c r="G140" t="s">
        <v>2363</v>
      </c>
      <c r="H140">
        <v>1</v>
      </c>
      <c r="I140" t="s">
        <v>2886</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4">
        <v>141</v>
      </c>
      <c r="B141">
        <v>21</v>
      </c>
      <c r="C141">
        <v>258</v>
      </c>
      <c r="D141" t="s">
        <v>2887</v>
      </c>
      <c r="E141">
        <v>307</v>
      </c>
      <c r="F141">
        <v>537</v>
      </c>
      <c r="G141" t="s">
        <v>2887</v>
      </c>
      <c r="H141">
        <v>1</v>
      </c>
      <c r="I141" t="s">
        <v>2888</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4">
        <v>142</v>
      </c>
      <c r="B142">
        <v>21</v>
      </c>
      <c r="C142">
        <v>258</v>
      </c>
      <c r="D142" t="s">
        <v>2887</v>
      </c>
      <c r="E142">
        <v>307</v>
      </c>
      <c r="F142">
        <v>537</v>
      </c>
      <c r="G142" t="s">
        <v>2887</v>
      </c>
      <c r="H142">
        <v>1</v>
      </c>
      <c r="I142" t="s">
        <v>2889</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4">
        <v>143</v>
      </c>
      <c r="B143">
        <v>16</v>
      </c>
      <c r="C143">
        <v>300</v>
      </c>
      <c r="D143" t="s">
        <v>2288</v>
      </c>
      <c r="E143">
        <v>18</v>
      </c>
      <c r="F143">
        <v>108</v>
      </c>
      <c r="G143" t="s">
        <v>2288</v>
      </c>
      <c r="H143">
        <v>1</v>
      </c>
      <c r="I143" t="s">
        <v>2890</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4">
        <v>144</v>
      </c>
      <c r="B144">
        <v>17</v>
      </c>
      <c r="C144">
        <v>256</v>
      </c>
      <c r="D144" t="s">
        <v>2289</v>
      </c>
      <c r="E144">
        <v>180</v>
      </c>
      <c r="F144">
        <v>382</v>
      </c>
      <c r="G144" t="s">
        <v>2289</v>
      </c>
      <c r="H144">
        <v>1</v>
      </c>
      <c r="I144" t="s">
        <v>2891</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4">
        <v>145</v>
      </c>
      <c r="B145">
        <v>23</v>
      </c>
      <c r="C145">
        <v>255</v>
      </c>
      <c r="D145" t="s">
        <v>2363</v>
      </c>
      <c r="E145">
        <v>155</v>
      </c>
      <c r="F145">
        <v>347</v>
      </c>
      <c r="G145" t="s">
        <v>2363</v>
      </c>
      <c r="H145">
        <v>1</v>
      </c>
      <c r="I145" t="s">
        <v>2892</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4">
        <v>146</v>
      </c>
      <c r="B146">
        <v>23</v>
      </c>
      <c r="C146">
        <v>255</v>
      </c>
      <c r="D146" t="s">
        <v>2363</v>
      </c>
      <c r="E146">
        <v>155</v>
      </c>
      <c r="F146">
        <v>347</v>
      </c>
      <c r="G146" t="s">
        <v>2363</v>
      </c>
      <c r="H146">
        <v>1</v>
      </c>
      <c r="I146" t="s">
        <v>2893</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4">
        <v>147</v>
      </c>
      <c r="B147">
        <v>16</v>
      </c>
      <c r="C147">
        <v>300</v>
      </c>
      <c r="D147" t="s">
        <v>2288</v>
      </c>
      <c r="E147">
        <v>18</v>
      </c>
      <c r="F147">
        <v>108</v>
      </c>
      <c r="G147" t="s">
        <v>2288</v>
      </c>
      <c r="H147">
        <v>1</v>
      </c>
      <c r="I147" t="s">
        <v>2894</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4">
        <v>148</v>
      </c>
      <c r="B148">
        <v>16</v>
      </c>
      <c r="C148">
        <v>300</v>
      </c>
      <c r="D148" t="s">
        <v>2288</v>
      </c>
      <c r="E148">
        <v>18</v>
      </c>
      <c r="F148">
        <v>108</v>
      </c>
      <c r="G148" t="s">
        <v>2288</v>
      </c>
      <c r="H148">
        <v>1</v>
      </c>
      <c r="I148" t="s">
        <v>2895</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4">
        <v>149</v>
      </c>
      <c r="B149">
        <v>16</v>
      </c>
      <c r="C149">
        <v>300</v>
      </c>
      <c r="D149" t="s">
        <v>2288</v>
      </c>
      <c r="E149">
        <v>18</v>
      </c>
      <c r="F149">
        <v>108</v>
      </c>
      <c r="G149" t="s">
        <v>2288</v>
      </c>
      <c r="H149">
        <v>1</v>
      </c>
      <c r="I149" t="s">
        <v>2896</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4">
        <v>150</v>
      </c>
      <c r="B150">
        <v>16</v>
      </c>
      <c r="C150">
        <v>300</v>
      </c>
      <c r="D150" t="s">
        <v>2288</v>
      </c>
      <c r="E150">
        <v>18</v>
      </c>
      <c r="F150">
        <v>108</v>
      </c>
      <c r="G150" t="s">
        <v>2288</v>
      </c>
      <c r="H150">
        <v>1</v>
      </c>
      <c r="I150" t="s">
        <v>2897</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4">
        <v>151</v>
      </c>
      <c r="B151">
        <v>16</v>
      </c>
      <c r="C151">
        <v>300</v>
      </c>
      <c r="D151" t="s">
        <v>2288</v>
      </c>
      <c r="E151">
        <v>18</v>
      </c>
      <c r="F151">
        <v>108</v>
      </c>
      <c r="G151" t="s">
        <v>2288</v>
      </c>
      <c r="H151">
        <v>1</v>
      </c>
      <c r="I151" t="s">
        <v>2898</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4">
        <v>152</v>
      </c>
      <c r="B152">
        <v>16</v>
      </c>
      <c r="C152">
        <v>300</v>
      </c>
      <c r="D152" t="s">
        <v>2288</v>
      </c>
      <c r="E152">
        <v>18</v>
      </c>
      <c r="F152">
        <v>108</v>
      </c>
      <c r="G152" t="s">
        <v>2288</v>
      </c>
      <c r="H152">
        <v>1</v>
      </c>
      <c r="I152" t="s">
        <v>2899</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4">
        <v>153</v>
      </c>
      <c r="B153">
        <v>16</v>
      </c>
      <c r="C153">
        <v>300</v>
      </c>
      <c r="D153" t="s">
        <v>2288</v>
      </c>
      <c r="E153">
        <v>18</v>
      </c>
      <c r="F153">
        <v>108</v>
      </c>
      <c r="G153" t="s">
        <v>2288</v>
      </c>
      <c r="H153">
        <v>1</v>
      </c>
      <c r="I153" t="s">
        <v>2900</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4">
        <v>154</v>
      </c>
      <c r="B154">
        <v>16</v>
      </c>
      <c r="C154">
        <v>300</v>
      </c>
      <c r="D154" t="s">
        <v>2288</v>
      </c>
      <c r="E154">
        <v>18</v>
      </c>
      <c r="F154">
        <v>108</v>
      </c>
      <c r="G154" t="s">
        <v>2288</v>
      </c>
      <c r="H154">
        <v>1</v>
      </c>
      <c r="I154" t="s">
        <v>2901</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4">
        <v>155</v>
      </c>
      <c r="B155">
        <v>5</v>
      </c>
      <c r="C155">
        <v>30</v>
      </c>
      <c r="D155" t="s">
        <v>3182</v>
      </c>
      <c r="E155">
        <v>17</v>
      </c>
      <c r="F155">
        <v>104</v>
      </c>
      <c r="G155" t="s">
        <v>2301</v>
      </c>
      <c r="H155">
        <v>1</v>
      </c>
      <c r="I155" t="s">
        <v>2902</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4">
        <v>156</v>
      </c>
      <c r="B156">
        <v>17</v>
      </c>
      <c r="C156">
        <v>256</v>
      </c>
      <c r="D156" t="s">
        <v>2289</v>
      </c>
      <c r="E156">
        <v>180</v>
      </c>
      <c r="F156">
        <v>382</v>
      </c>
      <c r="G156" t="s">
        <v>2289</v>
      </c>
      <c r="H156">
        <v>1</v>
      </c>
      <c r="I156" t="s">
        <v>2903</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4">
        <v>157</v>
      </c>
      <c r="B157">
        <v>17</v>
      </c>
      <c r="C157">
        <v>256</v>
      </c>
      <c r="D157" t="s">
        <v>2289</v>
      </c>
      <c r="E157">
        <v>180</v>
      </c>
      <c r="F157">
        <v>382</v>
      </c>
      <c r="G157" t="s">
        <v>2289</v>
      </c>
      <c r="H157">
        <v>1</v>
      </c>
      <c r="I157" t="s">
        <v>2904</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4">
        <v>158</v>
      </c>
      <c r="B158">
        <v>17</v>
      </c>
      <c r="C158">
        <v>256</v>
      </c>
      <c r="D158" t="s">
        <v>2289</v>
      </c>
      <c r="E158">
        <v>180</v>
      </c>
      <c r="F158">
        <v>382</v>
      </c>
      <c r="G158" t="s">
        <v>2289</v>
      </c>
      <c r="H158">
        <v>1</v>
      </c>
      <c r="I158" t="s">
        <v>2905</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4">
        <v>159</v>
      </c>
      <c r="B159">
        <v>17</v>
      </c>
      <c r="C159">
        <v>256</v>
      </c>
      <c r="D159" t="s">
        <v>2289</v>
      </c>
      <c r="E159">
        <v>180</v>
      </c>
      <c r="F159">
        <v>382</v>
      </c>
      <c r="G159" t="s">
        <v>2289</v>
      </c>
      <c r="H159">
        <v>1</v>
      </c>
      <c r="I159" t="s">
        <v>2906</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4">
        <v>160</v>
      </c>
      <c r="B160">
        <v>17</v>
      </c>
      <c r="C160">
        <v>256</v>
      </c>
      <c r="D160" t="s">
        <v>2289</v>
      </c>
      <c r="E160">
        <v>180</v>
      </c>
      <c r="F160">
        <v>382</v>
      </c>
      <c r="G160" t="s">
        <v>2289</v>
      </c>
      <c r="H160">
        <v>1</v>
      </c>
      <c r="I160" t="s">
        <v>2907</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4">
        <v>161</v>
      </c>
      <c r="B161">
        <v>17</v>
      </c>
      <c r="C161">
        <v>256</v>
      </c>
      <c r="D161" t="s">
        <v>2289</v>
      </c>
      <c r="E161">
        <v>180</v>
      </c>
      <c r="F161">
        <v>382</v>
      </c>
      <c r="G161" t="s">
        <v>2289</v>
      </c>
      <c r="H161">
        <v>1</v>
      </c>
      <c r="I161" t="s">
        <v>2908</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4">
        <v>162</v>
      </c>
      <c r="B162">
        <v>17</v>
      </c>
      <c r="C162">
        <v>256</v>
      </c>
      <c r="D162" t="s">
        <v>2289</v>
      </c>
      <c r="E162">
        <v>180</v>
      </c>
      <c r="F162">
        <v>382</v>
      </c>
      <c r="G162" t="s">
        <v>2289</v>
      </c>
      <c r="H162">
        <v>1</v>
      </c>
      <c r="I162" t="s">
        <v>3184</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4">
        <v>163</v>
      </c>
      <c r="B163">
        <v>17</v>
      </c>
      <c r="C163">
        <v>256</v>
      </c>
      <c r="D163" t="s">
        <v>2289</v>
      </c>
      <c r="E163">
        <v>180</v>
      </c>
      <c r="F163">
        <v>382</v>
      </c>
      <c r="G163" t="s">
        <v>2289</v>
      </c>
      <c r="H163">
        <v>1</v>
      </c>
      <c r="I163" t="s">
        <v>3185</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4">
        <v>164</v>
      </c>
      <c r="B164">
        <v>7</v>
      </c>
      <c r="C164">
        <v>9</v>
      </c>
      <c r="D164" t="s">
        <v>2286</v>
      </c>
      <c r="E164">
        <v>181</v>
      </c>
      <c r="F164">
        <v>383</v>
      </c>
      <c r="G164" t="s">
        <v>2286</v>
      </c>
      <c r="H164">
        <v>1</v>
      </c>
      <c r="I164" t="s">
        <v>2909</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4">
        <v>165</v>
      </c>
      <c r="B165">
        <v>7</v>
      </c>
      <c r="C165">
        <v>9</v>
      </c>
      <c r="D165" t="s">
        <v>2286</v>
      </c>
      <c r="E165">
        <v>181</v>
      </c>
      <c r="F165">
        <v>383</v>
      </c>
      <c r="G165" t="s">
        <v>2286</v>
      </c>
      <c r="H165">
        <v>1</v>
      </c>
      <c r="I165" t="s">
        <v>2910</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4">
        <v>166</v>
      </c>
      <c r="B166">
        <v>7</v>
      </c>
      <c r="C166">
        <v>9</v>
      </c>
      <c r="D166" t="s">
        <v>2286</v>
      </c>
      <c r="E166">
        <v>181</v>
      </c>
      <c r="F166">
        <v>383</v>
      </c>
      <c r="G166" t="s">
        <v>2286</v>
      </c>
      <c r="H166">
        <v>1</v>
      </c>
      <c r="I166" t="s">
        <v>2911</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4">
        <v>167</v>
      </c>
      <c r="B167">
        <v>7</v>
      </c>
      <c r="C167">
        <v>9</v>
      </c>
      <c r="D167" t="s">
        <v>2286</v>
      </c>
      <c r="E167">
        <v>181</v>
      </c>
      <c r="F167">
        <v>383</v>
      </c>
      <c r="G167" t="s">
        <v>2286</v>
      </c>
      <c r="H167">
        <v>1</v>
      </c>
      <c r="I167" t="s">
        <v>2912</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4">
        <v>168</v>
      </c>
      <c r="B168">
        <v>7</v>
      </c>
      <c r="C168">
        <v>9</v>
      </c>
      <c r="D168" t="s">
        <v>2286</v>
      </c>
      <c r="E168">
        <v>181</v>
      </c>
      <c r="F168">
        <v>383</v>
      </c>
      <c r="G168" t="s">
        <v>2286</v>
      </c>
      <c r="H168">
        <v>1</v>
      </c>
      <c r="I168" t="s">
        <v>2913</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4">
        <v>169</v>
      </c>
      <c r="B169">
        <v>7</v>
      </c>
      <c r="C169">
        <v>9</v>
      </c>
      <c r="D169" t="s">
        <v>2286</v>
      </c>
      <c r="E169">
        <v>181</v>
      </c>
      <c r="F169">
        <v>383</v>
      </c>
      <c r="G169" t="s">
        <v>2286</v>
      </c>
      <c r="H169">
        <v>1</v>
      </c>
      <c r="I169" t="s">
        <v>2914</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4">
        <v>170</v>
      </c>
      <c r="B170">
        <v>14</v>
      </c>
      <c r="C170">
        <v>16</v>
      </c>
      <c r="D170" t="s">
        <v>125</v>
      </c>
      <c r="E170">
        <v>38</v>
      </c>
      <c r="F170">
        <v>181</v>
      </c>
      <c r="G170" t="s">
        <v>125</v>
      </c>
      <c r="H170">
        <v>1</v>
      </c>
      <c r="I170" t="s">
        <v>2915</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4">
        <v>171</v>
      </c>
      <c r="B171">
        <v>9</v>
      </c>
      <c r="C171">
        <v>26</v>
      </c>
      <c r="D171" t="s">
        <v>2306</v>
      </c>
      <c r="E171">
        <v>19</v>
      </c>
      <c r="F171">
        <v>117</v>
      </c>
      <c r="G171" t="s">
        <v>2306</v>
      </c>
      <c r="H171">
        <v>1</v>
      </c>
      <c r="I171" t="s">
        <v>2916</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4">
        <v>172</v>
      </c>
      <c r="B172">
        <v>22</v>
      </c>
      <c r="C172">
        <v>74</v>
      </c>
      <c r="D172" t="s">
        <v>3790</v>
      </c>
      <c r="E172">
        <v>110</v>
      </c>
      <c r="F172">
        <v>280</v>
      </c>
      <c r="G172" t="s">
        <v>3790</v>
      </c>
      <c r="H172">
        <v>1</v>
      </c>
      <c r="I172" t="s">
        <v>3791</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4">
        <v>173</v>
      </c>
      <c r="B173">
        <v>18</v>
      </c>
      <c r="C173">
        <v>75</v>
      </c>
      <c r="D173" t="s">
        <v>197</v>
      </c>
      <c r="E173">
        <v>111</v>
      </c>
      <c r="F173">
        <v>281</v>
      </c>
      <c r="G173" t="s">
        <v>197</v>
      </c>
      <c r="H173">
        <v>1</v>
      </c>
      <c r="I173" t="s">
        <v>2917</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4">
        <v>174</v>
      </c>
      <c r="B174">
        <v>15</v>
      </c>
      <c r="C174">
        <v>143</v>
      </c>
      <c r="D174" t="s">
        <v>262</v>
      </c>
      <c r="E174">
        <v>179</v>
      </c>
      <c r="F174">
        <v>381</v>
      </c>
      <c r="G174" t="s">
        <v>262</v>
      </c>
      <c r="H174">
        <v>1</v>
      </c>
      <c r="I174" t="s">
        <v>2918</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4">
        <v>175</v>
      </c>
      <c r="B175">
        <v>15</v>
      </c>
      <c r="C175">
        <v>143</v>
      </c>
      <c r="D175" t="s">
        <v>262</v>
      </c>
      <c r="E175">
        <v>179</v>
      </c>
      <c r="F175">
        <v>381</v>
      </c>
      <c r="G175" t="s">
        <v>262</v>
      </c>
      <c r="H175">
        <v>1</v>
      </c>
      <c r="I175" t="s">
        <v>2919</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4">
        <v>176</v>
      </c>
      <c r="B176">
        <v>15</v>
      </c>
      <c r="C176">
        <v>143</v>
      </c>
      <c r="D176" t="s">
        <v>262</v>
      </c>
      <c r="E176">
        <v>179</v>
      </c>
      <c r="F176">
        <v>381</v>
      </c>
      <c r="G176" t="s">
        <v>262</v>
      </c>
      <c r="H176">
        <v>1</v>
      </c>
      <c r="I176" t="s">
        <v>2920</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4">
        <v>177</v>
      </c>
      <c r="B177">
        <v>15</v>
      </c>
      <c r="C177">
        <v>143</v>
      </c>
      <c r="D177" t="s">
        <v>262</v>
      </c>
      <c r="E177">
        <v>179</v>
      </c>
      <c r="F177">
        <v>381</v>
      </c>
      <c r="G177" t="s">
        <v>262</v>
      </c>
      <c r="H177">
        <v>1</v>
      </c>
      <c r="I177" t="s">
        <v>2921</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4">
        <v>178</v>
      </c>
      <c r="B178">
        <v>15</v>
      </c>
      <c r="C178">
        <v>143</v>
      </c>
      <c r="D178" t="s">
        <v>262</v>
      </c>
      <c r="E178">
        <v>179</v>
      </c>
      <c r="F178">
        <v>381</v>
      </c>
      <c r="G178" t="s">
        <v>262</v>
      </c>
      <c r="H178">
        <v>1</v>
      </c>
      <c r="I178" t="s">
        <v>2922</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4">
        <v>179</v>
      </c>
      <c r="B179">
        <v>19</v>
      </c>
      <c r="C179">
        <v>201</v>
      </c>
      <c r="D179" t="s">
        <v>383</v>
      </c>
      <c r="E179">
        <v>305</v>
      </c>
      <c r="F179">
        <v>534</v>
      </c>
      <c r="G179" t="s">
        <v>383</v>
      </c>
      <c r="H179">
        <v>1</v>
      </c>
      <c r="I179" t="s">
        <v>2923</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4">
        <v>180</v>
      </c>
      <c r="B180">
        <v>19</v>
      </c>
      <c r="C180">
        <v>201</v>
      </c>
      <c r="D180" t="s">
        <v>383</v>
      </c>
      <c r="E180">
        <v>305</v>
      </c>
      <c r="F180">
        <v>534</v>
      </c>
      <c r="G180" t="s">
        <v>383</v>
      </c>
      <c r="H180">
        <v>1</v>
      </c>
      <c r="I180" t="s">
        <v>2924</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4">
        <v>181</v>
      </c>
      <c r="B181">
        <v>20</v>
      </c>
      <c r="C181">
        <v>227</v>
      </c>
      <c r="D181" t="s">
        <v>384</v>
      </c>
      <c r="E181">
        <v>306</v>
      </c>
      <c r="F181">
        <v>535</v>
      </c>
      <c r="G181" t="s">
        <v>384</v>
      </c>
      <c r="H181">
        <v>1</v>
      </c>
      <c r="I181" t="s">
        <v>2925</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4">
        <v>182</v>
      </c>
      <c r="B182">
        <v>20</v>
      </c>
      <c r="C182">
        <v>227</v>
      </c>
      <c r="D182" t="s">
        <v>384</v>
      </c>
      <c r="E182">
        <v>306</v>
      </c>
      <c r="F182">
        <v>535</v>
      </c>
      <c r="G182" t="s">
        <v>384</v>
      </c>
      <c r="H182">
        <v>1</v>
      </c>
      <c r="I182" t="s">
        <v>2926</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4">
        <v>183</v>
      </c>
      <c r="B183">
        <v>20</v>
      </c>
      <c r="C183">
        <v>227</v>
      </c>
      <c r="D183" t="s">
        <v>384</v>
      </c>
      <c r="E183">
        <v>306</v>
      </c>
      <c r="F183">
        <v>535</v>
      </c>
      <c r="G183" t="s">
        <v>384</v>
      </c>
      <c r="H183">
        <v>1</v>
      </c>
      <c r="I183" t="s">
        <v>2927</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4">
        <v>184</v>
      </c>
      <c r="B184">
        <v>23</v>
      </c>
      <c r="C184">
        <v>255</v>
      </c>
      <c r="D184" t="s">
        <v>2363</v>
      </c>
      <c r="E184">
        <v>155</v>
      </c>
      <c r="F184">
        <v>347</v>
      </c>
      <c r="G184" t="s">
        <v>2363</v>
      </c>
      <c r="H184">
        <v>6</v>
      </c>
      <c r="I184" t="s">
        <v>2928</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4">
        <v>185</v>
      </c>
      <c r="B185">
        <v>17</v>
      </c>
      <c r="C185">
        <v>256</v>
      </c>
      <c r="D185" t="s">
        <v>2289</v>
      </c>
      <c r="E185">
        <v>180</v>
      </c>
      <c r="F185">
        <v>382</v>
      </c>
      <c r="G185" t="s">
        <v>2289</v>
      </c>
      <c r="H185">
        <v>6</v>
      </c>
      <c r="I185" t="s">
        <v>2929</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4">
        <v>186</v>
      </c>
      <c r="B186">
        <v>6</v>
      </c>
      <c r="C186">
        <v>20</v>
      </c>
      <c r="D186" t="s">
        <v>109</v>
      </c>
      <c r="E186">
        <v>14</v>
      </c>
      <c r="F186">
        <v>92</v>
      </c>
      <c r="G186" t="s">
        <v>109</v>
      </c>
      <c r="H186">
        <v>6</v>
      </c>
      <c r="I186" t="s">
        <v>2930</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4">
        <v>187</v>
      </c>
      <c r="B187">
        <v>12</v>
      </c>
      <c r="C187">
        <v>125</v>
      </c>
      <c r="D187" t="s">
        <v>2305</v>
      </c>
      <c r="E187">
        <v>16</v>
      </c>
      <c r="F187">
        <v>103</v>
      </c>
      <c r="G187" t="s">
        <v>2305</v>
      </c>
      <c r="H187">
        <v>6</v>
      </c>
      <c r="I187" t="s">
        <v>2931</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4">
        <v>188</v>
      </c>
      <c r="B188">
        <v>8</v>
      </c>
      <c r="C188">
        <v>22</v>
      </c>
      <c r="D188" t="s">
        <v>108</v>
      </c>
      <c r="E188">
        <v>11</v>
      </c>
      <c r="F188">
        <v>58</v>
      </c>
      <c r="G188" t="s">
        <v>108</v>
      </c>
      <c r="H188">
        <v>6</v>
      </c>
      <c r="I188" t="s">
        <v>2932</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4">
        <v>189</v>
      </c>
      <c r="B189">
        <v>4</v>
      </c>
      <c r="C189">
        <v>12</v>
      </c>
      <c r="D189" t="s">
        <v>2303</v>
      </c>
      <c r="E189">
        <v>4</v>
      </c>
      <c r="F189">
        <v>19</v>
      </c>
      <c r="G189" t="s">
        <v>2303</v>
      </c>
      <c r="H189">
        <v>6</v>
      </c>
      <c r="I189" t="s">
        <v>3792</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4">
        <v>190</v>
      </c>
      <c r="B190">
        <v>3</v>
      </c>
      <c r="C190">
        <v>10</v>
      </c>
      <c r="D190" t="s">
        <v>2302</v>
      </c>
      <c r="E190">
        <v>5</v>
      </c>
      <c r="F190">
        <v>20</v>
      </c>
      <c r="G190" t="s">
        <v>2302</v>
      </c>
      <c r="H190">
        <v>6</v>
      </c>
      <c r="I190" t="s">
        <v>2933</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4">
        <v>191</v>
      </c>
      <c r="B191">
        <v>7</v>
      </c>
      <c r="C191">
        <v>9</v>
      </c>
      <c r="D191" t="s">
        <v>2286</v>
      </c>
      <c r="E191">
        <v>181</v>
      </c>
      <c r="F191">
        <v>383</v>
      </c>
      <c r="G191" t="s">
        <v>2286</v>
      </c>
      <c r="H191">
        <v>6</v>
      </c>
      <c r="I191" t="s">
        <v>2934</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4">
        <v>192</v>
      </c>
      <c r="B192">
        <v>9</v>
      </c>
      <c r="C192">
        <v>26</v>
      </c>
      <c r="D192" t="s">
        <v>2306</v>
      </c>
      <c r="E192">
        <v>19</v>
      </c>
      <c r="F192">
        <v>117</v>
      </c>
      <c r="G192" t="s">
        <v>2306</v>
      </c>
      <c r="H192">
        <v>6</v>
      </c>
      <c r="I192" t="s">
        <v>2935</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4">
        <v>193</v>
      </c>
      <c r="B193">
        <v>2</v>
      </c>
      <c r="C193">
        <v>1</v>
      </c>
      <c r="D193" t="s">
        <v>103</v>
      </c>
      <c r="E193">
        <v>2</v>
      </c>
      <c r="F193">
        <v>3</v>
      </c>
      <c r="G193" t="s">
        <v>103</v>
      </c>
      <c r="H193">
        <v>6</v>
      </c>
      <c r="I193" t="s">
        <v>2936</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4">
        <v>194</v>
      </c>
      <c r="B194">
        <v>15</v>
      </c>
      <c r="C194">
        <v>143</v>
      </c>
      <c r="D194" t="s">
        <v>262</v>
      </c>
      <c r="E194">
        <v>179</v>
      </c>
      <c r="F194">
        <v>381</v>
      </c>
      <c r="G194" t="s">
        <v>262</v>
      </c>
      <c r="H194">
        <v>6</v>
      </c>
      <c r="I194" t="s">
        <v>2937</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4">
        <v>195</v>
      </c>
      <c r="B195">
        <v>13</v>
      </c>
      <c r="C195">
        <v>61</v>
      </c>
      <c r="D195" t="s">
        <v>2304</v>
      </c>
      <c r="E195">
        <v>15</v>
      </c>
      <c r="F195">
        <v>101</v>
      </c>
      <c r="G195" t="s">
        <v>2304</v>
      </c>
      <c r="H195">
        <v>6</v>
      </c>
      <c r="I195" t="s">
        <v>3248</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4">
        <v>196</v>
      </c>
      <c r="B196">
        <v>5</v>
      </c>
      <c r="C196">
        <v>30</v>
      </c>
      <c r="D196" t="s">
        <v>3182</v>
      </c>
      <c r="E196">
        <v>17</v>
      </c>
      <c r="F196">
        <v>104</v>
      </c>
      <c r="G196" t="s">
        <v>2301</v>
      </c>
      <c r="H196">
        <v>6</v>
      </c>
      <c r="I196" t="s">
        <v>2938</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4">
        <v>197</v>
      </c>
      <c r="B197">
        <v>16</v>
      </c>
      <c r="C197">
        <v>300</v>
      </c>
      <c r="D197" t="s">
        <v>2288</v>
      </c>
      <c r="E197">
        <v>18</v>
      </c>
      <c r="F197">
        <v>108</v>
      </c>
      <c r="G197" t="s">
        <v>2288</v>
      </c>
      <c r="H197">
        <v>6</v>
      </c>
      <c r="I197" t="s">
        <v>2939</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4">
        <v>198</v>
      </c>
      <c r="B198">
        <v>10</v>
      </c>
      <c r="C198">
        <v>13</v>
      </c>
      <c r="D198" t="s">
        <v>107</v>
      </c>
      <c r="E198">
        <v>10</v>
      </c>
      <c r="F198">
        <v>57</v>
      </c>
      <c r="G198" t="s">
        <v>107</v>
      </c>
      <c r="H198">
        <v>6</v>
      </c>
      <c r="I198" t="s">
        <v>2940</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4">
        <v>199</v>
      </c>
      <c r="B199">
        <v>14</v>
      </c>
      <c r="C199">
        <v>16</v>
      </c>
      <c r="D199" t="s">
        <v>125</v>
      </c>
      <c r="E199">
        <v>38</v>
      </c>
      <c r="F199">
        <v>181</v>
      </c>
      <c r="G199" t="s">
        <v>125</v>
      </c>
      <c r="H199">
        <v>1</v>
      </c>
      <c r="I199" t="s">
        <v>2941</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4">
        <v>200</v>
      </c>
      <c r="B200">
        <v>14</v>
      </c>
      <c r="C200">
        <v>16</v>
      </c>
      <c r="D200" t="s">
        <v>125</v>
      </c>
      <c r="E200">
        <v>38</v>
      </c>
      <c r="F200">
        <v>181</v>
      </c>
      <c r="G200" t="s">
        <v>125</v>
      </c>
      <c r="H200">
        <v>1</v>
      </c>
      <c r="I200" t="s">
        <v>2942</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4">
        <v>201</v>
      </c>
      <c r="B201">
        <v>14</v>
      </c>
      <c r="C201">
        <v>16</v>
      </c>
      <c r="D201" t="s">
        <v>125</v>
      </c>
      <c r="E201">
        <v>38</v>
      </c>
      <c r="F201">
        <v>181</v>
      </c>
      <c r="G201" t="s">
        <v>125</v>
      </c>
      <c r="H201">
        <v>1</v>
      </c>
      <c r="I201" t="s">
        <v>2943</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4">
        <v>202</v>
      </c>
      <c r="B202">
        <v>14</v>
      </c>
      <c r="C202">
        <v>16</v>
      </c>
      <c r="D202" t="s">
        <v>125</v>
      </c>
      <c r="E202">
        <v>38</v>
      </c>
      <c r="F202">
        <v>181</v>
      </c>
      <c r="G202" t="s">
        <v>125</v>
      </c>
      <c r="H202">
        <v>1</v>
      </c>
      <c r="I202" t="s">
        <v>2944</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4">
        <v>203</v>
      </c>
      <c r="B203">
        <v>14</v>
      </c>
      <c r="C203">
        <v>16</v>
      </c>
      <c r="D203" t="s">
        <v>125</v>
      </c>
      <c r="E203">
        <v>38</v>
      </c>
      <c r="F203">
        <v>181</v>
      </c>
      <c r="G203" t="s">
        <v>125</v>
      </c>
      <c r="H203">
        <v>1</v>
      </c>
      <c r="I203" t="s">
        <v>2945</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4">
        <v>204</v>
      </c>
      <c r="B204">
        <v>6</v>
      </c>
      <c r="C204">
        <v>20</v>
      </c>
      <c r="D204" t="s">
        <v>109</v>
      </c>
      <c r="E204">
        <v>14</v>
      </c>
      <c r="F204">
        <v>92</v>
      </c>
      <c r="G204" t="s">
        <v>109</v>
      </c>
      <c r="H204">
        <v>1</v>
      </c>
      <c r="I204" t="s">
        <v>2946</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4">
        <v>205</v>
      </c>
      <c r="B205">
        <v>10</v>
      </c>
      <c r="C205">
        <v>13</v>
      </c>
      <c r="D205" t="s">
        <v>107</v>
      </c>
      <c r="E205">
        <v>10</v>
      </c>
      <c r="F205">
        <v>57</v>
      </c>
      <c r="G205" t="s">
        <v>107</v>
      </c>
      <c r="H205">
        <v>1</v>
      </c>
      <c r="I205" t="s">
        <v>2947</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4">
        <v>206</v>
      </c>
      <c r="B206">
        <v>6</v>
      </c>
      <c r="C206">
        <v>20</v>
      </c>
      <c r="D206" t="s">
        <v>109</v>
      </c>
      <c r="E206">
        <v>14</v>
      </c>
      <c r="F206">
        <v>92</v>
      </c>
      <c r="G206" t="s">
        <v>109</v>
      </c>
      <c r="H206">
        <v>1</v>
      </c>
      <c r="I206" t="s">
        <v>2948</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4">
        <v>207</v>
      </c>
      <c r="B207">
        <v>7</v>
      </c>
      <c r="C207">
        <v>9</v>
      </c>
      <c r="D207" t="s">
        <v>2286</v>
      </c>
      <c r="E207">
        <v>181</v>
      </c>
      <c r="F207">
        <v>383</v>
      </c>
      <c r="G207" t="s">
        <v>2286</v>
      </c>
      <c r="H207">
        <v>1</v>
      </c>
      <c r="I207" t="s">
        <v>2949</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4">
        <v>208</v>
      </c>
      <c r="B208">
        <v>3</v>
      </c>
      <c r="C208">
        <v>10</v>
      </c>
      <c r="D208" t="s">
        <v>2302</v>
      </c>
      <c r="E208">
        <v>5</v>
      </c>
      <c r="F208">
        <v>20</v>
      </c>
      <c r="G208" t="s">
        <v>2302</v>
      </c>
      <c r="H208">
        <v>1</v>
      </c>
      <c r="I208" t="s">
        <v>2950</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4">
        <v>210</v>
      </c>
      <c r="B209">
        <v>2</v>
      </c>
      <c r="C209">
        <v>1</v>
      </c>
      <c r="D209" t="s">
        <v>103</v>
      </c>
      <c r="E209">
        <v>2</v>
      </c>
      <c r="F209">
        <v>3</v>
      </c>
      <c r="G209" t="s">
        <v>103</v>
      </c>
      <c r="H209">
        <v>1</v>
      </c>
      <c r="I209" t="s">
        <v>2951</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4">
        <v>211</v>
      </c>
      <c r="B210">
        <v>15</v>
      </c>
      <c r="C210">
        <v>143</v>
      </c>
      <c r="D210" t="s">
        <v>262</v>
      </c>
      <c r="E210">
        <v>179</v>
      </c>
      <c r="F210">
        <v>381</v>
      </c>
      <c r="G210" t="s">
        <v>262</v>
      </c>
      <c r="H210">
        <v>1</v>
      </c>
      <c r="I210" t="s">
        <v>2951</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4">
        <v>212</v>
      </c>
      <c r="B211">
        <v>11</v>
      </c>
      <c r="C211">
        <v>7</v>
      </c>
      <c r="D211" t="s">
        <v>2307</v>
      </c>
      <c r="E211">
        <v>9</v>
      </c>
      <c r="F211">
        <v>41</v>
      </c>
      <c r="G211" t="s">
        <v>2307</v>
      </c>
      <c r="H211">
        <v>1</v>
      </c>
      <c r="I211" t="s">
        <v>2951</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4">
        <v>213</v>
      </c>
      <c r="B212">
        <v>7</v>
      </c>
      <c r="C212">
        <v>9</v>
      </c>
      <c r="D212" t="s">
        <v>2286</v>
      </c>
      <c r="E212">
        <v>181</v>
      </c>
      <c r="F212">
        <v>383</v>
      </c>
      <c r="G212" t="s">
        <v>2286</v>
      </c>
      <c r="H212">
        <v>1</v>
      </c>
      <c r="I212" t="s">
        <v>2952</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4">
        <v>214</v>
      </c>
      <c r="B213">
        <v>7</v>
      </c>
      <c r="C213">
        <v>9</v>
      </c>
      <c r="D213" t="s">
        <v>2286</v>
      </c>
      <c r="E213">
        <v>181</v>
      </c>
      <c r="F213">
        <v>383</v>
      </c>
      <c r="G213" t="s">
        <v>2286</v>
      </c>
      <c r="H213">
        <v>1</v>
      </c>
      <c r="I213" t="s">
        <v>2953</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4">
        <v>216</v>
      </c>
      <c r="B214">
        <v>2</v>
      </c>
      <c r="C214">
        <v>1</v>
      </c>
      <c r="D214" t="s">
        <v>103</v>
      </c>
      <c r="E214">
        <v>2</v>
      </c>
      <c r="F214">
        <v>3</v>
      </c>
      <c r="G214" t="s">
        <v>103</v>
      </c>
      <c r="H214">
        <v>1</v>
      </c>
      <c r="I214" t="s">
        <v>2954</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4">
        <v>217</v>
      </c>
      <c r="B215">
        <v>25</v>
      </c>
      <c r="C215">
        <v>1126</v>
      </c>
      <c r="D215" t="s">
        <v>2364</v>
      </c>
      <c r="E215">
        <v>501</v>
      </c>
      <c r="F215">
        <v>888</v>
      </c>
      <c r="G215" t="s">
        <v>2364</v>
      </c>
      <c r="H215">
        <v>1</v>
      </c>
      <c r="I215" t="s">
        <v>3793</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4">
        <v>218</v>
      </c>
      <c r="B216">
        <v>25</v>
      </c>
      <c r="C216">
        <v>1126</v>
      </c>
      <c r="D216" t="s">
        <v>2364</v>
      </c>
      <c r="E216">
        <v>501</v>
      </c>
      <c r="F216">
        <v>888</v>
      </c>
      <c r="G216" t="s">
        <v>2364</v>
      </c>
      <c r="H216">
        <v>1</v>
      </c>
      <c r="I216" t="s">
        <v>3794</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4">
        <v>219</v>
      </c>
      <c r="B217">
        <v>25</v>
      </c>
      <c r="C217">
        <v>1126</v>
      </c>
      <c r="D217" t="s">
        <v>2364</v>
      </c>
      <c r="E217">
        <v>501</v>
      </c>
      <c r="F217">
        <v>888</v>
      </c>
      <c r="G217" t="s">
        <v>2364</v>
      </c>
      <c r="H217">
        <v>1</v>
      </c>
      <c r="I217" t="s">
        <v>3795</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4">
        <v>220</v>
      </c>
      <c r="B218">
        <v>25</v>
      </c>
      <c r="C218">
        <v>1126</v>
      </c>
      <c r="D218" t="s">
        <v>2364</v>
      </c>
      <c r="E218">
        <v>501</v>
      </c>
      <c r="F218">
        <v>888</v>
      </c>
      <c r="G218" t="s">
        <v>2364</v>
      </c>
      <c r="H218">
        <v>1</v>
      </c>
      <c r="I218" t="s">
        <v>3796</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4">
        <v>225</v>
      </c>
      <c r="B219">
        <v>25</v>
      </c>
      <c r="C219">
        <v>1126</v>
      </c>
      <c r="D219" t="s">
        <v>2364</v>
      </c>
      <c r="E219">
        <v>501</v>
      </c>
      <c r="F219">
        <v>888</v>
      </c>
      <c r="G219" t="s">
        <v>2364</v>
      </c>
      <c r="H219">
        <v>1</v>
      </c>
      <c r="I219" t="s">
        <v>3797</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4">
        <v>226</v>
      </c>
      <c r="B220">
        <v>25</v>
      </c>
      <c r="C220">
        <v>1126</v>
      </c>
      <c r="D220" t="s">
        <v>2364</v>
      </c>
      <c r="E220">
        <v>501</v>
      </c>
      <c r="F220">
        <v>888</v>
      </c>
      <c r="G220" t="s">
        <v>2364</v>
      </c>
      <c r="H220">
        <v>1</v>
      </c>
      <c r="I220" t="s">
        <v>3798</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4">
        <v>227</v>
      </c>
      <c r="B221">
        <v>25</v>
      </c>
      <c r="C221">
        <v>1126</v>
      </c>
      <c r="D221" t="s">
        <v>2364</v>
      </c>
      <c r="E221">
        <v>501</v>
      </c>
      <c r="F221">
        <v>888</v>
      </c>
      <c r="G221" t="s">
        <v>2364</v>
      </c>
      <c r="H221">
        <v>1</v>
      </c>
      <c r="I221" t="s">
        <v>3799</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4">
        <v>229</v>
      </c>
      <c r="B222">
        <v>25</v>
      </c>
      <c r="C222">
        <v>1126</v>
      </c>
      <c r="D222" t="s">
        <v>2364</v>
      </c>
      <c r="E222">
        <v>501</v>
      </c>
      <c r="F222">
        <v>888</v>
      </c>
      <c r="G222" t="s">
        <v>2364</v>
      </c>
      <c r="H222">
        <v>1</v>
      </c>
      <c r="I222" t="s">
        <v>3800</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4">
        <v>230</v>
      </c>
      <c r="B223">
        <v>25</v>
      </c>
      <c r="C223">
        <v>1126</v>
      </c>
      <c r="D223" t="s">
        <v>2364</v>
      </c>
      <c r="E223">
        <v>501</v>
      </c>
      <c r="F223">
        <v>888</v>
      </c>
      <c r="G223" t="s">
        <v>2364</v>
      </c>
      <c r="H223">
        <v>3</v>
      </c>
      <c r="I223" t="s">
        <v>3801</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4">
        <v>231</v>
      </c>
      <c r="B224">
        <v>25</v>
      </c>
      <c r="C224">
        <v>1126</v>
      </c>
      <c r="D224" t="s">
        <v>2364</v>
      </c>
      <c r="E224">
        <v>501</v>
      </c>
      <c r="F224">
        <v>888</v>
      </c>
      <c r="G224" t="s">
        <v>2364</v>
      </c>
      <c r="H224">
        <v>3</v>
      </c>
      <c r="I224" t="s">
        <v>3802</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4">
        <v>232</v>
      </c>
      <c r="B225">
        <v>25</v>
      </c>
      <c r="C225">
        <v>1126</v>
      </c>
      <c r="D225" t="s">
        <v>2364</v>
      </c>
      <c r="E225">
        <v>501</v>
      </c>
      <c r="F225">
        <v>888</v>
      </c>
      <c r="G225" t="s">
        <v>2364</v>
      </c>
      <c r="H225">
        <v>3</v>
      </c>
      <c r="I225" t="s">
        <v>3803</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4">
        <v>233</v>
      </c>
      <c r="B226">
        <v>25</v>
      </c>
      <c r="C226">
        <v>1126</v>
      </c>
      <c r="D226" t="s">
        <v>2364</v>
      </c>
      <c r="E226">
        <v>501</v>
      </c>
      <c r="F226">
        <v>888</v>
      </c>
      <c r="G226" t="s">
        <v>2364</v>
      </c>
      <c r="H226">
        <v>1</v>
      </c>
      <c r="I226" t="s">
        <v>3804</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4">
        <v>234</v>
      </c>
      <c r="B227">
        <v>25</v>
      </c>
      <c r="C227">
        <v>1126</v>
      </c>
      <c r="D227" t="s">
        <v>2364</v>
      </c>
      <c r="E227">
        <v>501</v>
      </c>
      <c r="F227">
        <v>888</v>
      </c>
      <c r="G227" t="s">
        <v>2364</v>
      </c>
      <c r="H227">
        <v>1</v>
      </c>
      <c r="I227" t="s">
        <v>3805</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4">
        <v>235</v>
      </c>
      <c r="B228">
        <v>25</v>
      </c>
      <c r="C228">
        <v>1126</v>
      </c>
      <c r="D228" t="s">
        <v>2364</v>
      </c>
      <c r="E228">
        <v>501</v>
      </c>
      <c r="F228">
        <v>888</v>
      </c>
      <c r="G228" t="s">
        <v>2364</v>
      </c>
      <c r="H228">
        <v>1</v>
      </c>
      <c r="I228" t="s">
        <v>3806</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4">
        <v>236</v>
      </c>
      <c r="B229">
        <v>14</v>
      </c>
      <c r="C229">
        <v>16</v>
      </c>
      <c r="D229" t="s">
        <v>125</v>
      </c>
      <c r="E229">
        <v>38</v>
      </c>
      <c r="F229">
        <v>181</v>
      </c>
      <c r="G229" t="s">
        <v>125</v>
      </c>
      <c r="H229">
        <v>6</v>
      </c>
      <c r="I229" t="s">
        <v>2955</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450</v>
      </c>
      <c r="E230">
        <v>380</v>
      </c>
      <c r="F230">
        <v>684</v>
      </c>
      <c r="G230" t="s">
        <v>450</v>
      </c>
      <c r="H230">
        <v>1</v>
      </c>
      <c r="I230" t="s">
        <v>2026</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450</v>
      </c>
      <c r="E231">
        <v>380</v>
      </c>
      <c r="F231">
        <v>684</v>
      </c>
      <c r="G231" t="s">
        <v>450</v>
      </c>
      <c r="H231">
        <v>1</v>
      </c>
      <c r="I231" t="s">
        <v>2027</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450</v>
      </c>
      <c r="E232">
        <v>380</v>
      </c>
      <c r="F232">
        <v>684</v>
      </c>
      <c r="G232" t="s">
        <v>450</v>
      </c>
      <c r="H232">
        <v>1</v>
      </c>
      <c r="I232" t="s">
        <v>2028</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450</v>
      </c>
      <c r="E233">
        <v>380</v>
      </c>
      <c r="F233">
        <v>684</v>
      </c>
      <c r="G233" t="s">
        <v>450</v>
      </c>
      <c r="H233">
        <v>1</v>
      </c>
      <c r="I233" t="s">
        <v>2029</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450</v>
      </c>
      <c r="E234">
        <v>380</v>
      </c>
      <c r="F234">
        <v>684</v>
      </c>
      <c r="G234" t="s">
        <v>450</v>
      </c>
      <c r="H234">
        <v>1</v>
      </c>
      <c r="I234" t="s">
        <v>2030</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450</v>
      </c>
      <c r="E235">
        <v>380</v>
      </c>
      <c r="F235">
        <v>684</v>
      </c>
      <c r="G235" t="s">
        <v>450</v>
      </c>
      <c r="H235">
        <v>1</v>
      </c>
      <c r="I235" t="s">
        <v>2031</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450</v>
      </c>
      <c r="E236">
        <v>380</v>
      </c>
      <c r="F236">
        <v>684</v>
      </c>
      <c r="G236" t="s">
        <v>450</v>
      </c>
      <c r="H236">
        <v>1</v>
      </c>
      <c r="I236" t="s">
        <v>2032</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450</v>
      </c>
      <c r="E237">
        <v>380</v>
      </c>
      <c r="F237">
        <v>684</v>
      </c>
      <c r="G237" t="s">
        <v>450</v>
      </c>
      <c r="H237">
        <v>1</v>
      </c>
      <c r="I237" t="s">
        <v>2033</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450</v>
      </c>
      <c r="E238">
        <v>380</v>
      </c>
      <c r="F238">
        <v>684</v>
      </c>
      <c r="G238" t="s">
        <v>450</v>
      </c>
      <c r="H238">
        <v>1</v>
      </c>
      <c r="I238" t="s">
        <v>2034</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450</v>
      </c>
      <c r="E239">
        <v>380</v>
      </c>
      <c r="F239">
        <v>684</v>
      </c>
      <c r="G239" t="s">
        <v>450</v>
      </c>
      <c r="H239">
        <v>1</v>
      </c>
      <c r="I239" t="s">
        <v>2035</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4">
        <v>247</v>
      </c>
      <c r="B240">
        <v>14</v>
      </c>
      <c r="C240">
        <v>16</v>
      </c>
      <c r="D240" t="s">
        <v>125</v>
      </c>
      <c r="E240">
        <v>38</v>
      </c>
      <c r="F240">
        <v>181</v>
      </c>
      <c r="G240" t="s">
        <v>125</v>
      </c>
      <c r="H240">
        <v>6</v>
      </c>
      <c r="I240" t="s">
        <v>2956</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450</v>
      </c>
      <c r="E241">
        <v>380</v>
      </c>
      <c r="F241">
        <v>684</v>
      </c>
      <c r="G241" t="s">
        <v>450</v>
      </c>
      <c r="H241">
        <v>0</v>
      </c>
      <c r="I241" t="s">
        <v>449</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450</v>
      </c>
      <c r="E242">
        <v>380</v>
      </c>
      <c r="F242">
        <v>684</v>
      </c>
      <c r="G242" t="s">
        <v>450</v>
      </c>
      <c r="H242">
        <v>0</v>
      </c>
      <c r="I242" t="s">
        <v>449</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4">
        <v>251</v>
      </c>
      <c r="B243">
        <v>29</v>
      </c>
      <c r="C243">
        <v>1006</v>
      </c>
      <c r="D243" t="s">
        <v>2308</v>
      </c>
      <c r="E243">
        <v>449</v>
      </c>
      <c r="F243">
        <v>823</v>
      </c>
      <c r="G243" t="s">
        <v>2957</v>
      </c>
      <c r="H243">
        <v>1</v>
      </c>
      <c r="I243" t="s">
        <v>2958</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4">
        <v>252</v>
      </c>
      <c r="B244">
        <v>29</v>
      </c>
      <c r="C244">
        <v>1006</v>
      </c>
      <c r="D244" t="s">
        <v>2308</v>
      </c>
      <c r="E244">
        <v>449</v>
      </c>
      <c r="F244">
        <v>823</v>
      </c>
      <c r="G244" t="s">
        <v>2957</v>
      </c>
      <c r="H244">
        <v>1</v>
      </c>
      <c r="I244" t="s">
        <v>2959</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4">
        <v>253</v>
      </c>
      <c r="B245">
        <v>29</v>
      </c>
      <c r="C245">
        <v>1006</v>
      </c>
      <c r="D245" t="s">
        <v>2308</v>
      </c>
      <c r="E245">
        <v>449</v>
      </c>
      <c r="F245">
        <v>823</v>
      </c>
      <c r="G245" t="s">
        <v>2957</v>
      </c>
      <c r="H245">
        <v>1</v>
      </c>
      <c r="I245" t="s">
        <v>2960</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4">
        <v>254</v>
      </c>
      <c r="B246">
        <v>29</v>
      </c>
      <c r="C246">
        <v>1006</v>
      </c>
      <c r="D246" t="s">
        <v>2308</v>
      </c>
      <c r="E246">
        <v>449</v>
      </c>
      <c r="F246">
        <v>823</v>
      </c>
      <c r="G246" t="s">
        <v>2957</v>
      </c>
      <c r="H246">
        <v>1</v>
      </c>
      <c r="I246" t="s">
        <v>2961</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4">
        <v>255</v>
      </c>
      <c r="B247">
        <v>28</v>
      </c>
      <c r="C247">
        <v>994</v>
      </c>
      <c r="D247" t="s">
        <v>2309</v>
      </c>
      <c r="E247">
        <v>443</v>
      </c>
      <c r="F247">
        <v>816</v>
      </c>
      <c r="G247" t="s">
        <v>2309</v>
      </c>
      <c r="H247">
        <v>1</v>
      </c>
      <c r="I247" t="s">
        <v>2962</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4">
        <v>256</v>
      </c>
      <c r="B248">
        <v>28</v>
      </c>
      <c r="C248">
        <v>994</v>
      </c>
      <c r="D248" t="s">
        <v>2309</v>
      </c>
      <c r="E248">
        <v>443</v>
      </c>
      <c r="F248">
        <v>816</v>
      </c>
      <c r="G248" t="s">
        <v>2309</v>
      </c>
      <c r="H248">
        <v>1</v>
      </c>
      <c r="I248" t="s">
        <v>2963</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4">
        <v>257</v>
      </c>
      <c r="B249">
        <v>28</v>
      </c>
      <c r="C249">
        <v>994</v>
      </c>
      <c r="D249" t="s">
        <v>2309</v>
      </c>
      <c r="E249">
        <v>443</v>
      </c>
      <c r="F249">
        <v>816</v>
      </c>
      <c r="G249" t="s">
        <v>2309</v>
      </c>
      <c r="H249">
        <v>1</v>
      </c>
      <c r="I249" t="s">
        <v>2964</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4">
        <v>258</v>
      </c>
      <c r="B250">
        <v>17</v>
      </c>
      <c r="C250">
        <v>256</v>
      </c>
      <c r="D250" t="s">
        <v>2289</v>
      </c>
      <c r="E250">
        <v>180</v>
      </c>
      <c r="F250">
        <v>382</v>
      </c>
      <c r="G250" t="s">
        <v>2289</v>
      </c>
      <c r="H250">
        <v>3</v>
      </c>
      <c r="I250" t="s">
        <v>2965</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4">
        <v>260</v>
      </c>
      <c r="B251">
        <v>9</v>
      </c>
      <c r="C251">
        <v>26</v>
      </c>
      <c r="D251" t="s">
        <v>2306</v>
      </c>
      <c r="E251">
        <v>19</v>
      </c>
      <c r="F251">
        <v>117</v>
      </c>
      <c r="G251" t="s">
        <v>2306</v>
      </c>
      <c r="H251">
        <v>6</v>
      </c>
      <c r="I251" t="s">
        <v>2966</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4">
        <v>261</v>
      </c>
      <c r="B252">
        <v>9</v>
      </c>
      <c r="C252">
        <v>26</v>
      </c>
      <c r="D252" t="s">
        <v>2306</v>
      </c>
      <c r="E252">
        <v>19</v>
      </c>
      <c r="F252">
        <v>117</v>
      </c>
      <c r="G252" t="s">
        <v>2306</v>
      </c>
      <c r="H252">
        <v>6</v>
      </c>
      <c r="I252" t="s">
        <v>2967</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4">
        <v>262</v>
      </c>
      <c r="B253">
        <v>15</v>
      </c>
      <c r="C253">
        <v>143</v>
      </c>
      <c r="D253" t="s">
        <v>262</v>
      </c>
      <c r="E253">
        <v>179</v>
      </c>
      <c r="F253">
        <v>381</v>
      </c>
      <c r="G253" t="s">
        <v>262</v>
      </c>
      <c r="H253">
        <v>6</v>
      </c>
      <c r="I253" t="s">
        <v>2968</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4">
        <v>263</v>
      </c>
      <c r="B254">
        <v>4</v>
      </c>
      <c r="C254">
        <v>12</v>
      </c>
      <c r="D254" t="s">
        <v>2303</v>
      </c>
      <c r="E254">
        <v>4</v>
      </c>
      <c r="F254">
        <v>19</v>
      </c>
      <c r="G254" t="s">
        <v>2303</v>
      </c>
      <c r="H254">
        <v>6</v>
      </c>
      <c r="I254" t="s">
        <v>3807</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4">
        <v>264</v>
      </c>
      <c r="B255">
        <v>10</v>
      </c>
      <c r="C255">
        <v>13</v>
      </c>
      <c r="D255" t="s">
        <v>107</v>
      </c>
      <c r="E255">
        <v>10</v>
      </c>
      <c r="F255">
        <v>57</v>
      </c>
      <c r="G255" t="s">
        <v>107</v>
      </c>
      <c r="H255">
        <v>6</v>
      </c>
      <c r="I255" t="s">
        <v>2969</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4">
        <v>265</v>
      </c>
      <c r="B256">
        <v>7</v>
      </c>
      <c r="C256">
        <v>9</v>
      </c>
      <c r="D256" t="s">
        <v>2286</v>
      </c>
      <c r="E256">
        <v>181</v>
      </c>
      <c r="F256">
        <v>383</v>
      </c>
      <c r="G256" t="s">
        <v>2286</v>
      </c>
      <c r="H256">
        <v>6</v>
      </c>
      <c r="I256" t="s">
        <v>2970</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4">
        <v>266</v>
      </c>
      <c r="B257">
        <v>11</v>
      </c>
      <c r="C257">
        <v>7</v>
      </c>
      <c r="D257" t="s">
        <v>2307</v>
      </c>
      <c r="E257">
        <v>9</v>
      </c>
      <c r="F257">
        <v>41</v>
      </c>
      <c r="G257" t="s">
        <v>2307</v>
      </c>
      <c r="H257">
        <v>6</v>
      </c>
      <c r="I257" t="s">
        <v>2971</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4">
        <v>267</v>
      </c>
      <c r="B258">
        <v>2</v>
      </c>
      <c r="C258">
        <v>1</v>
      </c>
      <c r="D258" t="s">
        <v>103</v>
      </c>
      <c r="E258">
        <v>2</v>
      </c>
      <c r="F258">
        <v>3</v>
      </c>
      <c r="G258" t="s">
        <v>103</v>
      </c>
      <c r="H258">
        <v>6</v>
      </c>
      <c r="I258" t="s">
        <v>2972</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4">
        <v>268</v>
      </c>
      <c r="B259">
        <v>16</v>
      </c>
      <c r="C259">
        <v>300</v>
      </c>
      <c r="D259" t="s">
        <v>2288</v>
      </c>
      <c r="E259">
        <v>18</v>
      </c>
      <c r="F259">
        <v>108</v>
      </c>
      <c r="G259" t="s">
        <v>2288</v>
      </c>
      <c r="H259">
        <v>6</v>
      </c>
      <c r="I259" t="s">
        <v>2973</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4">
        <v>269</v>
      </c>
      <c r="B260">
        <v>3</v>
      </c>
      <c r="C260">
        <v>10</v>
      </c>
      <c r="D260" t="s">
        <v>2302</v>
      </c>
      <c r="E260">
        <v>5</v>
      </c>
      <c r="F260">
        <v>20</v>
      </c>
      <c r="G260" t="s">
        <v>2302</v>
      </c>
      <c r="H260">
        <v>6</v>
      </c>
      <c r="I260" t="s">
        <v>2974</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4">
        <v>270</v>
      </c>
      <c r="B261">
        <v>25</v>
      </c>
      <c r="C261">
        <v>1126</v>
      </c>
      <c r="D261" t="s">
        <v>2364</v>
      </c>
      <c r="E261">
        <v>501</v>
      </c>
      <c r="F261">
        <v>888</v>
      </c>
      <c r="G261" t="s">
        <v>2364</v>
      </c>
      <c r="H261">
        <v>2</v>
      </c>
      <c r="I261" t="s">
        <v>3808</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4">
        <v>272</v>
      </c>
      <c r="B262">
        <v>30</v>
      </c>
      <c r="C262">
        <v>1060</v>
      </c>
      <c r="D262" t="s">
        <v>530</v>
      </c>
      <c r="E262">
        <v>468</v>
      </c>
      <c r="F262">
        <v>849</v>
      </c>
      <c r="G262" t="s">
        <v>530</v>
      </c>
      <c r="H262">
        <v>1</v>
      </c>
      <c r="I262" t="s">
        <v>2975</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4">
        <v>273</v>
      </c>
      <c r="B263">
        <v>30</v>
      </c>
      <c r="C263">
        <v>1060</v>
      </c>
      <c r="D263" t="s">
        <v>530</v>
      </c>
      <c r="E263">
        <v>468</v>
      </c>
      <c r="F263">
        <v>849</v>
      </c>
      <c r="G263" t="s">
        <v>530</v>
      </c>
      <c r="H263">
        <v>1</v>
      </c>
      <c r="I263" t="s">
        <v>2976</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4">
        <v>274</v>
      </c>
      <c r="B264">
        <v>30</v>
      </c>
      <c r="C264">
        <v>1060</v>
      </c>
      <c r="D264" t="s">
        <v>530</v>
      </c>
      <c r="E264">
        <v>468</v>
      </c>
      <c r="F264">
        <v>849</v>
      </c>
      <c r="G264" t="s">
        <v>530</v>
      </c>
      <c r="H264">
        <v>1</v>
      </c>
      <c r="I264" t="s">
        <v>3186</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4">
        <v>275</v>
      </c>
      <c r="B265">
        <v>30</v>
      </c>
      <c r="C265">
        <v>1060</v>
      </c>
      <c r="D265" t="s">
        <v>530</v>
      </c>
      <c r="E265">
        <v>468</v>
      </c>
      <c r="F265">
        <v>849</v>
      </c>
      <c r="G265" t="s">
        <v>530</v>
      </c>
      <c r="H265">
        <v>1</v>
      </c>
      <c r="I265" t="s">
        <v>2977</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4">
        <v>276</v>
      </c>
      <c r="B266">
        <v>30</v>
      </c>
      <c r="C266">
        <v>1060</v>
      </c>
      <c r="D266" t="s">
        <v>530</v>
      </c>
      <c r="E266">
        <v>468</v>
      </c>
      <c r="F266">
        <v>849</v>
      </c>
      <c r="G266" t="s">
        <v>530</v>
      </c>
      <c r="H266">
        <v>1</v>
      </c>
      <c r="I266" t="s">
        <v>2978</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4">
        <v>277</v>
      </c>
      <c r="B267">
        <v>30</v>
      </c>
      <c r="C267">
        <v>1060</v>
      </c>
      <c r="D267" t="s">
        <v>530</v>
      </c>
      <c r="E267">
        <v>468</v>
      </c>
      <c r="F267">
        <v>849</v>
      </c>
      <c r="G267" t="s">
        <v>530</v>
      </c>
      <c r="H267">
        <v>1</v>
      </c>
      <c r="I267" t="s">
        <v>2979</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4">
        <v>278</v>
      </c>
      <c r="B268">
        <v>30</v>
      </c>
      <c r="C268">
        <v>1060</v>
      </c>
      <c r="D268" t="s">
        <v>530</v>
      </c>
      <c r="E268">
        <v>468</v>
      </c>
      <c r="F268">
        <v>849</v>
      </c>
      <c r="G268" t="s">
        <v>530</v>
      </c>
      <c r="H268">
        <v>1</v>
      </c>
      <c r="I268" t="s">
        <v>2980</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4">
        <v>279</v>
      </c>
      <c r="B269">
        <v>30</v>
      </c>
      <c r="C269">
        <v>1060</v>
      </c>
      <c r="D269" t="s">
        <v>530</v>
      </c>
      <c r="E269">
        <v>468</v>
      </c>
      <c r="F269">
        <v>849</v>
      </c>
      <c r="G269" t="s">
        <v>530</v>
      </c>
      <c r="H269">
        <v>1</v>
      </c>
      <c r="I269" t="s">
        <v>2981</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4">
        <v>280</v>
      </c>
      <c r="B270">
        <v>30</v>
      </c>
      <c r="C270">
        <v>1060</v>
      </c>
      <c r="D270" t="s">
        <v>530</v>
      </c>
      <c r="E270">
        <v>468</v>
      </c>
      <c r="F270">
        <v>849</v>
      </c>
      <c r="G270" t="s">
        <v>530</v>
      </c>
      <c r="H270">
        <v>1</v>
      </c>
      <c r="I270" t="s">
        <v>2982</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4">
        <v>281</v>
      </c>
      <c r="B271">
        <v>30</v>
      </c>
      <c r="C271">
        <v>1060</v>
      </c>
      <c r="D271" t="s">
        <v>530</v>
      </c>
      <c r="E271">
        <v>468</v>
      </c>
      <c r="F271">
        <v>849</v>
      </c>
      <c r="G271" t="s">
        <v>530</v>
      </c>
      <c r="H271">
        <v>1</v>
      </c>
      <c r="I271" t="s">
        <v>2983</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4">
        <v>282</v>
      </c>
      <c r="B272">
        <v>30</v>
      </c>
      <c r="C272">
        <v>1060</v>
      </c>
      <c r="D272" t="s">
        <v>530</v>
      </c>
      <c r="E272">
        <v>468</v>
      </c>
      <c r="F272">
        <v>849</v>
      </c>
      <c r="G272" t="s">
        <v>530</v>
      </c>
      <c r="H272">
        <v>1</v>
      </c>
      <c r="I272" t="s">
        <v>2984</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4">
        <v>284</v>
      </c>
      <c r="B273">
        <v>30</v>
      </c>
      <c r="C273">
        <v>1060</v>
      </c>
      <c r="D273" t="s">
        <v>530</v>
      </c>
      <c r="E273">
        <v>468</v>
      </c>
      <c r="F273">
        <v>849</v>
      </c>
      <c r="G273" t="s">
        <v>530</v>
      </c>
      <c r="H273">
        <v>1</v>
      </c>
      <c r="I273" t="s">
        <v>2985</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4">
        <v>285</v>
      </c>
      <c r="B274">
        <v>15</v>
      </c>
      <c r="C274">
        <v>143</v>
      </c>
      <c r="D274" t="s">
        <v>262</v>
      </c>
      <c r="E274">
        <v>179</v>
      </c>
      <c r="F274">
        <v>381</v>
      </c>
      <c r="G274" t="s">
        <v>262</v>
      </c>
      <c r="H274">
        <v>7</v>
      </c>
      <c r="I274" t="s">
        <v>2986</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4">
        <v>286</v>
      </c>
      <c r="B275">
        <v>5</v>
      </c>
      <c r="C275">
        <v>30</v>
      </c>
      <c r="D275" t="s">
        <v>3182</v>
      </c>
      <c r="E275">
        <v>17</v>
      </c>
      <c r="F275">
        <v>104</v>
      </c>
      <c r="G275" t="s">
        <v>2301</v>
      </c>
      <c r="H275">
        <v>7</v>
      </c>
      <c r="I275" t="s">
        <v>2987</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4">
        <v>287</v>
      </c>
      <c r="B276">
        <v>10</v>
      </c>
      <c r="C276">
        <v>13</v>
      </c>
      <c r="D276" t="s">
        <v>107</v>
      </c>
      <c r="E276">
        <v>10</v>
      </c>
      <c r="F276">
        <v>57</v>
      </c>
      <c r="G276" t="s">
        <v>107</v>
      </c>
      <c r="H276">
        <v>7</v>
      </c>
      <c r="I276" t="s">
        <v>2988</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4">
        <v>288</v>
      </c>
      <c r="B277">
        <v>15</v>
      </c>
      <c r="C277">
        <v>143</v>
      </c>
      <c r="D277" t="s">
        <v>262</v>
      </c>
      <c r="E277">
        <v>179</v>
      </c>
      <c r="F277">
        <v>381</v>
      </c>
      <c r="G277" t="s">
        <v>262</v>
      </c>
      <c r="H277">
        <v>7</v>
      </c>
      <c r="I277" t="s">
        <v>2989</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4">
        <v>289</v>
      </c>
      <c r="B278">
        <v>2</v>
      </c>
      <c r="C278">
        <v>1</v>
      </c>
      <c r="D278" t="s">
        <v>103</v>
      </c>
      <c r="E278">
        <v>2</v>
      </c>
      <c r="F278">
        <v>3</v>
      </c>
      <c r="G278" t="s">
        <v>103</v>
      </c>
      <c r="H278">
        <v>7</v>
      </c>
      <c r="I278" t="s">
        <v>2990</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4">
        <v>290</v>
      </c>
      <c r="B279">
        <v>11</v>
      </c>
      <c r="C279">
        <v>7</v>
      </c>
      <c r="D279" t="s">
        <v>2307</v>
      </c>
      <c r="E279">
        <v>9</v>
      </c>
      <c r="F279">
        <v>41</v>
      </c>
      <c r="G279" t="s">
        <v>2307</v>
      </c>
      <c r="H279">
        <v>7</v>
      </c>
      <c r="I279" t="s">
        <v>2991</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4">
        <v>291</v>
      </c>
      <c r="B280">
        <v>17</v>
      </c>
      <c r="C280">
        <v>256</v>
      </c>
      <c r="D280" t="s">
        <v>2289</v>
      </c>
      <c r="E280">
        <v>180</v>
      </c>
      <c r="F280">
        <v>382</v>
      </c>
      <c r="G280" t="s">
        <v>2289</v>
      </c>
      <c r="H280">
        <v>7</v>
      </c>
      <c r="I280" t="s">
        <v>2992</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4">
        <v>292</v>
      </c>
      <c r="B281">
        <v>2</v>
      </c>
      <c r="C281">
        <v>1</v>
      </c>
      <c r="D281" t="s">
        <v>103</v>
      </c>
      <c r="E281">
        <v>2</v>
      </c>
      <c r="F281">
        <v>3</v>
      </c>
      <c r="G281" t="s">
        <v>103</v>
      </c>
      <c r="H281">
        <v>7</v>
      </c>
      <c r="I281" t="s">
        <v>2993</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4">
        <v>293</v>
      </c>
      <c r="B282">
        <v>11</v>
      </c>
      <c r="C282">
        <v>7</v>
      </c>
      <c r="D282" t="s">
        <v>2307</v>
      </c>
      <c r="E282">
        <v>9</v>
      </c>
      <c r="F282">
        <v>41</v>
      </c>
      <c r="G282" t="s">
        <v>2307</v>
      </c>
      <c r="H282">
        <v>7</v>
      </c>
      <c r="I282" t="s">
        <v>2994</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4">
        <v>294</v>
      </c>
      <c r="B283">
        <v>8</v>
      </c>
      <c r="C283">
        <v>22</v>
      </c>
      <c r="D283" t="s">
        <v>108</v>
      </c>
      <c r="E283">
        <v>11</v>
      </c>
      <c r="F283">
        <v>58</v>
      </c>
      <c r="G283" t="s">
        <v>108</v>
      </c>
      <c r="H283">
        <v>7</v>
      </c>
      <c r="I283" t="s">
        <v>2995</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4">
        <v>295</v>
      </c>
      <c r="B284">
        <v>18</v>
      </c>
      <c r="C284">
        <v>75</v>
      </c>
      <c r="D284" t="s">
        <v>197</v>
      </c>
      <c r="E284">
        <v>111</v>
      </c>
      <c r="F284">
        <v>281</v>
      </c>
      <c r="G284" t="s">
        <v>197</v>
      </c>
      <c r="H284">
        <v>7</v>
      </c>
      <c r="I284" t="s">
        <v>2996</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4">
        <v>296</v>
      </c>
      <c r="B285">
        <v>7</v>
      </c>
      <c r="C285">
        <v>9</v>
      </c>
      <c r="D285" t="s">
        <v>2286</v>
      </c>
      <c r="E285">
        <v>181</v>
      </c>
      <c r="F285">
        <v>383</v>
      </c>
      <c r="G285" t="s">
        <v>2286</v>
      </c>
      <c r="H285">
        <v>7</v>
      </c>
      <c r="I285" t="s">
        <v>2997</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4">
        <v>297</v>
      </c>
      <c r="B286">
        <v>2</v>
      </c>
      <c r="C286">
        <v>1</v>
      </c>
      <c r="D286" t="s">
        <v>103</v>
      </c>
      <c r="E286">
        <v>2</v>
      </c>
      <c r="F286">
        <v>3</v>
      </c>
      <c r="G286" t="s">
        <v>103</v>
      </c>
      <c r="H286">
        <v>7</v>
      </c>
      <c r="I286" t="s">
        <v>3187</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4">
        <v>298</v>
      </c>
      <c r="B287">
        <v>11</v>
      </c>
      <c r="C287">
        <v>7</v>
      </c>
      <c r="D287" t="s">
        <v>2307</v>
      </c>
      <c r="E287">
        <v>9</v>
      </c>
      <c r="F287">
        <v>41</v>
      </c>
      <c r="G287" t="s">
        <v>2307</v>
      </c>
      <c r="H287">
        <v>7</v>
      </c>
      <c r="I287" t="s">
        <v>2998</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4">
        <v>299</v>
      </c>
      <c r="B288">
        <v>8</v>
      </c>
      <c r="C288">
        <v>22</v>
      </c>
      <c r="D288" t="s">
        <v>108</v>
      </c>
      <c r="E288">
        <v>11</v>
      </c>
      <c r="F288">
        <v>58</v>
      </c>
      <c r="G288" t="s">
        <v>108</v>
      </c>
      <c r="H288">
        <v>7</v>
      </c>
      <c r="I288" t="s">
        <v>2999</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4">
        <v>300</v>
      </c>
      <c r="B289">
        <v>21</v>
      </c>
      <c r="C289">
        <v>258</v>
      </c>
      <c r="D289" t="s">
        <v>2887</v>
      </c>
      <c r="E289">
        <v>307</v>
      </c>
      <c r="F289">
        <v>537</v>
      </c>
      <c r="G289" t="s">
        <v>2887</v>
      </c>
      <c r="H289">
        <v>7</v>
      </c>
      <c r="I289" t="s">
        <v>3000</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4">
        <v>301</v>
      </c>
      <c r="B290">
        <v>12</v>
      </c>
      <c r="C290">
        <v>125</v>
      </c>
      <c r="D290" t="s">
        <v>2305</v>
      </c>
      <c r="E290">
        <v>16</v>
      </c>
      <c r="F290">
        <v>103</v>
      </c>
      <c r="G290" t="s">
        <v>2305</v>
      </c>
      <c r="H290">
        <v>7</v>
      </c>
      <c r="I290" t="s">
        <v>3001</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4">
        <v>302</v>
      </c>
      <c r="B291">
        <v>4</v>
      </c>
      <c r="C291">
        <v>12</v>
      </c>
      <c r="D291" t="s">
        <v>2303</v>
      </c>
      <c r="E291">
        <v>4</v>
      </c>
      <c r="F291">
        <v>19</v>
      </c>
      <c r="G291" t="s">
        <v>2303</v>
      </c>
      <c r="H291">
        <v>7</v>
      </c>
      <c r="I291" t="s">
        <v>3809</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4">
        <v>303</v>
      </c>
      <c r="B292">
        <v>6</v>
      </c>
      <c r="C292">
        <v>20</v>
      </c>
      <c r="D292" t="s">
        <v>109</v>
      </c>
      <c r="E292">
        <v>14</v>
      </c>
      <c r="F292">
        <v>92</v>
      </c>
      <c r="G292" t="s">
        <v>109</v>
      </c>
      <c r="H292">
        <v>7</v>
      </c>
      <c r="I292" t="s">
        <v>3002</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4">
        <v>304</v>
      </c>
      <c r="B293">
        <v>16</v>
      </c>
      <c r="C293">
        <v>300</v>
      </c>
      <c r="D293" t="s">
        <v>2288</v>
      </c>
      <c r="E293">
        <v>18</v>
      </c>
      <c r="F293">
        <v>108</v>
      </c>
      <c r="G293" t="s">
        <v>2288</v>
      </c>
      <c r="H293">
        <v>7</v>
      </c>
      <c r="I293" t="s">
        <v>3003</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4">
        <v>305</v>
      </c>
      <c r="B294">
        <v>9</v>
      </c>
      <c r="C294">
        <v>26</v>
      </c>
      <c r="D294" t="s">
        <v>2306</v>
      </c>
      <c r="E294">
        <v>19</v>
      </c>
      <c r="F294">
        <v>117</v>
      </c>
      <c r="G294" t="s">
        <v>2306</v>
      </c>
      <c r="H294">
        <v>7</v>
      </c>
      <c r="I294" t="s">
        <v>3004</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4">
        <v>306</v>
      </c>
      <c r="B295">
        <v>16</v>
      </c>
      <c r="C295">
        <v>300</v>
      </c>
      <c r="D295" t="s">
        <v>2288</v>
      </c>
      <c r="E295">
        <v>18</v>
      </c>
      <c r="F295">
        <v>108</v>
      </c>
      <c r="G295" t="s">
        <v>2288</v>
      </c>
      <c r="H295">
        <v>7</v>
      </c>
      <c r="I295" t="s">
        <v>3005</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4">
        <v>307</v>
      </c>
      <c r="B296">
        <v>3</v>
      </c>
      <c r="C296">
        <v>10</v>
      </c>
      <c r="D296" t="s">
        <v>2302</v>
      </c>
      <c r="E296">
        <v>5</v>
      </c>
      <c r="F296">
        <v>20</v>
      </c>
      <c r="G296" t="s">
        <v>2302</v>
      </c>
      <c r="H296">
        <v>7</v>
      </c>
      <c r="I296" t="s">
        <v>3006</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4">
        <v>309</v>
      </c>
      <c r="B297">
        <v>10</v>
      </c>
      <c r="C297">
        <v>13</v>
      </c>
      <c r="D297" t="s">
        <v>107</v>
      </c>
      <c r="E297">
        <v>10</v>
      </c>
      <c r="F297">
        <v>57</v>
      </c>
      <c r="G297" t="s">
        <v>107</v>
      </c>
      <c r="H297">
        <v>7</v>
      </c>
      <c r="I297" t="s">
        <v>3007</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4">
        <v>310</v>
      </c>
      <c r="B298">
        <v>25</v>
      </c>
      <c r="C298">
        <v>1126</v>
      </c>
      <c r="D298" t="s">
        <v>2364</v>
      </c>
      <c r="E298">
        <v>501</v>
      </c>
      <c r="F298">
        <v>888</v>
      </c>
      <c r="G298" t="s">
        <v>2364</v>
      </c>
      <c r="H298">
        <v>7</v>
      </c>
      <c r="I298" t="s">
        <v>549</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4">
        <v>311</v>
      </c>
      <c r="B299">
        <v>17</v>
      </c>
      <c r="C299">
        <v>256</v>
      </c>
      <c r="D299" t="s">
        <v>2289</v>
      </c>
      <c r="E299">
        <v>180</v>
      </c>
      <c r="F299">
        <v>382</v>
      </c>
      <c r="G299" t="s">
        <v>2289</v>
      </c>
      <c r="H299">
        <v>7</v>
      </c>
      <c r="I299" t="s">
        <v>3008</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4">
        <v>312</v>
      </c>
      <c r="B300">
        <v>13</v>
      </c>
      <c r="C300">
        <v>61</v>
      </c>
      <c r="D300" t="s">
        <v>2304</v>
      </c>
      <c r="E300">
        <v>15</v>
      </c>
      <c r="F300">
        <v>101</v>
      </c>
      <c r="G300" t="s">
        <v>2304</v>
      </c>
      <c r="H300">
        <v>7</v>
      </c>
      <c r="I300" t="s">
        <v>3253</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4">
        <v>313</v>
      </c>
      <c r="B301">
        <v>6</v>
      </c>
      <c r="C301">
        <v>20</v>
      </c>
      <c r="D301" t="s">
        <v>109</v>
      </c>
      <c r="E301">
        <v>14</v>
      </c>
      <c r="F301">
        <v>92</v>
      </c>
      <c r="G301" t="s">
        <v>109</v>
      </c>
      <c r="H301">
        <v>7</v>
      </c>
      <c r="I301" t="s">
        <v>3009</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4">
        <v>314</v>
      </c>
      <c r="B302">
        <v>5</v>
      </c>
      <c r="C302">
        <v>30</v>
      </c>
      <c r="D302" t="s">
        <v>3182</v>
      </c>
      <c r="E302">
        <v>17</v>
      </c>
      <c r="F302">
        <v>104</v>
      </c>
      <c r="G302" t="s">
        <v>2301</v>
      </c>
      <c r="H302">
        <v>7</v>
      </c>
      <c r="I302" t="s">
        <v>3010</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4">
        <v>315</v>
      </c>
      <c r="B303">
        <v>15</v>
      </c>
      <c r="C303">
        <v>143</v>
      </c>
      <c r="D303" t="s">
        <v>262</v>
      </c>
      <c r="E303">
        <v>179</v>
      </c>
      <c r="F303">
        <v>381</v>
      </c>
      <c r="G303" t="s">
        <v>262</v>
      </c>
      <c r="H303">
        <v>7</v>
      </c>
      <c r="I303" t="s">
        <v>3011</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4">
        <v>316</v>
      </c>
      <c r="B304">
        <v>9</v>
      </c>
      <c r="C304">
        <v>26</v>
      </c>
      <c r="D304" t="s">
        <v>2306</v>
      </c>
      <c r="E304">
        <v>19</v>
      </c>
      <c r="F304">
        <v>117</v>
      </c>
      <c r="G304" t="s">
        <v>2306</v>
      </c>
      <c r="H304">
        <v>7</v>
      </c>
      <c r="I304" t="s">
        <v>3012</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4">
        <v>317</v>
      </c>
      <c r="B305">
        <v>7</v>
      </c>
      <c r="C305">
        <v>9</v>
      </c>
      <c r="D305" t="s">
        <v>2286</v>
      </c>
      <c r="E305">
        <v>181</v>
      </c>
      <c r="F305">
        <v>383</v>
      </c>
      <c r="G305" t="s">
        <v>2286</v>
      </c>
      <c r="H305">
        <v>7</v>
      </c>
      <c r="I305" t="s">
        <v>3013</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4">
        <v>318</v>
      </c>
      <c r="B306">
        <v>4</v>
      </c>
      <c r="C306">
        <v>12</v>
      </c>
      <c r="D306" t="s">
        <v>2303</v>
      </c>
      <c r="E306">
        <v>4</v>
      </c>
      <c r="F306">
        <v>19</v>
      </c>
      <c r="G306" t="s">
        <v>2303</v>
      </c>
      <c r="H306">
        <v>7</v>
      </c>
      <c r="I306" t="s">
        <v>3810</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4">
        <v>319</v>
      </c>
      <c r="B307">
        <v>10</v>
      </c>
      <c r="C307">
        <v>13</v>
      </c>
      <c r="D307" t="s">
        <v>107</v>
      </c>
      <c r="E307">
        <v>10</v>
      </c>
      <c r="F307">
        <v>57</v>
      </c>
      <c r="G307" t="s">
        <v>107</v>
      </c>
      <c r="H307">
        <v>7</v>
      </c>
      <c r="I307" t="s">
        <v>553</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4">
        <v>320</v>
      </c>
      <c r="B308">
        <v>17</v>
      </c>
      <c r="C308">
        <v>256</v>
      </c>
      <c r="D308" t="s">
        <v>2289</v>
      </c>
      <c r="E308">
        <v>180</v>
      </c>
      <c r="F308">
        <v>382</v>
      </c>
      <c r="G308" t="s">
        <v>2289</v>
      </c>
      <c r="H308">
        <v>7</v>
      </c>
      <c r="I308" t="s">
        <v>3014</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4">
        <v>321</v>
      </c>
      <c r="B309">
        <v>17</v>
      </c>
      <c r="C309">
        <v>256</v>
      </c>
      <c r="D309" t="s">
        <v>2289</v>
      </c>
      <c r="E309">
        <v>180</v>
      </c>
      <c r="F309">
        <v>382</v>
      </c>
      <c r="G309" t="s">
        <v>2289</v>
      </c>
      <c r="H309">
        <v>7</v>
      </c>
      <c r="I309" t="s">
        <v>3015</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4">
        <v>322</v>
      </c>
      <c r="B310">
        <v>12</v>
      </c>
      <c r="C310">
        <v>125</v>
      </c>
      <c r="D310" t="s">
        <v>2305</v>
      </c>
      <c r="E310">
        <v>16</v>
      </c>
      <c r="F310">
        <v>103</v>
      </c>
      <c r="G310" t="s">
        <v>2305</v>
      </c>
      <c r="H310">
        <v>7</v>
      </c>
      <c r="I310" t="s">
        <v>3016</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4">
        <v>323</v>
      </c>
      <c r="B311">
        <v>6</v>
      </c>
      <c r="C311">
        <v>20</v>
      </c>
      <c r="D311" t="s">
        <v>109</v>
      </c>
      <c r="E311">
        <v>14</v>
      </c>
      <c r="F311">
        <v>92</v>
      </c>
      <c r="G311" t="s">
        <v>109</v>
      </c>
      <c r="H311">
        <v>7</v>
      </c>
      <c r="I311" t="s">
        <v>3017</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4">
        <v>324</v>
      </c>
      <c r="B312">
        <v>19</v>
      </c>
      <c r="C312">
        <v>201</v>
      </c>
      <c r="D312" t="s">
        <v>383</v>
      </c>
      <c r="E312">
        <v>305</v>
      </c>
      <c r="F312">
        <v>534</v>
      </c>
      <c r="G312" t="s">
        <v>383</v>
      </c>
      <c r="H312">
        <v>7</v>
      </c>
      <c r="I312" t="s">
        <v>3018</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4">
        <v>325</v>
      </c>
      <c r="B313">
        <v>7</v>
      </c>
      <c r="C313">
        <v>9</v>
      </c>
      <c r="D313" t="s">
        <v>2286</v>
      </c>
      <c r="E313">
        <v>181</v>
      </c>
      <c r="F313">
        <v>383</v>
      </c>
      <c r="G313" t="s">
        <v>2286</v>
      </c>
      <c r="H313">
        <v>7</v>
      </c>
      <c r="I313" t="s">
        <v>3019</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4">
        <v>326</v>
      </c>
      <c r="B314">
        <v>25</v>
      </c>
      <c r="C314">
        <v>1126</v>
      </c>
      <c r="D314" t="s">
        <v>2364</v>
      </c>
      <c r="E314">
        <v>501</v>
      </c>
      <c r="F314">
        <v>888</v>
      </c>
      <c r="G314" t="s">
        <v>2364</v>
      </c>
      <c r="H314">
        <v>6</v>
      </c>
      <c r="I314" t="s">
        <v>3811</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4">
        <v>327</v>
      </c>
      <c r="B315">
        <v>25</v>
      </c>
      <c r="C315">
        <v>1126</v>
      </c>
      <c r="D315" t="s">
        <v>2364</v>
      </c>
      <c r="E315">
        <v>501</v>
      </c>
      <c r="F315">
        <v>888</v>
      </c>
      <c r="G315" t="s">
        <v>2364</v>
      </c>
      <c r="H315">
        <v>7</v>
      </c>
      <c r="I315" t="s">
        <v>3812</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4">
        <v>328</v>
      </c>
      <c r="B316">
        <v>30</v>
      </c>
      <c r="C316">
        <v>1060</v>
      </c>
      <c r="D316" t="s">
        <v>530</v>
      </c>
      <c r="E316">
        <v>468</v>
      </c>
      <c r="F316">
        <v>849</v>
      </c>
      <c r="G316" t="s">
        <v>530</v>
      </c>
      <c r="H316">
        <v>1</v>
      </c>
      <c r="I316" t="s">
        <v>3020</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4">
        <v>329</v>
      </c>
      <c r="B317">
        <v>30</v>
      </c>
      <c r="C317">
        <v>1060</v>
      </c>
      <c r="D317" t="s">
        <v>530</v>
      </c>
      <c r="E317">
        <v>468</v>
      </c>
      <c r="F317">
        <v>849</v>
      </c>
      <c r="G317" t="s">
        <v>530</v>
      </c>
      <c r="H317">
        <v>1</v>
      </c>
      <c r="I317" t="s">
        <v>3021</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4">
        <v>330</v>
      </c>
      <c r="B318">
        <v>30</v>
      </c>
      <c r="C318">
        <v>1060</v>
      </c>
      <c r="D318" t="s">
        <v>530</v>
      </c>
      <c r="E318">
        <v>468</v>
      </c>
      <c r="F318">
        <v>849</v>
      </c>
      <c r="G318" t="s">
        <v>530</v>
      </c>
      <c r="H318">
        <v>1</v>
      </c>
      <c r="I318" t="s">
        <v>3022</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4">
        <v>331</v>
      </c>
      <c r="B319">
        <v>30</v>
      </c>
      <c r="C319">
        <v>1060</v>
      </c>
      <c r="D319" t="s">
        <v>530</v>
      </c>
      <c r="E319">
        <v>468</v>
      </c>
      <c r="F319">
        <v>849</v>
      </c>
      <c r="G319" t="s">
        <v>530</v>
      </c>
      <c r="H319">
        <v>3</v>
      </c>
      <c r="I319" t="s">
        <v>3023</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4">
        <v>332</v>
      </c>
      <c r="B320">
        <v>25</v>
      </c>
      <c r="C320">
        <v>1126</v>
      </c>
      <c r="D320" t="s">
        <v>2364</v>
      </c>
      <c r="E320">
        <v>501</v>
      </c>
      <c r="F320">
        <v>888</v>
      </c>
      <c r="G320" t="s">
        <v>2364</v>
      </c>
      <c r="H320">
        <v>6</v>
      </c>
      <c r="I320" t="s">
        <v>3813</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4">
        <v>333</v>
      </c>
      <c r="B321">
        <v>30</v>
      </c>
      <c r="C321">
        <v>1060</v>
      </c>
      <c r="D321" t="s">
        <v>530</v>
      </c>
      <c r="E321">
        <v>468</v>
      </c>
      <c r="F321">
        <v>849</v>
      </c>
      <c r="G321" t="s">
        <v>530</v>
      </c>
      <c r="H321">
        <v>7</v>
      </c>
      <c r="I321" t="s">
        <v>3024</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4">
        <v>334</v>
      </c>
      <c r="B322">
        <v>30</v>
      </c>
      <c r="C322">
        <v>1060</v>
      </c>
      <c r="D322" t="s">
        <v>530</v>
      </c>
      <c r="E322">
        <v>468</v>
      </c>
      <c r="F322">
        <v>849</v>
      </c>
      <c r="G322" t="s">
        <v>530</v>
      </c>
      <c r="H322">
        <v>7</v>
      </c>
      <c r="I322" t="s">
        <v>3025</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4">
        <v>335</v>
      </c>
      <c r="B323">
        <v>30</v>
      </c>
      <c r="C323">
        <v>1060</v>
      </c>
      <c r="D323" t="s">
        <v>530</v>
      </c>
      <c r="E323">
        <v>468</v>
      </c>
      <c r="F323">
        <v>849</v>
      </c>
      <c r="G323" t="s">
        <v>530</v>
      </c>
      <c r="H323">
        <v>7</v>
      </c>
      <c r="I323" t="s">
        <v>3026</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4">
        <v>336</v>
      </c>
      <c r="B324">
        <v>30</v>
      </c>
      <c r="C324">
        <v>1060</v>
      </c>
      <c r="D324" t="s">
        <v>530</v>
      </c>
      <c r="E324">
        <v>468</v>
      </c>
      <c r="F324">
        <v>849</v>
      </c>
      <c r="G324" t="s">
        <v>530</v>
      </c>
      <c r="H324">
        <v>7</v>
      </c>
      <c r="I324" t="s">
        <v>654</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4">
        <v>337</v>
      </c>
      <c r="B325">
        <v>31</v>
      </c>
      <c r="C325">
        <v>1313</v>
      </c>
      <c r="D325" t="s">
        <v>2312</v>
      </c>
      <c r="E325">
        <v>590</v>
      </c>
      <c r="F325">
        <v>980</v>
      </c>
      <c r="G325" t="s">
        <v>3027</v>
      </c>
      <c r="H325">
        <v>1</v>
      </c>
      <c r="I325" t="s">
        <v>3028</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4">
        <v>338</v>
      </c>
      <c r="B326">
        <v>31</v>
      </c>
      <c r="C326">
        <v>1313</v>
      </c>
      <c r="D326" t="s">
        <v>2312</v>
      </c>
      <c r="E326">
        <v>590</v>
      </c>
      <c r="F326">
        <v>980</v>
      </c>
      <c r="G326" t="s">
        <v>3027</v>
      </c>
      <c r="H326">
        <v>1</v>
      </c>
      <c r="I326" t="s">
        <v>3029</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4">
        <v>339</v>
      </c>
      <c r="B327">
        <v>31</v>
      </c>
      <c r="C327">
        <v>1313</v>
      </c>
      <c r="D327" t="s">
        <v>2312</v>
      </c>
      <c r="E327">
        <v>590</v>
      </c>
      <c r="F327">
        <v>980</v>
      </c>
      <c r="G327" t="s">
        <v>3027</v>
      </c>
      <c r="H327">
        <v>1</v>
      </c>
      <c r="I327" t="s">
        <v>3030</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4">
        <v>340</v>
      </c>
      <c r="B328">
        <v>31</v>
      </c>
      <c r="C328">
        <v>1313</v>
      </c>
      <c r="D328" t="s">
        <v>2312</v>
      </c>
      <c r="E328">
        <v>590</v>
      </c>
      <c r="F328">
        <v>980</v>
      </c>
      <c r="G328" t="s">
        <v>3027</v>
      </c>
      <c r="H328">
        <v>1</v>
      </c>
      <c r="I328" t="s">
        <v>3031</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4">
        <v>341</v>
      </c>
      <c r="B329">
        <v>6</v>
      </c>
      <c r="C329">
        <v>20</v>
      </c>
      <c r="D329" t="s">
        <v>109</v>
      </c>
      <c r="E329">
        <v>14</v>
      </c>
      <c r="F329">
        <v>92</v>
      </c>
      <c r="G329" t="s">
        <v>109</v>
      </c>
      <c r="H329">
        <v>6</v>
      </c>
      <c r="I329" t="s">
        <v>3032</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4">
        <v>342</v>
      </c>
      <c r="B330">
        <v>2</v>
      </c>
      <c r="C330">
        <v>1</v>
      </c>
      <c r="D330" t="s">
        <v>103</v>
      </c>
      <c r="E330">
        <v>2</v>
      </c>
      <c r="F330">
        <v>3</v>
      </c>
      <c r="G330" t="s">
        <v>103</v>
      </c>
      <c r="H330">
        <v>7</v>
      </c>
      <c r="I330" t="s">
        <v>3033</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4">
        <v>343</v>
      </c>
      <c r="B331">
        <v>29</v>
      </c>
      <c r="C331">
        <v>1006</v>
      </c>
      <c r="D331" t="s">
        <v>2308</v>
      </c>
      <c r="E331">
        <v>449</v>
      </c>
      <c r="F331">
        <v>823</v>
      </c>
      <c r="G331" t="s">
        <v>2957</v>
      </c>
      <c r="H331">
        <v>7</v>
      </c>
      <c r="I331" t="s">
        <v>3034</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4">
        <v>344</v>
      </c>
      <c r="B332">
        <v>23</v>
      </c>
      <c r="C332">
        <v>255</v>
      </c>
      <c r="D332" t="s">
        <v>2363</v>
      </c>
      <c r="E332">
        <v>155</v>
      </c>
      <c r="F332">
        <v>347</v>
      </c>
      <c r="G332" t="s">
        <v>2363</v>
      </c>
      <c r="H332">
        <v>7</v>
      </c>
      <c r="I332" t="s">
        <v>3035</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4">
        <v>345</v>
      </c>
      <c r="B333">
        <v>25</v>
      </c>
      <c r="C333">
        <v>1126</v>
      </c>
      <c r="D333" t="s">
        <v>2364</v>
      </c>
      <c r="E333">
        <v>501</v>
      </c>
      <c r="F333">
        <v>888</v>
      </c>
      <c r="G333" t="s">
        <v>2364</v>
      </c>
      <c r="H333">
        <v>7</v>
      </c>
      <c r="I333" t="s">
        <v>3814</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4">
        <v>346</v>
      </c>
      <c r="B334">
        <v>31</v>
      </c>
      <c r="C334">
        <v>1313</v>
      </c>
      <c r="D334" t="s">
        <v>2312</v>
      </c>
      <c r="E334">
        <v>590</v>
      </c>
      <c r="F334">
        <v>980</v>
      </c>
      <c r="G334" t="s">
        <v>3027</v>
      </c>
      <c r="H334">
        <v>3</v>
      </c>
      <c r="I334" t="s">
        <v>3036</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4">
        <v>347</v>
      </c>
      <c r="B335">
        <v>31</v>
      </c>
      <c r="C335">
        <v>1313</v>
      </c>
      <c r="D335" t="s">
        <v>2312</v>
      </c>
      <c r="E335">
        <v>590</v>
      </c>
      <c r="F335">
        <v>980</v>
      </c>
      <c r="G335" t="s">
        <v>3027</v>
      </c>
      <c r="H335">
        <v>7</v>
      </c>
      <c r="I335" t="s">
        <v>3037</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450</v>
      </c>
      <c r="E336">
        <v>380</v>
      </c>
      <c r="F336">
        <v>684</v>
      </c>
      <c r="G336" t="s">
        <v>450</v>
      </c>
      <c r="H336">
        <v>7</v>
      </c>
      <c r="I336" t="s">
        <v>691</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4">
        <v>349</v>
      </c>
      <c r="B337">
        <v>32</v>
      </c>
      <c r="C337">
        <v>1349</v>
      </c>
      <c r="D337" t="s">
        <v>2311</v>
      </c>
      <c r="E337">
        <v>617</v>
      </c>
      <c r="F337">
        <v>1011</v>
      </c>
      <c r="G337" t="s">
        <v>2311</v>
      </c>
      <c r="H337">
        <v>1</v>
      </c>
      <c r="I337" t="s">
        <v>3038</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4">
        <v>350</v>
      </c>
      <c r="B338">
        <v>32</v>
      </c>
      <c r="C338">
        <v>1349</v>
      </c>
      <c r="D338" t="s">
        <v>2311</v>
      </c>
      <c r="E338">
        <v>617</v>
      </c>
      <c r="F338">
        <v>1011</v>
      </c>
      <c r="G338" t="s">
        <v>2311</v>
      </c>
      <c r="H338">
        <v>1</v>
      </c>
      <c r="I338" t="s">
        <v>3039</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4">
        <v>351</v>
      </c>
      <c r="B339">
        <v>32</v>
      </c>
      <c r="C339">
        <v>1349</v>
      </c>
      <c r="D339" t="s">
        <v>2311</v>
      </c>
      <c r="E339">
        <v>617</v>
      </c>
      <c r="F339">
        <v>1011</v>
      </c>
      <c r="G339" t="s">
        <v>2311</v>
      </c>
      <c r="H339">
        <v>1</v>
      </c>
      <c r="I339" t="s">
        <v>3040</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4">
        <v>352</v>
      </c>
      <c r="B340">
        <v>32</v>
      </c>
      <c r="C340">
        <v>1349</v>
      </c>
      <c r="D340" t="s">
        <v>2311</v>
      </c>
      <c r="E340">
        <v>617</v>
      </c>
      <c r="F340">
        <v>1011</v>
      </c>
      <c r="G340" t="s">
        <v>2311</v>
      </c>
      <c r="H340">
        <v>1</v>
      </c>
      <c r="I340" t="s">
        <v>3041</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4">
        <v>353</v>
      </c>
      <c r="B341">
        <v>32</v>
      </c>
      <c r="C341">
        <v>1349</v>
      </c>
      <c r="D341" t="s">
        <v>2311</v>
      </c>
      <c r="E341">
        <v>617</v>
      </c>
      <c r="F341">
        <v>1011</v>
      </c>
      <c r="G341" t="s">
        <v>2311</v>
      </c>
      <c r="H341">
        <v>1</v>
      </c>
      <c r="I341" t="s">
        <v>3042</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4">
        <v>354</v>
      </c>
      <c r="B342">
        <v>32</v>
      </c>
      <c r="C342">
        <v>1349</v>
      </c>
      <c r="D342" t="s">
        <v>2311</v>
      </c>
      <c r="E342">
        <v>617</v>
      </c>
      <c r="F342">
        <v>1011</v>
      </c>
      <c r="G342" t="s">
        <v>2311</v>
      </c>
      <c r="H342">
        <v>1</v>
      </c>
      <c r="I342" t="s">
        <v>3043</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4">
        <v>355</v>
      </c>
      <c r="B343">
        <v>32</v>
      </c>
      <c r="C343">
        <v>1349</v>
      </c>
      <c r="D343" t="s">
        <v>2311</v>
      </c>
      <c r="E343">
        <v>617</v>
      </c>
      <c r="F343">
        <v>1011</v>
      </c>
      <c r="G343" t="s">
        <v>2311</v>
      </c>
      <c r="H343">
        <v>1</v>
      </c>
      <c r="I343" t="s">
        <v>3044</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4">
        <v>356</v>
      </c>
      <c r="B344">
        <v>32</v>
      </c>
      <c r="C344">
        <v>1349</v>
      </c>
      <c r="D344" t="s">
        <v>2311</v>
      </c>
      <c r="E344">
        <v>617</v>
      </c>
      <c r="F344">
        <v>1011</v>
      </c>
      <c r="G344" t="s">
        <v>2311</v>
      </c>
      <c r="H344">
        <v>1</v>
      </c>
      <c r="I344" t="s">
        <v>3045</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4">
        <v>357</v>
      </c>
      <c r="B345">
        <v>32</v>
      </c>
      <c r="C345">
        <v>1349</v>
      </c>
      <c r="D345" t="s">
        <v>2311</v>
      </c>
      <c r="E345">
        <v>617</v>
      </c>
      <c r="F345">
        <v>1011</v>
      </c>
      <c r="G345" t="s">
        <v>2311</v>
      </c>
      <c r="H345">
        <v>1</v>
      </c>
      <c r="I345" t="s">
        <v>3046</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4">
        <v>358</v>
      </c>
      <c r="B346">
        <v>32</v>
      </c>
      <c r="C346">
        <v>1349</v>
      </c>
      <c r="D346" t="s">
        <v>2311</v>
      </c>
      <c r="E346">
        <v>617</v>
      </c>
      <c r="F346">
        <v>1011</v>
      </c>
      <c r="G346" t="s">
        <v>2311</v>
      </c>
      <c r="H346">
        <v>1</v>
      </c>
      <c r="I346" t="s">
        <v>3047</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4">
        <v>359</v>
      </c>
      <c r="B347">
        <v>32</v>
      </c>
      <c r="C347">
        <v>1349</v>
      </c>
      <c r="D347" t="s">
        <v>2311</v>
      </c>
      <c r="E347">
        <v>617</v>
      </c>
      <c r="F347">
        <v>1011</v>
      </c>
      <c r="G347" t="s">
        <v>2311</v>
      </c>
      <c r="H347">
        <v>1</v>
      </c>
      <c r="I347" t="s">
        <v>3048</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4">
        <v>360</v>
      </c>
      <c r="B348">
        <v>33</v>
      </c>
      <c r="C348">
        <v>1429</v>
      </c>
      <c r="D348" t="s">
        <v>679</v>
      </c>
      <c r="E348">
        <v>633</v>
      </c>
      <c r="F348">
        <v>1027</v>
      </c>
      <c r="G348" t="s">
        <v>679</v>
      </c>
      <c r="H348">
        <v>1</v>
      </c>
      <c r="I348" t="s">
        <v>3049</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4">
        <v>361</v>
      </c>
      <c r="B349">
        <v>28</v>
      </c>
      <c r="C349">
        <v>994</v>
      </c>
      <c r="D349" t="s">
        <v>2309</v>
      </c>
      <c r="E349">
        <v>443</v>
      </c>
      <c r="F349">
        <v>816</v>
      </c>
      <c r="G349" t="s">
        <v>2309</v>
      </c>
      <c r="H349">
        <v>7</v>
      </c>
      <c r="I349" t="s">
        <v>3050</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4">
        <v>362</v>
      </c>
      <c r="B350">
        <v>29</v>
      </c>
      <c r="C350">
        <v>1006</v>
      </c>
      <c r="D350" t="s">
        <v>2308</v>
      </c>
      <c r="E350">
        <v>449</v>
      </c>
      <c r="F350">
        <v>823</v>
      </c>
      <c r="G350" t="s">
        <v>2957</v>
      </c>
      <c r="H350">
        <v>7</v>
      </c>
      <c r="I350" t="s">
        <v>3051</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4">
        <v>363</v>
      </c>
      <c r="B351">
        <v>4</v>
      </c>
      <c r="C351">
        <v>12</v>
      </c>
      <c r="D351" t="s">
        <v>2303</v>
      </c>
      <c r="E351">
        <v>4</v>
      </c>
      <c r="F351">
        <v>19</v>
      </c>
      <c r="G351" t="s">
        <v>2303</v>
      </c>
      <c r="H351">
        <v>6</v>
      </c>
      <c r="I351" t="s">
        <v>3815</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4">
        <v>364</v>
      </c>
      <c r="B352">
        <v>32</v>
      </c>
      <c r="C352">
        <v>1349</v>
      </c>
      <c r="D352" t="s">
        <v>2311</v>
      </c>
      <c r="E352">
        <v>617</v>
      </c>
      <c r="F352">
        <v>1011</v>
      </c>
      <c r="G352" t="s">
        <v>2311</v>
      </c>
      <c r="H352">
        <v>3</v>
      </c>
      <c r="I352" t="s">
        <v>3052</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4">
        <v>365</v>
      </c>
      <c r="B353">
        <v>32</v>
      </c>
      <c r="C353">
        <v>1349</v>
      </c>
      <c r="D353" t="s">
        <v>2311</v>
      </c>
      <c r="E353">
        <v>617</v>
      </c>
      <c r="F353">
        <v>1011</v>
      </c>
      <c r="G353" t="s">
        <v>2311</v>
      </c>
      <c r="H353">
        <v>1</v>
      </c>
      <c r="I353" t="s">
        <v>3053</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4">
        <v>366</v>
      </c>
      <c r="B354">
        <v>32</v>
      </c>
      <c r="C354">
        <v>1349</v>
      </c>
      <c r="D354" t="s">
        <v>2311</v>
      </c>
      <c r="E354">
        <v>617</v>
      </c>
      <c r="F354">
        <v>1011</v>
      </c>
      <c r="G354" t="s">
        <v>2311</v>
      </c>
      <c r="H354">
        <v>7</v>
      </c>
      <c r="I354" t="s">
        <v>3054</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4">
        <v>367</v>
      </c>
      <c r="B355">
        <v>32</v>
      </c>
      <c r="C355">
        <v>1349</v>
      </c>
      <c r="D355" t="s">
        <v>2311</v>
      </c>
      <c r="E355">
        <v>617</v>
      </c>
      <c r="F355">
        <v>1011</v>
      </c>
      <c r="G355" t="s">
        <v>2311</v>
      </c>
      <c r="H355">
        <v>7</v>
      </c>
      <c r="I355" t="s">
        <v>3055</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4">
        <v>368</v>
      </c>
      <c r="B356">
        <v>32</v>
      </c>
      <c r="C356">
        <v>1349</v>
      </c>
      <c r="D356" t="s">
        <v>2311</v>
      </c>
      <c r="E356">
        <v>617</v>
      </c>
      <c r="F356">
        <v>1011</v>
      </c>
      <c r="G356" t="s">
        <v>2311</v>
      </c>
      <c r="H356">
        <v>7</v>
      </c>
      <c r="I356" t="s">
        <v>3056</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4">
        <v>369</v>
      </c>
      <c r="B357">
        <v>32</v>
      </c>
      <c r="C357">
        <v>1349</v>
      </c>
      <c r="D357" t="s">
        <v>2311</v>
      </c>
      <c r="E357">
        <v>617</v>
      </c>
      <c r="F357">
        <v>1011</v>
      </c>
      <c r="G357" t="s">
        <v>2311</v>
      </c>
      <c r="H357">
        <v>1</v>
      </c>
      <c r="I357" t="s">
        <v>3057</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4">
        <v>370</v>
      </c>
      <c r="B358">
        <v>16</v>
      </c>
      <c r="C358">
        <v>300</v>
      </c>
      <c r="D358" t="s">
        <v>2288</v>
      </c>
      <c r="E358">
        <v>18</v>
      </c>
      <c r="F358">
        <v>108</v>
      </c>
      <c r="G358" t="s">
        <v>2288</v>
      </c>
      <c r="H358">
        <v>6</v>
      </c>
      <c r="I358" t="s">
        <v>3058</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4">
        <v>371</v>
      </c>
      <c r="B359">
        <v>17</v>
      </c>
      <c r="C359">
        <v>256</v>
      </c>
      <c r="D359" t="s">
        <v>2289</v>
      </c>
      <c r="E359">
        <v>180</v>
      </c>
      <c r="F359">
        <v>382</v>
      </c>
      <c r="G359" t="s">
        <v>2289</v>
      </c>
      <c r="H359">
        <v>6</v>
      </c>
      <c r="I359" t="s">
        <v>3059</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4">
        <v>372</v>
      </c>
      <c r="B360">
        <v>12</v>
      </c>
      <c r="C360">
        <v>125</v>
      </c>
      <c r="D360" t="s">
        <v>2305</v>
      </c>
      <c r="E360">
        <v>16</v>
      </c>
      <c r="F360">
        <v>103</v>
      </c>
      <c r="G360" t="s">
        <v>2305</v>
      </c>
      <c r="H360">
        <v>7</v>
      </c>
      <c r="I360" t="s">
        <v>3060</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4">
        <v>373</v>
      </c>
      <c r="B361">
        <v>33</v>
      </c>
      <c r="C361">
        <v>1429</v>
      </c>
      <c r="D361" t="s">
        <v>679</v>
      </c>
      <c r="E361">
        <v>633</v>
      </c>
      <c r="F361">
        <v>1027</v>
      </c>
      <c r="G361" t="s">
        <v>679</v>
      </c>
      <c r="H361">
        <v>7</v>
      </c>
      <c r="I361" t="s">
        <v>3061</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4">
        <v>374</v>
      </c>
      <c r="B362">
        <v>34</v>
      </c>
      <c r="C362">
        <v>1484</v>
      </c>
      <c r="D362" t="s">
        <v>2314</v>
      </c>
      <c r="E362">
        <v>408</v>
      </c>
      <c r="F362">
        <v>726</v>
      </c>
      <c r="G362" t="s">
        <v>2314</v>
      </c>
      <c r="H362">
        <v>1</v>
      </c>
      <c r="I362" t="s">
        <v>3062</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4">
        <v>375</v>
      </c>
      <c r="B363">
        <v>34</v>
      </c>
      <c r="C363">
        <v>1484</v>
      </c>
      <c r="D363" t="s">
        <v>2314</v>
      </c>
      <c r="E363">
        <v>408</v>
      </c>
      <c r="F363">
        <v>726</v>
      </c>
      <c r="G363" t="s">
        <v>2314</v>
      </c>
      <c r="H363">
        <v>1</v>
      </c>
      <c r="I363" t="s">
        <v>3063</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4">
        <v>376</v>
      </c>
      <c r="B364">
        <v>34</v>
      </c>
      <c r="C364">
        <v>1484</v>
      </c>
      <c r="D364" t="s">
        <v>2314</v>
      </c>
      <c r="E364">
        <v>408</v>
      </c>
      <c r="F364">
        <v>726</v>
      </c>
      <c r="G364" t="s">
        <v>2314</v>
      </c>
      <c r="H364">
        <v>1</v>
      </c>
      <c r="I364" t="s">
        <v>3064</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4">
        <v>377</v>
      </c>
      <c r="B365">
        <v>34</v>
      </c>
      <c r="C365">
        <v>1484</v>
      </c>
      <c r="D365" t="s">
        <v>2314</v>
      </c>
      <c r="E365">
        <v>408</v>
      </c>
      <c r="F365">
        <v>726</v>
      </c>
      <c r="G365" t="s">
        <v>2314</v>
      </c>
      <c r="H365">
        <v>1</v>
      </c>
      <c r="I365" t="s">
        <v>3065</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4">
        <v>378</v>
      </c>
      <c r="B366">
        <v>34</v>
      </c>
      <c r="C366">
        <v>1484</v>
      </c>
      <c r="D366" t="s">
        <v>2314</v>
      </c>
      <c r="E366">
        <v>408</v>
      </c>
      <c r="F366">
        <v>726</v>
      </c>
      <c r="G366" t="s">
        <v>2314</v>
      </c>
      <c r="H366">
        <v>6</v>
      </c>
      <c r="I366" t="s">
        <v>3066</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4">
        <v>379</v>
      </c>
      <c r="B367">
        <v>34</v>
      </c>
      <c r="C367">
        <v>1484</v>
      </c>
      <c r="D367" t="s">
        <v>2314</v>
      </c>
      <c r="E367">
        <v>408</v>
      </c>
      <c r="F367">
        <v>726</v>
      </c>
      <c r="G367" t="s">
        <v>2314</v>
      </c>
      <c r="H367">
        <v>1</v>
      </c>
      <c r="I367" t="s">
        <v>3067</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4">
        <v>380</v>
      </c>
      <c r="B368">
        <v>13</v>
      </c>
      <c r="C368">
        <v>61</v>
      </c>
      <c r="D368" t="s">
        <v>2304</v>
      </c>
      <c r="E368">
        <v>15</v>
      </c>
      <c r="F368">
        <v>101</v>
      </c>
      <c r="G368" t="s">
        <v>2304</v>
      </c>
      <c r="H368">
        <v>7</v>
      </c>
      <c r="I368" t="s">
        <v>3257</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4">
        <v>381</v>
      </c>
      <c r="B369">
        <v>36</v>
      </c>
      <c r="C369">
        <v>1555</v>
      </c>
      <c r="D369" t="s">
        <v>3068</v>
      </c>
      <c r="E369">
        <v>682</v>
      </c>
      <c r="F369">
        <v>1086</v>
      </c>
      <c r="G369" t="s">
        <v>3068</v>
      </c>
      <c r="H369">
        <v>1</v>
      </c>
      <c r="I369" t="s">
        <v>3069</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4">
        <v>382</v>
      </c>
      <c r="B370">
        <v>36</v>
      </c>
      <c r="C370">
        <v>1555</v>
      </c>
      <c r="D370" t="s">
        <v>3068</v>
      </c>
      <c r="E370">
        <v>682</v>
      </c>
      <c r="F370">
        <v>1086</v>
      </c>
      <c r="G370" t="s">
        <v>3068</v>
      </c>
      <c r="H370">
        <v>1</v>
      </c>
      <c r="I370" t="s">
        <v>3070</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4">
        <v>383</v>
      </c>
      <c r="B371">
        <v>36</v>
      </c>
      <c r="C371">
        <v>1555</v>
      </c>
      <c r="D371" t="s">
        <v>3068</v>
      </c>
      <c r="E371">
        <v>682</v>
      </c>
      <c r="F371">
        <v>1086</v>
      </c>
      <c r="G371" t="s">
        <v>3068</v>
      </c>
      <c r="H371">
        <v>1</v>
      </c>
      <c r="I371" t="s">
        <v>3071</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4">
        <v>384</v>
      </c>
      <c r="B372">
        <v>36</v>
      </c>
      <c r="C372">
        <v>1555</v>
      </c>
      <c r="D372" t="s">
        <v>3068</v>
      </c>
      <c r="E372">
        <v>682</v>
      </c>
      <c r="F372">
        <v>1086</v>
      </c>
      <c r="G372" t="s">
        <v>3068</v>
      </c>
      <c r="H372">
        <v>1</v>
      </c>
      <c r="I372" t="s">
        <v>3072</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4">
        <v>386</v>
      </c>
      <c r="B373">
        <v>36</v>
      </c>
      <c r="C373">
        <v>1555</v>
      </c>
      <c r="D373" t="s">
        <v>3068</v>
      </c>
      <c r="E373">
        <v>682</v>
      </c>
      <c r="F373">
        <v>1086</v>
      </c>
      <c r="G373" t="s">
        <v>3068</v>
      </c>
      <c r="H373">
        <v>1</v>
      </c>
      <c r="I373" t="s">
        <v>3073</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4">
        <v>387</v>
      </c>
      <c r="B374">
        <v>36</v>
      </c>
      <c r="C374">
        <v>1555</v>
      </c>
      <c r="D374" t="s">
        <v>3068</v>
      </c>
      <c r="E374">
        <v>682</v>
      </c>
      <c r="F374">
        <v>1086</v>
      </c>
      <c r="G374" t="s">
        <v>3068</v>
      </c>
      <c r="H374">
        <v>1</v>
      </c>
      <c r="I374" t="s">
        <v>3074</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4">
        <v>388</v>
      </c>
      <c r="B375">
        <v>34</v>
      </c>
      <c r="C375">
        <v>1484</v>
      </c>
      <c r="D375" t="s">
        <v>2314</v>
      </c>
      <c r="E375">
        <v>408</v>
      </c>
      <c r="F375">
        <v>726</v>
      </c>
      <c r="G375" t="s">
        <v>2314</v>
      </c>
      <c r="H375">
        <v>7</v>
      </c>
      <c r="I375" t="s">
        <v>3075</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4">
        <v>389</v>
      </c>
      <c r="B376">
        <v>13</v>
      </c>
      <c r="C376">
        <v>61</v>
      </c>
      <c r="D376" t="s">
        <v>2304</v>
      </c>
      <c r="E376">
        <v>15</v>
      </c>
      <c r="F376">
        <v>101</v>
      </c>
      <c r="G376" t="s">
        <v>2304</v>
      </c>
      <c r="H376">
        <v>6</v>
      </c>
      <c r="I376" t="s">
        <v>3250</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4">
        <v>390</v>
      </c>
      <c r="B377">
        <v>29</v>
      </c>
      <c r="C377">
        <v>1006</v>
      </c>
      <c r="D377" t="s">
        <v>2308</v>
      </c>
      <c r="E377">
        <v>449</v>
      </c>
      <c r="F377">
        <v>823</v>
      </c>
      <c r="G377" t="s">
        <v>2957</v>
      </c>
      <c r="H377">
        <v>6</v>
      </c>
      <c r="I377" t="s">
        <v>3076</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4">
        <v>391</v>
      </c>
      <c r="B378">
        <v>36</v>
      </c>
      <c r="C378">
        <v>1555</v>
      </c>
      <c r="D378" t="s">
        <v>3068</v>
      </c>
      <c r="E378">
        <v>682</v>
      </c>
      <c r="F378">
        <v>1086</v>
      </c>
      <c r="G378" t="s">
        <v>3068</v>
      </c>
      <c r="H378">
        <v>6</v>
      </c>
      <c r="I378" t="s">
        <v>3077</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4">
        <v>392</v>
      </c>
      <c r="B379">
        <v>13</v>
      </c>
      <c r="C379">
        <v>61</v>
      </c>
      <c r="D379" t="s">
        <v>2304</v>
      </c>
      <c r="E379">
        <v>15</v>
      </c>
      <c r="F379">
        <v>101</v>
      </c>
      <c r="G379" t="s">
        <v>2304</v>
      </c>
      <c r="H379">
        <v>7</v>
      </c>
      <c r="I379" t="s">
        <v>3247</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4">
        <v>395</v>
      </c>
      <c r="B380">
        <v>25</v>
      </c>
      <c r="C380">
        <v>1126</v>
      </c>
      <c r="D380" t="s">
        <v>2364</v>
      </c>
      <c r="E380">
        <v>501</v>
      </c>
      <c r="F380">
        <v>888</v>
      </c>
      <c r="G380" t="s">
        <v>2364</v>
      </c>
      <c r="H380">
        <v>7</v>
      </c>
      <c r="I380" t="s">
        <v>3816</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4">
        <v>396</v>
      </c>
      <c r="B381">
        <v>36</v>
      </c>
      <c r="C381">
        <v>1555</v>
      </c>
      <c r="D381" t="s">
        <v>3068</v>
      </c>
      <c r="E381">
        <v>682</v>
      </c>
      <c r="F381">
        <v>1086</v>
      </c>
      <c r="G381" t="s">
        <v>3068</v>
      </c>
      <c r="H381">
        <v>7</v>
      </c>
      <c r="I381" t="s">
        <v>3078</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4">
        <v>397</v>
      </c>
      <c r="B382">
        <v>36</v>
      </c>
      <c r="C382">
        <v>1555</v>
      </c>
      <c r="D382" t="s">
        <v>3068</v>
      </c>
      <c r="E382">
        <v>682</v>
      </c>
      <c r="F382">
        <v>1086</v>
      </c>
      <c r="G382" t="s">
        <v>3068</v>
      </c>
      <c r="H382">
        <v>1</v>
      </c>
      <c r="I382" t="s">
        <v>3079</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4">
        <v>398</v>
      </c>
      <c r="B383">
        <v>7</v>
      </c>
      <c r="C383">
        <v>9</v>
      </c>
      <c r="D383" t="s">
        <v>2286</v>
      </c>
      <c r="E383">
        <v>181</v>
      </c>
      <c r="F383">
        <v>383</v>
      </c>
      <c r="G383" t="s">
        <v>2286</v>
      </c>
      <c r="H383">
        <v>6</v>
      </c>
      <c r="I383" t="s">
        <v>3080</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4">
        <v>399</v>
      </c>
      <c r="B384">
        <v>36</v>
      </c>
      <c r="C384">
        <v>1555</v>
      </c>
      <c r="D384" t="s">
        <v>3068</v>
      </c>
      <c r="E384">
        <v>682</v>
      </c>
      <c r="F384">
        <v>1086</v>
      </c>
      <c r="G384" t="s">
        <v>3068</v>
      </c>
      <c r="H384">
        <v>3</v>
      </c>
      <c r="I384" t="s">
        <v>3081</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4">
        <v>400</v>
      </c>
      <c r="B385">
        <v>36</v>
      </c>
      <c r="C385">
        <v>1555</v>
      </c>
      <c r="D385" t="s">
        <v>3068</v>
      </c>
      <c r="E385">
        <v>682</v>
      </c>
      <c r="F385">
        <v>1086</v>
      </c>
      <c r="G385" t="s">
        <v>3068</v>
      </c>
      <c r="H385">
        <v>7</v>
      </c>
      <c r="I385" t="s">
        <v>3082</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4">
        <v>401</v>
      </c>
      <c r="B386">
        <v>36</v>
      </c>
      <c r="C386">
        <v>1555</v>
      </c>
      <c r="D386" t="s">
        <v>3068</v>
      </c>
      <c r="E386">
        <v>682</v>
      </c>
      <c r="F386">
        <v>1086</v>
      </c>
      <c r="G386" t="s">
        <v>3068</v>
      </c>
      <c r="H386">
        <v>7</v>
      </c>
      <c r="I386" t="s">
        <v>3083</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4">
        <v>402</v>
      </c>
      <c r="B387">
        <v>37</v>
      </c>
      <c r="C387">
        <v>1654</v>
      </c>
      <c r="D387" t="s">
        <v>3084</v>
      </c>
      <c r="E387">
        <v>721</v>
      </c>
      <c r="F387">
        <v>1133</v>
      </c>
      <c r="G387" t="s">
        <v>3084</v>
      </c>
      <c r="H387">
        <v>1</v>
      </c>
      <c r="I387" t="s">
        <v>3085</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4">
        <v>403</v>
      </c>
      <c r="B388">
        <v>37</v>
      </c>
      <c r="C388">
        <v>1654</v>
      </c>
      <c r="D388" t="s">
        <v>3084</v>
      </c>
      <c r="E388">
        <v>721</v>
      </c>
      <c r="F388">
        <v>1133</v>
      </c>
      <c r="G388" t="s">
        <v>3084</v>
      </c>
      <c r="H388">
        <v>1</v>
      </c>
      <c r="I388" t="s">
        <v>3086</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4">
        <v>404</v>
      </c>
      <c r="B389">
        <v>37</v>
      </c>
      <c r="C389">
        <v>1654</v>
      </c>
      <c r="D389" t="s">
        <v>3084</v>
      </c>
      <c r="E389">
        <v>721</v>
      </c>
      <c r="F389">
        <v>1133</v>
      </c>
      <c r="G389" t="s">
        <v>3084</v>
      </c>
      <c r="H389">
        <v>1</v>
      </c>
      <c r="I389" t="s">
        <v>3087</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4">
        <v>405</v>
      </c>
      <c r="B390">
        <v>37</v>
      </c>
      <c r="C390">
        <v>1654</v>
      </c>
      <c r="D390" t="s">
        <v>3084</v>
      </c>
      <c r="E390">
        <v>721</v>
      </c>
      <c r="F390">
        <v>1133</v>
      </c>
      <c r="G390" t="s">
        <v>3084</v>
      </c>
      <c r="H390">
        <v>1</v>
      </c>
      <c r="I390" t="s">
        <v>3088</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4">
        <v>406</v>
      </c>
      <c r="B391">
        <v>37</v>
      </c>
      <c r="C391">
        <v>1654</v>
      </c>
      <c r="D391" t="s">
        <v>3084</v>
      </c>
      <c r="E391">
        <v>721</v>
      </c>
      <c r="F391">
        <v>1133</v>
      </c>
      <c r="G391" t="s">
        <v>3084</v>
      </c>
      <c r="H391">
        <v>1</v>
      </c>
      <c r="I391" t="s">
        <v>3089</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4">
        <v>407</v>
      </c>
      <c r="B392">
        <v>37</v>
      </c>
      <c r="C392">
        <v>1654</v>
      </c>
      <c r="D392" t="s">
        <v>3084</v>
      </c>
      <c r="E392">
        <v>721</v>
      </c>
      <c r="F392">
        <v>1133</v>
      </c>
      <c r="G392" t="s">
        <v>3084</v>
      </c>
      <c r="H392">
        <v>1</v>
      </c>
      <c r="I392" t="s">
        <v>3716</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4">
        <v>409</v>
      </c>
      <c r="B393">
        <v>3</v>
      </c>
      <c r="C393">
        <v>10</v>
      </c>
      <c r="D393" t="s">
        <v>2302</v>
      </c>
      <c r="E393">
        <v>5</v>
      </c>
      <c r="F393">
        <v>20</v>
      </c>
      <c r="G393" t="s">
        <v>2302</v>
      </c>
      <c r="H393">
        <v>7</v>
      </c>
      <c r="I393" t="s">
        <v>3090</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4">
        <v>410</v>
      </c>
      <c r="B394">
        <v>36</v>
      </c>
      <c r="C394">
        <v>1555</v>
      </c>
      <c r="D394" t="s">
        <v>3068</v>
      </c>
      <c r="E394">
        <v>682</v>
      </c>
      <c r="F394">
        <v>1086</v>
      </c>
      <c r="G394" t="s">
        <v>3068</v>
      </c>
      <c r="H394">
        <v>7</v>
      </c>
      <c r="I394" t="s">
        <v>3091</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4">
        <v>411</v>
      </c>
      <c r="B395">
        <v>40</v>
      </c>
      <c r="C395">
        <v>1782</v>
      </c>
      <c r="D395" t="s">
        <v>3092</v>
      </c>
      <c r="E395">
        <v>4294967296</v>
      </c>
      <c r="F395">
        <v>0</v>
      </c>
      <c r="H395">
        <v>1</v>
      </c>
      <c r="I395" t="s">
        <v>3093</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4">
        <v>412</v>
      </c>
      <c r="B396">
        <v>40</v>
      </c>
      <c r="C396">
        <v>1782</v>
      </c>
      <c r="D396" t="s">
        <v>3092</v>
      </c>
      <c r="E396">
        <v>4294967296</v>
      </c>
      <c r="F396">
        <v>0</v>
      </c>
      <c r="H396">
        <v>1</v>
      </c>
      <c r="I396" t="s">
        <v>3094</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4">
        <v>413</v>
      </c>
      <c r="B397">
        <v>40</v>
      </c>
      <c r="C397">
        <v>1782</v>
      </c>
      <c r="D397" t="s">
        <v>3092</v>
      </c>
      <c r="E397">
        <v>4294967296</v>
      </c>
      <c r="F397">
        <v>0</v>
      </c>
      <c r="H397">
        <v>1</v>
      </c>
      <c r="I397" t="s">
        <v>3095</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4">
        <v>414</v>
      </c>
      <c r="B398">
        <v>40</v>
      </c>
      <c r="C398">
        <v>1782</v>
      </c>
      <c r="D398" t="s">
        <v>3092</v>
      </c>
      <c r="E398">
        <v>4294967296</v>
      </c>
      <c r="F398">
        <v>0</v>
      </c>
      <c r="H398">
        <v>1</v>
      </c>
      <c r="I398" t="s">
        <v>3096</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4">
        <v>415</v>
      </c>
      <c r="B399">
        <v>38</v>
      </c>
      <c r="C399">
        <v>1719</v>
      </c>
      <c r="D399" t="s">
        <v>3097</v>
      </c>
      <c r="E399">
        <v>744</v>
      </c>
      <c r="F399">
        <v>1160</v>
      </c>
      <c r="G399" t="s">
        <v>3097</v>
      </c>
      <c r="H399">
        <v>1</v>
      </c>
      <c r="I399" t="s">
        <v>3098</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4">
        <v>416</v>
      </c>
      <c r="B400">
        <v>38</v>
      </c>
      <c r="C400">
        <v>1719</v>
      </c>
      <c r="D400" t="s">
        <v>3097</v>
      </c>
      <c r="E400">
        <v>744</v>
      </c>
      <c r="F400">
        <v>1160</v>
      </c>
      <c r="G400" t="s">
        <v>3097</v>
      </c>
      <c r="H400">
        <v>1</v>
      </c>
      <c r="I400" t="s">
        <v>3099</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4">
        <v>417</v>
      </c>
      <c r="B401">
        <v>38</v>
      </c>
      <c r="C401">
        <v>1719</v>
      </c>
      <c r="D401" t="s">
        <v>3097</v>
      </c>
      <c r="E401">
        <v>744</v>
      </c>
      <c r="F401">
        <v>1160</v>
      </c>
      <c r="G401" t="s">
        <v>3097</v>
      </c>
      <c r="H401">
        <v>1</v>
      </c>
      <c r="I401" t="s">
        <v>3100</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4">
        <v>418</v>
      </c>
      <c r="B402">
        <v>38</v>
      </c>
      <c r="C402">
        <v>1719</v>
      </c>
      <c r="D402" t="s">
        <v>3097</v>
      </c>
      <c r="E402">
        <v>744</v>
      </c>
      <c r="F402">
        <v>1160</v>
      </c>
      <c r="G402" t="s">
        <v>3097</v>
      </c>
      <c r="H402">
        <v>1</v>
      </c>
      <c r="I402" t="s">
        <v>3101</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4">
        <v>419</v>
      </c>
      <c r="B403">
        <v>38</v>
      </c>
      <c r="C403">
        <v>1719</v>
      </c>
      <c r="D403" t="s">
        <v>3097</v>
      </c>
      <c r="E403">
        <v>744</v>
      </c>
      <c r="F403">
        <v>1160</v>
      </c>
      <c r="G403" t="s">
        <v>3097</v>
      </c>
      <c r="H403">
        <v>1</v>
      </c>
      <c r="I403" t="s">
        <v>3102</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4">
        <v>420</v>
      </c>
      <c r="B404">
        <v>38</v>
      </c>
      <c r="C404">
        <v>1719</v>
      </c>
      <c r="D404" t="s">
        <v>3097</v>
      </c>
      <c r="E404">
        <v>744</v>
      </c>
      <c r="F404">
        <v>1160</v>
      </c>
      <c r="G404" t="s">
        <v>3097</v>
      </c>
      <c r="H404">
        <v>1</v>
      </c>
      <c r="I404" t="s">
        <v>3103</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4">
        <v>421</v>
      </c>
      <c r="B405">
        <v>38</v>
      </c>
      <c r="C405">
        <v>1719</v>
      </c>
      <c r="D405" t="s">
        <v>3097</v>
      </c>
      <c r="E405">
        <v>744</v>
      </c>
      <c r="F405">
        <v>1160</v>
      </c>
      <c r="G405" t="s">
        <v>3097</v>
      </c>
      <c r="H405">
        <v>1</v>
      </c>
      <c r="I405" t="s">
        <v>3104</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4">
        <v>422</v>
      </c>
      <c r="B406">
        <v>37</v>
      </c>
      <c r="C406">
        <v>1654</v>
      </c>
      <c r="D406" t="s">
        <v>3084</v>
      </c>
      <c r="E406">
        <v>721</v>
      </c>
      <c r="F406">
        <v>1133</v>
      </c>
      <c r="G406" t="s">
        <v>3084</v>
      </c>
      <c r="H406">
        <v>7</v>
      </c>
      <c r="I406" t="s">
        <v>3105</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4">
        <v>423</v>
      </c>
      <c r="B407">
        <v>37</v>
      </c>
      <c r="C407">
        <v>1654</v>
      </c>
      <c r="D407" t="s">
        <v>3084</v>
      </c>
      <c r="E407">
        <v>721</v>
      </c>
      <c r="F407">
        <v>1133</v>
      </c>
      <c r="G407" t="s">
        <v>3084</v>
      </c>
      <c r="H407">
        <v>7</v>
      </c>
      <c r="I407" t="s">
        <v>3106</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450</v>
      </c>
      <c r="E408">
        <v>380</v>
      </c>
      <c r="F408">
        <v>684</v>
      </c>
      <c r="G408" t="s">
        <v>450</v>
      </c>
      <c r="H408">
        <v>6</v>
      </c>
      <c r="I408" t="s">
        <v>2131</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4">
        <v>425</v>
      </c>
      <c r="B409">
        <v>6</v>
      </c>
      <c r="C409">
        <v>20</v>
      </c>
      <c r="D409" t="s">
        <v>109</v>
      </c>
      <c r="E409">
        <v>14</v>
      </c>
      <c r="F409">
        <v>92</v>
      </c>
      <c r="G409" t="s">
        <v>109</v>
      </c>
      <c r="H409">
        <v>6</v>
      </c>
      <c r="I409" t="s">
        <v>3107</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4">
        <v>426</v>
      </c>
      <c r="B410">
        <v>38</v>
      </c>
      <c r="C410">
        <v>1719</v>
      </c>
      <c r="D410" t="s">
        <v>3097</v>
      </c>
      <c r="E410">
        <v>744</v>
      </c>
      <c r="F410">
        <v>1160</v>
      </c>
      <c r="G410" t="s">
        <v>3097</v>
      </c>
      <c r="H410">
        <v>1</v>
      </c>
      <c r="I410" t="s">
        <v>3108</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4">
        <v>427</v>
      </c>
      <c r="B411">
        <v>6</v>
      </c>
      <c r="C411">
        <v>20</v>
      </c>
      <c r="D411" t="s">
        <v>109</v>
      </c>
      <c r="E411">
        <v>14</v>
      </c>
      <c r="F411">
        <v>92</v>
      </c>
      <c r="G411" t="s">
        <v>109</v>
      </c>
      <c r="H411">
        <v>7</v>
      </c>
      <c r="I411" t="s">
        <v>3109</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450</v>
      </c>
      <c r="E412">
        <v>380</v>
      </c>
      <c r="F412">
        <v>684</v>
      </c>
      <c r="G412" t="s">
        <v>450</v>
      </c>
      <c r="H412">
        <v>7</v>
      </c>
      <c r="I412" t="s">
        <v>1652</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4">
        <v>429</v>
      </c>
      <c r="B413">
        <v>38</v>
      </c>
      <c r="C413">
        <v>1719</v>
      </c>
      <c r="D413" t="s">
        <v>3097</v>
      </c>
      <c r="E413">
        <v>744</v>
      </c>
      <c r="F413">
        <v>1160</v>
      </c>
      <c r="G413" t="s">
        <v>3097</v>
      </c>
      <c r="H413">
        <v>1</v>
      </c>
      <c r="I413" t="s">
        <v>3110</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4">
        <v>430</v>
      </c>
      <c r="B414">
        <v>40</v>
      </c>
      <c r="C414">
        <v>1782</v>
      </c>
      <c r="D414" t="s">
        <v>3092</v>
      </c>
      <c r="E414">
        <v>4294967296</v>
      </c>
      <c r="F414">
        <v>0</v>
      </c>
      <c r="H414">
        <v>1</v>
      </c>
      <c r="I414" t="s">
        <v>3111</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4">
        <v>431</v>
      </c>
      <c r="B415">
        <v>40</v>
      </c>
      <c r="C415">
        <v>1782</v>
      </c>
      <c r="D415" t="s">
        <v>3092</v>
      </c>
      <c r="E415">
        <v>4294967296</v>
      </c>
      <c r="F415">
        <v>0</v>
      </c>
      <c r="H415">
        <v>1</v>
      </c>
      <c r="I415" t="s">
        <v>3112</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4">
        <v>432</v>
      </c>
      <c r="B416">
        <v>40</v>
      </c>
      <c r="C416">
        <v>1782</v>
      </c>
      <c r="D416" t="s">
        <v>3092</v>
      </c>
      <c r="E416">
        <v>4294967296</v>
      </c>
      <c r="F416">
        <v>0</v>
      </c>
      <c r="H416">
        <v>1</v>
      </c>
      <c r="I416" t="s">
        <v>3113</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4">
        <v>433</v>
      </c>
      <c r="B417">
        <v>40</v>
      </c>
      <c r="C417">
        <v>1782</v>
      </c>
      <c r="D417" t="s">
        <v>3092</v>
      </c>
      <c r="E417">
        <v>4294967296</v>
      </c>
      <c r="F417">
        <v>0</v>
      </c>
      <c r="H417">
        <v>1</v>
      </c>
      <c r="I417" t="s">
        <v>3114</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4">
        <v>434</v>
      </c>
      <c r="B418">
        <v>38</v>
      </c>
      <c r="C418">
        <v>1719</v>
      </c>
      <c r="D418" t="s">
        <v>3097</v>
      </c>
      <c r="E418">
        <v>744</v>
      </c>
      <c r="F418">
        <v>1160</v>
      </c>
      <c r="G418" t="s">
        <v>3097</v>
      </c>
      <c r="H418">
        <v>3</v>
      </c>
      <c r="I418" t="s">
        <v>3115</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4">
        <v>435</v>
      </c>
      <c r="B419">
        <v>40</v>
      </c>
      <c r="C419">
        <v>1782</v>
      </c>
      <c r="D419" t="s">
        <v>3092</v>
      </c>
      <c r="E419">
        <v>4294967296</v>
      </c>
      <c r="F419">
        <v>0</v>
      </c>
      <c r="H419">
        <v>6</v>
      </c>
      <c r="I419" t="s">
        <v>3116</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4">
        <v>436</v>
      </c>
      <c r="B420">
        <v>38</v>
      </c>
      <c r="C420">
        <v>1719</v>
      </c>
      <c r="D420" t="s">
        <v>3097</v>
      </c>
      <c r="E420">
        <v>744</v>
      </c>
      <c r="F420">
        <v>1160</v>
      </c>
      <c r="G420" t="s">
        <v>3097</v>
      </c>
      <c r="H420">
        <v>6</v>
      </c>
      <c r="I420" t="s">
        <v>3117</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4">
        <v>437</v>
      </c>
      <c r="B421">
        <v>29</v>
      </c>
      <c r="C421">
        <v>1006</v>
      </c>
      <c r="D421" t="s">
        <v>2308</v>
      </c>
      <c r="E421">
        <v>449</v>
      </c>
      <c r="F421">
        <v>823</v>
      </c>
      <c r="G421" t="s">
        <v>2957</v>
      </c>
      <c r="H421">
        <v>6</v>
      </c>
      <c r="I421" t="s">
        <v>3118</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4">
        <v>438</v>
      </c>
      <c r="B422">
        <v>38</v>
      </c>
      <c r="C422">
        <v>1719</v>
      </c>
      <c r="D422" t="s">
        <v>3097</v>
      </c>
      <c r="E422">
        <v>744</v>
      </c>
      <c r="F422">
        <v>1160</v>
      </c>
      <c r="G422" t="s">
        <v>3097</v>
      </c>
      <c r="H422">
        <v>7</v>
      </c>
      <c r="I422" t="s">
        <v>3119</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4">
        <v>439</v>
      </c>
      <c r="B423">
        <v>38</v>
      </c>
      <c r="C423">
        <v>1719</v>
      </c>
      <c r="D423" t="s">
        <v>3097</v>
      </c>
      <c r="E423">
        <v>744</v>
      </c>
      <c r="F423">
        <v>1160</v>
      </c>
      <c r="G423" t="s">
        <v>3097</v>
      </c>
      <c r="H423">
        <v>7</v>
      </c>
      <c r="I423" t="s">
        <v>3120</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4">
        <v>440</v>
      </c>
      <c r="B424">
        <v>40</v>
      </c>
      <c r="C424">
        <v>1782</v>
      </c>
      <c r="D424" t="s">
        <v>3092</v>
      </c>
      <c r="E424">
        <v>4294967296</v>
      </c>
      <c r="F424">
        <v>0</v>
      </c>
      <c r="G424"/>
      <c r="H424">
        <v>7</v>
      </c>
      <c r="I424" t="s">
        <v>3121</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2207</v>
      </c>
      <c r="E425">
        <v>784</v>
      </c>
      <c r="F425">
        <v>1207</v>
      </c>
      <c r="G425" t="s">
        <v>2207</v>
      </c>
      <c r="H425">
        <v>1</v>
      </c>
      <c r="I425" t="s">
        <v>2195</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2207</v>
      </c>
      <c r="E426">
        <v>784</v>
      </c>
      <c r="F426">
        <v>1207</v>
      </c>
      <c r="G426" t="s">
        <v>2207</v>
      </c>
      <c r="H426">
        <v>1</v>
      </c>
      <c r="I426" t="s">
        <v>2196</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2207</v>
      </c>
      <c r="E427">
        <v>784</v>
      </c>
      <c r="F427">
        <v>1207</v>
      </c>
      <c r="G427" t="s">
        <v>2207</v>
      </c>
      <c r="H427">
        <v>1</v>
      </c>
      <c r="I427" t="s">
        <v>2197</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2207</v>
      </c>
      <c r="E428">
        <v>784</v>
      </c>
      <c r="F428">
        <v>1207</v>
      </c>
      <c r="G428" t="s">
        <v>2207</v>
      </c>
      <c r="H428">
        <v>1</v>
      </c>
      <c r="I428" t="s">
        <v>2198</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2207</v>
      </c>
      <c r="E429">
        <v>784</v>
      </c>
      <c r="F429">
        <v>1207</v>
      </c>
      <c r="G429" t="s">
        <v>2207</v>
      </c>
      <c r="H429">
        <v>1</v>
      </c>
      <c r="I429" t="s">
        <v>2199</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4">
        <v>446</v>
      </c>
      <c r="B430">
        <v>40</v>
      </c>
      <c r="C430">
        <v>1782</v>
      </c>
      <c r="D430" t="s">
        <v>3092</v>
      </c>
      <c r="E430">
        <v>4294967296</v>
      </c>
      <c r="F430">
        <v>0</v>
      </c>
      <c r="H430">
        <v>1</v>
      </c>
      <c r="I430" t="s">
        <v>3122</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2207</v>
      </c>
      <c r="E431">
        <v>784</v>
      </c>
      <c r="F431">
        <v>1207</v>
      </c>
      <c r="G431" t="s">
        <v>2207</v>
      </c>
      <c r="H431">
        <v>1</v>
      </c>
      <c r="I431" t="s">
        <v>2201</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4">
        <v>448</v>
      </c>
      <c r="B432">
        <v>40</v>
      </c>
      <c r="C432">
        <v>1782</v>
      </c>
      <c r="D432" t="s">
        <v>3092</v>
      </c>
      <c r="E432">
        <v>4294967296</v>
      </c>
      <c r="F432">
        <v>0</v>
      </c>
      <c r="H432">
        <v>1</v>
      </c>
      <c r="I432" t="s">
        <v>3123</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2207</v>
      </c>
      <c r="E433">
        <v>784</v>
      </c>
      <c r="F433">
        <v>1207</v>
      </c>
      <c r="G433" t="s">
        <v>2207</v>
      </c>
      <c r="H433">
        <v>1</v>
      </c>
      <c r="I433" t="s">
        <v>2203</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4">
        <v>450</v>
      </c>
      <c r="B434">
        <v>38</v>
      </c>
      <c r="C434">
        <v>1719</v>
      </c>
      <c r="D434" t="s">
        <v>3097</v>
      </c>
      <c r="E434">
        <v>744</v>
      </c>
      <c r="F434">
        <v>1160</v>
      </c>
      <c r="G434" t="s">
        <v>3097</v>
      </c>
      <c r="H434">
        <v>1</v>
      </c>
      <c r="I434" t="s">
        <v>3124</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4">
        <v>451</v>
      </c>
      <c r="B435">
        <v>38</v>
      </c>
      <c r="C435">
        <v>1719</v>
      </c>
      <c r="D435" t="s">
        <v>3097</v>
      </c>
      <c r="E435">
        <v>744</v>
      </c>
      <c r="F435">
        <v>1160</v>
      </c>
      <c r="G435" t="s">
        <v>3097</v>
      </c>
      <c r="H435">
        <v>1</v>
      </c>
      <c r="I435" t="s">
        <v>3125</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4">
        <v>452</v>
      </c>
      <c r="B436">
        <v>38</v>
      </c>
      <c r="C436">
        <v>1719</v>
      </c>
      <c r="D436" t="s">
        <v>3097</v>
      </c>
      <c r="E436">
        <v>744</v>
      </c>
      <c r="F436">
        <v>1160</v>
      </c>
      <c r="G436" t="s">
        <v>3097</v>
      </c>
      <c r="H436">
        <v>7</v>
      </c>
      <c r="I436" t="s">
        <v>3126</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4">
        <v>453</v>
      </c>
      <c r="B437">
        <v>38</v>
      </c>
      <c r="C437">
        <v>1719</v>
      </c>
      <c r="D437" t="s">
        <v>3097</v>
      </c>
      <c r="E437">
        <v>744</v>
      </c>
      <c r="F437">
        <v>1160</v>
      </c>
      <c r="G437" t="s">
        <v>3097</v>
      </c>
      <c r="H437">
        <v>7</v>
      </c>
      <c r="I437" t="s">
        <v>3127</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4">
        <v>454</v>
      </c>
      <c r="B438">
        <v>10</v>
      </c>
      <c r="C438">
        <v>13</v>
      </c>
      <c r="D438" t="s">
        <v>107</v>
      </c>
      <c r="E438">
        <v>10</v>
      </c>
      <c r="F438">
        <v>57</v>
      </c>
      <c r="G438" t="s">
        <v>107</v>
      </c>
      <c r="H438">
        <v>6</v>
      </c>
      <c r="I438" t="s">
        <v>3128</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4">
        <v>455</v>
      </c>
      <c r="B439">
        <v>38</v>
      </c>
      <c r="C439">
        <v>1719</v>
      </c>
      <c r="D439" t="s">
        <v>3097</v>
      </c>
      <c r="E439">
        <v>744</v>
      </c>
      <c r="F439">
        <v>1160</v>
      </c>
      <c r="G439" t="s">
        <v>3097</v>
      </c>
      <c r="H439">
        <v>7</v>
      </c>
      <c r="I439" t="s">
        <v>3129</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2207</v>
      </c>
      <c r="E440">
        <v>784</v>
      </c>
      <c r="F440">
        <v>1207</v>
      </c>
      <c r="G440" t="s">
        <v>2207</v>
      </c>
      <c r="H440">
        <v>7</v>
      </c>
      <c r="I440" t="s">
        <v>2205</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2207</v>
      </c>
      <c r="E441">
        <v>784</v>
      </c>
      <c r="F441">
        <v>1207</v>
      </c>
      <c r="G441" t="s">
        <v>2207</v>
      </c>
      <c r="H441">
        <v>0</v>
      </c>
      <c r="I441" t="s">
        <v>2206</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4">
        <v>458</v>
      </c>
      <c r="B442">
        <v>43</v>
      </c>
      <c r="C442">
        <v>1887</v>
      </c>
      <c r="D442" t="s">
        <v>3130</v>
      </c>
      <c r="E442">
        <v>835</v>
      </c>
      <c r="F442">
        <v>1261</v>
      </c>
      <c r="G442" t="s">
        <v>3130</v>
      </c>
      <c r="H442">
        <v>1</v>
      </c>
      <c r="I442" t="s">
        <v>3131</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4">
        <v>459</v>
      </c>
      <c r="B443">
        <v>43</v>
      </c>
      <c r="C443">
        <v>1887</v>
      </c>
      <c r="D443" t="s">
        <v>3130</v>
      </c>
      <c r="E443">
        <v>835</v>
      </c>
      <c r="F443">
        <v>1261</v>
      </c>
      <c r="G443" t="s">
        <v>3130</v>
      </c>
      <c r="H443">
        <v>1</v>
      </c>
      <c r="I443" t="s">
        <v>3132</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4">
        <v>460</v>
      </c>
      <c r="B444">
        <v>43</v>
      </c>
      <c r="C444">
        <v>1887</v>
      </c>
      <c r="D444" t="s">
        <v>3130</v>
      </c>
      <c r="E444">
        <v>835</v>
      </c>
      <c r="F444">
        <v>1261</v>
      </c>
      <c r="G444" t="s">
        <v>3130</v>
      </c>
      <c r="H444">
        <v>1</v>
      </c>
      <c r="I444" t="s">
        <v>3133</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4">
        <v>461</v>
      </c>
      <c r="B445">
        <v>43</v>
      </c>
      <c r="C445">
        <v>1887</v>
      </c>
      <c r="D445" t="s">
        <v>3130</v>
      </c>
      <c r="E445">
        <v>835</v>
      </c>
      <c r="F445">
        <v>1261</v>
      </c>
      <c r="G445" t="s">
        <v>3130</v>
      </c>
      <c r="H445">
        <v>1</v>
      </c>
      <c r="I445" t="s">
        <v>3134</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4">
        <v>462</v>
      </c>
      <c r="B446">
        <v>43</v>
      </c>
      <c r="C446">
        <v>1887</v>
      </c>
      <c r="D446" t="s">
        <v>3130</v>
      </c>
      <c r="E446">
        <v>835</v>
      </c>
      <c r="F446">
        <v>1261</v>
      </c>
      <c r="G446" t="s">
        <v>3130</v>
      </c>
      <c r="H446">
        <v>1</v>
      </c>
      <c r="I446" t="s">
        <v>3135</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4">
        <v>463</v>
      </c>
      <c r="B447">
        <v>43</v>
      </c>
      <c r="C447">
        <v>1887</v>
      </c>
      <c r="D447" t="s">
        <v>3130</v>
      </c>
      <c r="E447">
        <v>835</v>
      </c>
      <c r="F447">
        <v>1261</v>
      </c>
      <c r="G447" t="s">
        <v>3130</v>
      </c>
      <c r="H447">
        <v>1</v>
      </c>
      <c r="I447" t="s">
        <v>3136</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4">
        <v>464</v>
      </c>
      <c r="B448">
        <v>43</v>
      </c>
      <c r="C448">
        <v>1887</v>
      </c>
      <c r="D448" t="s">
        <v>3130</v>
      </c>
      <c r="E448">
        <v>835</v>
      </c>
      <c r="F448">
        <v>1261</v>
      </c>
      <c r="G448" t="s">
        <v>3130</v>
      </c>
      <c r="H448">
        <v>1</v>
      </c>
      <c r="I448" t="s">
        <v>3137</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4">
        <v>465</v>
      </c>
      <c r="B449">
        <v>30</v>
      </c>
      <c r="C449">
        <v>1060</v>
      </c>
      <c r="D449" t="s">
        <v>530</v>
      </c>
      <c r="E449">
        <v>468</v>
      </c>
      <c r="F449">
        <v>849</v>
      </c>
      <c r="G449" t="s">
        <v>530</v>
      </c>
      <c r="H449">
        <v>7</v>
      </c>
      <c r="I449" t="s">
        <v>3138</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4">
        <v>466</v>
      </c>
      <c r="B450">
        <v>29</v>
      </c>
      <c r="C450">
        <v>1006</v>
      </c>
      <c r="D450" t="s">
        <v>2308</v>
      </c>
      <c r="E450">
        <v>449</v>
      </c>
      <c r="F450">
        <v>823</v>
      </c>
      <c r="G450" t="s">
        <v>2957</v>
      </c>
      <c r="H450">
        <v>7</v>
      </c>
      <c r="I450" t="s">
        <v>3139</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4">
        <v>467</v>
      </c>
      <c r="B451">
        <v>43</v>
      </c>
      <c r="C451">
        <v>1887</v>
      </c>
      <c r="D451" t="s">
        <v>3130</v>
      </c>
      <c r="E451">
        <v>835</v>
      </c>
      <c r="F451">
        <v>1261</v>
      </c>
      <c r="G451" t="s">
        <v>3130</v>
      </c>
      <c r="H451">
        <v>1</v>
      </c>
      <c r="I451" t="s">
        <v>3140</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4">
        <v>468</v>
      </c>
      <c r="B452">
        <v>43</v>
      </c>
      <c r="C452">
        <v>1887</v>
      </c>
      <c r="D452" t="s">
        <v>3130</v>
      </c>
      <c r="E452">
        <v>835</v>
      </c>
      <c r="F452">
        <v>1261</v>
      </c>
      <c r="G452" t="s">
        <v>3130</v>
      </c>
      <c r="H452">
        <v>3</v>
      </c>
      <c r="I452" t="s">
        <v>3141</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4">
        <v>469</v>
      </c>
      <c r="B453">
        <v>43</v>
      </c>
      <c r="C453">
        <v>1887</v>
      </c>
      <c r="D453" t="s">
        <v>3130</v>
      </c>
      <c r="E453">
        <v>835</v>
      </c>
      <c r="F453">
        <v>1261</v>
      </c>
      <c r="G453" t="s">
        <v>3130</v>
      </c>
      <c r="H453">
        <v>6</v>
      </c>
      <c r="I453" t="s">
        <v>3142</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4">
        <v>470</v>
      </c>
      <c r="B454">
        <v>2</v>
      </c>
      <c r="C454">
        <v>1</v>
      </c>
      <c r="D454" t="s">
        <v>103</v>
      </c>
      <c r="E454">
        <v>2</v>
      </c>
      <c r="F454">
        <v>3</v>
      </c>
      <c r="G454" t="s">
        <v>103</v>
      </c>
      <c r="H454">
        <v>6</v>
      </c>
      <c r="I454" t="s">
        <v>3143</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4">
        <v>471</v>
      </c>
      <c r="B455">
        <v>43</v>
      </c>
      <c r="C455">
        <v>1887</v>
      </c>
      <c r="D455" t="s">
        <v>3130</v>
      </c>
      <c r="E455">
        <v>835</v>
      </c>
      <c r="F455">
        <v>1261</v>
      </c>
      <c r="G455" t="s">
        <v>3130</v>
      </c>
      <c r="H455">
        <v>7</v>
      </c>
      <c r="I455" t="s">
        <v>3144</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4">
        <v>472</v>
      </c>
      <c r="B456">
        <v>43</v>
      </c>
      <c r="C456">
        <v>1887</v>
      </c>
      <c r="D456" t="s">
        <v>3130</v>
      </c>
      <c r="E456">
        <v>835</v>
      </c>
      <c r="F456">
        <v>1261</v>
      </c>
      <c r="G456" t="s">
        <v>3130</v>
      </c>
      <c r="H456">
        <v>7</v>
      </c>
      <c r="I456" t="s">
        <v>3145</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4">
        <v>473</v>
      </c>
      <c r="B457">
        <v>43</v>
      </c>
      <c r="C457">
        <v>1887</v>
      </c>
      <c r="D457" t="s">
        <v>3130</v>
      </c>
      <c r="E457">
        <v>835</v>
      </c>
      <c r="F457">
        <v>1261</v>
      </c>
      <c r="G457" t="s">
        <v>3130</v>
      </c>
      <c r="H457">
        <v>7</v>
      </c>
      <c r="I457" t="s">
        <v>3146</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4">
        <v>476</v>
      </c>
      <c r="B458">
        <v>45</v>
      </c>
      <c r="C458">
        <v>2021</v>
      </c>
      <c r="D458" t="s">
        <v>3147</v>
      </c>
      <c r="E458">
        <v>858</v>
      </c>
      <c r="F458">
        <v>1286</v>
      </c>
      <c r="G458" t="s">
        <v>3147</v>
      </c>
      <c r="H458">
        <v>1</v>
      </c>
      <c r="I458" t="s">
        <v>3148</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4">
        <v>477</v>
      </c>
      <c r="B459">
        <v>45</v>
      </c>
      <c r="C459">
        <v>2021</v>
      </c>
      <c r="D459" t="s">
        <v>3147</v>
      </c>
      <c r="E459">
        <v>858</v>
      </c>
      <c r="F459">
        <v>1286</v>
      </c>
      <c r="G459" t="s">
        <v>3147</v>
      </c>
      <c r="H459">
        <v>1</v>
      </c>
      <c r="I459" t="s">
        <v>3149</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4">
        <v>478</v>
      </c>
      <c r="B460">
        <v>45</v>
      </c>
      <c r="C460">
        <v>2021</v>
      </c>
      <c r="D460" t="s">
        <v>3147</v>
      </c>
      <c r="E460">
        <v>858</v>
      </c>
      <c r="F460">
        <v>1286</v>
      </c>
      <c r="G460" t="s">
        <v>3147</v>
      </c>
      <c r="H460">
        <v>1</v>
      </c>
      <c r="I460" t="s">
        <v>3150</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4">
        <v>479</v>
      </c>
      <c r="B461">
        <v>45</v>
      </c>
      <c r="C461">
        <v>2021</v>
      </c>
      <c r="D461" t="s">
        <v>3147</v>
      </c>
      <c r="E461">
        <v>858</v>
      </c>
      <c r="F461">
        <v>1286</v>
      </c>
      <c r="G461" t="s">
        <v>3147</v>
      </c>
      <c r="H461">
        <v>1</v>
      </c>
      <c r="I461" t="s">
        <v>3151</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4">
        <v>480</v>
      </c>
      <c r="B462">
        <v>45</v>
      </c>
      <c r="C462">
        <v>2021</v>
      </c>
      <c r="D462" t="s">
        <v>3147</v>
      </c>
      <c r="E462">
        <v>858</v>
      </c>
      <c r="F462">
        <v>1286</v>
      </c>
      <c r="G462" t="s">
        <v>3147</v>
      </c>
      <c r="H462">
        <v>1</v>
      </c>
      <c r="I462" t="s">
        <v>3152</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4">
        <v>481</v>
      </c>
      <c r="B463">
        <v>43</v>
      </c>
      <c r="C463">
        <v>1887</v>
      </c>
      <c r="D463" t="s">
        <v>3130</v>
      </c>
      <c r="E463">
        <v>835</v>
      </c>
      <c r="F463">
        <v>1261</v>
      </c>
      <c r="G463" t="s">
        <v>3130</v>
      </c>
      <c r="H463">
        <v>1</v>
      </c>
      <c r="I463" t="s">
        <v>3153</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4">
        <v>482</v>
      </c>
      <c r="B464">
        <v>43</v>
      </c>
      <c r="C464">
        <v>1887</v>
      </c>
      <c r="D464" t="s">
        <v>3130</v>
      </c>
      <c r="E464">
        <v>835</v>
      </c>
      <c r="F464">
        <v>1261</v>
      </c>
      <c r="G464" t="s">
        <v>3130</v>
      </c>
      <c r="H464">
        <v>1</v>
      </c>
      <c r="I464" t="s">
        <v>3154</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4">
        <v>483</v>
      </c>
      <c r="B465">
        <v>43</v>
      </c>
      <c r="C465">
        <v>1887</v>
      </c>
      <c r="D465" t="s">
        <v>3130</v>
      </c>
      <c r="E465">
        <v>835</v>
      </c>
      <c r="F465">
        <v>1261</v>
      </c>
      <c r="G465" t="s">
        <v>3130</v>
      </c>
      <c r="H465">
        <v>1</v>
      </c>
      <c r="I465" t="s">
        <v>3155</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4">
        <v>484</v>
      </c>
      <c r="B466">
        <v>43</v>
      </c>
      <c r="C466">
        <v>1887</v>
      </c>
      <c r="D466" t="s">
        <v>3130</v>
      </c>
      <c r="E466">
        <v>835</v>
      </c>
      <c r="F466">
        <v>1261</v>
      </c>
      <c r="G466" t="s">
        <v>3130</v>
      </c>
      <c r="H466">
        <v>1</v>
      </c>
      <c r="I466" t="s">
        <v>3156</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4">
        <v>485</v>
      </c>
      <c r="B467">
        <v>8</v>
      </c>
      <c r="C467">
        <v>22</v>
      </c>
      <c r="D467" t="s">
        <v>108</v>
      </c>
      <c r="E467">
        <v>11</v>
      </c>
      <c r="F467">
        <v>58</v>
      </c>
      <c r="G467" t="s">
        <v>108</v>
      </c>
      <c r="H467">
        <v>7</v>
      </c>
      <c r="I467" t="s">
        <v>3157</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4">
        <v>486</v>
      </c>
      <c r="B468">
        <v>43</v>
      </c>
      <c r="C468">
        <v>1887</v>
      </c>
      <c r="D468" t="s">
        <v>3130</v>
      </c>
      <c r="E468">
        <v>835</v>
      </c>
      <c r="F468">
        <v>1261</v>
      </c>
      <c r="G468" t="s">
        <v>3130</v>
      </c>
      <c r="H468">
        <v>7</v>
      </c>
      <c r="I468" t="s">
        <v>3158</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4">
        <v>487</v>
      </c>
      <c r="B469">
        <v>44</v>
      </c>
      <c r="C469">
        <v>2119</v>
      </c>
      <c r="D469" t="s">
        <v>2690</v>
      </c>
      <c r="E469">
        <v>855</v>
      </c>
      <c r="F469">
        <v>1283</v>
      </c>
      <c r="G469" t="s">
        <v>2691</v>
      </c>
      <c r="H469">
        <v>1</v>
      </c>
      <c r="I469" t="s">
        <v>2693</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4">
        <v>488</v>
      </c>
      <c r="B470">
        <v>46</v>
      </c>
      <c r="C470">
        <v>2114</v>
      </c>
      <c r="D470" t="s">
        <v>3409</v>
      </c>
      <c r="E470">
        <v>884</v>
      </c>
      <c r="F470">
        <v>1318</v>
      </c>
      <c r="G470" t="s">
        <v>3302</v>
      </c>
      <c r="H470">
        <v>3</v>
      </c>
      <c r="I470" t="s">
        <v>3308</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4">
        <v>489</v>
      </c>
      <c r="B471">
        <v>44</v>
      </c>
      <c r="C471">
        <v>2119</v>
      </c>
      <c r="D471" t="s">
        <v>2690</v>
      </c>
      <c r="E471">
        <v>855</v>
      </c>
      <c r="F471">
        <v>1283</v>
      </c>
      <c r="G471" t="s">
        <v>2691</v>
      </c>
      <c r="H471">
        <v>1</v>
      </c>
      <c r="I471" t="s">
        <v>3159</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4">
        <v>490</v>
      </c>
      <c r="B472">
        <v>45</v>
      </c>
      <c r="C472">
        <v>2021</v>
      </c>
      <c r="D472" t="s">
        <v>3147</v>
      </c>
      <c r="E472">
        <v>858</v>
      </c>
      <c r="F472">
        <v>1286</v>
      </c>
      <c r="G472" t="s">
        <v>3147</v>
      </c>
      <c r="H472">
        <v>1</v>
      </c>
      <c r="I472" t="s">
        <v>3160</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4">
        <v>491</v>
      </c>
      <c r="B473">
        <v>45</v>
      </c>
      <c r="C473">
        <v>2021</v>
      </c>
      <c r="D473" t="s">
        <v>3147</v>
      </c>
      <c r="E473">
        <v>858</v>
      </c>
      <c r="F473">
        <v>1286</v>
      </c>
      <c r="G473" t="s">
        <v>3147</v>
      </c>
      <c r="H473">
        <v>1</v>
      </c>
      <c r="I473" t="s">
        <v>3161</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4">
        <v>493</v>
      </c>
      <c r="B474">
        <v>44</v>
      </c>
      <c r="C474">
        <v>2119</v>
      </c>
      <c r="D474" t="s">
        <v>2690</v>
      </c>
      <c r="E474">
        <v>855</v>
      </c>
      <c r="F474">
        <v>1283</v>
      </c>
      <c r="G474" t="s">
        <v>2691</v>
      </c>
      <c r="H474">
        <v>1</v>
      </c>
      <c r="I474" t="s">
        <v>2692</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4">
        <v>494</v>
      </c>
      <c r="B475">
        <v>45</v>
      </c>
      <c r="C475">
        <v>2021</v>
      </c>
      <c r="D475" t="s">
        <v>3147</v>
      </c>
      <c r="E475">
        <v>858</v>
      </c>
      <c r="F475">
        <v>1286</v>
      </c>
      <c r="G475" t="s">
        <v>3147</v>
      </c>
      <c r="H475">
        <v>1</v>
      </c>
      <c r="I475" t="s">
        <v>3162</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4">
        <v>495</v>
      </c>
      <c r="B476">
        <v>44</v>
      </c>
      <c r="C476">
        <v>2119</v>
      </c>
      <c r="D476" t="s">
        <v>2690</v>
      </c>
      <c r="E476">
        <v>855</v>
      </c>
      <c r="F476">
        <v>1283</v>
      </c>
      <c r="G476" t="s">
        <v>2691</v>
      </c>
      <c r="H476">
        <v>7</v>
      </c>
      <c r="I476" t="s">
        <v>2694</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4">
        <v>496</v>
      </c>
      <c r="B477">
        <v>45</v>
      </c>
      <c r="C477">
        <v>2021</v>
      </c>
      <c r="D477" t="s">
        <v>3147</v>
      </c>
      <c r="E477">
        <v>858</v>
      </c>
      <c r="F477">
        <v>1286</v>
      </c>
      <c r="G477" t="s">
        <v>3147</v>
      </c>
      <c r="H477">
        <v>7</v>
      </c>
      <c r="I477" t="s">
        <v>3163</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4">
        <v>497</v>
      </c>
      <c r="B478">
        <v>32</v>
      </c>
      <c r="C478">
        <v>1349</v>
      </c>
      <c r="D478" t="s">
        <v>2311</v>
      </c>
      <c r="E478">
        <v>617</v>
      </c>
      <c r="F478">
        <v>1011</v>
      </c>
      <c r="G478" t="s">
        <v>2311</v>
      </c>
      <c r="H478">
        <v>6</v>
      </c>
      <c r="I478" t="s">
        <v>3164</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4">
        <v>498</v>
      </c>
      <c r="B479">
        <v>3</v>
      </c>
      <c r="C479">
        <v>10</v>
      </c>
      <c r="D479" t="s">
        <v>2302</v>
      </c>
      <c r="E479">
        <v>5</v>
      </c>
      <c r="F479">
        <v>20</v>
      </c>
      <c r="G479" t="s">
        <v>2302</v>
      </c>
      <c r="H479">
        <v>6</v>
      </c>
      <c r="I479" t="s">
        <v>3165</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4">
        <v>499</v>
      </c>
      <c r="B480">
        <v>20</v>
      </c>
      <c r="C480">
        <v>227</v>
      </c>
      <c r="D480" t="s">
        <v>384</v>
      </c>
      <c r="E480">
        <v>306</v>
      </c>
      <c r="F480">
        <v>535</v>
      </c>
      <c r="G480" t="s">
        <v>384</v>
      </c>
      <c r="H480">
        <v>7</v>
      </c>
      <c r="I480" t="s">
        <v>3166</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4">
        <v>501</v>
      </c>
      <c r="B481">
        <v>46</v>
      </c>
      <c r="C481">
        <v>2114</v>
      </c>
      <c r="D481" t="s">
        <v>3409</v>
      </c>
      <c r="E481">
        <v>884</v>
      </c>
      <c r="F481">
        <v>1318</v>
      </c>
      <c r="G481" t="s">
        <v>3302</v>
      </c>
      <c r="H481">
        <v>1</v>
      </c>
      <c r="I481" t="s">
        <v>3311</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4">
        <v>502</v>
      </c>
      <c r="B482">
        <v>46</v>
      </c>
      <c r="C482">
        <v>2114</v>
      </c>
      <c r="D482" t="s">
        <v>3409</v>
      </c>
      <c r="E482">
        <v>884</v>
      </c>
      <c r="F482">
        <v>1318</v>
      </c>
      <c r="G482" t="s">
        <v>3302</v>
      </c>
      <c r="H482">
        <v>1</v>
      </c>
      <c r="I482" t="s">
        <v>3312</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4">
        <v>503</v>
      </c>
      <c r="B483">
        <v>46</v>
      </c>
      <c r="C483">
        <v>2114</v>
      </c>
      <c r="D483" t="s">
        <v>3409</v>
      </c>
      <c r="E483">
        <v>884</v>
      </c>
      <c r="F483">
        <v>1318</v>
      </c>
      <c r="G483" t="s">
        <v>3302</v>
      </c>
      <c r="H483">
        <v>1</v>
      </c>
      <c r="I483" t="s">
        <v>3313</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4">
        <v>504</v>
      </c>
      <c r="B484">
        <v>46</v>
      </c>
      <c r="C484">
        <v>2114</v>
      </c>
      <c r="D484" t="s">
        <v>3409</v>
      </c>
      <c r="E484">
        <v>884</v>
      </c>
      <c r="F484">
        <v>1318</v>
      </c>
      <c r="G484" t="s">
        <v>3302</v>
      </c>
      <c r="H484">
        <v>1</v>
      </c>
      <c r="I484" t="s">
        <v>3314</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4">
        <v>505</v>
      </c>
      <c r="B485">
        <v>46</v>
      </c>
      <c r="C485">
        <v>2114</v>
      </c>
      <c r="D485" t="s">
        <v>3409</v>
      </c>
      <c r="E485">
        <v>884</v>
      </c>
      <c r="F485">
        <v>1318</v>
      </c>
      <c r="G485" t="s">
        <v>3302</v>
      </c>
      <c r="H485">
        <v>1</v>
      </c>
      <c r="I485" t="s">
        <v>3315</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4">
        <v>506</v>
      </c>
      <c r="B486">
        <v>46</v>
      </c>
      <c r="C486">
        <v>2114</v>
      </c>
      <c r="D486" t="s">
        <v>3409</v>
      </c>
      <c r="E486">
        <v>884</v>
      </c>
      <c r="F486">
        <v>1318</v>
      </c>
      <c r="G486" t="s">
        <v>3302</v>
      </c>
      <c r="H486">
        <v>1</v>
      </c>
      <c r="I486" t="s">
        <v>3316</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4">
        <v>507</v>
      </c>
      <c r="B487">
        <v>46</v>
      </c>
      <c r="C487">
        <v>2114</v>
      </c>
      <c r="D487" t="s">
        <v>3409</v>
      </c>
      <c r="E487">
        <v>884</v>
      </c>
      <c r="F487">
        <v>1318</v>
      </c>
      <c r="G487" t="s">
        <v>3302</v>
      </c>
      <c r="H487">
        <v>1</v>
      </c>
      <c r="I487" t="s">
        <v>3317</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4">
        <v>508</v>
      </c>
      <c r="B488">
        <v>46</v>
      </c>
      <c r="C488">
        <v>2114</v>
      </c>
      <c r="D488" t="s">
        <v>3409</v>
      </c>
      <c r="E488">
        <v>884</v>
      </c>
      <c r="F488">
        <v>1318</v>
      </c>
      <c r="G488" t="s">
        <v>3302</v>
      </c>
      <c r="H488">
        <v>1</v>
      </c>
      <c r="I488" t="s">
        <v>3318</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4">
        <v>509</v>
      </c>
      <c r="B489">
        <v>46</v>
      </c>
      <c r="C489">
        <v>2114</v>
      </c>
      <c r="D489" t="s">
        <v>3409</v>
      </c>
      <c r="E489">
        <v>884</v>
      </c>
      <c r="F489">
        <v>1318</v>
      </c>
      <c r="G489" t="s">
        <v>3302</v>
      </c>
      <c r="H489">
        <v>1</v>
      </c>
      <c r="I489" t="s">
        <v>3319</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4">
        <v>510</v>
      </c>
      <c r="B490">
        <v>46</v>
      </c>
      <c r="C490">
        <v>2114</v>
      </c>
      <c r="D490" t="s">
        <v>3409</v>
      </c>
      <c r="E490">
        <v>884</v>
      </c>
      <c r="F490">
        <v>1318</v>
      </c>
      <c r="G490" t="s">
        <v>3302</v>
      </c>
      <c r="H490">
        <v>1</v>
      </c>
      <c r="I490" t="s">
        <v>3320</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4">
        <v>511</v>
      </c>
      <c r="B491">
        <v>46</v>
      </c>
      <c r="C491">
        <v>2114</v>
      </c>
      <c r="D491" t="s">
        <v>3409</v>
      </c>
      <c r="E491">
        <v>884</v>
      </c>
      <c r="F491">
        <v>1318</v>
      </c>
      <c r="G491" t="s">
        <v>3302</v>
      </c>
      <c r="H491">
        <v>1</v>
      </c>
      <c r="I491" t="s">
        <v>3321</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4">
        <v>512</v>
      </c>
      <c r="B492">
        <v>46</v>
      </c>
      <c r="C492">
        <v>2114</v>
      </c>
      <c r="D492" t="s">
        <v>3409</v>
      </c>
      <c r="E492">
        <v>884</v>
      </c>
      <c r="F492">
        <v>1318</v>
      </c>
      <c r="G492" t="s">
        <v>3302</v>
      </c>
      <c r="H492">
        <v>1</v>
      </c>
      <c r="I492" t="s">
        <v>3303</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4">
        <v>513</v>
      </c>
      <c r="B493">
        <v>46</v>
      </c>
      <c r="C493">
        <v>2114</v>
      </c>
      <c r="D493" t="s">
        <v>3409</v>
      </c>
      <c r="E493">
        <v>884</v>
      </c>
      <c r="F493">
        <v>1318</v>
      </c>
      <c r="G493" t="s">
        <v>3302</v>
      </c>
      <c r="H493">
        <v>1</v>
      </c>
      <c r="I493" t="s">
        <v>3304</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4">
        <v>517</v>
      </c>
      <c r="B494">
        <v>46</v>
      </c>
      <c r="C494">
        <v>2114</v>
      </c>
      <c r="D494" t="s">
        <v>3409</v>
      </c>
      <c r="E494">
        <v>884</v>
      </c>
      <c r="F494">
        <v>1318</v>
      </c>
      <c r="G494" t="s">
        <v>3302</v>
      </c>
      <c r="H494">
        <v>0</v>
      </c>
      <c r="I494" t="s">
        <v>3305</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4">
        <v>518</v>
      </c>
      <c r="B495">
        <v>46</v>
      </c>
      <c r="C495">
        <v>2114</v>
      </c>
      <c r="D495" t="s">
        <v>3409</v>
      </c>
      <c r="E495">
        <v>884</v>
      </c>
      <c r="F495">
        <v>1318</v>
      </c>
      <c r="G495" t="s">
        <v>3302</v>
      </c>
      <c r="H495">
        <v>1</v>
      </c>
      <c r="I495" t="s">
        <v>3306</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4">
        <v>519</v>
      </c>
      <c r="B496">
        <v>46</v>
      </c>
      <c r="C496">
        <v>2114</v>
      </c>
      <c r="D496" t="s">
        <v>3409</v>
      </c>
      <c r="E496">
        <v>884</v>
      </c>
      <c r="F496">
        <v>1318</v>
      </c>
      <c r="G496" t="s">
        <v>3302</v>
      </c>
      <c r="H496">
        <v>1</v>
      </c>
      <c r="I496" t="s">
        <v>3307</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4">
        <v>520</v>
      </c>
      <c r="B497">
        <v>46</v>
      </c>
      <c r="C497">
        <v>2114</v>
      </c>
      <c r="D497" t="s">
        <v>3409</v>
      </c>
      <c r="E497">
        <v>884</v>
      </c>
      <c r="F497">
        <v>1318</v>
      </c>
      <c r="G497" t="s">
        <v>3302</v>
      </c>
      <c r="H497">
        <v>6</v>
      </c>
      <c r="I497" t="s">
        <v>3410</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4">
        <v>521</v>
      </c>
      <c r="B498">
        <v>46</v>
      </c>
      <c r="C498">
        <v>2114</v>
      </c>
      <c r="D498" t="s">
        <v>3409</v>
      </c>
      <c r="E498">
        <v>884</v>
      </c>
      <c r="F498">
        <v>1318</v>
      </c>
      <c r="G498" t="s">
        <v>3302</v>
      </c>
      <c r="H498">
        <v>6</v>
      </c>
      <c r="I498" t="s">
        <v>3403</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4">
        <v>522</v>
      </c>
      <c r="B499">
        <v>46</v>
      </c>
      <c r="C499">
        <v>2114</v>
      </c>
      <c r="D499" t="s">
        <v>3409</v>
      </c>
      <c r="E499">
        <v>884</v>
      </c>
      <c r="F499">
        <v>1318</v>
      </c>
      <c r="G499" t="s">
        <v>3302</v>
      </c>
      <c r="H499">
        <v>7</v>
      </c>
      <c r="I499" t="s">
        <v>3309</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4">
        <v>523</v>
      </c>
      <c r="B500">
        <v>46</v>
      </c>
      <c r="C500">
        <v>2114</v>
      </c>
      <c r="D500" t="s">
        <v>3409</v>
      </c>
      <c r="E500">
        <v>884</v>
      </c>
      <c r="F500">
        <v>1318</v>
      </c>
      <c r="G500" t="s">
        <v>3302</v>
      </c>
      <c r="H500">
        <v>7</v>
      </c>
      <c r="I500" t="s">
        <v>3310</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4">
        <v>524</v>
      </c>
      <c r="B501">
        <v>48</v>
      </c>
      <c r="C501">
        <v>2212</v>
      </c>
      <c r="D501" t="s">
        <v>3475</v>
      </c>
      <c r="E501">
        <v>929</v>
      </c>
      <c r="F501">
        <v>1383</v>
      </c>
      <c r="G501" t="s">
        <v>3463</v>
      </c>
      <c r="H501">
        <v>1</v>
      </c>
      <c r="I501" t="s">
        <v>3479</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4">
        <v>525</v>
      </c>
      <c r="B502">
        <v>48</v>
      </c>
      <c r="C502">
        <v>2212</v>
      </c>
      <c r="D502" t="s">
        <v>3475</v>
      </c>
      <c r="E502">
        <v>929</v>
      </c>
      <c r="F502">
        <v>1383</v>
      </c>
      <c r="G502" t="s">
        <v>3463</v>
      </c>
      <c r="H502">
        <v>1</v>
      </c>
      <c r="I502" t="s">
        <v>3480</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4">
        <v>526</v>
      </c>
      <c r="B503">
        <v>48</v>
      </c>
      <c r="C503">
        <v>2212</v>
      </c>
      <c r="D503" t="s">
        <v>3475</v>
      </c>
      <c r="E503">
        <v>929</v>
      </c>
      <c r="F503">
        <v>1383</v>
      </c>
      <c r="G503" t="s">
        <v>3463</v>
      </c>
      <c r="H503">
        <v>1</v>
      </c>
      <c r="I503" t="s">
        <v>3481</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4">
        <v>527</v>
      </c>
      <c r="B504">
        <v>48</v>
      </c>
      <c r="C504">
        <v>2212</v>
      </c>
      <c r="D504" t="s">
        <v>3475</v>
      </c>
      <c r="E504">
        <v>929</v>
      </c>
      <c r="F504">
        <v>1383</v>
      </c>
      <c r="G504" t="s">
        <v>3463</v>
      </c>
      <c r="H504">
        <v>1</v>
      </c>
      <c r="I504" t="s">
        <v>3482</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4">
        <v>528</v>
      </c>
      <c r="B505">
        <v>48</v>
      </c>
      <c r="C505">
        <v>2212</v>
      </c>
      <c r="D505" t="s">
        <v>3475</v>
      </c>
      <c r="E505">
        <v>929</v>
      </c>
      <c r="F505">
        <v>1383</v>
      </c>
      <c r="G505" t="s">
        <v>3463</v>
      </c>
      <c r="H505">
        <v>1</v>
      </c>
      <c r="I505" t="s">
        <v>3476</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4">
        <v>529</v>
      </c>
      <c r="B506">
        <v>48</v>
      </c>
      <c r="C506">
        <v>2212</v>
      </c>
      <c r="D506" t="s">
        <v>3475</v>
      </c>
      <c r="E506">
        <v>929</v>
      </c>
      <c r="F506">
        <v>1383</v>
      </c>
      <c r="G506" t="s">
        <v>3463</v>
      </c>
      <c r="H506">
        <v>1</v>
      </c>
      <c r="I506" t="s">
        <v>3477</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4">
        <v>530</v>
      </c>
      <c r="B507">
        <v>48</v>
      </c>
      <c r="C507">
        <v>2212</v>
      </c>
      <c r="D507" t="s">
        <v>3475</v>
      </c>
      <c r="E507">
        <v>929</v>
      </c>
      <c r="F507">
        <v>1383</v>
      </c>
      <c r="G507" t="s">
        <v>3463</v>
      </c>
      <c r="H507">
        <v>1</v>
      </c>
      <c r="I507" t="s">
        <v>3478</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4">
        <v>531</v>
      </c>
      <c r="B508">
        <v>11</v>
      </c>
      <c r="C508">
        <v>7</v>
      </c>
      <c r="D508" t="s">
        <v>2307</v>
      </c>
      <c r="E508">
        <v>9</v>
      </c>
      <c r="F508">
        <v>41</v>
      </c>
      <c r="G508" t="s">
        <v>2307</v>
      </c>
      <c r="H508">
        <v>6</v>
      </c>
      <c r="I508" t="s">
        <v>3576</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4">
        <v>532</v>
      </c>
      <c r="B509">
        <v>12</v>
      </c>
      <c r="C509">
        <v>125</v>
      </c>
      <c r="D509" t="s">
        <v>2305</v>
      </c>
      <c r="E509">
        <v>16</v>
      </c>
      <c r="F509">
        <v>103</v>
      </c>
      <c r="G509" t="s">
        <v>2305</v>
      </c>
      <c r="H509">
        <v>6</v>
      </c>
      <c r="I509" t="s">
        <v>3577</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4">
        <v>533</v>
      </c>
      <c r="B510">
        <v>46</v>
      </c>
      <c r="C510">
        <v>2114</v>
      </c>
      <c r="D510" t="s">
        <v>3409</v>
      </c>
      <c r="E510">
        <v>884</v>
      </c>
      <c r="F510">
        <v>1318</v>
      </c>
      <c r="G510" t="s">
        <v>3302</v>
      </c>
      <c r="H510">
        <v>7</v>
      </c>
      <c r="I510" t="s">
        <v>3817</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4">
        <v>534</v>
      </c>
      <c r="B511">
        <v>49</v>
      </c>
      <c r="C511">
        <v>2274</v>
      </c>
      <c r="D511" t="s">
        <v>3625</v>
      </c>
      <c r="E511">
        <v>958</v>
      </c>
      <c r="F511">
        <v>1414</v>
      </c>
      <c r="G511" t="s">
        <v>3625</v>
      </c>
      <c r="H511">
        <v>3</v>
      </c>
      <c r="I511" t="s">
        <v>3630</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4">
        <v>535</v>
      </c>
      <c r="B512">
        <v>49</v>
      </c>
      <c r="C512">
        <v>2274</v>
      </c>
      <c r="D512" t="s">
        <v>3625</v>
      </c>
      <c r="E512">
        <v>958</v>
      </c>
      <c r="F512">
        <v>1414</v>
      </c>
      <c r="G512" t="s">
        <v>3625</v>
      </c>
      <c r="H512">
        <v>1</v>
      </c>
      <c r="I512" t="s">
        <v>3631</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4">
        <v>536</v>
      </c>
      <c r="B513">
        <v>49</v>
      </c>
      <c r="C513">
        <v>2274</v>
      </c>
      <c r="D513" t="s">
        <v>3625</v>
      </c>
      <c r="E513">
        <v>958</v>
      </c>
      <c r="F513">
        <v>1414</v>
      </c>
      <c r="G513" t="s">
        <v>3625</v>
      </c>
      <c r="H513">
        <v>1</v>
      </c>
      <c r="I513" t="s">
        <v>3632</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4">
        <v>537</v>
      </c>
      <c r="B514">
        <v>49</v>
      </c>
      <c r="C514">
        <v>2274</v>
      </c>
      <c r="D514" t="s">
        <v>3625</v>
      </c>
      <c r="E514">
        <v>958</v>
      </c>
      <c r="F514">
        <v>1414</v>
      </c>
      <c r="G514" t="s">
        <v>3625</v>
      </c>
      <c r="H514">
        <v>1</v>
      </c>
      <c r="I514" t="s">
        <v>3818</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4">
        <v>538</v>
      </c>
      <c r="B515">
        <v>49</v>
      </c>
      <c r="C515">
        <v>2274</v>
      </c>
      <c r="D515" t="s">
        <v>3625</v>
      </c>
      <c r="E515">
        <v>958</v>
      </c>
      <c r="F515">
        <v>1414</v>
      </c>
      <c r="G515" t="s">
        <v>3625</v>
      </c>
      <c r="H515">
        <v>1</v>
      </c>
      <c r="I515" t="s">
        <v>3633</v>
      </c>
      <c r="J515" s="30" t="str">
        <f t="shared" ref="J515:J537"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4">
        <v>539</v>
      </c>
      <c r="B516">
        <v>49</v>
      </c>
      <c r="C516">
        <v>2274</v>
      </c>
      <c r="D516" t="s">
        <v>3625</v>
      </c>
      <c r="E516">
        <v>958</v>
      </c>
      <c r="F516">
        <v>1414</v>
      </c>
      <c r="G516" t="s">
        <v>3625</v>
      </c>
      <c r="H516">
        <v>1</v>
      </c>
      <c r="I516" t="s">
        <v>3634</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4">
        <v>540</v>
      </c>
      <c r="B517">
        <v>50</v>
      </c>
      <c r="C517">
        <v>2275</v>
      </c>
      <c r="D517" t="s">
        <v>3619</v>
      </c>
      <c r="E517">
        <v>957</v>
      </c>
      <c r="F517">
        <v>1413</v>
      </c>
      <c r="G517" t="s">
        <v>3619</v>
      </c>
      <c r="H517">
        <v>1</v>
      </c>
      <c r="I517" t="s">
        <v>3635</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4">
        <v>541</v>
      </c>
      <c r="B518">
        <v>50</v>
      </c>
      <c r="C518">
        <v>2275</v>
      </c>
      <c r="D518" t="s">
        <v>3619</v>
      </c>
      <c r="E518">
        <v>957</v>
      </c>
      <c r="F518">
        <v>1413</v>
      </c>
      <c r="G518" t="s">
        <v>3619</v>
      </c>
      <c r="H518">
        <v>1</v>
      </c>
      <c r="I518" t="s">
        <v>3636</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4">
        <v>542</v>
      </c>
      <c r="B519">
        <v>50</v>
      </c>
      <c r="C519">
        <v>2275</v>
      </c>
      <c r="D519" t="s">
        <v>3619</v>
      </c>
      <c r="E519">
        <v>957</v>
      </c>
      <c r="F519">
        <v>1413</v>
      </c>
      <c r="G519" t="s">
        <v>3619</v>
      </c>
      <c r="H519">
        <v>1</v>
      </c>
      <c r="I519" t="s">
        <v>3637</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4">
        <v>543</v>
      </c>
      <c r="B520">
        <v>50</v>
      </c>
      <c r="C520">
        <v>2275</v>
      </c>
      <c r="D520" t="s">
        <v>3619</v>
      </c>
      <c r="E520">
        <v>957</v>
      </c>
      <c r="F520">
        <v>1413</v>
      </c>
      <c r="G520" t="s">
        <v>3619</v>
      </c>
      <c r="H520">
        <v>1</v>
      </c>
      <c r="I520" t="s">
        <v>3638</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4">
        <v>544</v>
      </c>
      <c r="B521">
        <v>50</v>
      </c>
      <c r="C521">
        <v>2275</v>
      </c>
      <c r="D521" t="s">
        <v>3619</v>
      </c>
      <c r="E521">
        <v>957</v>
      </c>
      <c r="F521">
        <v>1413</v>
      </c>
      <c r="G521" t="s">
        <v>3619</v>
      </c>
      <c r="H521">
        <v>1</v>
      </c>
      <c r="I521" t="s">
        <v>3620</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4">
        <v>545</v>
      </c>
      <c r="B522">
        <v>50</v>
      </c>
      <c r="C522">
        <v>2275</v>
      </c>
      <c r="D522" t="s">
        <v>3619</v>
      </c>
      <c r="E522">
        <v>957</v>
      </c>
      <c r="F522">
        <v>1413</v>
      </c>
      <c r="G522" t="s">
        <v>3619</v>
      </c>
      <c r="H522">
        <v>1</v>
      </c>
      <c r="I522" t="s">
        <v>3621</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4">
        <v>546</v>
      </c>
      <c r="B523">
        <v>50</v>
      </c>
      <c r="C523">
        <v>2275</v>
      </c>
      <c r="D523" t="s">
        <v>3619</v>
      </c>
      <c r="E523">
        <v>957</v>
      </c>
      <c r="F523">
        <v>1413</v>
      </c>
      <c r="G523" t="s">
        <v>3619</v>
      </c>
      <c r="H523">
        <v>1</v>
      </c>
      <c r="I523" t="s">
        <v>3622</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4">
        <v>547</v>
      </c>
      <c r="B524">
        <v>50</v>
      </c>
      <c r="C524">
        <v>2275</v>
      </c>
      <c r="D524" t="s">
        <v>3619</v>
      </c>
      <c r="E524">
        <v>957</v>
      </c>
      <c r="F524">
        <v>1413</v>
      </c>
      <c r="G524" t="s">
        <v>3619</v>
      </c>
      <c r="H524">
        <v>1</v>
      </c>
      <c r="I524" t="s">
        <v>3623</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4">
        <v>548</v>
      </c>
      <c r="B525">
        <v>50</v>
      </c>
      <c r="C525">
        <v>2275</v>
      </c>
      <c r="D525" t="s">
        <v>3619</v>
      </c>
      <c r="E525">
        <v>957</v>
      </c>
      <c r="F525">
        <v>1413</v>
      </c>
      <c r="G525" t="s">
        <v>3619</v>
      </c>
      <c r="H525">
        <v>1</v>
      </c>
      <c r="I525" t="s">
        <v>3624</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4">
        <v>549</v>
      </c>
      <c r="B526">
        <v>49</v>
      </c>
      <c r="C526">
        <v>2274</v>
      </c>
      <c r="D526" t="s">
        <v>3625</v>
      </c>
      <c r="E526">
        <v>958</v>
      </c>
      <c r="F526">
        <v>1414</v>
      </c>
      <c r="G526" t="s">
        <v>3625</v>
      </c>
      <c r="H526">
        <v>1</v>
      </c>
      <c r="I526" t="s">
        <v>3626</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4">
        <v>550</v>
      </c>
      <c r="B527">
        <v>50</v>
      </c>
      <c r="C527">
        <v>2275</v>
      </c>
      <c r="D527" t="s">
        <v>3619</v>
      </c>
      <c r="E527">
        <v>957</v>
      </c>
      <c r="F527">
        <v>1413</v>
      </c>
      <c r="G527" t="s">
        <v>3619</v>
      </c>
      <c r="H527">
        <v>6</v>
      </c>
      <c r="I527" t="s">
        <v>3747</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4">
        <v>551</v>
      </c>
      <c r="B528">
        <v>48</v>
      </c>
      <c r="C528">
        <v>2212</v>
      </c>
      <c r="D528" t="s">
        <v>3475</v>
      </c>
      <c r="E528">
        <v>929</v>
      </c>
      <c r="F528">
        <v>1383</v>
      </c>
      <c r="G528" t="s">
        <v>3463</v>
      </c>
      <c r="H528">
        <v>7</v>
      </c>
      <c r="I528" t="s">
        <v>3819</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4">
        <v>552</v>
      </c>
      <c r="B529">
        <v>49</v>
      </c>
      <c r="C529">
        <v>2274</v>
      </c>
      <c r="D529" t="s">
        <v>3625</v>
      </c>
      <c r="E529">
        <v>958</v>
      </c>
      <c r="F529">
        <v>1414</v>
      </c>
      <c r="G529" t="s">
        <v>3625</v>
      </c>
      <c r="H529">
        <v>7</v>
      </c>
      <c r="I529" t="s">
        <v>3627</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4">
        <v>553</v>
      </c>
      <c r="B530">
        <v>49</v>
      </c>
      <c r="C530">
        <v>2274</v>
      </c>
      <c r="D530" t="s">
        <v>3625</v>
      </c>
      <c r="E530">
        <v>958</v>
      </c>
      <c r="F530">
        <v>1414</v>
      </c>
      <c r="G530" t="s">
        <v>3625</v>
      </c>
      <c r="H530">
        <v>7</v>
      </c>
      <c r="I530" t="s">
        <v>3628</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4">
        <v>554</v>
      </c>
      <c r="B531">
        <v>49</v>
      </c>
      <c r="C531">
        <v>2274</v>
      </c>
      <c r="D531" t="s">
        <v>3625</v>
      </c>
      <c r="E531">
        <v>958</v>
      </c>
      <c r="F531">
        <v>1414</v>
      </c>
      <c r="G531" t="s">
        <v>3625</v>
      </c>
      <c r="H531">
        <v>1</v>
      </c>
      <c r="I531" t="s">
        <v>3629</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4">
        <v>555</v>
      </c>
      <c r="B532">
        <v>49</v>
      </c>
      <c r="C532">
        <v>2274</v>
      </c>
      <c r="D532" t="s">
        <v>3625</v>
      </c>
      <c r="E532">
        <v>958</v>
      </c>
      <c r="F532">
        <v>1414</v>
      </c>
      <c r="G532" t="s">
        <v>3625</v>
      </c>
      <c r="H532">
        <v>7</v>
      </c>
      <c r="I532" t="s">
        <v>3770</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2207</v>
      </c>
      <c r="E533">
        <v>784</v>
      </c>
      <c r="F533">
        <v>1207</v>
      </c>
      <c r="G533" t="s">
        <v>2207</v>
      </c>
      <c r="H533">
        <v>6</v>
      </c>
      <c r="I533" t="s">
        <v>3916</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4">
        <v>557</v>
      </c>
      <c r="B534">
        <v>31</v>
      </c>
      <c r="C534">
        <v>1313</v>
      </c>
      <c r="D534" t="s">
        <v>2312</v>
      </c>
      <c r="E534">
        <v>590</v>
      </c>
      <c r="F534">
        <v>980</v>
      </c>
      <c r="G534" t="s">
        <v>3027</v>
      </c>
      <c r="H534">
        <v>7</v>
      </c>
      <c r="I534" t="s">
        <v>3820</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450</v>
      </c>
      <c r="E535">
        <v>380</v>
      </c>
      <c r="F535">
        <v>684</v>
      </c>
      <c r="G535" t="s">
        <v>450</v>
      </c>
      <c r="H535">
        <v>6</v>
      </c>
      <c r="I535" t="s">
        <v>3917</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4">
        <v>566</v>
      </c>
      <c r="B536">
        <v>48</v>
      </c>
      <c r="C536">
        <v>2212</v>
      </c>
      <c r="D536" t="s">
        <v>3475</v>
      </c>
      <c r="E536">
        <v>929</v>
      </c>
      <c r="F536">
        <v>1383</v>
      </c>
      <c r="G536" t="s">
        <v>3463</v>
      </c>
      <c r="H536">
        <v>7</v>
      </c>
      <c r="I536" t="s">
        <v>3821</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4">
        <v>567</v>
      </c>
      <c r="B537">
        <v>50</v>
      </c>
      <c r="C537">
        <v>2275</v>
      </c>
      <c r="D537" t="s">
        <v>3619</v>
      </c>
      <c r="E537">
        <v>957</v>
      </c>
      <c r="F537">
        <v>1413</v>
      </c>
      <c r="G537" t="s">
        <v>3619</v>
      </c>
      <c r="H537">
        <v>7</v>
      </c>
      <c r="I537" t="s">
        <v>3822</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sheetData>
  <autoFilter ref="A2:N511"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7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3775</v>
      </c>
      <c r="C1" s="51"/>
      <c r="D1" s="51" t="s">
        <v>3658</v>
      </c>
      <c r="E1" s="51"/>
      <c r="F1" s="51"/>
      <c r="G1" s="51"/>
      <c r="H1" s="51"/>
      <c r="I1" s="51"/>
      <c r="J1" s="51"/>
      <c r="K1" s="51"/>
      <c r="L1" s="51"/>
    </row>
    <row r="2" spans="1:12" s="1" customFormat="1" x14ac:dyDescent="0.25">
      <c r="A2" s="5" t="s">
        <v>1385</v>
      </c>
      <c r="B2" s="1" t="s">
        <v>82</v>
      </c>
    </row>
    <row r="3" spans="1:12" x14ac:dyDescent="0.25">
      <c r="A3">
        <v>1</v>
      </c>
      <c r="B3" t="s">
        <v>1803</v>
      </c>
    </row>
    <row r="4" spans="1:12" x14ac:dyDescent="0.25">
      <c r="A4">
        <v>2</v>
      </c>
      <c r="B4" t="s">
        <v>1804</v>
      </c>
    </row>
    <row r="5" spans="1:12" x14ac:dyDescent="0.25">
      <c r="A5">
        <v>3</v>
      </c>
      <c r="B5" t="s">
        <v>1805</v>
      </c>
    </row>
    <row r="6" spans="1:12" x14ac:dyDescent="0.25">
      <c r="A6">
        <v>4</v>
      </c>
      <c r="B6" t="s">
        <v>1806</v>
      </c>
    </row>
    <row r="7" spans="1:12" x14ac:dyDescent="0.25">
      <c r="A7">
        <v>5</v>
      </c>
      <c r="B7" t="s">
        <v>1807</v>
      </c>
    </row>
    <row r="8" spans="1:12" x14ac:dyDescent="0.25">
      <c r="A8">
        <v>6</v>
      </c>
      <c r="B8" t="s">
        <v>1808</v>
      </c>
    </row>
    <row r="9" spans="1:12" x14ac:dyDescent="0.25">
      <c r="A9">
        <v>7</v>
      </c>
      <c r="B9" t="s">
        <v>1809</v>
      </c>
    </row>
    <row r="10" spans="1:12" x14ac:dyDescent="0.25">
      <c r="A10">
        <v>8</v>
      </c>
      <c r="B10" t="s">
        <v>1810</v>
      </c>
    </row>
    <row r="11" spans="1:12" x14ac:dyDescent="0.25">
      <c r="A11">
        <v>9</v>
      </c>
      <c r="B11" t="s">
        <v>1811</v>
      </c>
    </row>
    <row r="12" spans="1:12" x14ac:dyDescent="0.25">
      <c r="A12">
        <v>10</v>
      </c>
      <c r="B12" t="s">
        <v>1812</v>
      </c>
    </row>
    <row r="13" spans="1:12" x14ac:dyDescent="0.25">
      <c r="A13">
        <v>11</v>
      </c>
      <c r="B13" t="s">
        <v>1813</v>
      </c>
    </row>
    <row r="14" spans="1:12" x14ac:dyDescent="0.25">
      <c r="A14">
        <v>12</v>
      </c>
      <c r="B14" t="s">
        <v>1814</v>
      </c>
    </row>
    <row r="15" spans="1:12" x14ac:dyDescent="0.25">
      <c r="A15">
        <v>13</v>
      </c>
      <c r="B15" t="s">
        <v>1815</v>
      </c>
    </row>
    <row r="16" spans="1:12" x14ac:dyDescent="0.25">
      <c r="A16">
        <v>14</v>
      </c>
      <c r="B16" t="s">
        <v>1816</v>
      </c>
    </row>
    <row r="17" spans="1:2" x14ac:dyDescent="0.25">
      <c r="A17">
        <v>15</v>
      </c>
      <c r="B17" t="s">
        <v>1817</v>
      </c>
    </row>
    <row r="18" spans="1:2" x14ac:dyDescent="0.25">
      <c r="A18">
        <v>16</v>
      </c>
      <c r="B18" t="s">
        <v>1818</v>
      </c>
    </row>
    <row r="19" spans="1:2" x14ac:dyDescent="0.25">
      <c r="A19">
        <v>17</v>
      </c>
      <c r="B19" t="s">
        <v>1819</v>
      </c>
    </row>
    <row r="20" spans="1:2" x14ac:dyDescent="0.25">
      <c r="A20">
        <v>18</v>
      </c>
      <c r="B20" t="s">
        <v>1820</v>
      </c>
    </row>
    <row r="21" spans="1:2" x14ac:dyDescent="0.25">
      <c r="A21">
        <v>19</v>
      </c>
      <c r="B21" t="s">
        <v>1821</v>
      </c>
    </row>
    <row r="22" spans="1:2" x14ac:dyDescent="0.25">
      <c r="A22">
        <v>20</v>
      </c>
      <c r="B22" t="s">
        <v>1822</v>
      </c>
    </row>
    <row r="23" spans="1:2" x14ac:dyDescent="0.25">
      <c r="A23">
        <v>21</v>
      </c>
      <c r="B23" t="s">
        <v>1823</v>
      </c>
    </row>
    <row r="24" spans="1:2" x14ac:dyDescent="0.25">
      <c r="A24">
        <v>22</v>
      </c>
      <c r="B24" t="s">
        <v>1824</v>
      </c>
    </row>
    <row r="25" spans="1:2" x14ac:dyDescent="0.25">
      <c r="A25">
        <v>23</v>
      </c>
      <c r="B25" t="s">
        <v>1825</v>
      </c>
    </row>
    <row r="26" spans="1:2" x14ac:dyDescent="0.25">
      <c r="A26">
        <v>24</v>
      </c>
      <c r="B26" t="s">
        <v>1826</v>
      </c>
    </row>
    <row r="27" spans="1:2" x14ac:dyDescent="0.25">
      <c r="A27">
        <v>25</v>
      </c>
      <c r="B27" t="s">
        <v>1827</v>
      </c>
    </row>
    <row r="28" spans="1:2" x14ac:dyDescent="0.25">
      <c r="A28">
        <v>26</v>
      </c>
      <c r="B28" t="s">
        <v>1828</v>
      </c>
    </row>
    <row r="29" spans="1:2" x14ac:dyDescent="0.25">
      <c r="A29">
        <v>27</v>
      </c>
      <c r="B29" t="s">
        <v>1829</v>
      </c>
    </row>
    <row r="30" spans="1:2" x14ac:dyDescent="0.25">
      <c r="A30">
        <v>28</v>
      </c>
      <c r="B30" t="s">
        <v>1830</v>
      </c>
    </row>
    <row r="31" spans="1:2" x14ac:dyDescent="0.25">
      <c r="A31">
        <v>29</v>
      </c>
      <c r="B31" t="s">
        <v>1831</v>
      </c>
    </row>
    <row r="32" spans="1:2" x14ac:dyDescent="0.25">
      <c r="A32">
        <v>30</v>
      </c>
      <c r="B32" t="s">
        <v>1832</v>
      </c>
    </row>
    <row r="33" spans="1:2" x14ac:dyDescent="0.25">
      <c r="A33">
        <v>31</v>
      </c>
      <c r="B33" t="s">
        <v>1833</v>
      </c>
    </row>
    <row r="34" spans="1:2" x14ac:dyDescent="0.25">
      <c r="A34">
        <v>32</v>
      </c>
      <c r="B34" t="s">
        <v>1834</v>
      </c>
    </row>
    <row r="35" spans="1:2" x14ac:dyDescent="0.25">
      <c r="A35">
        <v>33</v>
      </c>
      <c r="B35" t="s">
        <v>1835</v>
      </c>
    </row>
    <row r="36" spans="1:2" x14ac:dyDescent="0.25">
      <c r="A36">
        <v>34</v>
      </c>
      <c r="B36" t="s">
        <v>1836</v>
      </c>
    </row>
    <row r="37" spans="1:2" x14ac:dyDescent="0.25">
      <c r="A37">
        <v>35</v>
      </c>
      <c r="B37" t="s">
        <v>1837</v>
      </c>
    </row>
    <row r="38" spans="1:2" x14ac:dyDescent="0.25">
      <c r="A38">
        <v>36</v>
      </c>
      <c r="B38" t="s">
        <v>1838</v>
      </c>
    </row>
    <row r="39" spans="1:2" x14ac:dyDescent="0.25">
      <c r="A39">
        <v>37</v>
      </c>
      <c r="B39" t="s">
        <v>1839</v>
      </c>
    </row>
    <row r="40" spans="1:2" x14ac:dyDescent="0.25">
      <c r="A40">
        <v>38</v>
      </c>
      <c r="B40" t="s">
        <v>1840</v>
      </c>
    </row>
    <row r="41" spans="1:2" x14ac:dyDescent="0.25">
      <c r="A41">
        <v>39</v>
      </c>
      <c r="B41" t="s">
        <v>1841</v>
      </c>
    </row>
    <row r="42" spans="1:2" x14ac:dyDescent="0.25">
      <c r="A42">
        <v>40</v>
      </c>
      <c r="B42" t="s">
        <v>1842</v>
      </c>
    </row>
    <row r="43" spans="1:2" x14ac:dyDescent="0.25">
      <c r="A43">
        <v>41</v>
      </c>
      <c r="B43" t="s">
        <v>1843</v>
      </c>
    </row>
    <row r="44" spans="1:2" x14ac:dyDescent="0.25">
      <c r="A44">
        <v>42</v>
      </c>
      <c r="B44" t="s">
        <v>1844</v>
      </c>
    </row>
    <row r="45" spans="1:2" x14ac:dyDescent="0.25">
      <c r="A45">
        <v>43</v>
      </c>
      <c r="B45" t="s">
        <v>1845</v>
      </c>
    </row>
    <row r="46" spans="1:2" x14ac:dyDescent="0.25">
      <c r="A46">
        <v>44</v>
      </c>
      <c r="B46" t="s">
        <v>1846</v>
      </c>
    </row>
    <row r="47" spans="1:2" x14ac:dyDescent="0.25">
      <c r="A47">
        <v>45</v>
      </c>
      <c r="B47" t="s">
        <v>1847</v>
      </c>
    </row>
    <row r="48" spans="1:2" x14ac:dyDescent="0.25">
      <c r="A48">
        <v>46</v>
      </c>
      <c r="B48" t="s">
        <v>1848</v>
      </c>
    </row>
    <row r="49" spans="1:2" x14ac:dyDescent="0.25">
      <c r="A49">
        <v>47</v>
      </c>
      <c r="B49" t="s">
        <v>1849</v>
      </c>
    </row>
    <row r="50" spans="1:2" x14ac:dyDescent="0.25">
      <c r="A50">
        <v>48</v>
      </c>
      <c r="B50" t="s">
        <v>1850</v>
      </c>
    </row>
    <row r="51" spans="1:2" x14ac:dyDescent="0.25">
      <c r="A51">
        <v>49</v>
      </c>
      <c r="B51" t="s">
        <v>1851</v>
      </c>
    </row>
    <row r="52" spans="1:2" x14ac:dyDescent="0.25">
      <c r="A52">
        <v>50</v>
      </c>
      <c r="B52" t="s">
        <v>1852</v>
      </c>
    </row>
    <row r="53" spans="1:2" x14ac:dyDescent="0.25">
      <c r="A53">
        <v>51</v>
      </c>
      <c r="B53" t="s">
        <v>1853</v>
      </c>
    </row>
    <row r="54" spans="1:2" x14ac:dyDescent="0.25">
      <c r="A54">
        <v>52</v>
      </c>
      <c r="B54" t="s">
        <v>1854</v>
      </c>
    </row>
    <row r="55" spans="1:2" x14ac:dyDescent="0.25">
      <c r="A55">
        <v>53</v>
      </c>
      <c r="B55" t="s">
        <v>1855</v>
      </c>
    </row>
    <row r="56" spans="1:2" x14ac:dyDescent="0.25">
      <c r="A56">
        <v>54</v>
      </c>
    </row>
    <row r="57" spans="1:2" x14ac:dyDescent="0.25">
      <c r="A57">
        <v>55</v>
      </c>
      <c r="B57" t="s">
        <v>1856</v>
      </c>
    </row>
    <row r="58" spans="1:2" x14ac:dyDescent="0.25">
      <c r="A58">
        <v>56</v>
      </c>
      <c r="B58" t="s">
        <v>1857</v>
      </c>
    </row>
    <row r="59" spans="1:2" x14ac:dyDescent="0.25">
      <c r="A59">
        <v>57</v>
      </c>
      <c r="B59" t="s">
        <v>1858</v>
      </c>
    </row>
    <row r="60" spans="1:2" x14ac:dyDescent="0.25">
      <c r="A60">
        <v>58</v>
      </c>
      <c r="B60" t="s">
        <v>1859</v>
      </c>
    </row>
    <row r="61" spans="1:2" x14ac:dyDescent="0.25">
      <c r="A61">
        <v>59</v>
      </c>
      <c r="B61" t="s">
        <v>1860</v>
      </c>
    </row>
    <row r="62" spans="1:2" x14ac:dyDescent="0.25">
      <c r="A62">
        <v>60</v>
      </c>
      <c r="B62" t="s">
        <v>1861</v>
      </c>
    </row>
    <row r="63" spans="1:2" x14ac:dyDescent="0.25">
      <c r="A63">
        <v>61</v>
      </c>
      <c r="B63" t="s">
        <v>1862</v>
      </c>
    </row>
    <row r="64" spans="1:2" x14ac:dyDescent="0.25">
      <c r="A64">
        <v>62</v>
      </c>
      <c r="B64" t="s">
        <v>1863</v>
      </c>
    </row>
    <row r="65" spans="1:2" x14ac:dyDescent="0.25">
      <c r="A65">
        <v>63</v>
      </c>
      <c r="B65" t="s">
        <v>1864</v>
      </c>
    </row>
    <row r="66" spans="1:2" x14ac:dyDescent="0.25">
      <c r="A66">
        <v>64</v>
      </c>
      <c r="B66" t="s">
        <v>1865</v>
      </c>
    </row>
    <row r="67" spans="1:2" x14ac:dyDescent="0.25">
      <c r="A67">
        <v>65</v>
      </c>
      <c r="B67" t="s">
        <v>1866</v>
      </c>
    </row>
    <row r="68" spans="1:2" x14ac:dyDescent="0.25">
      <c r="A68">
        <v>66</v>
      </c>
      <c r="B68" t="s">
        <v>1867</v>
      </c>
    </row>
    <row r="69" spans="1:2" x14ac:dyDescent="0.25">
      <c r="A69">
        <v>67</v>
      </c>
      <c r="B69" t="s">
        <v>1868</v>
      </c>
    </row>
    <row r="70" spans="1:2" x14ac:dyDescent="0.25">
      <c r="A70">
        <v>68</v>
      </c>
      <c r="B70" t="s">
        <v>1869</v>
      </c>
    </row>
    <row r="71" spans="1:2" x14ac:dyDescent="0.25">
      <c r="A71">
        <v>69</v>
      </c>
      <c r="B71" t="s">
        <v>1870</v>
      </c>
    </row>
    <row r="72" spans="1:2" x14ac:dyDescent="0.25">
      <c r="A72">
        <v>70</v>
      </c>
    </row>
    <row r="73" spans="1:2" x14ac:dyDescent="0.25">
      <c r="A73">
        <v>71</v>
      </c>
      <c r="B73" t="s">
        <v>1871</v>
      </c>
    </row>
    <row r="74" spans="1:2" x14ac:dyDescent="0.25">
      <c r="A74">
        <v>72</v>
      </c>
      <c r="B74" t="s">
        <v>1872</v>
      </c>
    </row>
    <row r="75" spans="1:2" x14ac:dyDescent="0.25">
      <c r="A75">
        <v>73</v>
      </c>
      <c r="B75" t="s">
        <v>1873</v>
      </c>
    </row>
    <row r="76" spans="1:2" x14ac:dyDescent="0.25">
      <c r="A76">
        <v>74</v>
      </c>
      <c r="B76" t="s">
        <v>1874</v>
      </c>
    </row>
    <row r="77" spans="1:2" x14ac:dyDescent="0.25">
      <c r="A77">
        <v>75</v>
      </c>
      <c r="B77" t="s">
        <v>1875</v>
      </c>
    </row>
    <row r="78" spans="1:2" x14ac:dyDescent="0.25">
      <c r="A78">
        <v>76</v>
      </c>
      <c r="B78" t="s">
        <v>1876</v>
      </c>
    </row>
    <row r="79" spans="1:2" x14ac:dyDescent="0.25">
      <c r="A79">
        <v>77</v>
      </c>
      <c r="B79" t="s">
        <v>1877</v>
      </c>
    </row>
    <row r="80" spans="1:2" x14ac:dyDescent="0.25">
      <c r="A80">
        <v>78</v>
      </c>
      <c r="B80" t="s">
        <v>1878</v>
      </c>
    </row>
    <row r="81" spans="1:2" x14ac:dyDescent="0.25">
      <c r="A81">
        <v>79</v>
      </c>
      <c r="B81" t="s">
        <v>1879</v>
      </c>
    </row>
    <row r="82" spans="1:2" x14ac:dyDescent="0.25">
      <c r="A82">
        <v>80</v>
      </c>
      <c r="B82" t="s">
        <v>1880</v>
      </c>
    </row>
    <row r="83" spans="1:2" x14ac:dyDescent="0.25">
      <c r="A83">
        <v>81</v>
      </c>
      <c r="B83" t="s">
        <v>1881</v>
      </c>
    </row>
    <row r="84" spans="1:2" x14ac:dyDescent="0.25">
      <c r="A84">
        <v>82</v>
      </c>
      <c r="B84" t="s">
        <v>1882</v>
      </c>
    </row>
    <row r="85" spans="1:2" x14ac:dyDescent="0.25">
      <c r="A85">
        <v>83</v>
      </c>
      <c r="B85" t="s">
        <v>1883</v>
      </c>
    </row>
    <row r="86" spans="1:2" x14ac:dyDescent="0.25">
      <c r="A86">
        <v>84</v>
      </c>
      <c r="B86" t="s">
        <v>1884</v>
      </c>
    </row>
    <row r="87" spans="1:2" x14ac:dyDescent="0.25">
      <c r="A87">
        <v>85</v>
      </c>
      <c r="B87" t="s">
        <v>1885</v>
      </c>
    </row>
    <row r="88" spans="1:2" x14ac:dyDescent="0.25">
      <c r="A88">
        <v>86</v>
      </c>
      <c r="B88" t="s">
        <v>1886</v>
      </c>
    </row>
    <row r="89" spans="1:2" x14ac:dyDescent="0.25">
      <c r="A89">
        <v>87</v>
      </c>
      <c r="B89" t="s">
        <v>1887</v>
      </c>
    </row>
    <row r="90" spans="1:2" x14ac:dyDescent="0.25">
      <c r="A90">
        <v>88</v>
      </c>
      <c r="B90" t="s">
        <v>1888</v>
      </c>
    </row>
    <row r="91" spans="1:2" x14ac:dyDescent="0.25">
      <c r="A91">
        <v>89</v>
      </c>
      <c r="B91" t="s">
        <v>1889</v>
      </c>
    </row>
    <row r="92" spans="1:2" x14ac:dyDescent="0.25">
      <c r="A92">
        <v>90</v>
      </c>
      <c r="B92" t="s">
        <v>1890</v>
      </c>
    </row>
    <row r="93" spans="1:2" x14ac:dyDescent="0.25">
      <c r="A93">
        <v>91</v>
      </c>
      <c r="B93" t="s">
        <v>1891</v>
      </c>
    </row>
    <row r="94" spans="1:2" x14ac:dyDescent="0.25">
      <c r="A94">
        <v>92</v>
      </c>
      <c r="B94" t="s">
        <v>1892</v>
      </c>
    </row>
    <row r="95" spans="1:2" x14ac:dyDescent="0.25">
      <c r="A95">
        <v>93</v>
      </c>
      <c r="B95" t="s">
        <v>1893</v>
      </c>
    </row>
    <row r="96" spans="1:2" x14ac:dyDescent="0.25">
      <c r="A96">
        <v>94</v>
      </c>
      <c r="B96" t="s">
        <v>1894</v>
      </c>
    </row>
    <row r="97" spans="1:2" x14ac:dyDescent="0.25">
      <c r="A97">
        <v>95</v>
      </c>
      <c r="B97" t="s">
        <v>1895</v>
      </c>
    </row>
    <row r="98" spans="1:2" x14ac:dyDescent="0.25">
      <c r="A98">
        <v>96</v>
      </c>
      <c r="B98" t="s">
        <v>1896</v>
      </c>
    </row>
    <row r="99" spans="1:2" x14ac:dyDescent="0.25">
      <c r="A99">
        <v>97</v>
      </c>
      <c r="B99" t="s">
        <v>1897</v>
      </c>
    </row>
    <row r="100" spans="1:2" x14ac:dyDescent="0.25">
      <c r="A100">
        <v>98</v>
      </c>
      <c r="B100" t="s">
        <v>1898</v>
      </c>
    </row>
    <row r="101" spans="1:2" x14ac:dyDescent="0.25">
      <c r="A101">
        <v>99</v>
      </c>
      <c r="B101" t="s">
        <v>1899</v>
      </c>
    </row>
    <row r="102" spans="1:2" x14ac:dyDescent="0.25">
      <c r="A102">
        <v>100</v>
      </c>
      <c r="B102" t="s">
        <v>1900</v>
      </c>
    </row>
    <row r="103" spans="1:2" x14ac:dyDescent="0.25">
      <c r="A103">
        <v>101</v>
      </c>
      <c r="B103" t="s">
        <v>1901</v>
      </c>
    </row>
    <row r="104" spans="1:2" x14ac:dyDescent="0.25">
      <c r="A104">
        <v>102</v>
      </c>
      <c r="B104" t="s">
        <v>1902</v>
      </c>
    </row>
    <row r="105" spans="1:2" x14ac:dyDescent="0.25">
      <c r="A105">
        <v>103</v>
      </c>
      <c r="B105" t="s">
        <v>1903</v>
      </c>
    </row>
    <row r="106" spans="1:2" x14ac:dyDescent="0.25">
      <c r="A106">
        <v>104</v>
      </c>
      <c r="B106" t="s">
        <v>1904</v>
      </c>
    </row>
    <row r="107" spans="1:2" x14ac:dyDescent="0.25">
      <c r="A107">
        <v>105</v>
      </c>
      <c r="B107" t="s">
        <v>1905</v>
      </c>
    </row>
    <row r="108" spans="1:2" x14ac:dyDescent="0.25">
      <c r="A108">
        <v>106</v>
      </c>
      <c r="B108" t="s">
        <v>3915</v>
      </c>
    </row>
    <row r="109" spans="1:2" x14ac:dyDescent="0.25">
      <c r="A109">
        <v>107</v>
      </c>
      <c r="B109" t="s">
        <v>1906</v>
      </c>
    </row>
    <row r="110" spans="1:2" x14ac:dyDescent="0.25">
      <c r="A110">
        <v>108</v>
      </c>
      <c r="B110" t="s">
        <v>1907</v>
      </c>
    </row>
    <row r="111" spans="1:2" x14ac:dyDescent="0.25">
      <c r="A111">
        <v>109</v>
      </c>
      <c r="B111" t="s">
        <v>1908</v>
      </c>
    </row>
    <row r="112" spans="1:2" x14ac:dyDescent="0.25">
      <c r="A112">
        <v>110</v>
      </c>
      <c r="B112" t="s">
        <v>1909</v>
      </c>
    </row>
    <row r="113" spans="1:2" x14ac:dyDescent="0.25">
      <c r="A113">
        <v>111</v>
      </c>
      <c r="B113" t="s">
        <v>1910</v>
      </c>
    </row>
    <row r="114" spans="1:2" x14ac:dyDescent="0.25">
      <c r="A114">
        <v>112</v>
      </c>
      <c r="B114" t="s">
        <v>1911</v>
      </c>
    </row>
    <row r="115" spans="1:2" x14ac:dyDescent="0.25">
      <c r="A115">
        <v>113</v>
      </c>
      <c r="B115" t="s">
        <v>1912</v>
      </c>
    </row>
    <row r="116" spans="1:2" x14ac:dyDescent="0.25">
      <c r="A116">
        <v>114</v>
      </c>
      <c r="B116" t="s">
        <v>1913</v>
      </c>
    </row>
    <row r="117" spans="1:2" x14ac:dyDescent="0.25">
      <c r="A117">
        <v>115</v>
      </c>
      <c r="B117" t="s">
        <v>1914</v>
      </c>
    </row>
    <row r="118" spans="1:2" x14ac:dyDescent="0.25">
      <c r="A118">
        <v>116</v>
      </c>
      <c r="B118" t="s">
        <v>1915</v>
      </c>
    </row>
    <row r="119" spans="1:2" x14ac:dyDescent="0.25">
      <c r="A119">
        <v>117</v>
      </c>
      <c r="B119" t="s">
        <v>1916</v>
      </c>
    </row>
    <row r="120" spans="1:2" x14ac:dyDescent="0.25">
      <c r="A120">
        <v>118</v>
      </c>
      <c r="B120" t="s">
        <v>1917</v>
      </c>
    </row>
    <row r="121" spans="1:2" x14ac:dyDescent="0.25">
      <c r="A121">
        <v>119</v>
      </c>
      <c r="B121" t="s">
        <v>1918</v>
      </c>
    </row>
    <row r="122" spans="1:2" x14ac:dyDescent="0.25">
      <c r="A122">
        <v>120</v>
      </c>
      <c r="B122" t="s">
        <v>1919</v>
      </c>
    </row>
    <row r="123" spans="1:2" x14ac:dyDescent="0.25">
      <c r="A123">
        <v>121</v>
      </c>
      <c r="B123" t="s">
        <v>1920</v>
      </c>
    </row>
    <row r="124" spans="1:2" x14ac:dyDescent="0.25">
      <c r="A124">
        <v>122</v>
      </c>
      <c r="B124" t="s">
        <v>1921</v>
      </c>
    </row>
    <row r="125" spans="1:2" x14ac:dyDescent="0.25">
      <c r="A125">
        <v>123</v>
      </c>
      <c r="B125" t="s">
        <v>1922</v>
      </c>
    </row>
    <row r="126" spans="1:2" x14ac:dyDescent="0.25">
      <c r="A126">
        <v>124</v>
      </c>
      <c r="B126" t="s">
        <v>1923</v>
      </c>
    </row>
    <row r="127" spans="1:2" x14ac:dyDescent="0.25">
      <c r="A127">
        <v>125</v>
      </c>
      <c r="B127" t="s">
        <v>1924</v>
      </c>
    </row>
    <row r="128" spans="1:2" x14ac:dyDescent="0.25">
      <c r="A128">
        <v>126</v>
      </c>
      <c r="B128" t="s">
        <v>1925</v>
      </c>
    </row>
    <row r="129" spans="1:2" x14ac:dyDescent="0.25">
      <c r="A129">
        <v>127</v>
      </c>
      <c r="B129" t="s">
        <v>1926</v>
      </c>
    </row>
    <row r="130" spans="1:2" x14ac:dyDescent="0.25">
      <c r="A130">
        <v>128</v>
      </c>
      <c r="B130" t="s">
        <v>1927</v>
      </c>
    </row>
    <row r="131" spans="1:2" x14ac:dyDescent="0.25">
      <c r="A131">
        <v>129</v>
      </c>
      <c r="B131" t="s">
        <v>1928</v>
      </c>
    </row>
    <row r="132" spans="1:2" x14ac:dyDescent="0.25">
      <c r="A132">
        <v>130</v>
      </c>
      <c r="B132" t="s">
        <v>1929</v>
      </c>
    </row>
    <row r="133" spans="1:2" x14ac:dyDescent="0.25">
      <c r="A133">
        <v>131</v>
      </c>
      <c r="B133" t="s">
        <v>1930</v>
      </c>
    </row>
    <row r="134" spans="1:2" x14ac:dyDescent="0.25">
      <c r="A134">
        <v>132</v>
      </c>
      <c r="B134" t="s">
        <v>1931</v>
      </c>
    </row>
    <row r="135" spans="1:2" x14ac:dyDescent="0.25">
      <c r="A135">
        <v>133</v>
      </c>
      <c r="B135" t="s">
        <v>1932</v>
      </c>
    </row>
    <row r="136" spans="1:2" x14ac:dyDescent="0.25">
      <c r="A136">
        <v>134</v>
      </c>
      <c r="B136" t="s">
        <v>1933</v>
      </c>
    </row>
    <row r="137" spans="1:2" x14ac:dyDescent="0.25">
      <c r="A137">
        <v>135</v>
      </c>
      <c r="B137" t="s">
        <v>1934</v>
      </c>
    </row>
    <row r="138" spans="1:2" x14ac:dyDescent="0.25">
      <c r="A138">
        <v>136</v>
      </c>
      <c r="B138" t="s">
        <v>1935</v>
      </c>
    </row>
    <row r="139" spans="1:2" x14ac:dyDescent="0.25">
      <c r="A139">
        <v>137</v>
      </c>
      <c r="B139" t="s">
        <v>1936</v>
      </c>
    </row>
    <row r="140" spans="1:2" x14ac:dyDescent="0.25">
      <c r="A140">
        <v>138</v>
      </c>
      <c r="B140" t="s">
        <v>1937</v>
      </c>
    </row>
    <row r="141" spans="1:2" x14ac:dyDescent="0.25">
      <c r="A141">
        <v>139</v>
      </c>
      <c r="B141" t="s">
        <v>1938</v>
      </c>
    </row>
    <row r="142" spans="1:2" x14ac:dyDescent="0.25">
      <c r="A142">
        <v>140</v>
      </c>
      <c r="B142" t="s">
        <v>1939</v>
      </c>
    </row>
    <row r="143" spans="1:2" x14ac:dyDescent="0.25">
      <c r="A143">
        <v>141</v>
      </c>
      <c r="B143" t="s">
        <v>1940</v>
      </c>
    </row>
    <row r="144" spans="1:2" x14ac:dyDescent="0.25">
      <c r="A144">
        <v>142</v>
      </c>
      <c r="B144" t="s">
        <v>1941</v>
      </c>
    </row>
    <row r="145" spans="1:2" x14ac:dyDescent="0.25">
      <c r="A145">
        <v>143</v>
      </c>
      <c r="B145" t="s">
        <v>1942</v>
      </c>
    </row>
    <row r="146" spans="1:2" x14ac:dyDescent="0.25">
      <c r="A146">
        <v>144</v>
      </c>
      <c r="B146" t="s">
        <v>1943</v>
      </c>
    </row>
    <row r="147" spans="1:2" x14ac:dyDescent="0.25">
      <c r="A147">
        <v>145</v>
      </c>
      <c r="B147" t="s">
        <v>1944</v>
      </c>
    </row>
    <row r="148" spans="1:2" x14ac:dyDescent="0.25">
      <c r="A148">
        <v>146</v>
      </c>
      <c r="B148" t="s">
        <v>1945</v>
      </c>
    </row>
    <row r="149" spans="1:2" x14ac:dyDescent="0.25">
      <c r="A149">
        <v>147</v>
      </c>
      <c r="B149" t="s">
        <v>1946</v>
      </c>
    </row>
    <row r="150" spans="1:2" x14ac:dyDescent="0.25">
      <c r="A150">
        <v>148</v>
      </c>
      <c r="B150" t="s">
        <v>1947</v>
      </c>
    </row>
    <row r="151" spans="1:2" x14ac:dyDescent="0.25">
      <c r="A151">
        <v>149</v>
      </c>
      <c r="B151" t="s">
        <v>1948</v>
      </c>
    </row>
    <row r="152" spans="1:2" x14ac:dyDescent="0.25">
      <c r="A152">
        <v>150</v>
      </c>
      <c r="B152" t="s">
        <v>1949</v>
      </c>
    </row>
    <row r="153" spans="1:2" x14ac:dyDescent="0.25">
      <c r="A153">
        <v>151</v>
      </c>
      <c r="B153" t="s">
        <v>1950</v>
      </c>
    </row>
    <row r="154" spans="1:2" x14ac:dyDescent="0.25">
      <c r="A154">
        <v>152</v>
      </c>
      <c r="B154" t="s">
        <v>1951</v>
      </c>
    </row>
    <row r="155" spans="1:2" x14ac:dyDescent="0.25">
      <c r="A155">
        <v>153</v>
      </c>
      <c r="B155" t="s">
        <v>1952</v>
      </c>
    </row>
    <row r="156" spans="1:2" x14ac:dyDescent="0.25">
      <c r="A156">
        <v>154</v>
      </c>
      <c r="B156" t="s">
        <v>1953</v>
      </c>
    </row>
    <row r="157" spans="1:2" x14ac:dyDescent="0.25">
      <c r="A157">
        <v>155</v>
      </c>
      <c r="B157" t="s">
        <v>1954</v>
      </c>
    </row>
    <row r="158" spans="1:2" x14ac:dyDescent="0.25">
      <c r="A158">
        <v>156</v>
      </c>
      <c r="B158" t="s">
        <v>1955</v>
      </c>
    </row>
    <row r="159" spans="1:2" x14ac:dyDescent="0.25">
      <c r="A159">
        <v>157</v>
      </c>
      <c r="B159" t="s">
        <v>1956</v>
      </c>
    </row>
    <row r="160" spans="1:2" x14ac:dyDescent="0.25">
      <c r="A160">
        <v>158</v>
      </c>
      <c r="B160" t="s">
        <v>1957</v>
      </c>
    </row>
    <row r="161" spans="1:2" x14ac:dyDescent="0.25">
      <c r="A161">
        <v>159</v>
      </c>
      <c r="B161" t="s">
        <v>1958</v>
      </c>
    </row>
    <row r="162" spans="1:2" x14ac:dyDescent="0.25">
      <c r="A162">
        <v>160</v>
      </c>
      <c r="B162" t="s">
        <v>1959</v>
      </c>
    </row>
    <row r="163" spans="1:2" x14ac:dyDescent="0.25">
      <c r="A163">
        <v>161</v>
      </c>
      <c r="B163" t="s">
        <v>1960</v>
      </c>
    </row>
    <row r="164" spans="1:2" x14ac:dyDescent="0.25">
      <c r="A164">
        <v>162</v>
      </c>
      <c r="B164" t="s">
        <v>1961</v>
      </c>
    </row>
    <row r="165" spans="1:2" x14ac:dyDescent="0.25">
      <c r="A165">
        <v>163</v>
      </c>
      <c r="B165" t="s">
        <v>1962</v>
      </c>
    </row>
    <row r="166" spans="1:2" x14ac:dyDescent="0.25">
      <c r="A166">
        <v>164</v>
      </c>
      <c r="B166" t="s">
        <v>1963</v>
      </c>
    </row>
    <row r="167" spans="1:2" x14ac:dyDescent="0.25">
      <c r="A167">
        <v>165</v>
      </c>
      <c r="B167" t="s">
        <v>1964</v>
      </c>
    </row>
    <row r="168" spans="1:2" x14ac:dyDescent="0.25">
      <c r="A168">
        <v>166</v>
      </c>
      <c r="B168" t="s">
        <v>1965</v>
      </c>
    </row>
    <row r="169" spans="1:2" x14ac:dyDescent="0.25">
      <c r="A169">
        <v>167</v>
      </c>
      <c r="B169" t="s">
        <v>1966</v>
      </c>
    </row>
    <row r="170" spans="1:2" x14ac:dyDescent="0.25">
      <c r="A170">
        <v>168</v>
      </c>
      <c r="B170" t="s">
        <v>1967</v>
      </c>
    </row>
    <row r="171" spans="1:2" x14ac:dyDescent="0.25">
      <c r="A171">
        <v>169</v>
      </c>
      <c r="B171" t="s">
        <v>1968</v>
      </c>
    </row>
    <row r="172" spans="1:2" x14ac:dyDescent="0.25">
      <c r="A172">
        <v>170</v>
      </c>
      <c r="B172" t="s">
        <v>1969</v>
      </c>
    </row>
    <row r="173" spans="1:2" x14ac:dyDescent="0.25">
      <c r="A173">
        <v>171</v>
      </c>
      <c r="B173" t="s">
        <v>1970</v>
      </c>
    </row>
    <row r="174" spans="1:2" x14ac:dyDescent="0.25">
      <c r="A174">
        <v>172</v>
      </c>
      <c r="B174" t="s">
        <v>1971</v>
      </c>
    </row>
    <row r="175" spans="1:2" x14ac:dyDescent="0.25">
      <c r="A175">
        <v>173</v>
      </c>
      <c r="B175" t="s">
        <v>1972</v>
      </c>
    </row>
    <row r="176" spans="1:2" x14ac:dyDescent="0.25">
      <c r="A176">
        <v>174</v>
      </c>
      <c r="B176" t="s">
        <v>1973</v>
      </c>
    </row>
    <row r="177" spans="1:2" x14ac:dyDescent="0.25">
      <c r="A177">
        <v>175</v>
      </c>
      <c r="B177" t="s">
        <v>1974</v>
      </c>
    </row>
    <row r="178" spans="1:2" x14ac:dyDescent="0.25">
      <c r="A178">
        <v>176</v>
      </c>
      <c r="B178" t="s">
        <v>1975</v>
      </c>
    </row>
    <row r="179" spans="1:2" x14ac:dyDescent="0.25">
      <c r="A179">
        <v>177</v>
      </c>
      <c r="B179" t="s">
        <v>1976</v>
      </c>
    </row>
    <row r="180" spans="1:2" x14ac:dyDescent="0.25">
      <c r="A180">
        <v>178</v>
      </c>
      <c r="B180" t="s">
        <v>1977</v>
      </c>
    </row>
    <row r="181" spans="1:2" x14ac:dyDescent="0.25">
      <c r="A181">
        <v>179</v>
      </c>
      <c r="B181" t="s">
        <v>1978</v>
      </c>
    </row>
    <row r="182" spans="1:2" x14ac:dyDescent="0.25">
      <c r="A182">
        <v>180</v>
      </c>
      <c r="B182" t="s">
        <v>1979</v>
      </c>
    </row>
    <row r="183" spans="1:2" x14ac:dyDescent="0.25">
      <c r="A183">
        <v>181</v>
      </c>
      <c r="B183" t="s">
        <v>1980</v>
      </c>
    </row>
    <row r="184" spans="1:2" x14ac:dyDescent="0.25">
      <c r="A184">
        <v>182</v>
      </c>
      <c r="B184" t="s">
        <v>1981</v>
      </c>
    </row>
    <row r="185" spans="1:2" x14ac:dyDescent="0.25">
      <c r="A185">
        <v>183</v>
      </c>
      <c r="B185" t="s">
        <v>1982</v>
      </c>
    </row>
    <row r="186" spans="1:2" x14ac:dyDescent="0.25">
      <c r="A186">
        <v>184</v>
      </c>
      <c r="B186" t="s">
        <v>1983</v>
      </c>
    </row>
    <row r="187" spans="1:2" x14ac:dyDescent="0.25">
      <c r="A187">
        <v>185</v>
      </c>
      <c r="B187" t="s">
        <v>1984</v>
      </c>
    </row>
    <row r="188" spans="1:2" x14ac:dyDescent="0.25">
      <c r="A188">
        <v>186</v>
      </c>
      <c r="B188" t="s">
        <v>1985</v>
      </c>
    </row>
    <row r="189" spans="1:2" x14ac:dyDescent="0.25">
      <c r="A189">
        <v>187</v>
      </c>
      <c r="B189" t="s">
        <v>1986</v>
      </c>
    </row>
    <row r="190" spans="1:2" x14ac:dyDescent="0.25">
      <c r="A190">
        <v>188</v>
      </c>
      <c r="B190" t="s">
        <v>1987</v>
      </c>
    </row>
    <row r="191" spans="1:2" x14ac:dyDescent="0.25">
      <c r="A191">
        <v>189</v>
      </c>
      <c r="B191" t="s">
        <v>1988</v>
      </c>
    </row>
    <row r="192" spans="1:2" x14ac:dyDescent="0.25">
      <c r="A192">
        <v>190</v>
      </c>
      <c r="B192" t="s">
        <v>1989</v>
      </c>
    </row>
    <row r="193" spans="1:2" x14ac:dyDescent="0.25">
      <c r="A193">
        <v>191</v>
      </c>
      <c r="B193" t="s">
        <v>1990</v>
      </c>
    </row>
    <row r="194" spans="1:2" x14ac:dyDescent="0.25">
      <c r="A194">
        <v>192</v>
      </c>
      <c r="B194" t="s">
        <v>1991</v>
      </c>
    </row>
    <row r="195" spans="1:2" x14ac:dyDescent="0.25">
      <c r="A195">
        <v>193</v>
      </c>
      <c r="B195" t="s">
        <v>1992</v>
      </c>
    </row>
    <row r="196" spans="1:2" x14ac:dyDescent="0.25">
      <c r="A196">
        <v>194</v>
      </c>
      <c r="B196" t="s">
        <v>1993</v>
      </c>
    </row>
    <row r="197" spans="1:2" x14ac:dyDescent="0.25">
      <c r="A197">
        <v>195</v>
      </c>
      <c r="B197" t="s">
        <v>1994</v>
      </c>
    </row>
    <row r="198" spans="1:2" x14ac:dyDescent="0.25">
      <c r="A198">
        <v>196</v>
      </c>
      <c r="B198" t="s">
        <v>1995</v>
      </c>
    </row>
    <row r="199" spans="1:2" x14ac:dyDescent="0.25">
      <c r="A199">
        <v>197</v>
      </c>
      <c r="B199" t="s">
        <v>1996</v>
      </c>
    </row>
    <row r="200" spans="1:2" x14ac:dyDescent="0.25">
      <c r="A200">
        <v>198</v>
      </c>
      <c r="B200" t="s">
        <v>1997</v>
      </c>
    </row>
    <row r="201" spans="1:2" x14ac:dyDescent="0.25">
      <c r="A201">
        <v>199</v>
      </c>
      <c r="B201" t="s">
        <v>1998</v>
      </c>
    </row>
    <row r="202" spans="1:2" x14ac:dyDescent="0.25">
      <c r="A202">
        <v>200</v>
      </c>
      <c r="B202" t="s">
        <v>1999</v>
      </c>
    </row>
    <row r="203" spans="1:2" x14ac:dyDescent="0.25">
      <c r="A203">
        <v>201</v>
      </c>
      <c r="B203" t="s">
        <v>2000</v>
      </c>
    </row>
    <row r="204" spans="1:2" x14ac:dyDescent="0.25">
      <c r="A204">
        <v>202</v>
      </c>
      <c r="B204" t="s">
        <v>2001</v>
      </c>
    </row>
    <row r="205" spans="1:2" x14ac:dyDescent="0.25">
      <c r="A205">
        <v>203</v>
      </c>
      <c r="B205" t="s">
        <v>2002</v>
      </c>
    </row>
    <row r="206" spans="1:2" x14ac:dyDescent="0.25">
      <c r="A206">
        <v>204</v>
      </c>
      <c r="B206" t="s">
        <v>2003</v>
      </c>
    </row>
    <row r="207" spans="1:2" x14ac:dyDescent="0.25">
      <c r="A207">
        <v>205</v>
      </c>
      <c r="B207" t="s">
        <v>2004</v>
      </c>
    </row>
    <row r="208" spans="1:2" x14ac:dyDescent="0.25">
      <c r="A208">
        <v>206</v>
      </c>
      <c r="B208" t="s">
        <v>2005</v>
      </c>
    </row>
    <row r="209" spans="1:2" x14ac:dyDescent="0.25">
      <c r="A209">
        <v>207</v>
      </c>
      <c r="B209" t="s">
        <v>2006</v>
      </c>
    </row>
    <row r="210" spans="1:2" x14ac:dyDescent="0.25">
      <c r="A210">
        <v>208</v>
      </c>
      <c r="B210" t="s">
        <v>2007</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2008</v>
      </c>
    </row>
    <row r="216" spans="1:2" x14ac:dyDescent="0.25">
      <c r="A216">
        <v>214</v>
      </c>
      <c r="B216" t="s">
        <v>2009</v>
      </c>
    </row>
    <row r="217" spans="1:2" x14ac:dyDescent="0.25">
      <c r="A217">
        <v>215</v>
      </c>
      <c r="B217" t="s">
        <v>186</v>
      </c>
    </row>
    <row r="218" spans="1:2" x14ac:dyDescent="0.25">
      <c r="A218">
        <v>216</v>
      </c>
      <c r="B218" t="s">
        <v>2010</v>
      </c>
    </row>
    <row r="219" spans="1:2" x14ac:dyDescent="0.25">
      <c r="A219">
        <v>217</v>
      </c>
      <c r="B219" t="s">
        <v>2011</v>
      </c>
    </row>
    <row r="220" spans="1:2" x14ac:dyDescent="0.25">
      <c r="A220">
        <v>218</v>
      </c>
      <c r="B220" t="s">
        <v>2012</v>
      </c>
    </row>
    <row r="221" spans="1:2" x14ac:dyDescent="0.25">
      <c r="A221">
        <v>219</v>
      </c>
      <c r="B221" t="s">
        <v>2013</v>
      </c>
    </row>
    <row r="222" spans="1:2" x14ac:dyDescent="0.25">
      <c r="A222">
        <v>220</v>
      </c>
      <c r="B222" t="s">
        <v>2014</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2015</v>
      </c>
    </row>
    <row r="228" spans="1:2" x14ac:dyDescent="0.25">
      <c r="A228">
        <v>226</v>
      </c>
      <c r="B228" t="s">
        <v>2016</v>
      </c>
    </row>
    <row r="229" spans="1:2" x14ac:dyDescent="0.25">
      <c r="A229">
        <v>227</v>
      </c>
      <c r="B229" t="s">
        <v>2017</v>
      </c>
    </row>
    <row r="230" spans="1:2" x14ac:dyDescent="0.25">
      <c r="A230">
        <v>228</v>
      </c>
    </row>
    <row r="231" spans="1:2" x14ac:dyDescent="0.25">
      <c r="A231">
        <v>229</v>
      </c>
      <c r="B231" t="s">
        <v>2018</v>
      </c>
    </row>
    <row r="232" spans="1:2" x14ac:dyDescent="0.25">
      <c r="A232">
        <v>230</v>
      </c>
      <c r="B232" t="s">
        <v>2019</v>
      </c>
    </row>
    <row r="233" spans="1:2" x14ac:dyDescent="0.25">
      <c r="A233">
        <v>231</v>
      </c>
      <c r="B233" t="s">
        <v>2020</v>
      </c>
    </row>
    <row r="234" spans="1:2" x14ac:dyDescent="0.25">
      <c r="A234">
        <v>232</v>
      </c>
      <c r="B234" t="s">
        <v>2021</v>
      </c>
    </row>
    <row r="235" spans="1:2" x14ac:dyDescent="0.25">
      <c r="A235">
        <v>233</v>
      </c>
      <c r="B235" t="s">
        <v>2022</v>
      </c>
    </row>
    <row r="236" spans="1:2" x14ac:dyDescent="0.25">
      <c r="A236">
        <v>234</v>
      </c>
      <c r="B236" t="s">
        <v>2023</v>
      </c>
    </row>
    <row r="237" spans="1:2" x14ac:dyDescent="0.25">
      <c r="A237">
        <v>235</v>
      </c>
      <c r="B237" t="s">
        <v>2024</v>
      </c>
    </row>
    <row r="238" spans="1:2" x14ac:dyDescent="0.25">
      <c r="A238">
        <v>236</v>
      </c>
      <c r="B238" t="s">
        <v>2025</v>
      </c>
    </row>
    <row r="239" spans="1:2" x14ac:dyDescent="0.25">
      <c r="A239">
        <v>237</v>
      </c>
      <c r="B239" t="s">
        <v>2026</v>
      </c>
    </row>
    <row r="240" spans="1:2" x14ac:dyDescent="0.25">
      <c r="A240">
        <v>238</v>
      </c>
      <c r="B240" t="s">
        <v>2027</v>
      </c>
    </row>
    <row r="241" spans="1:2" x14ac:dyDescent="0.25">
      <c r="A241">
        <v>239</v>
      </c>
      <c r="B241" t="s">
        <v>2028</v>
      </c>
    </row>
    <row r="242" spans="1:2" x14ac:dyDescent="0.25">
      <c r="A242">
        <v>240</v>
      </c>
      <c r="B242" t="s">
        <v>2029</v>
      </c>
    </row>
    <row r="243" spans="1:2" x14ac:dyDescent="0.25">
      <c r="A243">
        <v>241</v>
      </c>
      <c r="B243" t="s">
        <v>2030</v>
      </c>
    </row>
    <row r="244" spans="1:2" x14ac:dyDescent="0.25">
      <c r="A244">
        <v>242</v>
      </c>
      <c r="B244" t="s">
        <v>2031</v>
      </c>
    </row>
    <row r="245" spans="1:2" x14ac:dyDescent="0.25">
      <c r="A245">
        <v>243</v>
      </c>
      <c r="B245" t="s">
        <v>2032</v>
      </c>
    </row>
    <row r="246" spans="1:2" x14ac:dyDescent="0.25">
      <c r="A246">
        <v>244</v>
      </c>
      <c r="B246" t="s">
        <v>2033</v>
      </c>
    </row>
    <row r="247" spans="1:2" x14ac:dyDescent="0.25">
      <c r="A247">
        <v>245</v>
      </c>
      <c r="B247" t="s">
        <v>2034</v>
      </c>
    </row>
    <row r="248" spans="1:2" x14ac:dyDescent="0.25">
      <c r="A248">
        <v>246</v>
      </c>
      <c r="B248" t="s">
        <v>2035</v>
      </c>
    </row>
    <row r="249" spans="1:2" x14ac:dyDescent="0.25">
      <c r="A249">
        <v>247</v>
      </c>
      <c r="B249" t="s">
        <v>2036</v>
      </c>
    </row>
    <row r="250" spans="1:2" x14ac:dyDescent="0.25">
      <c r="A250">
        <v>248</v>
      </c>
    </row>
    <row r="251" spans="1:2" x14ac:dyDescent="0.25">
      <c r="A251">
        <v>249</v>
      </c>
      <c r="B251" t="s">
        <v>449</v>
      </c>
    </row>
    <row r="252" spans="1:2" x14ac:dyDescent="0.25">
      <c r="A252">
        <v>250</v>
      </c>
      <c r="B252" t="s">
        <v>449</v>
      </c>
    </row>
    <row r="253" spans="1:2" x14ac:dyDescent="0.25">
      <c r="A253">
        <v>251</v>
      </c>
      <c r="B253" t="s">
        <v>2037</v>
      </c>
    </row>
    <row r="254" spans="1:2" x14ac:dyDescent="0.25">
      <c r="A254">
        <v>252</v>
      </c>
      <c r="B254" t="s">
        <v>2038</v>
      </c>
    </row>
    <row r="255" spans="1:2" x14ac:dyDescent="0.25">
      <c r="A255">
        <v>253</v>
      </c>
      <c r="B255" t="s">
        <v>2039</v>
      </c>
    </row>
    <row r="256" spans="1:2" x14ac:dyDescent="0.25">
      <c r="A256">
        <v>254</v>
      </c>
      <c r="B256" t="s">
        <v>2040</v>
      </c>
    </row>
    <row r="257" spans="1:2" x14ac:dyDescent="0.25">
      <c r="A257">
        <v>255</v>
      </c>
      <c r="B257" t="s">
        <v>2041</v>
      </c>
    </row>
    <row r="258" spans="1:2" x14ac:dyDescent="0.25">
      <c r="A258">
        <v>256</v>
      </c>
      <c r="B258" t="s">
        <v>2042</v>
      </c>
    </row>
    <row r="259" spans="1:2" x14ac:dyDescent="0.25">
      <c r="A259">
        <v>257</v>
      </c>
      <c r="B259" t="s">
        <v>2043</v>
      </c>
    </row>
    <row r="260" spans="1:2" x14ac:dyDescent="0.25">
      <c r="A260">
        <v>258</v>
      </c>
      <c r="B260" t="s">
        <v>2044</v>
      </c>
    </row>
    <row r="261" spans="1:2" x14ac:dyDescent="0.25">
      <c r="A261">
        <v>259</v>
      </c>
    </row>
    <row r="262" spans="1:2" x14ac:dyDescent="0.25">
      <c r="A262">
        <v>260</v>
      </c>
      <c r="B262" t="s">
        <v>2045</v>
      </c>
    </row>
    <row r="263" spans="1:2" x14ac:dyDescent="0.25">
      <c r="A263">
        <v>261</v>
      </c>
      <c r="B263" t="s">
        <v>2046</v>
      </c>
    </row>
    <row r="264" spans="1:2" x14ac:dyDescent="0.25">
      <c r="A264">
        <v>262</v>
      </c>
      <c r="B264" t="s">
        <v>2047</v>
      </c>
    </row>
    <row r="265" spans="1:2" x14ac:dyDescent="0.25">
      <c r="A265">
        <v>263</v>
      </c>
      <c r="B265" t="s">
        <v>2048</v>
      </c>
    </row>
    <row r="266" spans="1:2" x14ac:dyDescent="0.25">
      <c r="A266">
        <v>264</v>
      </c>
      <c r="B266" t="s">
        <v>2049</v>
      </c>
    </row>
    <row r="267" spans="1:2" x14ac:dyDescent="0.25">
      <c r="A267">
        <v>265</v>
      </c>
      <c r="B267" t="s">
        <v>2050</v>
      </c>
    </row>
    <row r="268" spans="1:2" x14ac:dyDescent="0.25">
      <c r="A268">
        <v>266</v>
      </c>
      <c r="B268" t="s">
        <v>2051</v>
      </c>
    </row>
    <row r="269" spans="1:2" x14ac:dyDescent="0.25">
      <c r="A269">
        <v>267</v>
      </c>
      <c r="B269" t="s">
        <v>2052</v>
      </c>
    </row>
    <row r="270" spans="1:2" x14ac:dyDescent="0.25">
      <c r="A270">
        <v>268</v>
      </c>
      <c r="B270" t="s">
        <v>2053</v>
      </c>
    </row>
    <row r="271" spans="1:2" x14ac:dyDescent="0.25">
      <c r="A271">
        <v>269</v>
      </c>
      <c r="B271" t="s">
        <v>2054</v>
      </c>
    </row>
    <row r="272" spans="1:2" x14ac:dyDescent="0.25">
      <c r="A272">
        <v>270</v>
      </c>
      <c r="B272" t="s">
        <v>439</v>
      </c>
    </row>
    <row r="273" spans="1:2" x14ac:dyDescent="0.25">
      <c r="A273">
        <v>271</v>
      </c>
    </row>
    <row r="274" spans="1:2" x14ac:dyDescent="0.25">
      <c r="A274">
        <v>272</v>
      </c>
      <c r="B274" t="s">
        <v>2055</v>
      </c>
    </row>
    <row r="275" spans="1:2" x14ac:dyDescent="0.25">
      <c r="A275">
        <v>273</v>
      </c>
      <c r="B275" t="s">
        <v>2056</v>
      </c>
    </row>
    <row r="276" spans="1:2" x14ac:dyDescent="0.25">
      <c r="A276">
        <v>274</v>
      </c>
      <c r="B276" t="s">
        <v>2057</v>
      </c>
    </row>
    <row r="277" spans="1:2" x14ac:dyDescent="0.25">
      <c r="A277">
        <v>275</v>
      </c>
      <c r="B277" t="s">
        <v>2058</v>
      </c>
    </row>
    <row r="278" spans="1:2" x14ac:dyDescent="0.25">
      <c r="A278">
        <v>276</v>
      </c>
      <c r="B278" t="s">
        <v>2059</v>
      </c>
    </row>
    <row r="279" spans="1:2" x14ac:dyDescent="0.25">
      <c r="A279">
        <v>277</v>
      </c>
      <c r="B279" t="s">
        <v>2060</v>
      </c>
    </row>
    <row r="280" spans="1:2" x14ac:dyDescent="0.25">
      <c r="A280">
        <v>278</v>
      </c>
      <c r="B280" t="s">
        <v>2061</v>
      </c>
    </row>
    <row r="281" spans="1:2" x14ac:dyDescent="0.25">
      <c r="A281">
        <v>279</v>
      </c>
      <c r="B281" t="s">
        <v>2062</v>
      </c>
    </row>
    <row r="282" spans="1:2" x14ac:dyDescent="0.25">
      <c r="A282">
        <v>280</v>
      </c>
      <c r="B282" t="s">
        <v>2063</v>
      </c>
    </row>
    <row r="283" spans="1:2" x14ac:dyDescent="0.25">
      <c r="A283">
        <v>281</v>
      </c>
      <c r="B283" t="s">
        <v>2064</v>
      </c>
    </row>
    <row r="284" spans="1:2" x14ac:dyDescent="0.25">
      <c r="A284">
        <v>282</v>
      </c>
      <c r="B284" t="s">
        <v>2065</v>
      </c>
    </row>
    <row r="285" spans="1:2" x14ac:dyDescent="0.25">
      <c r="A285">
        <v>283</v>
      </c>
    </row>
    <row r="286" spans="1:2" x14ac:dyDescent="0.25">
      <c r="A286">
        <v>284</v>
      </c>
      <c r="B286" t="s">
        <v>2066</v>
      </c>
    </row>
    <row r="287" spans="1:2" x14ac:dyDescent="0.25">
      <c r="A287">
        <v>285</v>
      </c>
      <c r="B287" t="s">
        <v>604</v>
      </c>
    </row>
    <row r="288" spans="1:2" x14ac:dyDescent="0.25">
      <c r="A288">
        <v>286</v>
      </c>
      <c r="B288" t="s">
        <v>603</v>
      </c>
    </row>
    <row r="289" spans="1:2" x14ac:dyDescent="0.25">
      <c r="A289">
        <v>287</v>
      </c>
      <c r="B289" t="s">
        <v>602</v>
      </c>
    </row>
    <row r="290" spans="1:2" x14ac:dyDescent="0.25">
      <c r="A290">
        <v>288</v>
      </c>
      <c r="B290" t="s">
        <v>605</v>
      </c>
    </row>
    <row r="291" spans="1:2" x14ac:dyDescent="0.25">
      <c r="A291">
        <v>289</v>
      </c>
      <c r="B291" t="s">
        <v>607</v>
      </c>
    </row>
    <row r="292" spans="1:2" x14ac:dyDescent="0.25">
      <c r="A292">
        <v>290</v>
      </c>
      <c r="B292" t="s">
        <v>606</v>
      </c>
    </row>
    <row r="293" spans="1:2" x14ac:dyDescent="0.25">
      <c r="A293">
        <v>291</v>
      </c>
      <c r="B293" t="s">
        <v>609</v>
      </c>
    </row>
    <row r="294" spans="1:2" x14ac:dyDescent="0.25">
      <c r="A294">
        <v>292</v>
      </c>
      <c r="B294" t="s">
        <v>608</v>
      </c>
    </row>
    <row r="295" spans="1:2" x14ac:dyDescent="0.25">
      <c r="A295">
        <v>293</v>
      </c>
      <c r="B295" t="s">
        <v>610</v>
      </c>
    </row>
    <row r="296" spans="1:2" x14ac:dyDescent="0.25">
      <c r="A296">
        <v>294</v>
      </c>
      <c r="B296" t="s">
        <v>538</v>
      </c>
    </row>
    <row r="297" spans="1:2" x14ac:dyDescent="0.25">
      <c r="A297">
        <v>295</v>
      </c>
      <c r="B297" t="s">
        <v>547</v>
      </c>
    </row>
    <row r="298" spans="1:2" x14ac:dyDescent="0.25">
      <c r="A298">
        <v>296</v>
      </c>
      <c r="B298" t="s">
        <v>539</v>
      </c>
    </row>
    <row r="299" spans="1:2" x14ac:dyDescent="0.25">
      <c r="A299">
        <v>297</v>
      </c>
      <c r="B299" t="s">
        <v>531</v>
      </c>
    </row>
    <row r="300" spans="1:2" x14ac:dyDescent="0.25">
      <c r="A300">
        <v>298</v>
      </c>
      <c r="B300" t="s">
        <v>546</v>
      </c>
    </row>
    <row r="301" spans="1:2" x14ac:dyDescent="0.25">
      <c r="A301">
        <v>299</v>
      </c>
      <c r="B301" t="s">
        <v>550</v>
      </c>
    </row>
    <row r="302" spans="1:2" x14ac:dyDescent="0.25">
      <c r="A302">
        <v>300</v>
      </c>
      <c r="B302" t="s">
        <v>542</v>
      </c>
    </row>
    <row r="303" spans="1:2" x14ac:dyDescent="0.25">
      <c r="A303">
        <v>301</v>
      </c>
      <c r="B303" t="s">
        <v>543</v>
      </c>
    </row>
    <row r="304" spans="1:2" x14ac:dyDescent="0.25">
      <c r="A304">
        <v>302</v>
      </c>
      <c r="B304" t="s">
        <v>534</v>
      </c>
    </row>
    <row r="305" spans="1:2" x14ac:dyDescent="0.25">
      <c r="A305">
        <v>303</v>
      </c>
      <c r="B305" t="s">
        <v>535</v>
      </c>
    </row>
    <row r="306" spans="1:2" x14ac:dyDescent="0.25">
      <c r="A306">
        <v>304</v>
      </c>
      <c r="B306" t="s">
        <v>537</v>
      </c>
    </row>
    <row r="307" spans="1:2" x14ac:dyDescent="0.25">
      <c r="A307">
        <v>305</v>
      </c>
      <c r="B307" t="s">
        <v>548</v>
      </c>
    </row>
    <row r="308" spans="1:2" x14ac:dyDescent="0.25">
      <c r="A308">
        <v>306</v>
      </c>
      <c r="B308" t="s">
        <v>540</v>
      </c>
    </row>
    <row r="309" spans="1:2" x14ac:dyDescent="0.25">
      <c r="A309">
        <v>307</v>
      </c>
      <c r="B309" t="s">
        <v>532</v>
      </c>
    </row>
    <row r="310" spans="1:2" x14ac:dyDescent="0.25">
      <c r="A310">
        <v>308</v>
      </c>
    </row>
    <row r="311" spans="1:2" x14ac:dyDescent="0.25">
      <c r="A311">
        <v>309</v>
      </c>
      <c r="B311" t="s">
        <v>545</v>
      </c>
    </row>
    <row r="312" spans="1:2" x14ac:dyDescent="0.25">
      <c r="A312">
        <v>310</v>
      </c>
      <c r="B312" t="s">
        <v>549</v>
      </c>
    </row>
    <row r="313" spans="1:2" x14ac:dyDescent="0.25">
      <c r="A313">
        <v>311</v>
      </c>
      <c r="B313" t="s">
        <v>541</v>
      </c>
    </row>
    <row r="314" spans="1:2" x14ac:dyDescent="0.25">
      <c r="A314">
        <v>312</v>
      </c>
      <c r="B314" t="s">
        <v>544</v>
      </c>
    </row>
    <row r="315" spans="1:2" x14ac:dyDescent="0.25">
      <c r="A315">
        <v>313</v>
      </c>
      <c r="B315" t="s">
        <v>533</v>
      </c>
    </row>
    <row r="316" spans="1:2" x14ac:dyDescent="0.25">
      <c r="A316">
        <v>314</v>
      </c>
      <c r="B316" t="s">
        <v>536</v>
      </c>
    </row>
    <row r="317" spans="1:2" x14ac:dyDescent="0.25">
      <c r="A317">
        <v>315</v>
      </c>
      <c r="B317" t="s">
        <v>557</v>
      </c>
    </row>
    <row r="318" spans="1:2" x14ac:dyDescent="0.25">
      <c r="A318">
        <v>316</v>
      </c>
      <c r="B318" t="s">
        <v>552</v>
      </c>
    </row>
    <row r="319" spans="1:2" x14ac:dyDescent="0.25">
      <c r="A319">
        <v>317</v>
      </c>
      <c r="B319" t="s">
        <v>556</v>
      </c>
    </row>
    <row r="320" spans="1:2" x14ac:dyDescent="0.25">
      <c r="A320">
        <v>318</v>
      </c>
      <c r="B320" t="s">
        <v>560</v>
      </c>
    </row>
    <row r="321" spans="1:2" x14ac:dyDescent="0.25">
      <c r="A321">
        <v>319</v>
      </c>
      <c r="B321" t="s">
        <v>553</v>
      </c>
    </row>
    <row r="322" spans="1:2" x14ac:dyDescent="0.25">
      <c r="A322">
        <v>320</v>
      </c>
      <c r="B322" t="s">
        <v>551</v>
      </c>
    </row>
    <row r="323" spans="1:2" x14ac:dyDescent="0.25">
      <c r="A323">
        <v>321</v>
      </c>
      <c r="B323" t="s">
        <v>555</v>
      </c>
    </row>
    <row r="324" spans="1:2" x14ac:dyDescent="0.25">
      <c r="A324">
        <v>322</v>
      </c>
      <c r="B324" t="s">
        <v>554</v>
      </c>
    </row>
    <row r="325" spans="1:2" x14ac:dyDescent="0.25">
      <c r="A325">
        <v>323</v>
      </c>
      <c r="B325" t="s">
        <v>559</v>
      </c>
    </row>
    <row r="326" spans="1:2" x14ac:dyDescent="0.25">
      <c r="A326">
        <v>324</v>
      </c>
      <c r="B326" t="s">
        <v>558</v>
      </c>
    </row>
    <row r="327" spans="1:2" x14ac:dyDescent="0.25">
      <c r="A327">
        <v>325</v>
      </c>
      <c r="B327" t="s">
        <v>561</v>
      </c>
    </row>
    <row r="328" spans="1:2" x14ac:dyDescent="0.25">
      <c r="A328">
        <v>326</v>
      </c>
      <c r="B328" t="s">
        <v>2067</v>
      </c>
    </row>
    <row r="329" spans="1:2" x14ac:dyDescent="0.25">
      <c r="A329">
        <v>327</v>
      </c>
      <c r="B329" t="s">
        <v>562</v>
      </c>
    </row>
    <row r="330" spans="1:2" x14ac:dyDescent="0.25">
      <c r="A330">
        <v>328</v>
      </c>
      <c r="B330" t="s">
        <v>2068</v>
      </c>
    </row>
    <row r="331" spans="1:2" x14ac:dyDescent="0.25">
      <c r="A331">
        <v>329</v>
      </c>
      <c r="B331" t="s">
        <v>2069</v>
      </c>
    </row>
    <row r="332" spans="1:2" x14ac:dyDescent="0.25">
      <c r="A332">
        <v>330</v>
      </c>
      <c r="B332" t="s">
        <v>2070</v>
      </c>
    </row>
    <row r="333" spans="1:2" x14ac:dyDescent="0.25">
      <c r="A333">
        <v>331</v>
      </c>
      <c r="B333" t="s">
        <v>2071</v>
      </c>
    </row>
    <row r="334" spans="1:2" x14ac:dyDescent="0.25">
      <c r="A334">
        <v>332</v>
      </c>
      <c r="B334" t="s">
        <v>2072</v>
      </c>
    </row>
    <row r="335" spans="1:2" x14ac:dyDescent="0.25">
      <c r="A335">
        <v>333</v>
      </c>
      <c r="B335" t="s">
        <v>652</v>
      </c>
    </row>
    <row r="336" spans="1:2" x14ac:dyDescent="0.25">
      <c r="A336">
        <v>334</v>
      </c>
      <c r="B336" t="s">
        <v>653</v>
      </c>
    </row>
    <row r="337" spans="1:2" x14ac:dyDescent="0.25">
      <c r="A337">
        <v>335</v>
      </c>
      <c r="B337" t="s">
        <v>655</v>
      </c>
    </row>
    <row r="338" spans="1:2" x14ac:dyDescent="0.25">
      <c r="A338">
        <v>336</v>
      </c>
      <c r="B338" t="s">
        <v>654</v>
      </c>
    </row>
    <row r="339" spans="1:2" x14ac:dyDescent="0.25">
      <c r="A339">
        <v>337</v>
      </c>
      <c r="B339" t="s">
        <v>2073</v>
      </c>
    </row>
    <row r="340" spans="1:2" x14ac:dyDescent="0.25">
      <c r="A340">
        <v>338</v>
      </c>
      <c r="B340" t="s">
        <v>2074</v>
      </c>
    </row>
    <row r="341" spans="1:2" x14ac:dyDescent="0.25">
      <c r="A341">
        <v>339</v>
      </c>
      <c r="B341" t="s">
        <v>2075</v>
      </c>
    </row>
    <row r="342" spans="1:2" x14ac:dyDescent="0.25">
      <c r="A342">
        <v>340</v>
      </c>
      <c r="B342" t="s">
        <v>2076</v>
      </c>
    </row>
    <row r="343" spans="1:2" x14ac:dyDescent="0.25">
      <c r="A343">
        <v>341</v>
      </c>
      <c r="B343" t="s">
        <v>2077</v>
      </c>
    </row>
    <row r="344" spans="1:2" x14ac:dyDescent="0.25">
      <c r="A344">
        <v>342</v>
      </c>
      <c r="B344" t="s">
        <v>661</v>
      </c>
    </row>
    <row r="345" spans="1:2" x14ac:dyDescent="0.25">
      <c r="A345">
        <v>343</v>
      </c>
      <c r="B345" t="s">
        <v>660</v>
      </c>
    </row>
    <row r="346" spans="1:2" x14ac:dyDescent="0.25">
      <c r="A346">
        <v>344</v>
      </c>
      <c r="B346" t="s">
        <v>663</v>
      </c>
    </row>
    <row r="347" spans="1:2" x14ac:dyDescent="0.25">
      <c r="A347">
        <v>345</v>
      </c>
      <c r="B347" t="s">
        <v>662</v>
      </c>
    </row>
    <row r="348" spans="1:2" x14ac:dyDescent="0.25">
      <c r="A348">
        <v>346</v>
      </c>
      <c r="B348" t="s">
        <v>2078</v>
      </c>
    </row>
    <row r="349" spans="1:2" x14ac:dyDescent="0.25">
      <c r="A349">
        <v>347</v>
      </c>
      <c r="B349" t="s">
        <v>692</v>
      </c>
    </row>
    <row r="350" spans="1:2" x14ac:dyDescent="0.25">
      <c r="A350">
        <v>348</v>
      </c>
      <c r="B350" t="s">
        <v>691</v>
      </c>
    </row>
    <row r="351" spans="1:2" x14ac:dyDescent="0.25">
      <c r="A351">
        <v>349</v>
      </c>
      <c r="B351" t="s">
        <v>2079</v>
      </c>
    </row>
    <row r="352" spans="1:2" x14ac:dyDescent="0.25">
      <c r="A352">
        <v>350</v>
      </c>
      <c r="B352" t="s">
        <v>2080</v>
      </c>
    </row>
    <row r="353" spans="1:2" x14ac:dyDescent="0.25">
      <c r="A353">
        <v>351</v>
      </c>
      <c r="B353" t="s">
        <v>2081</v>
      </c>
    </row>
    <row r="354" spans="1:2" x14ac:dyDescent="0.25">
      <c r="A354">
        <v>352</v>
      </c>
      <c r="B354" t="s">
        <v>2082</v>
      </c>
    </row>
    <row r="355" spans="1:2" x14ac:dyDescent="0.25">
      <c r="A355">
        <v>353</v>
      </c>
      <c r="B355" t="s">
        <v>2083</v>
      </c>
    </row>
    <row r="356" spans="1:2" x14ac:dyDescent="0.25">
      <c r="A356">
        <v>354</v>
      </c>
      <c r="B356" t="s">
        <v>2084</v>
      </c>
    </row>
    <row r="357" spans="1:2" x14ac:dyDescent="0.25">
      <c r="A357">
        <v>355</v>
      </c>
      <c r="B357" t="s">
        <v>2085</v>
      </c>
    </row>
    <row r="358" spans="1:2" x14ac:dyDescent="0.25">
      <c r="A358">
        <v>356</v>
      </c>
      <c r="B358" t="s">
        <v>2086</v>
      </c>
    </row>
    <row r="359" spans="1:2" x14ac:dyDescent="0.25">
      <c r="A359">
        <v>357</v>
      </c>
      <c r="B359" t="s">
        <v>2087</v>
      </c>
    </row>
    <row r="360" spans="1:2" x14ac:dyDescent="0.25">
      <c r="A360">
        <v>358</v>
      </c>
      <c r="B360" t="s">
        <v>2088</v>
      </c>
    </row>
    <row r="361" spans="1:2" x14ac:dyDescent="0.25">
      <c r="A361">
        <v>359</v>
      </c>
      <c r="B361" t="s">
        <v>2089</v>
      </c>
    </row>
    <row r="362" spans="1:2" x14ac:dyDescent="0.25">
      <c r="A362">
        <v>360</v>
      </c>
      <c r="B362" t="s">
        <v>2090</v>
      </c>
    </row>
    <row r="363" spans="1:2" x14ac:dyDescent="0.25">
      <c r="A363">
        <v>361</v>
      </c>
      <c r="B363" t="s">
        <v>694</v>
      </c>
    </row>
    <row r="364" spans="1:2" x14ac:dyDescent="0.25">
      <c r="A364">
        <v>362</v>
      </c>
      <c r="B364" t="s">
        <v>693</v>
      </c>
    </row>
    <row r="365" spans="1:2" x14ac:dyDescent="0.25">
      <c r="A365">
        <v>363</v>
      </c>
      <c r="B365" t="s">
        <v>2091</v>
      </c>
    </row>
    <row r="366" spans="1:2" x14ac:dyDescent="0.25">
      <c r="A366">
        <v>364</v>
      </c>
      <c r="B366" t="s">
        <v>2092</v>
      </c>
    </row>
    <row r="367" spans="1:2" x14ac:dyDescent="0.25">
      <c r="A367">
        <v>365</v>
      </c>
      <c r="B367" t="s">
        <v>2093</v>
      </c>
    </row>
    <row r="368" spans="1:2" x14ac:dyDescent="0.25">
      <c r="A368">
        <v>366</v>
      </c>
      <c r="B368" t="s">
        <v>700</v>
      </c>
    </row>
    <row r="369" spans="1:2" x14ac:dyDescent="0.25">
      <c r="A369">
        <v>367</v>
      </c>
      <c r="B369" t="s">
        <v>701</v>
      </c>
    </row>
    <row r="370" spans="1:2" x14ac:dyDescent="0.25">
      <c r="A370">
        <v>368</v>
      </c>
      <c r="B370" t="s">
        <v>702</v>
      </c>
    </row>
    <row r="371" spans="1:2" x14ac:dyDescent="0.25">
      <c r="A371">
        <v>369</v>
      </c>
      <c r="B371" t="s">
        <v>2094</v>
      </c>
    </row>
    <row r="372" spans="1:2" x14ac:dyDescent="0.25">
      <c r="A372">
        <v>370</v>
      </c>
      <c r="B372" t="s">
        <v>2095</v>
      </c>
    </row>
    <row r="373" spans="1:2" x14ac:dyDescent="0.25">
      <c r="A373">
        <v>371</v>
      </c>
      <c r="B373" t="s">
        <v>2096</v>
      </c>
    </row>
    <row r="374" spans="1:2" x14ac:dyDescent="0.25">
      <c r="A374">
        <v>372</v>
      </c>
      <c r="B374" t="s">
        <v>705</v>
      </c>
    </row>
    <row r="375" spans="1:2" x14ac:dyDescent="0.25">
      <c r="A375">
        <v>373</v>
      </c>
      <c r="B375" t="s">
        <v>704</v>
      </c>
    </row>
    <row r="376" spans="1:2" x14ac:dyDescent="0.25">
      <c r="A376">
        <v>374</v>
      </c>
      <c r="B376" t="s">
        <v>2097</v>
      </c>
    </row>
    <row r="377" spans="1:2" x14ac:dyDescent="0.25">
      <c r="A377">
        <v>375</v>
      </c>
      <c r="B377" t="s">
        <v>2098</v>
      </c>
    </row>
    <row r="378" spans="1:2" x14ac:dyDescent="0.25">
      <c r="A378">
        <v>376</v>
      </c>
      <c r="B378" t="s">
        <v>2099</v>
      </c>
    </row>
    <row r="379" spans="1:2" x14ac:dyDescent="0.25">
      <c r="A379">
        <v>377</v>
      </c>
      <c r="B379" t="s">
        <v>2100</v>
      </c>
    </row>
    <row r="380" spans="1:2" x14ac:dyDescent="0.25">
      <c r="A380">
        <v>378</v>
      </c>
      <c r="B380" t="s">
        <v>719</v>
      </c>
    </row>
    <row r="381" spans="1:2" x14ac:dyDescent="0.25">
      <c r="A381">
        <v>379</v>
      </c>
      <c r="B381" t="s">
        <v>2101</v>
      </c>
    </row>
    <row r="382" spans="1:2" x14ac:dyDescent="0.25">
      <c r="A382">
        <v>380</v>
      </c>
      <c r="B382" t="s">
        <v>721</v>
      </c>
    </row>
    <row r="383" spans="1:2" x14ac:dyDescent="0.25">
      <c r="A383">
        <v>381</v>
      </c>
      <c r="B383" t="s">
        <v>2102</v>
      </c>
    </row>
    <row r="384" spans="1:2" x14ac:dyDescent="0.25">
      <c r="A384">
        <v>382</v>
      </c>
      <c r="B384" t="s">
        <v>2103</v>
      </c>
    </row>
    <row r="385" spans="1:2" x14ac:dyDescent="0.25">
      <c r="A385">
        <v>383</v>
      </c>
      <c r="B385" t="s">
        <v>2104</v>
      </c>
    </row>
    <row r="386" spans="1:2" x14ac:dyDescent="0.25">
      <c r="A386">
        <v>384</v>
      </c>
      <c r="B386" t="s">
        <v>2105</v>
      </c>
    </row>
    <row r="387" spans="1:2" x14ac:dyDescent="0.25">
      <c r="A387">
        <v>385</v>
      </c>
    </row>
    <row r="388" spans="1:2" x14ac:dyDescent="0.25">
      <c r="A388">
        <v>386</v>
      </c>
      <c r="B388" t="s">
        <v>2106</v>
      </c>
    </row>
    <row r="389" spans="1:2" x14ac:dyDescent="0.25">
      <c r="A389">
        <v>387</v>
      </c>
      <c r="B389" t="s">
        <v>2107</v>
      </c>
    </row>
    <row r="390" spans="1:2" x14ac:dyDescent="0.25">
      <c r="A390">
        <v>388</v>
      </c>
      <c r="B390" t="s">
        <v>723</v>
      </c>
    </row>
    <row r="391" spans="1:2" x14ac:dyDescent="0.25">
      <c r="A391">
        <v>389</v>
      </c>
      <c r="B391" t="s">
        <v>2108</v>
      </c>
    </row>
    <row r="392" spans="1:2" x14ac:dyDescent="0.25">
      <c r="A392">
        <v>390</v>
      </c>
      <c r="B392" t="s">
        <v>2109</v>
      </c>
    </row>
    <row r="393" spans="1:2" x14ac:dyDescent="0.25">
      <c r="A393">
        <v>391</v>
      </c>
      <c r="B393" t="s">
        <v>2110</v>
      </c>
    </row>
    <row r="394" spans="1:2" x14ac:dyDescent="0.25">
      <c r="A394">
        <v>392</v>
      </c>
      <c r="B394" t="s">
        <v>699</v>
      </c>
    </row>
    <row r="395" spans="1:2" x14ac:dyDescent="0.25">
      <c r="A395">
        <v>393</v>
      </c>
    </row>
    <row r="396" spans="1:2" x14ac:dyDescent="0.25">
      <c r="A396">
        <v>394</v>
      </c>
    </row>
    <row r="397" spans="1:2" x14ac:dyDescent="0.25">
      <c r="A397">
        <v>395</v>
      </c>
      <c r="B397" t="s">
        <v>703</v>
      </c>
    </row>
    <row r="398" spans="1:2" x14ac:dyDescent="0.25">
      <c r="A398">
        <v>396</v>
      </c>
      <c r="B398" t="s">
        <v>1382</v>
      </c>
    </row>
    <row r="399" spans="1:2" x14ac:dyDescent="0.25">
      <c r="A399">
        <v>397</v>
      </c>
      <c r="B399" t="s">
        <v>2111</v>
      </c>
    </row>
    <row r="400" spans="1:2" x14ac:dyDescent="0.25">
      <c r="A400">
        <v>398</v>
      </c>
      <c r="B400" t="s">
        <v>2112</v>
      </c>
    </row>
    <row r="401" spans="1:2" x14ac:dyDescent="0.25">
      <c r="A401">
        <v>399</v>
      </c>
      <c r="B401" t="s">
        <v>2113</v>
      </c>
    </row>
    <row r="402" spans="1:2" x14ac:dyDescent="0.25">
      <c r="A402">
        <v>400</v>
      </c>
      <c r="B402" t="s">
        <v>1383</v>
      </c>
    </row>
    <row r="403" spans="1:2" x14ac:dyDescent="0.25">
      <c r="A403">
        <v>401</v>
      </c>
      <c r="B403" t="s">
        <v>1384</v>
      </c>
    </row>
    <row r="404" spans="1:2" x14ac:dyDescent="0.25">
      <c r="A404">
        <v>402</v>
      </c>
      <c r="B404" t="s">
        <v>2114</v>
      </c>
    </row>
    <row r="405" spans="1:2" x14ac:dyDescent="0.25">
      <c r="A405">
        <v>403</v>
      </c>
      <c r="B405" t="s">
        <v>2115</v>
      </c>
    </row>
    <row r="406" spans="1:2" x14ac:dyDescent="0.25">
      <c r="A406">
        <v>404</v>
      </c>
      <c r="B406" t="s">
        <v>2116</v>
      </c>
    </row>
    <row r="407" spans="1:2" x14ac:dyDescent="0.25">
      <c r="A407">
        <v>405</v>
      </c>
      <c r="B407" t="s">
        <v>2117</v>
      </c>
    </row>
    <row r="408" spans="1:2" x14ac:dyDescent="0.25">
      <c r="A408">
        <v>406</v>
      </c>
      <c r="B408" t="s">
        <v>2118</v>
      </c>
    </row>
    <row r="409" spans="1:2" x14ac:dyDescent="0.25">
      <c r="A409">
        <v>407</v>
      </c>
      <c r="B409" t="s">
        <v>2119</v>
      </c>
    </row>
    <row r="410" spans="1:2" x14ac:dyDescent="0.25">
      <c r="A410">
        <v>408</v>
      </c>
    </row>
    <row r="411" spans="1:2" x14ac:dyDescent="0.25">
      <c r="A411">
        <v>409</v>
      </c>
      <c r="B411" t="s">
        <v>1493</v>
      </c>
    </row>
    <row r="412" spans="1:2" x14ac:dyDescent="0.25">
      <c r="A412">
        <v>410</v>
      </c>
      <c r="B412" t="s">
        <v>1492</v>
      </c>
    </row>
    <row r="413" spans="1:2" x14ac:dyDescent="0.25">
      <c r="A413">
        <v>411</v>
      </c>
      <c r="B413" t="s">
        <v>2120</v>
      </c>
    </row>
    <row r="414" spans="1:2" x14ac:dyDescent="0.25">
      <c r="A414">
        <v>412</v>
      </c>
      <c r="B414" t="s">
        <v>2121</v>
      </c>
    </row>
    <row r="415" spans="1:2" x14ac:dyDescent="0.25">
      <c r="A415">
        <v>413</v>
      </c>
      <c r="B415" t="s">
        <v>2122</v>
      </c>
    </row>
    <row r="416" spans="1:2" x14ac:dyDescent="0.25">
      <c r="A416">
        <v>414</v>
      </c>
      <c r="B416" t="s">
        <v>2123</v>
      </c>
    </row>
    <row r="417" spans="1:2" x14ac:dyDescent="0.25">
      <c r="A417">
        <v>415</v>
      </c>
      <c r="B417" t="s">
        <v>2124</v>
      </c>
    </row>
    <row r="418" spans="1:2" x14ac:dyDescent="0.25">
      <c r="A418">
        <v>416</v>
      </c>
      <c r="B418" t="s">
        <v>2125</v>
      </c>
    </row>
    <row r="419" spans="1:2" x14ac:dyDescent="0.25">
      <c r="A419">
        <v>417</v>
      </c>
      <c r="B419" t="s">
        <v>2126</v>
      </c>
    </row>
    <row r="420" spans="1:2" x14ac:dyDescent="0.25">
      <c r="A420">
        <v>418</v>
      </c>
      <c r="B420" t="s">
        <v>2127</v>
      </c>
    </row>
    <row r="421" spans="1:2" x14ac:dyDescent="0.25">
      <c r="A421">
        <v>419</v>
      </c>
      <c r="B421" t="s">
        <v>2128</v>
      </c>
    </row>
    <row r="422" spans="1:2" x14ac:dyDescent="0.25">
      <c r="A422">
        <v>420</v>
      </c>
      <c r="B422" t="s">
        <v>2129</v>
      </c>
    </row>
    <row r="423" spans="1:2" x14ac:dyDescent="0.25">
      <c r="A423">
        <v>421</v>
      </c>
      <c r="B423" t="s">
        <v>2130</v>
      </c>
    </row>
    <row r="424" spans="1:2" x14ac:dyDescent="0.25">
      <c r="A424">
        <v>422</v>
      </c>
      <c r="B424" t="s">
        <v>1593</v>
      </c>
    </row>
    <row r="425" spans="1:2" x14ac:dyDescent="0.25">
      <c r="A425">
        <v>423</v>
      </c>
      <c r="B425" t="s">
        <v>1594</v>
      </c>
    </row>
    <row r="426" spans="1:2" x14ac:dyDescent="0.25">
      <c r="A426">
        <v>424</v>
      </c>
      <c r="B426" t="s">
        <v>2131</v>
      </c>
    </row>
    <row r="427" spans="1:2" x14ac:dyDescent="0.25">
      <c r="A427">
        <v>425</v>
      </c>
      <c r="B427" t="s">
        <v>2132</v>
      </c>
    </row>
    <row r="428" spans="1:2" x14ac:dyDescent="0.25">
      <c r="A428">
        <v>426</v>
      </c>
      <c r="B428" t="s">
        <v>2133</v>
      </c>
    </row>
    <row r="429" spans="1:2" x14ac:dyDescent="0.25">
      <c r="A429">
        <v>427</v>
      </c>
      <c r="B429" t="s">
        <v>1651</v>
      </c>
    </row>
    <row r="430" spans="1:2" x14ac:dyDescent="0.25">
      <c r="A430">
        <v>428</v>
      </c>
      <c r="B430" t="s">
        <v>1652</v>
      </c>
    </row>
    <row r="431" spans="1:2" x14ac:dyDescent="0.25">
      <c r="A431">
        <v>429</v>
      </c>
      <c r="B431" t="s">
        <v>2134</v>
      </c>
    </row>
    <row r="432" spans="1:2" x14ac:dyDescent="0.25">
      <c r="A432">
        <v>430</v>
      </c>
      <c r="B432" t="s">
        <v>2135</v>
      </c>
    </row>
    <row r="433" spans="1:2" x14ac:dyDescent="0.25">
      <c r="A433">
        <v>431</v>
      </c>
      <c r="B433" t="s">
        <v>2136</v>
      </c>
    </row>
    <row r="434" spans="1:2" x14ac:dyDescent="0.25">
      <c r="A434">
        <v>432</v>
      </c>
      <c r="B434" t="s">
        <v>2137</v>
      </c>
    </row>
    <row r="435" spans="1:2" x14ac:dyDescent="0.25">
      <c r="A435">
        <v>433</v>
      </c>
      <c r="B435" t="s">
        <v>2138</v>
      </c>
    </row>
    <row r="436" spans="1:2" x14ac:dyDescent="0.25">
      <c r="A436">
        <v>434</v>
      </c>
      <c r="B436" t="s">
        <v>2139</v>
      </c>
    </row>
    <row r="437" spans="1:2" x14ac:dyDescent="0.25">
      <c r="A437">
        <v>435</v>
      </c>
      <c r="B437" t="s">
        <v>2140</v>
      </c>
    </row>
    <row r="438" spans="1:2" x14ac:dyDescent="0.25">
      <c r="A438">
        <v>436</v>
      </c>
      <c r="B438" t="s">
        <v>2141</v>
      </c>
    </row>
    <row r="439" spans="1:2" x14ac:dyDescent="0.25">
      <c r="A439">
        <v>437</v>
      </c>
      <c r="B439" t="s">
        <v>2398</v>
      </c>
    </row>
    <row r="440" spans="1:2" x14ac:dyDescent="0.25">
      <c r="A440">
        <v>438</v>
      </c>
      <c r="B440" t="s">
        <v>1701</v>
      </c>
    </row>
    <row r="441" spans="1:2" x14ac:dyDescent="0.25">
      <c r="A441">
        <v>439</v>
      </c>
      <c r="B441" t="s">
        <v>1702</v>
      </c>
    </row>
    <row r="442" spans="1:2" x14ac:dyDescent="0.25">
      <c r="A442">
        <v>440</v>
      </c>
      <c r="B442" t="s">
        <v>1703</v>
      </c>
    </row>
    <row r="443" spans="1:2" x14ac:dyDescent="0.25">
      <c r="A443">
        <v>441</v>
      </c>
      <c r="B443" t="s">
        <v>2195</v>
      </c>
    </row>
    <row r="444" spans="1:2" x14ac:dyDescent="0.25">
      <c r="A444">
        <v>442</v>
      </c>
      <c r="B444" t="s">
        <v>2196</v>
      </c>
    </row>
    <row r="445" spans="1:2" x14ac:dyDescent="0.25">
      <c r="A445">
        <v>443</v>
      </c>
      <c r="B445" t="s">
        <v>2197</v>
      </c>
    </row>
    <row r="446" spans="1:2" x14ac:dyDescent="0.25">
      <c r="A446">
        <v>444</v>
      </c>
      <c r="B446" t="s">
        <v>2198</v>
      </c>
    </row>
    <row r="447" spans="1:2" x14ac:dyDescent="0.25">
      <c r="A447">
        <v>445</v>
      </c>
      <c r="B447" t="s">
        <v>2199</v>
      </c>
    </row>
    <row r="448" spans="1:2" x14ac:dyDescent="0.25">
      <c r="A448">
        <v>446</v>
      </c>
      <c r="B448" t="s">
        <v>2200</v>
      </c>
    </row>
    <row r="449" spans="1:2" x14ac:dyDescent="0.25">
      <c r="A449">
        <v>447</v>
      </c>
      <c r="B449" t="s">
        <v>2201</v>
      </c>
    </row>
    <row r="450" spans="1:2" x14ac:dyDescent="0.25">
      <c r="A450">
        <v>448</v>
      </c>
      <c r="B450" t="s">
        <v>2202</v>
      </c>
    </row>
    <row r="451" spans="1:2" x14ac:dyDescent="0.25">
      <c r="A451">
        <v>449</v>
      </c>
      <c r="B451" t="s">
        <v>2203</v>
      </c>
    </row>
    <row r="452" spans="1:2" x14ac:dyDescent="0.25">
      <c r="A452">
        <v>450</v>
      </c>
      <c r="B452" t="s">
        <v>2142</v>
      </c>
    </row>
    <row r="453" spans="1:2" x14ac:dyDescent="0.25">
      <c r="A453">
        <v>451</v>
      </c>
      <c r="B453" t="s">
        <v>2143</v>
      </c>
    </row>
    <row r="454" spans="1:2" x14ac:dyDescent="0.25">
      <c r="A454">
        <v>452</v>
      </c>
      <c r="B454" t="s">
        <v>2144</v>
      </c>
    </row>
    <row r="455" spans="1:2" x14ac:dyDescent="0.25">
      <c r="A455">
        <v>453</v>
      </c>
      <c r="B455" t="s">
        <v>2145</v>
      </c>
    </row>
    <row r="456" spans="1:2" x14ac:dyDescent="0.25">
      <c r="A456">
        <v>454</v>
      </c>
      <c r="B456" t="s">
        <v>2397</v>
      </c>
    </row>
    <row r="457" spans="1:2" x14ac:dyDescent="0.25">
      <c r="A457">
        <v>455</v>
      </c>
      <c r="B457" t="s">
        <v>2204</v>
      </c>
    </row>
    <row r="458" spans="1:2" x14ac:dyDescent="0.25">
      <c r="A458">
        <v>456</v>
      </c>
      <c r="B458" t="s">
        <v>2205</v>
      </c>
    </row>
    <row r="459" spans="1:2" x14ac:dyDescent="0.25">
      <c r="A459">
        <v>457</v>
      </c>
      <c r="B459" t="s">
        <v>2206</v>
      </c>
    </row>
    <row r="460" spans="1:2" x14ac:dyDescent="0.25">
      <c r="A460">
        <v>458</v>
      </c>
      <c r="B460" t="s">
        <v>2444</v>
      </c>
    </row>
    <row r="461" spans="1:2" x14ac:dyDescent="0.25">
      <c r="A461">
        <v>459</v>
      </c>
      <c r="B461" t="s">
        <v>2445</v>
      </c>
    </row>
    <row r="462" spans="1:2" x14ac:dyDescent="0.25">
      <c r="A462">
        <v>460</v>
      </c>
      <c r="B462" t="s">
        <v>2446</v>
      </c>
    </row>
    <row r="463" spans="1:2" x14ac:dyDescent="0.25">
      <c r="A463">
        <v>461</v>
      </c>
      <c r="B463" t="s">
        <v>2447</v>
      </c>
    </row>
    <row r="464" spans="1:2" x14ac:dyDescent="0.25">
      <c r="A464">
        <v>462</v>
      </c>
      <c r="B464" t="s">
        <v>2448</v>
      </c>
    </row>
    <row r="465" spans="1:3" x14ac:dyDescent="0.25">
      <c r="A465">
        <v>463</v>
      </c>
      <c r="B465" t="s">
        <v>2449</v>
      </c>
    </row>
    <row r="466" spans="1:3" x14ac:dyDescent="0.25">
      <c r="A466">
        <v>464</v>
      </c>
      <c r="B466" t="s">
        <v>2441</v>
      </c>
    </row>
    <row r="467" spans="1:3" x14ac:dyDescent="0.25">
      <c r="A467">
        <v>465</v>
      </c>
      <c r="B467" t="s">
        <v>2393</v>
      </c>
    </row>
    <row r="468" spans="1:3" x14ac:dyDescent="0.25">
      <c r="A468">
        <v>466</v>
      </c>
      <c r="B468" t="s">
        <v>2392</v>
      </c>
    </row>
    <row r="469" spans="1:3" x14ac:dyDescent="0.25">
      <c r="A469">
        <v>467</v>
      </c>
      <c r="B469" t="s">
        <v>2442</v>
      </c>
    </row>
    <row r="470" spans="1:3" x14ac:dyDescent="0.25">
      <c r="A470">
        <v>468</v>
      </c>
      <c r="B470" t="s">
        <v>2443</v>
      </c>
    </row>
    <row r="471" spans="1:3" x14ac:dyDescent="0.25">
      <c r="A471">
        <v>469</v>
      </c>
      <c r="B471" t="s">
        <v>2502</v>
      </c>
    </row>
    <row r="472" spans="1:3" x14ac:dyDescent="0.25">
      <c r="A472">
        <v>470</v>
      </c>
      <c r="B472" t="s">
        <v>2503</v>
      </c>
    </row>
    <row r="473" spans="1:3" x14ac:dyDescent="0.25">
      <c r="A473">
        <v>471</v>
      </c>
      <c r="B473" t="s">
        <v>2439</v>
      </c>
    </row>
    <row r="474" spans="1:3" x14ac:dyDescent="0.25">
      <c r="A474">
        <v>472</v>
      </c>
      <c r="B474" t="s">
        <v>2440</v>
      </c>
      <c r="C474" s="72"/>
    </row>
    <row r="475" spans="1:3" x14ac:dyDescent="0.25">
      <c r="A475">
        <v>473</v>
      </c>
      <c r="B475" t="s">
        <v>2411</v>
      </c>
      <c r="C475" s="72"/>
    </row>
    <row r="476" spans="1:3" x14ac:dyDescent="0.25">
      <c r="A476">
        <v>474</v>
      </c>
      <c r="C476" s="72"/>
    </row>
    <row r="477" spans="1:3" x14ac:dyDescent="0.25">
      <c r="A477">
        <v>475</v>
      </c>
      <c r="C477" s="72"/>
    </row>
    <row r="478" spans="1:3" x14ac:dyDescent="0.25">
      <c r="A478">
        <v>476</v>
      </c>
      <c r="B478" t="s">
        <v>2661</v>
      </c>
      <c r="C478" s="73"/>
    </row>
    <row r="479" spans="1:3" x14ac:dyDescent="0.25">
      <c r="A479">
        <v>477</v>
      </c>
      <c r="B479" t="s">
        <v>2662</v>
      </c>
      <c r="C479" s="74"/>
    </row>
    <row r="480" spans="1:3" x14ac:dyDescent="0.25">
      <c r="A480">
        <v>478</v>
      </c>
      <c r="B480" t="s">
        <v>2663</v>
      </c>
      <c r="C480" s="74"/>
    </row>
    <row r="481" spans="1:3" x14ac:dyDescent="0.25">
      <c r="A481">
        <v>479</v>
      </c>
      <c r="B481" t="s">
        <v>2664</v>
      </c>
      <c r="C481" s="74"/>
    </row>
    <row r="482" spans="1:3" x14ac:dyDescent="0.25">
      <c r="A482">
        <v>480</v>
      </c>
      <c r="B482" t="s">
        <v>2665</v>
      </c>
      <c r="C482" s="74"/>
    </row>
    <row r="483" spans="1:3" x14ac:dyDescent="0.25">
      <c r="A483">
        <v>481</v>
      </c>
      <c r="B483" t="s">
        <v>2504</v>
      </c>
      <c r="C483" s="74"/>
    </row>
    <row r="484" spans="1:3" x14ac:dyDescent="0.25">
      <c r="A484">
        <v>482</v>
      </c>
      <c r="B484" t="s">
        <v>2505</v>
      </c>
      <c r="C484" s="74"/>
    </row>
    <row r="485" spans="1:3" x14ac:dyDescent="0.25">
      <c r="A485">
        <v>483</v>
      </c>
      <c r="B485" t="s">
        <v>2506</v>
      </c>
      <c r="C485" s="74"/>
    </row>
    <row r="486" spans="1:3" x14ac:dyDescent="0.25">
      <c r="A486">
        <v>484</v>
      </c>
      <c r="B486" t="s">
        <v>2507</v>
      </c>
    </row>
    <row r="487" spans="1:3" x14ac:dyDescent="0.25">
      <c r="A487">
        <v>485</v>
      </c>
      <c r="B487" t="s">
        <v>2496</v>
      </c>
    </row>
    <row r="488" spans="1:3" x14ac:dyDescent="0.25">
      <c r="A488">
        <v>486</v>
      </c>
      <c r="B488" t="s">
        <v>2501</v>
      </c>
    </row>
    <row r="489" spans="1:3" x14ac:dyDescent="0.25">
      <c r="A489">
        <v>487</v>
      </c>
      <c r="B489" t="s">
        <v>2666</v>
      </c>
    </row>
    <row r="490" spans="1:3" x14ac:dyDescent="0.25">
      <c r="A490">
        <v>488</v>
      </c>
      <c r="B490" t="s">
        <v>3325</v>
      </c>
    </row>
    <row r="491" spans="1:3" x14ac:dyDescent="0.25">
      <c r="A491">
        <v>489</v>
      </c>
      <c r="B491" t="s">
        <v>2667</v>
      </c>
    </row>
    <row r="492" spans="1:3" x14ac:dyDescent="0.25">
      <c r="A492">
        <v>490</v>
      </c>
      <c r="B492" t="s">
        <v>2668</v>
      </c>
    </row>
    <row r="493" spans="1:3" x14ac:dyDescent="0.25">
      <c r="A493">
        <v>491</v>
      </c>
      <c r="B493" t="s">
        <v>2669</v>
      </c>
    </row>
    <row r="494" spans="1:3" x14ac:dyDescent="0.25">
      <c r="A494">
        <v>492</v>
      </c>
    </row>
    <row r="495" spans="1:3" x14ac:dyDescent="0.25">
      <c r="A495">
        <v>493</v>
      </c>
      <c r="B495" t="s">
        <v>2670</v>
      </c>
    </row>
    <row r="496" spans="1:3" x14ac:dyDescent="0.25">
      <c r="A496">
        <v>494</v>
      </c>
      <c r="B496" t="s">
        <v>2671</v>
      </c>
    </row>
    <row r="497" spans="1:2" x14ac:dyDescent="0.25">
      <c r="A497">
        <v>495</v>
      </c>
      <c r="B497" t="s">
        <v>2672</v>
      </c>
    </row>
    <row r="498" spans="1:2" x14ac:dyDescent="0.25">
      <c r="A498">
        <v>496</v>
      </c>
      <c r="B498" t="s">
        <v>2673</v>
      </c>
    </row>
    <row r="499" spans="1:2" x14ac:dyDescent="0.25">
      <c r="A499">
        <v>497</v>
      </c>
      <c r="B499" t="s">
        <v>2725</v>
      </c>
    </row>
    <row r="500" spans="1:2" x14ac:dyDescent="0.25">
      <c r="A500">
        <v>498</v>
      </c>
      <c r="B500" t="s">
        <v>2726</v>
      </c>
    </row>
    <row r="501" spans="1:2" x14ac:dyDescent="0.25">
      <c r="A501">
        <v>499</v>
      </c>
      <c r="B501" t="s">
        <v>2722</v>
      </c>
    </row>
    <row r="502" spans="1:2" x14ac:dyDescent="0.25">
      <c r="A502">
        <v>500</v>
      </c>
    </row>
    <row r="503" spans="1:2" x14ac:dyDescent="0.25">
      <c r="A503">
        <v>501</v>
      </c>
      <c r="B503" t="s">
        <v>3326</v>
      </c>
    </row>
    <row r="504" spans="1:2" x14ac:dyDescent="0.25">
      <c r="A504">
        <v>502</v>
      </c>
      <c r="B504" t="s">
        <v>3327</v>
      </c>
    </row>
    <row r="505" spans="1:2" x14ac:dyDescent="0.25">
      <c r="A505">
        <v>503</v>
      </c>
      <c r="B505" t="s">
        <v>3328</v>
      </c>
    </row>
    <row r="506" spans="1:2" x14ac:dyDescent="0.25">
      <c r="A506">
        <v>504</v>
      </c>
      <c r="B506" t="s">
        <v>3329</v>
      </c>
    </row>
    <row r="507" spans="1:2" x14ac:dyDescent="0.25">
      <c r="A507">
        <v>505</v>
      </c>
      <c r="B507" t="s">
        <v>3330</v>
      </c>
    </row>
    <row r="508" spans="1:2" x14ac:dyDescent="0.25">
      <c r="A508">
        <v>506</v>
      </c>
      <c r="B508" t="s">
        <v>3331</v>
      </c>
    </row>
    <row r="509" spans="1:2" x14ac:dyDescent="0.25">
      <c r="A509">
        <v>507</v>
      </c>
      <c r="B509" t="s">
        <v>3332</v>
      </c>
    </row>
    <row r="510" spans="1:2" x14ac:dyDescent="0.25">
      <c r="A510">
        <v>508</v>
      </c>
      <c r="B510" t="s">
        <v>3333</v>
      </c>
    </row>
    <row r="511" spans="1:2" x14ac:dyDescent="0.25">
      <c r="A511">
        <v>509</v>
      </c>
      <c r="B511" t="s">
        <v>3334</v>
      </c>
    </row>
    <row r="512" spans="1:2" x14ac:dyDescent="0.25">
      <c r="A512">
        <v>510</v>
      </c>
      <c r="B512" t="s">
        <v>3335</v>
      </c>
    </row>
    <row r="513" spans="1:2" x14ac:dyDescent="0.25">
      <c r="A513">
        <v>511</v>
      </c>
      <c r="B513" t="s">
        <v>3336</v>
      </c>
    </row>
    <row r="514" spans="1:2" x14ac:dyDescent="0.25">
      <c r="A514">
        <v>512</v>
      </c>
      <c r="B514" t="s">
        <v>3337</v>
      </c>
    </row>
    <row r="515" spans="1:2" x14ac:dyDescent="0.25">
      <c r="A515">
        <v>513</v>
      </c>
      <c r="B515" t="s">
        <v>3338</v>
      </c>
    </row>
    <row r="516" spans="1:2" x14ac:dyDescent="0.25">
      <c r="A516">
        <v>514</v>
      </c>
    </row>
    <row r="517" spans="1:2" x14ac:dyDescent="0.25">
      <c r="A517">
        <v>515</v>
      </c>
    </row>
    <row r="518" spans="1:2" x14ac:dyDescent="0.25">
      <c r="A518">
        <v>516</v>
      </c>
    </row>
    <row r="519" spans="1:2" x14ac:dyDescent="0.25">
      <c r="A519">
        <v>517</v>
      </c>
      <c r="B519" t="s">
        <v>3339</v>
      </c>
    </row>
    <row r="520" spans="1:2" x14ac:dyDescent="0.25">
      <c r="A520">
        <v>518</v>
      </c>
      <c r="B520" t="s">
        <v>3340</v>
      </c>
    </row>
    <row r="521" spans="1:2" x14ac:dyDescent="0.25">
      <c r="A521">
        <v>519</v>
      </c>
      <c r="B521" t="s">
        <v>3341</v>
      </c>
    </row>
    <row r="522" spans="1:2" x14ac:dyDescent="0.25">
      <c r="A522">
        <v>520</v>
      </c>
      <c r="B522" t="s">
        <v>3407</v>
      </c>
    </row>
    <row r="523" spans="1:2" x14ac:dyDescent="0.25">
      <c r="A523">
        <v>521</v>
      </c>
      <c r="B523" t="s">
        <v>3408</v>
      </c>
    </row>
    <row r="524" spans="1:2" x14ac:dyDescent="0.25">
      <c r="A524">
        <v>522</v>
      </c>
      <c r="B524" t="s">
        <v>3342</v>
      </c>
    </row>
    <row r="525" spans="1:2" x14ac:dyDescent="0.25">
      <c r="A525">
        <v>523</v>
      </c>
      <c r="B525" t="s">
        <v>3343</v>
      </c>
    </row>
    <row r="526" spans="1:2" x14ac:dyDescent="0.25">
      <c r="A526">
        <v>524</v>
      </c>
      <c r="B526" t="s">
        <v>3469</v>
      </c>
    </row>
    <row r="527" spans="1:2" x14ac:dyDescent="0.25">
      <c r="A527">
        <v>525</v>
      </c>
      <c r="B527" t="s">
        <v>3470</v>
      </c>
    </row>
    <row r="528" spans="1:2" x14ac:dyDescent="0.25">
      <c r="A528">
        <v>526</v>
      </c>
      <c r="B528" t="s">
        <v>3471</v>
      </c>
    </row>
    <row r="529" spans="1:2" x14ac:dyDescent="0.25">
      <c r="A529">
        <v>527</v>
      </c>
      <c r="B529" t="s">
        <v>3472</v>
      </c>
    </row>
    <row r="530" spans="1:2" x14ac:dyDescent="0.25">
      <c r="A530">
        <v>528</v>
      </c>
      <c r="B530" t="s">
        <v>3558</v>
      </c>
    </row>
    <row r="531" spans="1:2" x14ac:dyDescent="0.25">
      <c r="A531">
        <v>529</v>
      </c>
      <c r="B531" t="s">
        <v>3473</v>
      </c>
    </row>
    <row r="532" spans="1:2" x14ac:dyDescent="0.25">
      <c r="A532">
        <v>530</v>
      </c>
      <c r="B532" t="s">
        <v>3474</v>
      </c>
    </row>
    <row r="533" spans="1:2" x14ac:dyDescent="0.25">
      <c r="A533">
        <v>531</v>
      </c>
      <c r="B533" t="s">
        <v>3559</v>
      </c>
    </row>
    <row r="534" spans="1:2" x14ac:dyDescent="0.25">
      <c r="A534">
        <v>532</v>
      </c>
      <c r="B534" t="s">
        <v>3560</v>
      </c>
    </row>
    <row r="535" spans="1:2" x14ac:dyDescent="0.25">
      <c r="A535">
        <v>533</v>
      </c>
      <c r="B535" t="s">
        <v>3561</v>
      </c>
    </row>
    <row r="536" spans="1:2" x14ac:dyDescent="0.25">
      <c r="A536">
        <v>534</v>
      </c>
      <c r="B536" t="s">
        <v>3659</v>
      </c>
    </row>
    <row r="537" spans="1:2" x14ac:dyDescent="0.25">
      <c r="A537">
        <v>535</v>
      </c>
      <c r="B537" t="s">
        <v>3660</v>
      </c>
    </row>
    <row r="538" spans="1:2" x14ac:dyDescent="0.25">
      <c r="A538">
        <v>536</v>
      </c>
      <c r="B538" t="s">
        <v>3661</v>
      </c>
    </row>
    <row r="539" spans="1:2" x14ac:dyDescent="0.25">
      <c r="A539">
        <v>537</v>
      </c>
      <c r="B539" t="s">
        <v>3662</v>
      </c>
    </row>
    <row r="540" spans="1:2" x14ac:dyDescent="0.25">
      <c r="A540">
        <v>538</v>
      </c>
      <c r="B540" t="s">
        <v>3663</v>
      </c>
    </row>
    <row r="541" spans="1:2" x14ac:dyDescent="0.25">
      <c r="A541">
        <v>539</v>
      </c>
      <c r="B541" t="s">
        <v>3664</v>
      </c>
    </row>
    <row r="542" spans="1:2" x14ac:dyDescent="0.25">
      <c r="A542">
        <v>540</v>
      </c>
      <c r="B542" t="s">
        <v>3665</v>
      </c>
    </row>
    <row r="543" spans="1:2" x14ac:dyDescent="0.25">
      <c r="A543">
        <v>541</v>
      </c>
      <c r="B543" t="s">
        <v>3666</v>
      </c>
    </row>
    <row r="544" spans="1:2" x14ac:dyDescent="0.25">
      <c r="A544">
        <v>542</v>
      </c>
      <c r="B544" t="s">
        <v>3667</v>
      </c>
    </row>
    <row r="545" spans="1:2" x14ac:dyDescent="0.25">
      <c r="A545">
        <v>543</v>
      </c>
      <c r="B545" t="s">
        <v>3668</v>
      </c>
    </row>
    <row r="546" spans="1:2" x14ac:dyDescent="0.25">
      <c r="A546">
        <v>544</v>
      </c>
      <c r="B546" t="s">
        <v>3669</v>
      </c>
    </row>
    <row r="547" spans="1:2" x14ac:dyDescent="0.25">
      <c r="A547">
        <v>545</v>
      </c>
      <c r="B547" t="s">
        <v>3670</v>
      </c>
    </row>
    <row r="548" spans="1:2" x14ac:dyDescent="0.25">
      <c r="A548">
        <v>546</v>
      </c>
      <c r="B548" t="s">
        <v>3671</v>
      </c>
    </row>
    <row r="549" spans="1:2" x14ac:dyDescent="0.25">
      <c r="A549">
        <v>547</v>
      </c>
      <c r="B549" t="s">
        <v>3672</v>
      </c>
    </row>
    <row r="550" spans="1:2" x14ac:dyDescent="0.25">
      <c r="A550">
        <v>548</v>
      </c>
      <c r="B550" t="s">
        <v>3673</v>
      </c>
    </row>
    <row r="551" spans="1:2" x14ac:dyDescent="0.25">
      <c r="A551">
        <v>549</v>
      </c>
      <c r="B551" t="s">
        <v>3674</v>
      </c>
    </row>
    <row r="552" spans="1:2" x14ac:dyDescent="0.25">
      <c r="A552">
        <v>550</v>
      </c>
      <c r="B552" t="s">
        <v>3912</v>
      </c>
    </row>
    <row r="553" spans="1:2" x14ac:dyDescent="0.25">
      <c r="A553">
        <v>551</v>
      </c>
      <c r="B553" t="s">
        <v>3675</v>
      </c>
    </row>
    <row r="554" spans="1:2" x14ac:dyDescent="0.25">
      <c r="A554">
        <v>552</v>
      </c>
      <c r="B554" t="s">
        <v>3676</v>
      </c>
    </row>
    <row r="555" spans="1:2" x14ac:dyDescent="0.25">
      <c r="A555">
        <v>553</v>
      </c>
      <c r="B555" t="s">
        <v>3677</v>
      </c>
    </row>
    <row r="556" spans="1:2" x14ac:dyDescent="0.25">
      <c r="A556">
        <v>554</v>
      </c>
      <c r="B556" t="s">
        <v>3678</v>
      </c>
    </row>
    <row r="557" spans="1:2" x14ac:dyDescent="0.25">
      <c r="A557">
        <v>555</v>
      </c>
      <c r="B557" t="s">
        <v>3770</v>
      </c>
    </row>
    <row r="558" spans="1:2" x14ac:dyDescent="0.25">
      <c r="A558">
        <v>556</v>
      </c>
      <c r="B558" t="s">
        <v>3916</v>
      </c>
    </row>
    <row r="559" spans="1:2" x14ac:dyDescent="0.25">
      <c r="A559">
        <v>557</v>
      </c>
      <c r="B559" t="s">
        <v>3771</v>
      </c>
    </row>
    <row r="560" spans="1:2" x14ac:dyDescent="0.25">
      <c r="A560">
        <v>558</v>
      </c>
    </row>
    <row r="561" spans="1:2" x14ac:dyDescent="0.25">
      <c r="A561">
        <v>559</v>
      </c>
    </row>
    <row r="562" spans="1:2" x14ac:dyDescent="0.25">
      <c r="A562">
        <v>560</v>
      </c>
    </row>
    <row r="563" spans="1:2" x14ac:dyDescent="0.25">
      <c r="A563">
        <v>561</v>
      </c>
    </row>
    <row r="564" spans="1:2" x14ac:dyDescent="0.25">
      <c r="A564">
        <v>562</v>
      </c>
    </row>
    <row r="565" spans="1:2" x14ac:dyDescent="0.25">
      <c r="A565">
        <v>563</v>
      </c>
    </row>
    <row r="566" spans="1:2" x14ac:dyDescent="0.25">
      <c r="A566">
        <v>564</v>
      </c>
    </row>
    <row r="567" spans="1:2" x14ac:dyDescent="0.25">
      <c r="A567">
        <v>565</v>
      </c>
      <c r="B567" t="s">
        <v>3917</v>
      </c>
    </row>
    <row r="568" spans="1:2" x14ac:dyDescent="0.25">
      <c r="A568">
        <v>566</v>
      </c>
      <c r="B568" t="s">
        <v>3772</v>
      </c>
    </row>
    <row r="569" spans="1:2" x14ac:dyDescent="0.25">
      <c r="A569">
        <v>567</v>
      </c>
      <c r="B569" t="s">
        <v>3773</v>
      </c>
    </row>
    <row r="570" spans="1:2" x14ac:dyDescent="0.25">
      <c r="A570">
        <v>568</v>
      </c>
    </row>
    <row r="571" spans="1:2" x14ac:dyDescent="0.25">
      <c r="A571">
        <v>569</v>
      </c>
      <c r="B571" t="s">
        <v>3911</v>
      </c>
    </row>
    <row r="572" spans="1:2" x14ac:dyDescent="0.25">
      <c r="A572">
        <v>570</v>
      </c>
      <c r="B572" t="s">
        <v>3909</v>
      </c>
    </row>
  </sheetData>
  <autoFilter ref="A2:B560"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1"/>
  <sheetViews>
    <sheetView workbookViewId="0">
      <pane ySplit="2" topLeftCell="A63" activePane="bottomLeft" state="frozen"/>
      <selection pane="bottomLeft" activeCell="A94" sqref="A9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19" t="s">
        <v>3776</v>
      </c>
      <c r="B1" s="119"/>
      <c r="C1" s="119"/>
      <c r="D1" s="119"/>
      <c r="E1" s="119"/>
      <c r="F1" s="119"/>
      <c r="G1" s="119"/>
      <c r="H1" s="119"/>
      <c r="I1" s="119"/>
    </row>
    <row r="2" spans="1:10" ht="75" x14ac:dyDescent="0.25">
      <c r="A2" s="1" t="s">
        <v>2283</v>
      </c>
      <c r="B2" s="1" t="s">
        <v>2284</v>
      </c>
      <c r="C2" s="1" t="s">
        <v>2285</v>
      </c>
      <c r="D2" s="97" t="s">
        <v>2380</v>
      </c>
      <c r="E2" s="1" t="s">
        <v>2290</v>
      </c>
      <c r="F2" s="1" t="s">
        <v>2291</v>
      </c>
      <c r="G2" s="1" t="s">
        <v>2317</v>
      </c>
      <c r="H2" s="1" t="s">
        <v>2367</v>
      </c>
      <c r="I2" s="1" t="s">
        <v>2368</v>
      </c>
      <c r="J2" s="69" t="s">
        <v>2370</v>
      </c>
    </row>
    <row r="3" spans="1:10" x14ac:dyDescent="0.25">
      <c r="A3">
        <v>1</v>
      </c>
      <c r="B3">
        <v>1</v>
      </c>
      <c r="C3" t="str">
        <f t="shared" ref="C3:C21" si="0">IF(A3=B3,"X","")</f>
        <v>X</v>
      </c>
      <c r="D3" s="98"/>
      <c r="E3" t="s">
        <v>2287</v>
      </c>
      <c r="F3" t="s">
        <v>2287</v>
      </c>
      <c r="G3" t="str">
        <f>IF(OR(A3=5,A3=6,),"X","")</f>
        <v/>
      </c>
      <c r="H3" t="str">
        <f>IF(OR(A3=7,),"X","")</f>
        <v/>
      </c>
      <c r="I3" t="str">
        <f>IF(OR(A3=8,),"X","")</f>
        <v/>
      </c>
      <c r="J3" s="30" t="str">
        <f>IF(C3="X","","{ parentCategory="&amp;A3&amp;", category="&amp;B3&amp;IF(AND(NOT(ISNA(D3)),D3&lt;&gt;"",NOT(ISERROR(D3))),", zoneIds={"&amp;D3&amp;"}","")&amp;IF(G3&lt;&gt;"",", isDungeon=true","")&amp;IF(H3&lt;&gt;"",", isTrial=true","")&amp;IF(I3&lt;&gt;"",", isArena=true","")&amp;"},") &amp;"--"&amp;E3</f>
        <v>--Aldmeri-Dominion</v>
      </c>
    </row>
    <row r="4" spans="1:10" x14ac:dyDescent="0.25">
      <c r="A4">
        <v>1</v>
      </c>
      <c r="B4">
        <v>11</v>
      </c>
      <c r="C4" t="str">
        <f t="shared" si="0"/>
        <v/>
      </c>
      <c r="D4" s="2">
        <f>VLOOKUP(E4,'ESO zone constants'!$D$5:$H$10003,5,FALSE)</f>
        <v>381</v>
      </c>
      <c r="E4" t="s">
        <v>262</v>
      </c>
      <c r="F4" t="s">
        <v>262</v>
      </c>
      <c r="G4" t="str">
        <f t="shared" ref="G4:G72" si="1">IF(OR(A4=5,A4=6,),"X","")</f>
        <v/>
      </c>
      <c r="H4" t="str">
        <f t="shared" ref="H4:H72" si="2">IF(OR(A4=7,),"X","")</f>
        <v/>
      </c>
      <c r="I4" t="str">
        <f t="shared" ref="I4:I72" si="3">IF(OR(A4=8,),"X","")</f>
        <v/>
      </c>
      <c r="J4" s="30" t="str">
        <f t="shared" ref="J4:J72" si="4">IF(C4="X","","{ parentCategory="&amp;A4&amp;", category="&amp;B4&amp;IF(AND(NOT(ISNA(D4)),D4&lt;&gt;"",NOT(ISERROR(D4))),", zoneIds={"&amp;D4&amp;"}","")&amp;IF(G4&lt;&gt;"",", isDungeon=true","")&amp;IF(H4&lt;&gt;"",", isTrial=true","")&amp;IF(I4&lt;&gt;"",", isArena=true","")&amp;"},") &amp;"--"&amp;E4</f>
        <v>{ parentCategory=1, category=11, zoneIds={381}},--Auridon</v>
      </c>
    </row>
    <row r="5" spans="1:10" x14ac:dyDescent="0.25">
      <c r="A5">
        <v>1</v>
      </c>
      <c r="B5">
        <v>12</v>
      </c>
      <c r="C5" t="str">
        <f t="shared" si="0"/>
        <v/>
      </c>
      <c r="D5" s="2">
        <f>VLOOKUP(E5,'ESO zone constants'!$D$5:$H$10003,5,FALSE)</f>
        <v>383</v>
      </c>
      <c r="E5" t="s">
        <v>264</v>
      </c>
      <c r="F5" t="s">
        <v>2286</v>
      </c>
      <c r="G5" t="str">
        <f t="shared" si="1"/>
        <v/>
      </c>
      <c r="H5" t="str">
        <f t="shared" si="2"/>
        <v/>
      </c>
      <c r="I5" t="str">
        <f t="shared" si="3"/>
        <v/>
      </c>
      <c r="J5" s="30" t="str">
        <f t="shared" si="4"/>
        <v>{ parentCategory=1, category=12, zoneIds={383}},--Grahtwood</v>
      </c>
    </row>
    <row r="6" spans="1:10" x14ac:dyDescent="0.25">
      <c r="A6">
        <v>1</v>
      </c>
      <c r="B6">
        <v>13</v>
      </c>
      <c r="C6" t="str">
        <f t="shared" si="0"/>
        <v/>
      </c>
      <c r="D6" s="2">
        <f>VLOOKUP(E6,'ESO zone constants'!$D$5:$H$10003,5,FALSE)</f>
        <v>108</v>
      </c>
      <c r="E6" t="s">
        <v>113</v>
      </c>
      <c r="F6" t="s">
        <v>2288</v>
      </c>
      <c r="G6" t="str">
        <f t="shared" si="1"/>
        <v/>
      </c>
      <c r="H6" t="str">
        <f t="shared" si="2"/>
        <v/>
      </c>
      <c r="I6" t="str">
        <f t="shared" si="3"/>
        <v/>
      </c>
      <c r="J6" s="30" t="str">
        <f t="shared" si="4"/>
        <v>{ parentCategory=1, category=13, zoneIds={108}},--Greenshade</v>
      </c>
    </row>
    <row r="7" spans="1:10" x14ac:dyDescent="0.25">
      <c r="A7">
        <v>1</v>
      </c>
      <c r="B7">
        <v>14</v>
      </c>
      <c r="C7" t="str">
        <f t="shared" si="0"/>
        <v/>
      </c>
      <c r="D7" s="2">
        <f>VLOOKUP(E7,'ESO zone constants'!$D$5:$H$10003,5,FALSE)</f>
        <v>58</v>
      </c>
      <c r="E7" t="s">
        <v>108</v>
      </c>
      <c r="F7" t="s">
        <v>108</v>
      </c>
      <c r="G7" t="str">
        <f t="shared" si="1"/>
        <v/>
      </c>
      <c r="H7" t="str">
        <f t="shared" si="2"/>
        <v/>
      </c>
      <c r="I7" t="str">
        <f t="shared" si="3"/>
        <v/>
      </c>
      <c r="J7" s="30" t="str">
        <f t="shared" si="4"/>
        <v>{ parentCategory=1, category=14, zoneIds={58}},--Malabal Tor</v>
      </c>
    </row>
    <row r="8" spans="1:10" x14ac:dyDescent="0.25">
      <c r="A8">
        <v>1</v>
      </c>
      <c r="B8">
        <v>15</v>
      </c>
      <c r="C8" t="str">
        <f t="shared" si="0"/>
        <v/>
      </c>
      <c r="D8" s="2">
        <f>VLOOKUP(E8,'ESO zone constants'!$D$5:$H$10003,5,FALSE)</f>
        <v>382</v>
      </c>
      <c r="E8" t="s">
        <v>263</v>
      </c>
      <c r="F8" t="s">
        <v>2289</v>
      </c>
      <c r="G8" t="str">
        <f t="shared" si="1"/>
        <v/>
      </c>
      <c r="H8" t="str">
        <f t="shared" si="2"/>
        <v/>
      </c>
      <c r="I8" t="str">
        <f t="shared" si="3"/>
        <v/>
      </c>
      <c r="J8" s="30" t="str">
        <f t="shared" si="4"/>
        <v>{ parentCategory=1, category=15, zoneIds={382}},--Reaper's March</v>
      </c>
    </row>
    <row r="9" spans="1:10" x14ac:dyDescent="0.25">
      <c r="A9">
        <v>2</v>
      </c>
      <c r="B9">
        <v>2</v>
      </c>
      <c r="C9" t="str">
        <f t="shared" si="0"/>
        <v>X</v>
      </c>
      <c r="D9" s="98" t="e">
        <f>VLOOKUP(E9,'ESO zone constants'!$D$5:$H$10003,5,FALSE)</f>
        <v>#N/A</v>
      </c>
      <c r="E9" t="s">
        <v>2371</v>
      </c>
      <c r="F9" t="s">
        <v>2292</v>
      </c>
      <c r="G9" t="str">
        <f t="shared" si="1"/>
        <v/>
      </c>
      <c r="H9" t="str">
        <f t="shared" si="2"/>
        <v/>
      </c>
      <c r="I9" t="str">
        <f t="shared" si="3"/>
        <v/>
      </c>
      <c r="J9" s="30" t="str">
        <f t="shared" si="4"/>
        <v>--Daggerfall-Convenion</v>
      </c>
    </row>
    <row r="10" spans="1:10" x14ac:dyDescent="0.25">
      <c r="A10">
        <v>2</v>
      </c>
      <c r="B10">
        <v>16</v>
      </c>
      <c r="C10" t="str">
        <f t="shared" si="0"/>
        <v/>
      </c>
      <c r="D10" s="2">
        <f>VLOOKUP(E10,'ESO zone constants'!$D$5:$H$10003,5,FALSE)</f>
        <v>104</v>
      </c>
      <c r="E10" t="s">
        <v>112</v>
      </c>
      <c r="F10" t="s">
        <v>2301</v>
      </c>
      <c r="G10" t="str">
        <f t="shared" si="1"/>
        <v/>
      </c>
      <c r="H10" t="str">
        <f t="shared" si="2"/>
        <v/>
      </c>
      <c r="I10" t="str">
        <f t="shared" si="3"/>
        <v/>
      </c>
      <c r="J10" s="30" t="str">
        <f t="shared" si="4"/>
        <v>{ parentCategory=2, category=16, zoneIds={104}},--Alik'r Desert</v>
      </c>
    </row>
    <row r="11" spans="1:10" x14ac:dyDescent="0.25">
      <c r="A11">
        <v>2</v>
      </c>
      <c r="B11">
        <v>17</v>
      </c>
      <c r="C11" t="str">
        <f t="shared" si="0"/>
        <v/>
      </c>
      <c r="D11" s="2">
        <f>VLOOKUP(E11,'ESO zone constants'!$D$5:$H$10003,5,FALSE)</f>
        <v>92</v>
      </c>
      <c r="E11" t="s">
        <v>109</v>
      </c>
      <c r="F11" t="s">
        <v>109</v>
      </c>
      <c r="G11" t="str">
        <f t="shared" si="1"/>
        <v/>
      </c>
      <c r="H11" t="str">
        <f t="shared" si="2"/>
        <v/>
      </c>
      <c r="I11" t="str">
        <f t="shared" si="3"/>
        <v/>
      </c>
      <c r="J11" s="30" t="str">
        <f t="shared" si="4"/>
        <v>{ parentCategory=2, category=17, zoneIds={92}},--Bangkorai</v>
      </c>
    </row>
    <row r="12" spans="1:10" x14ac:dyDescent="0.25">
      <c r="A12">
        <v>2</v>
      </c>
      <c r="B12">
        <v>18</v>
      </c>
      <c r="C12" t="str">
        <f t="shared" si="0"/>
        <v/>
      </c>
      <c r="D12" s="2">
        <f>VLOOKUP(E12,'ESO zone constants'!$D$5:$H$10003,5,FALSE)</f>
        <v>3</v>
      </c>
      <c r="E12" t="s">
        <v>103</v>
      </c>
      <c r="F12" t="s">
        <v>103</v>
      </c>
      <c r="G12" t="str">
        <f t="shared" si="1"/>
        <v/>
      </c>
      <c r="H12" t="str">
        <f t="shared" si="2"/>
        <v/>
      </c>
      <c r="I12" t="str">
        <f t="shared" si="3"/>
        <v/>
      </c>
      <c r="J12" s="30" t="str">
        <f t="shared" si="4"/>
        <v>{ parentCategory=2, category=18, zoneIds={3}},--Glenumbra</v>
      </c>
    </row>
    <row r="13" spans="1:10" x14ac:dyDescent="0.25">
      <c r="A13">
        <v>2</v>
      </c>
      <c r="B13">
        <v>19</v>
      </c>
      <c r="C13" t="str">
        <f t="shared" si="0"/>
        <v/>
      </c>
      <c r="D13" s="2">
        <f>VLOOKUP(E13,'ESO zone constants'!$D$5:$H$10003,5,FALSE)</f>
        <v>20</v>
      </c>
      <c r="E13" t="s">
        <v>105</v>
      </c>
      <c r="F13" t="s">
        <v>2302</v>
      </c>
      <c r="G13" t="str">
        <f t="shared" si="1"/>
        <v/>
      </c>
      <c r="H13" t="str">
        <f t="shared" si="2"/>
        <v/>
      </c>
      <c r="I13" t="str">
        <f t="shared" si="3"/>
        <v/>
      </c>
      <c r="J13" s="30" t="str">
        <f t="shared" si="4"/>
        <v>{ parentCategory=2, category=19, zoneIds={20}},--Rivenspire</v>
      </c>
    </row>
    <row r="14" spans="1:10" x14ac:dyDescent="0.25">
      <c r="A14">
        <v>2</v>
      </c>
      <c r="B14">
        <v>20</v>
      </c>
      <c r="C14" t="str">
        <f t="shared" si="0"/>
        <v/>
      </c>
      <c r="D14" s="2">
        <f>VLOOKUP(E14,'ESO zone constants'!$D$5:$H$10003,5,FALSE)</f>
        <v>19</v>
      </c>
      <c r="E14" t="s">
        <v>104</v>
      </c>
      <c r="F14" t="s">
        <v>2303</v>
      </c>
      <c r="G14" t="str">
        <f t="shared" si="1"/>
        <v/>
      </c>
      <c r="H14" t="str">
        <f t="shared" si="2"/>
        <v/>
      </c>
      <c r="I14" t="str">
        <f t="shared" si="3"/>
        <v/>
      </c>
      <c r="J14" s="30" t="str">
        <f t="shared" si="4"/>
        <v>{ parentCategory=2, category=20, zoneIds={19}},--Stormhaven</v>
      </c>
    </row>
    <row r="15" spans="1:10" x14ac:dyDescent="0.25">
      <c r="A15">
        <v>3</v>
      </c>
      <c r="B15">
        <v>3</v>
      </c>
      <c r="C15" t="str">
        <f t="shared" si="0"/>
        <v>X</v>
      </c>
      <c r="D15" s="98" t="e">
        <f>VLOOKUP(E15,'ESO zone constants'!$D$5:$H$10003,5,FALSE)</f>
        <v>#N/A</v>
      </c>
      <c r="E15" t="s">
        <v>2372</v>
      </c>
      <c r="F15" t="s">
        <v>2293</v>
      </c>
      <c r="G15" t="str">
        <f t="shared" si="1"/>
        <v/>
      </c>
      <c r="H15" t="str">
        <f t="shared" si="2"/>
        <v/>
      </c>
      <c r="I15" t="str">
        <f t="shared" si="3"/>
        <v/>
      </c>
      <c r="J15" s="30" t="str">
        <f t="shared" si="4"/>
        <v>--Ebonheart Pact</v>
      </c>
    </row>
    <row r="16" spans="1:10" x14ac:dyDescent="0.25">
      <c r="A16">
        <v>3</v>
      </c>
      <c r="B16">
        <v>21</v>
      </c>
      <c r="C16" t="str">
        <f t="shared" si="0"/>
        <v/>
      </c>
      <c r="D16" s="2">
        <f>VLOOKUP(E16,'ESO zone constants'!$D$5:$H$10003,5,FALSE)</f>
        <v>57</v>
      </c>
      <c r="E16" t="s">
        <v>107</v>
      </c>
      <c r="F16" t="s">
        <v>107</v>
      </c>
      <c r="G16" t="str">
        <f t="shared" si="1"/>
        <v/>
      </c>
      <c r="H16" t="str">
        <f t="shared" si="2"/>
        <v/>
      </c>
      <c r="I16" t="str">
        <f t="shared" si="3"/>
        <v/>
      </c>
      <c r="J16" s="30" t="str">
        <f t="shared" si="4"/>
        <v>{ parentCategory=3, category=21, zoneIds={57}},--Deshaan</v>
      </c>
    </row>
    <row r="17" spans="1:10" x14ac:dyDescent="0.25">
      <c r="A17">
        <v>3</v>
      </c>
      <c r="B17">
        <v>22</v>
      </c>
      <c r="C17" t="str">
        <f t="shared" si="0"/>
        <v/>
      </c>
      <c r="D17" s="2">
        <f>VLOOKUP(E17,'ESO zone constants'!$D$5:$H$10003,5,FALSE)</f>
        <v>101</v>
      </c>
      <c r="E17" t="s">
        <v>110</v>
      </c>
      <c r="F17" t="s">
        <v>2304</v>
      </c>
      <c r="G17" t="str">
        <f t="shared" si="1"/>
        <v/>
      </c>
      <c r="H17" t="str">
        <f t="shared" si="2"/>
        <v/>
      </c>
      <c r="I17" t="str">
        <f t="shared" si="3"/>
        <v/>
      </c>
      <c r="J17" s="30" t="str">
        <f t="shared" si="4"/>
        <v>{ parentCategory=3, category=22, zoneIds={101}},--Eastmarch</v>
      </c>
    </row>
    <row r="18" spans="1:10" x14ac:dyDescent="0.25">
      <c r="A18">
        <v>3</v>
      </c>
      <c r="B18">
        <v>23</v>
      </c>
      <c r="C18" t="str">
        <f t="shared" si="0"/>
        <v/>
      </c>
      <c r="D18" s="2">
        <f>VLOOKUP(E18,'ESO zone constants'!$D$5:$H$10003,5,FALSE)</f>
        <v>103</v>
      </c>
      <c r="E18" t="s">
        <v>111</v>
      </c>
      <c r="F18" t="s">
        <v>2305</v>
      </c>
      <c r="G18" t="str">
        <f t="shared" si="1"/>
        <v/>
      </c>
      <c r="H18" t="str">
        <f t="shared" si="2"/>
        <v/>
      </c>
      <c r="I18" t="str">
        <f t="shared" si="3"/>
        <v/>
      </c>
      <c r="J18" s="30" t="str">
        <f t="shared" si="4"/>
        <v>{ parentCategory=3, category=23, zoneIds={103}},--The Rift</v>
      </c>
    </row>
    <row r="19" spans="1:10" x14ac:dyDescent="0.25">
      <c r="A19">
        <v>3</v>
      </c>
      <c r="B19">
        <v>24</v>
      </c>
      <c r="C19" t="str">
        <f t="shared" si="0"/>
        <v/>
      </c>
      <c r="D19" s="2">
        <f>VLOOKUP(E19,'ESO zone constants'!$D$5:$H$10003,5,FALSE)</f>
        <v>117</v>
      </c>
      <c r="E19" t="s">
        <v>114</v>
      </c>
      <c r="F19" t="s">
        <v>2306</v>
      </c>
      <c r="G19" t="str">
        <f t="shared" si="1"/>
        <v/>
      </c>
      <c r="H19" t="str">
        <f t="shared" si="2"/>
        <v/>
      </c>
      <c r="I19" t="str">
        <f t="shared" si="3"/>
        <v/>
      </c>
      <c r="J19" s="30" t="str">
        <f t="shared" si="4"/>
        <v>{ parentCategory=3, category=24, zoneIds={117}},--Shadowfen</v>
      </c>
    </row>
    <row r="20" spans="1:10" x14ac:dyDescent="0.25">
      <c r="A20">
        <v>3</v>
      </c>
      <c r="B20">
        <v>25</v>
      </c>
      <c r="C20" t="str">
        <f t="shared" si="0"/>
        <v/>
      </c>
      <c r="D20" s="2">
        <f>VLOOKUP(E20,'ESO zone constants'!$D$5:$H$10003,5,FALSE)</f>
        <v>41</v>
      </c>
      <c r="E20" t="s">
        <v>106</v>
      </c>
      <c r="F20" t="s">
        <v>2307</v>
      </c>
      <c r="G20" t="str">
        <f t="shared" si="1"/>
        <v/>
      </c>
      <c r="H20" t="str">
        <f t="shared" si="2"/>
        <v/>
      </c>
      <c r="I20" t="str">
        <f t="shared" si="3"/>
        <v/>
      </c>
      <c r="J20" s="30" t="str">
        <f t="shared" si="4"/>
        <v>{ parentCategory=3, category=25, zoneIds={41}},--Stonefalls</v>
      </c>
    </row>
    <row r="21" spans="1:10" x14ac:dyDescent="0.25">
      <c r="A21">
        <v>4</v>
      </c>
      <c r="B21">
        <v>4</v>
      </c>
      <c r="C21" t="str">
        <f t="shared" si="0"/>
        <v>X</v>
      </c>
      <c r="D21" s="98" t="e">
        <f>VLOOKUP(E21,'ESO zone constants'!$D$5:$H$10003,5,FALSE)</f>
        <v>#N/A</v>
      </c>
      <c r="E21" t="s">
        <v>2373</v>
      </c>
      <c r="F21" t="s">
        <v>2294</v>
      </c>
      <c r="G21" t="str">
        <f t="shared" si="1"/>
        <v/>
      </c>
      <c r="H21" t="str">
        <f t="shared" si="2"/>
        <v/>
      </c>
      <c r="I21" t="str">
        <f t="shared" si="3"/>
        <v/>
      </c>
      <c r="J21" s="30" t="str">
        <f t="shared" si="4"/>
        <v>--DLC-Regions</v>
      </c>
    </row>
    <row r="22" spans="1:10" x14ac:dyDescent="0.25">
      <c r="A22">
        <v>4</v>
      </c>
      <c r="B22">
        <v>29</v>
      </c>
      <c r="D22" s="2">
        <f>VLOOKUP(E22,'ESO zone constants'!$D$5:$H$10003,5,FALSE)</f>
        <v>684</v>
      </c>
      <c r="E22" t="s">
        <v>450</v>
      </c>
      <c r="F22" t="s">
        <v>450</v>
      </c>
      <c r="G22" t="str">
        <f t="shared" si="1"/>
        <v/>
      </c>
      <c r="H22" t="str">
        <f t="shared" si="2"/>
        <v/>
      </c>
      <c r="I22" t="str">
        <f t="shared" si="3"/>
        <v/>
      </c>
      <c r="J22" s="30" t="str">
        <f t="shared" si="4"/>
        <v>{ parentCategory=4, category=29, zoneIds={684}},--Wrothgar</v>
      </c>
    </row>
    <row r="23" spans="1:10" x14ac:dyDescent="0.25">
      <c r="A23">
        <v>4</v>
      </c>
      <c r="B23">
        <v>30</v>
      </c>
      <c r="C23" t="str">
        <f t="shared" ref="C23:C39" si="5">IF(A23=B23,"X","")</f>
        <v/>
      </c>
      <c r="D23" s="2">
        <f>VLOOKUP(E23,'ESO zone constants'!$D$5:$H$10003,5,FALSE)</f>
        <v>816</v>
      </c>
      <c r="E23" t="s">
        <v>507</v>
      </c>
      <c r="F23" t="s">
        <v>2309</v>
      </c>
      <c r="G23" t="str">
        <f t="shared" si="1"/>
        <v/>
      </c>
      <c r="H23" t="str">
        <f t="shared" si="2"/>
        <v/>
      </c>
      <c r="I23" t="str">
        <f t="shared" si="3"/>
        <v/>
      </c>
      <c r="J23" s="30" t="str">
        <f t="shared" si="4"/>
        <v>{ parentCategory=4, category=30, zoneIds={816}},--Hew's Bane</v>
      </c>
    </row>
    <row r="24" spans="1:10" x14ac:dyDescent="0.25">
      <c r="A24">
        <v>4</v>
      </c>
      <c r="B24">
        <v>31</v>
      </c>
      <c r="C24" t="str">
        <f t="shared" si="5"/>
        <v/>
      </c>
      <c r="D24" s="2">
        <f>VLOOKUP(E24,'ESO zone constants'!$D$5:$H$10003,5,FALSE)</f>
        <v>823</v>
      </c>
      <c r="E24" t="s">
        <v>513</v>
      </c>
      <c r="F24" t="s">
        <v>2308</v>
      </c>
      <c r="G24" t="str">
        <f t="shared" si="1"/>
        <v/>
      </c>
      <c r="H24" t="str">
        <f t="shared" si="2"/>
        <v/>
      </c>
      <c r="I24" t="str">
        <f t="shared" si="3"/>
        <v/>
      </c>
      <c r="J24" s="30" t="str">
        <f t="shared" si="4"/>
        <v>{ parentCategory=4, category=31, zoneIds={823}},--Gold Coast</v>
      </c>
    </row>
    <row r="25" spans="1:10" x14ac:dyDescent="0.25">
      <c r="A25">
        <v>4</v>
      </c>
      <c r="B25">
        <v>32</v>
      </c>
      <c r="C25" t="str">
        <f t="shared" si="5"/>
        <v/>
      </c>
      <c r="D25" s="2">
        <f>VLOOKUP(E25,'ESO zone constants'!$D$5:$H$10003,5,FALSE)</f>
        <v>849</v>
      </c>
      <c r="E25" t="s">
        <v>530</v>
      </c>
      <c r="F25" t="s">
        <v>530</v>
      </c>
      <c r="G25" t="str">
        <f t="shared" si="1"/>
        <v/>
      </c>
      <c r="H25" t="str">
        <f t="shared" si="2"/>
        <v/>
      </c>
      <c r="I25" t="str">
        <f t="shared" si="3"/>
        <v/>
      </c>
      <c r="J25" s="30" t="str">
        <f t="shared" si="4"/>
        <v>{ parentCategory=4, category=32, zoneIds={849}},--Vvardenfell</v>
      </c>
    </row>
    <row r="26" spans="1:10" x14ac:dyDescent="0.25">
      <c r="A26">
        <v>4</v>
      </c>
      <c r="B26">
        <v>33</v>
      </c>
      <c r="C26" t="str">
        <f t="shared" si="5"/>
        <v/>
      </c>
      <c r="D26" s="2">
        <v>980.98099999999999</v>
      </c>
      <c r="E26" t="s">
        <v>3297</v>
      </c>
      <c r="F26" t="s">
        <v>3296</v>
      </c>
      <c r="G26" t="str">
        <f t="shared" si="1"/>
        <v/>
      </c>
      <c r="H26" t="str">
        <f t="shared" si="2"/>
        <v/>
      </c>
      <c r="I26" t="str">
        <f t="shared" si="3"/>
        <v/>
      </c>
      <c r="J26" s="30" t="str">
        <f t="shared" si="4"/>
        <v>{ parentCategory=4, category=33, zoneIds={980,981}},--Clockwork City/Brass Fortress</v>
      </c>
    </row>
    <row r="27" spans="1:10" x14ac:dyDescent="0.25">
      <c r="A27">
        <v>4</v>
      </c>
      <c r="B27">
        <v>34</v>
      </c>
      <c r="C27" t="str">
        <f t="shared" si="5"/>
        <v/>
      </c>
      <c r="D27" s="2">
        <v>1011.1027</v>
      </c>
      <c r="E27" t="s">
        <v>3290</v>
      </c>
      <c r="F27" t="s">
        <v>3291</v>
      </c>
      <c r="G27" t="str">
        <f t="shared" si="1"/>
        <v/>
      </c>
      <c r="H27" t="str">
        <f t="shared" si="2"/>
        <v/>
      </c>
      <c r="I27" t="str">
        <f t="shared" si="3"/>
        <v/>
      </c>
      <c r="J27" s="30" t="str">
        <f t="shared" si="4"/>
        <v>{ parentCategory=4, category=34, zoneIds={1011,1027}},--Summerset/Artaeum</v>
      </c>
    </row>
    <row r="28" spans="1:10" x14ac:dyDescent="0.25">
      <c r="A28">
        <v>4</v>
      </c>
      <c r="B28">
        <v>35</v>
      </c>
      <c r="C28" t="str">
        <f t="shared" si="5"/>
        <v/>
      </c>
      <c r="D28" s="2">
        <f>VLOOKUP(E28,'ESO zone constants'!$D$5:$H$10003,5,FALSE)</f>
        <v>726</v>
      </c>
      <c r="E28" t="s">
        <v>80</v>
      </c>
      <c r="F28" t="s">
        <v>2314</v>
      </c>
      <c r="G28" t="str">
        <f t="shared" si="1"/>
        <v/>
      </c>
      <c r="H28" t="str">
        <f t="shared" si="2"/>
        <v/>
      </c>
      <c r="I28" t="str">
        <f t="shared" si="3"/>
        <v/>
      </c>
      <c r="J28" s="30" t="str">
        <f t="shared" si="4"/>
        <v>{ parentCategory=4, category=35, zoneIds={726}},--Murkmire</v>
      </c>
    </row>
    <row r="29" spans="1:10" x14ac:dyDescent="0.25">
      <c r="A29">
        <v>4</v>
      </c>
      <c r="B29">
        <v>36</v>
      </c>
      <c r="C29" t="str">
        <f t="shared" si="5"/>
        <v/>
      </c>
      <c r="D29" s="2">
        <f>VLOOKUP(E29,'ESO zone constants'!$D$5:$H$10003,5,FALSE)</f>
        <v>1086</v>
      </c>
      <c r="E29" t="s">
        <v>1386</v>
      </c>
      <c r="F29" t="s">
        <v>2310</v>
      </c>
      <c r="G29" t="str">
        <f t="shared" si="1"/>
        <v/>
      </c>
      <c r="H29" t="str">
        <f t="shared" si="2"/>
        <v/>
      </c>
      <c r="I29" t="str">
        <f t="shared" si="3"/>
        <v/>
      </c>
      <c r="J29" s="30" t="str">
        <f t="shared" si="4"/>
        <v>{ parentCategory=4, category=36, zoneIds={1086}},--Northern Elsweyr</v>
      </c>
    </row>
    <row r="30" spans="1:10" x14ac:dyDescent="0.25">
      <c r="A30">
        <v>4</v>
      </c>
      <c r="B30">
        <v>37</v>
      </c>
      <c r="C30" t="str">
        <f t="shared" si="5"/>
        <v/>
      </c>
      <c r="D30" s="2">
        <f>VLOOKUP(E30,'ESO zone constants'!$D$5:$H$10003,5,FALSE)</f>
        <v>1133</v>
      </c>
      <c r="E30" t="s">
        <v>1580</v>
      </c>
      <c r="F30" t="s">
        <v>2313</v>
      </c>
      <c r="G30" t="str">
        <f t="shared" si="1"/>
        <v/>
      </c>
      <c r="H30" t="str">
        <f t="shared" si="2"/>
        <v/>
      </c>
      <c r="I30" t="str">
        <f t="shared" si="3"/>
        <v/>
      </c>
      <c r="J30" s="30" t="str">
        <f t="shared" si="4"/>
        <v>{ parentCategory=4, category=37, zoneIds={1133}},--Southern Elsweyr</v>
      </c>
    </row>
    <row r="31" spans="1:10" x14ac:dyDescent="0.25">
      <c r="A31">
        <v>4</v>
      </c>
      <c r="B31">
        <v>38</v>
      </c>
      <c r="C31" t="str">
        <f t="shared" si="5"/>
        <v/>
      </c>
      <c r="D31" s="2">
        <v>1160.1161</v>
      </c>
      <c r="E31" t="s">
        <v>3298</v>
      </c>
      <c r="F31" t="s">
        <v>3299</v>
      </c>
      <c r="G31" t="str">
        <f t="shared" si="1"/>
        <v/>
      </c>
      <c r="H31" t="str">
        <f t="shared" si="2"/>
        <v/>
      </c>
      <c r="I31" t="str">
        <f t="shared" si="3"/>
        <v/>
      </c>
      <c r="J31" s="30" t="str">
        <f t="shared" si="4"/>
        <v>{ parentCategory=4, category=38, zoneIds={1160,1161}},--Western Skyrim/Blackreach: Greymoor Caverns</v>
      </c>
    </row>
    <row r="32" spans="1:10" x14ac:dyDescent="0.25">
      <c r="A32">
        <v>4</v>
      </c>
      <c r="B32">
        <v>89</v>
      </c>
      <c r="C32" t="str">
        <f t="shared" si="5"/>
        <v/>
      </c>
      <c r="D32" s="2">
        <v>1207.1207999999999</v>
      </c>
      <c r="E32" t="s">
        <v>3300</v>
      </c>
      <c r="F32" t="s">
        <v>3301</v>
      </c>
      <c r="G32" t="str">
        <f t="shared" si="1"/>
        <v/>
      </c>
      <c r="H32" t="str">
        <f t="shared" si="2"/>
        <v/>
      </c>
      <c r="I32" t="str">
        <f t="shared" si="3"/>
        <v/>
      </c>
      <c r="J32" s="30" t="str">
        <f t="shared" si="4"/>
        <v>{ parentCategory=4, category=89, zoneIds={1207,1208}},--The Reach/Blackreach: Arkthzand Cavern</v>
      </c>
    </row>
    <row r="33" spans="1:10" x14ac:dyDescent="0.25">
      <c r="A33">
        <v>4</v>
      </c>
      <c r="B33">
        <v>93</v>
      </c>
      <c r="C33" t="str">
        <f t="shared" si="5"/>
        <v/>
      </c>
      <c r="D33" s="2">
        <f>VLOOKUP(E33,'ESO zone constants'!$D$5:$H$10003,5,FALSE)</f>
        <v>1261</v>
      </c>
      <c r="E33" t="s">
        <v>2382</v>
      </c>
      <c r="F33" t="s">
        <v>3130</v>
      </c>
      <c r="G33" t="str">
        <f t="shared" si="1"/>
        <v/>
      </c>
      <c r="H33" t="str">
        <f t="shared" si="2"/>
        <v/>
      </c>
      <c r="I33" t="str">
        <f t="shared" si="3"/>
        <v/>
      </c>
      <c r="J33" s="30" t="str">
        <f t="shared" si="4"/>
        <v>{ parentCategory=4, category=93, zoneIds={1261}},--Blackwood</v>
      </c>
    </row>
    <row r="34" spans="1:10" x14ac:dyDescent="0.25">
      <c r="A34">
        <v>4</v>
      </c>
      <c r="B34">
        <v>97</v>
      </c>
      <c r="C34" t="str">
        <f t="shared" ref="C34:C35" si="6">IF(A34=B34,"X","")</f>
        <v/>
      </c>
      <c r="D34" s="2" t="s">
        <v>3292</v>
      </c>
      <c r="E34" t="s">
        <v>3293</v>
      </c>
      <c r="F34" t="s">
        <v>3294</v>
      </c>
      <c r="G34" t="str">
        <f t="shared" ref="G34:G35" si="7">IF(OR(A34=5,A34=6,),"X","")</f>
        <v/>
      </c>
      <c r="H34" t="str">
        <f t="shared" ref="H34:H35" si="8">IF(OR(A34=7,),"X","")</f>
        <v/>
      </c>
      <c r="I34" t="str">
        <f t="shared" ref="I34:I35" si="9">IF(OR(A34=8,),"X","")</f>
        <v/>
      </c>
      <c r="J34" s="30" t="str">
        <f t="shared" ref="J34:J35" si="10">IF(C34="X","","{ parentCategory="&amp;A34&amp;", category="&amp;B34&amp;IF(AND(NOT(ISNA(D34)),D34&lt;&gt;"",NOT(ISERROR(D34))),", zoneIds={"&amp;D34&amp;"}","")&amp;IF(G34&lt;&gt;"",", isDungeon=true","")&amp;IF(H34&lt;&gt;"",", isTrial=true","")&amp;IF(I34&lt;&gt;"",", isArena=true","")&amp;"},") &amp;"--"&amp;E34</f>
        <v>{ parentCategory=4, category=97, zoneIds={1286,1282,1283}},--The Deadlands/Fargrave/The Shambles</v>
      </c>
    </row>
    <row r="35" spans="1:10" x14ac:dyDescent="0.25">
      <c r="A35">
        <v>4</v>
      </c>
      <c r="B35">
        <v>100</v>
      </c>
      <c r="C35" t="str">
        <f t="shared" si="6"/>
        <v/>
      </c>
      <c r="D35" s="2" t="s">
        <v>3617</v>
      </c>
      <c r="E35" t="s">
        <v>3322</v>
      </c>
      <c r="F35" t="s">
        <v>3302</v>
      </c>
      <c r="G35" t="str">
        <f t="shared" si="7"/>
        <v/>
      </c>
      <c r="H35" t="str">
        <f t="shared" si="8"/>
        <v/>
      </c>
      <c r="I35" t="str">
        <f t="shared" si="9"/>
        <v/>
      </c>
      <c r="J35" s="30" t="str">
        <f t="shared" si="10"/>
        <v>{ parentCategory=4, category=100, zoneIds={1318}},--High Isle</v>
      </c>
    </row>
    <row r="36" spans="1:10" x14ac:dyDescent="0.25">
      <c r="A36">
        <v>4</v>
      </c>
      <c r="B36">
        <v>104</v>
      </c>
      <c r="C36" t="str">
        <f t="shared" ref="C36:C37" si="11">IF(A36=B36,"X","")</f>
        <v/>
      </c>
      <c r="D36" s="2">
        <v>1383</v>
      </c>
      <c r="E36" t="s">
        <v>3463</v>
      </c>
      <c r="F36" t="s">
        <v>3463</v>
      </c>
      <c r="G36" t="str">
        <f t="shared" ref="G36:G37" si="12">IF(OR(A36=5,A36=6,),"X","")</f>
        <v/>
      </c>
      <c r="H36" t="str">
        <f t="shared" ref="H36:H37" si="13">IF(OR(A36=7,),"X","")</f>
        <v/>
      </c>
      <c r="I36" t="str">
        <f t="shared" ref="I36:I37" si="14">IF(OR(A36=8,),"X","")</f>
        <v/>
      </c>
      <c r="J36" s="30" t="str">
        <f t="shared" ref="J36:J37" si="15">IF(C36="X","","{ parentCategory="&amp;A36&amp;", category="&amp;B36&amp;IF(AND(NOT(ISNA(D36)),D36&lt;&gt;"",NOT(ISERROR(D36))),", zoneIds={"&amp;D36&amp;"}","")&amp;IF(G36&lt;&gt;"",", isDungeon=true","")&amp;IF(H36&lt;&gt;"",", isTrial=true","")&amp;IF(I36&lt;&gt;"",", isArena=true","")&amp;"},") &amp;"--"&amp;E36</f>
        <v>{ parentCategory=4, category=104, zoneIds={1383}},--Galen</v>
      </c>
    </row>
    <row r="37" spans="1:10" x14ac:dyDescent="0.25">
      <c r="A37">
        <v>124</v>
      </c>
      <c r="B37">
        <v>107</v>
      </c>
      <c r="C37" t="str">
        <f t="shared" si="11"/>
        <v/>
      </c>
      <c r="D37" s="2" t="s">
        <v>3740</v>
      </c>
      <c r="E37" t="s">
        <v>3741</v>
      </c>
      <c r="F37" t="s">
        <v>3742</v>
      </c>
      <c r="G37" t="str">
        <f t="shared" si="12"/>
        <v/>
      </c>
      <c r="H37" t="str">
        <f t="shared" si="13"/>
        <v/>
      </c>
      <c r="I37" t="str">
        <f t="shared" si="14"/>
        <v/>
      </c>
      <c r="J37" s="30" t="str">
        <f t="shared" si="15"/>
        <v>{ parentCategory=124, category=107, zoneIds={1413,1414}},--Apocrypha/Telvanni Peninsula</v>
      </c>
    </row>
    <row r="38" spans="1:10" x14ac:dyDescent="0.25">
      <c r="A38">
        <v>5</v>
      </c>
      <c r="B38">
        <v>5</v>
      </c>
      <c r="C38" t="str">
        <f t="shared" si="5"/>
        <v>X</v>
      </c>
      <c r="D38" s="98" t="e">
        <f>VLOOKUP(E38,'ESO zone constants'!$D$5:$H$10003,5,FALSE)</f>
        <v>#N/A</v>
      </c>
      <c r="E38" t="s">
        <v>2374</v>
      </c>
      <c r="F38" t="s">
        <v>2295</v>
      </c>
      <c r="G38" t="str">
        <f t="shared" si="1"/>
        <v>X</v>
      </c>
      <c r="H38" t="str">
        <f t="shared" si="2"/>
        <v/>
      </c>
      <c r="I38" t="str">
        <f t="shared" si="3"/>
        <v/>
      </c>
      <c r="J38" s="30" t="str">
        <f t="shared" si="4"/>
        <v>--Dungeons</v>
      </c>
    </row>
    <row r="39" spans="1:10" x14ac:dyDescent="0.25">
      <c r="A39">
        <v>5</v>
      </c>
      <c r="B39">
        <v>39</v>
      </c>
      <c r="C39" t="str">
        <f t="shared" si="5"/>
        <v/>
      </c>
      <c r="D39" s="2">
        <f>VLOOKUP(E39,'ESO zone constants'!$D$5:$H$10003,5,FALSE)</f>
        <v>148</v>
      </c>
      <c r="E39" t="s">
        <v>60</v>
      </c>
      <c r="F39" t="s">
        <v>60</v>
      </c>
      <c r="G39" t="str">
        <f t="shared" si="1"/>
        <v>X</v>
      </c>
      <c r="H39" t="str">
        <f t="shared" si="2"/>
        <v/>
      </c>
      <c r="I39" t="str">
        <f t="shared" si="3"/>
        <v/>
      </c>
      <c r="J39" s="30" t="str">
        <f t="shared" si="4"/>
        <v>{ parentCategory=5, category=39, zoneIds={148}, isDungeon=true},--Arx Corinium</v>
      </c>
    </row>
    <row r="40" spans="1:10" x14ac:dyDescent="0.25">
      <c r="A40">
        <v>5</v>
      </c>
      <c r="B40">
        <v>40</v>
      </c>
      <c r="D40" s="2">
        <v>380.935</v>
      </c>
      <c r="E40" t="s">
        <v>96</v>
      </c>
      <c r="F40" t="s">
        <v>2329</v>
      </c>
      <c r="G40" t="str">
        <f t="shared" si="1"/>
        <v>X</v>
      </c>
      <c r="H40" t="str">
        <f t="shared" si="2"/>
        <v/>
      </c>
      <c r="I40" t="str">
        <f t="shared" si="3"/>
        <v/>
      </c>
      <c r="J40" s="30" t="str">
        <f t="shared" si="4"/>
        <v>{ parentCategory=5, category=40, zoneIds={380,935}, isDungeon=true},--The Banished Cells I</v>
      </c>
    </row>
    <row r="41" spans="1:10" x14ac:dyDescent="0.25">
      <c r="A41">
        <v>5</v>
      </c>
      <c r="B41">
        <v>41</v>
      </c>
      <c r="C41" t="str">
        <f t="shared" ref="C41:C52" si="16">IF(A41=B41,"X","")</f>
        <v/>
      </c>
      <c r="D41" s="2">
        <f>VLOOKUP(E41,'ESO zone constants'!$D$5:$H$10003,5,FALSE)</f>
        <v>38</v>
      </c>
      <c r="E41" t="s">
        <v>57</v>
      </c>
      <c r="F41" t="s">
        <v>2325</v>
      </c>
      <c r="G41" t="str">
        <f t="shared" si="1"/>
        <v>X</v>
      </c>
      <c r="H41" t="str">
        <f t="shared" si="2"/>
        <v/>
      </c>
      <c r="I41" t="str">
        <f t="shared" si="3"/>
        <v/>
      </c>
      <c r="J41" s="30" t="str">
        <f t="shared" si="4"/>
        <v>{ parentCategory=5, category=41, zoneIds={38}, isDungeon=true},--Blackheart Haven</v>
      </c>
    </row>
    <row r="42" spans="1:10" x14ac:dyDescent="0.25">
      <c r="A42">
        <v>5</v>
      </c>
      <c r="B42">
        <v>42</v>
      </c>
      <c r="C42" t="str">
        <f t="shared" si="16"/>
        <v/>
      </c>
      <c r="D42" s="2">
        <f>VLOOKUP(E42,'ESO zone constants'!$D$5:$H$10003,5,FALSE)</f>
        <v>64</v>
      </c>
      <c r="E42" t="s">
        <v>70</v>
      </c>
      <c r="F42" t="s">
        <v>2319</v>
      </c>
      <c r="G42" t="str">
        <f t="shared" si="1"/>
        <v>X</v>
      </c>
      <c r="H42" t="str">
        <f t="shared" si="2"/>
        <v/>
      </c>
      <c r="I42" t="str">
        <f t="shared" si="3"/>
        <v/>
      </c>
      <c r="J42" s="30" t="str">
        <f t="shared" si="4"/>
        <v>{ parentCategory=5, category=42, zoneIds={64}, isDungeon=true},--Blessed Crucible</v>
      </c>
    </row>
    <row r="43" spans="1:10" x14ac:dyDescent="0.25">
      <c r="A43">
        <v>5</v>
      </c>
      <c r="B43">
        <v>43</v>
      </c>
      <c r="C43" t="str">
        <f t="shared" si="16"/>
        <v/>
      </c>
      <c r="D43" s="2">
        <v>176.68100000000001</v>
      </c>
      <c r="E43" t="s">
        <v>50</v>
      </c>
      <c r="F43" t="s">
        <v>2328</v>
      </c>
      <c r="G43" t="str">
        <f t="shared" si="1"/>
        <v>X</v>
      </c>
      <c r="H43" t="str">
        <f t="shared" si="2"/>
        <v/>
      </c>
      <c r="I43" t="str">
        <f t="shared" si="3"/>
        <v/>
      </c>
      <c r="J43" s="30" t="str">
        <f t="shared" si="4"/>
        <v>{ parentCategory=5, category=43, zoneIds={176,681}, isDungeon=true},--City of Ash I</v>
      </c>
    </row>
    <row r="44" spans="1:10" x14ac:dyDescent="0.25">
      <c r="A44">
        <v>5</v>
      </c>
      <c r="B44">
        <v>44</v>
      </c>
      <c r="C44" t="str">
        <f t="shared" si="16"/>
        <v/>
      </c>
      <c r="D44" s="2">
        <v>130.93199999999999</v>
      </c>
      <c r="E44" t="s">
        <v>49</v>
      </c>
      <c r="F44" t="s">
        <v>2322</v>
      </c>
      <c r="G44" t="str">
        <f t="shared" si="1"/>
        <v>X</v>
      </c>
      <c r="H44" t="str">
        <f t="shared" si="2"/>
        <v/>
      </c>
      <c r="I44" t="str">
        <f t="shared" si="3"/>
        <v/>
      </c>
      <c r="J44" s="30" t="str">
        <f t="shared" si="4"/>
        <v>{ parentCategory=5, category=44, zoneIds={130,932}, isDungeon=true},--Crypt of Hearts I</v>
      </c>
    </row>
    <row r="45" spans="1:10" x14ac:dyDescent="0.25">
      <c r="A45">
        <v>5</v>
      </c>
      <c r="B45">
        <v>45</v>
      </c>
      <c r="C45" t="str">
        <f t="shared" si="16"/>
        <v/>
      </c>
      <c r="D45" s="2" t="s">
        <v>3616</v>
      </c>
      <c r="E45" t="s">
        <v>61</v>
      </c>
      <c r="F45" t="s">
        <v>2316</v>
      </c>
      <c r="G45" t="str">
        <f t="shared" si="1"/>
        <v>X</v>
      </c>
      <c r="H45" t="str">
        <f t="shared" si="2"/>
        <v/>
      </c>
      <c r="I45" t="str">
        <f t="shared" si="3"/>
        <v/>
      </c>
      <c r="J45" s="30" t="str">
        <f t="shared" si="4"/>
        <v>{ parentCategory=5, category=45, zoneIds={63,930}, isDungeon=true},--Darkshade Caverns I</v>
      </c>
    </row>
    <row r="46" spans="1:10" x14ac:dyDescent="0.25">
      <c r="A46">
        <v>5</v>
      </c>
      <c r="B46">
        <v>46</v>
      </c>
      <c r="C46" t="str">
        <f t="shared" si="16"/>
        <v/>
      </c>
      <c r="D46" s="2">
        <f>VLOOKUP(E46,'ESO zone constants'!$D$5:$H$10003,5,FALSE)</f>
        <v>449</v>
      </c>
      <c r="E46" t="s">
        <v>48</v>
      </c>
      <c r="F46" t="s">
        <v>2315</v>
      </c>
      <c r="G46" t="str">
        <f t="shared" si="1"/>
        <v>X</v>
      </c>
      <c r="H46" t="str">
        <f t="shared" si="2"/>
        <v/>
      </c>
      <c r="I46" t="str">
        <f t="shared" si="3"/>
        <v/>
      </c>
      <c r="J46" s="30" t="str">
        <f t="shared" si="4"/>
        <v>{ parentCategory=5, category=46, zoneIds={449}, isDungeon=true},--Direfrost Keep</v>
      </c>
    </row>
    <row r="47" spans="1:10" x14ac:dyDescent="0.25">
      <c r="A47">
        <v>5</v>
      </c>
      <c r="B47">
        <v>47</v>
      </c>
      <c r="C47" t="str">
        <f t="shared" si="16"/>
        <v/>
      </c>
      <c r="D47" s="2">
        <v>126.931</v>
      </c>
      <c r="E47" t="s">
        <v>43</v>
      </c>
      <c r="F47" t="s">
        <v>2318</v>
      </c>
      <c r="G47" t="str">
        <f t="shared" si="1"/>
        <v>X</v>
      </c>
      <c r="H47" t="str">
        <f t="shared" si="2"/>
        <v/>
      </c>
      <c r="I47" t="str">
        <f t="shared" si="3"/>
        <v/>
      </c>
      <c r="J47" s="30" t="str">
        <f t="shared" si="4"/>
        <v>{ parentCategory=5, category=47, zoneIds={126,931}, isDungeon=true},--Elden Hollow I</v>
      </c>
    </row>
    <row r="48" spans="1:10" x14ac:dyDescent="0.25">
      <c r="A48">
        <v>5</v>
      </c>
      <c r="B48">
        <v>48</v>
      </c>
      <c r="C48" t="str">
        <f t="shared" si="16"/>
        <v/>
      </c>
      <c r="D48" s="2">
        <v>283.93400000000003</v>
      </c>
      <c r="E48" t="s">
        <v>51</v>
      </c>
      <c r="F48" t="s">
        <v>2324</v>
      </c>
      <c r="G48" t="str">
        <f t="shared" si="1"/>
        <v>X</v>
      </c>
      <c r="H48" t="str">
        <f t="shared" si="2"/>
        <v/>
      </c>
      <c r="I48" t="str">
        <f t="shared" si="3"/>
        <v/>
      </c>
      <c r="J48" s="30" t="str">
        <f t="shared" si="4"/>
        <v>{ parentCategory=5, category=48, zoneIds={283,934}, isDungeon=true},--Fungal Grotto I</v>
      </c>
    </row>
    <row r="49" spans="1:10" x14ac:dyDescent="0.25">
      <c r="A49">
        <v>5</v>
      </c>
      <c r="B49">
        <v>49</v>
      </c>
      <c r="C49" t="str">
        <f t="shared" si="16"/>
        <v/>
      </c>
      <c r="D49" s="2">
        <f>VLOOKUP(E49,'ESO zone constants'!$D$5:$H$10003,5,FALSE)</f>
        <v>31</v>
      </c>
      <c r="E49" t="s">
        <v>59</v>
      </c>
      <c r="F49" t="s">
        <v>2326</v>
      </c>
      <c r="G49" t="str">
        <f t="shared" si="1"/>
        <v>X</v>
      </c>
      <c r="H49" t="str">
        <f t="shared" si="2"/>
        <v/>
      </c>
      <c r="I49" t="str">
        <f t="shared" si="3"/>
        <v/>
      </c>
      <c r="J49" s="30" t="str">
        <f t="shared" si="4"/>
        <v>{ parentCategory=5, category=49, zoneIds={31}, isDungeon=true},--Selene's Web</v>
      </c>
    </row>
    <row r="50" spans="1:10" x14ac:dyDescent="0.25">
      <c r="A50">
        <v>5</v>
      </c>
      <c r="B50">
        <v>50</v>
      </c>
      <c r="C50" t="str">
        <f t="shared" si="16"/>
        <v/>
      </c>
      <c r="D50" s="2">
        <v>144.93600000000001</v>
      </c>
      <c r="E50" t="s">
        <v>66</v>
      </c>
      <c r="F50" t="s">
        <v>2327</v>
      </c>
      <c r="G50" t="str">
        <f t="shared" si="1"/>
        <v>X</v>
      </c>
      <c r="H50" t="str">
        <f t="shared" si="2"/>
        <v/>
      </c>
      <c r="I50" t="str">
        <f t="shared" si="3"/>
        <v/>
      </c>
      <c r="J50" s="30" t="str">
        <f t="shared" si="4"/>
        <v>{ parentCategory=5, category=50, zoneIds={144,936}, isDungeon=true},--Spindleclutch I</v>
      </c>
    </row>
    <row r="51" spans="1:10" x14ac:dyDescent="0.25">
      <c r="A51">
        <v>5</v>
      </c>
      <c r="B51">
        <v>51</v>
      </c>
      <c r="C51" t="str">
        <f t="shared" si="16"/>
        <v/>
      </c>
      <c r="D51" s="2">
        <f>VLOOKUP(E51,'ESO zone constants'!$D$5:$H$10003,5,FALSE)</f>
        <v>131</v>
      </c>
      <c r="E51" t="s">
        <v>65</v>
      </c>
      <c r="F51" t="s">
        <v>2323</v>
      </c>
      <c r="G51" t="str">
        <f t="shared" si="1"/>
        <v>X</v>
      </c>
      <c r="H51" t="str">
        <f t="shared" si="2"/>
        <v/>
      </c>
      <c r="I51" t="str">
        <f t="shared" si="3"/>
        <v/>
      </c>
      <c r="J51" s="30" t="str">
        <f t="shared" si="4"/>
        <v>{ parentCategory=5, category=51, zoneIds={131}, isDungeon=true},--Tempest Island</v>
      </c>
    </row>
    <row r="52" spans="1:10" x14ac:dyDescent="0.25">
      <c r="A52">
        <v>5</v>
      </c>
      <c r="B52">
        <v>52</v>
      </c>
      <c r="C52" t="str">
        <f t="shared" si="16"/>
        <v/>
      </c>
      <c r="D52" s="2">
        <f>VLOOKUP(E52,'ESO zone constants'!$D$5:$H$10003,5,FALSE)</f>
        <v>11</v>
      </c>
      <c r="E52" t="s">
        <v>47</v>
      </c>
      <c r="F52" t="s">
        <v>2320</v>
      </c>
      <c r="G52" t="str">
        <f t="shared" si="1"/>
        <v>X</v>
      </c>
      <c r="H52" t="str">
        <f t="shared" si="2"/>
        <v/>
      </c>
      <c r="I52" t="str">
        <f t="shared" si="3"/>
        <v/>
      </c>
      <c r="J52" s="30" t="str">
        <f t="shared" si="4"/>
        <v>{ parentCategory=5, category=52, zoneIds={11}, isDungeon=true},--Vaults of Madness</v>
      </c>
    </row>
    <row r="53" spans="1:10" x14ac:dyDescent="0.25">
      <c r="A53">
        <v>5</v>
      </c>
      <c r="B53">
        <v>53</v>
      </c>
      <c r="D53" s="2">
        <f>VLOOKUP(E53,'ESO zone constants'!$D$5:$H$10003,5,FALSE)</f>
        <v>22</v>
      </c>
      <c r="E53" t="s">
        <v>68</v>
      </c>
      <c r="F53" t="s">
        <v>68</v>
      </c>
      <c r="G53" t="str">
        <f t="shared" si="1"/>
        <v>X</v>
      </c>
      <c r="H53" t="str">
        <f t="shared" si="2"/>
        <v/>
      </c>
      <c r="I53" t="str">
        <f t="shared" si="3"/>
        <v/>
      </c>
      <c r="J53" s="30" t="str">
        <f t="shared" si="4"/>
        <v>{ parentCategory=5, category=53, zoneIds={22}, isDungeon=true},--Volenfell</v>
      </c>
    </row>
    <row r="54" spans="1:10" x14ac:dyDescent="0.25">
      <c r="A54">
        <v>5</v>
      </c>
      <c r="B54">
        <v>54</v>
      </c>
      <c r="C54" t="str">
        <f>IF(A54=B54,"X","")</f>
        <v/>
      </c>
      <c r="D54" s="2">
        <v>146.93299999999999</v>
      </c>
      <c r="E54" t="s">
        <v>62</v>
      </c>
      <c r="F54" t="s">
        <v>2321</v>
      </c>
      <c r="G54" t="str">
        <f t="shared" si="1"/>
        <v>X</v>
      </c>
      <c r="H54" t="str">
        <f t="shared" si="2"/>
        <v/>
      </c>
      <c r="I54" t="str">
        <f t="shared" si="3"/>
        <v/>
      </c>
      <c r="J54" s="30" t="str">
        <f t="shared" si="4"/>
        <v>{ parentCategory=5, category=54, zoneIds={146,933}, isDungeon=true},--Wayrest Sewers I</v>
      </c>
    </row>
    <row r="55" spans="1:10" x14ac:dyDescent="0.25">
      <c r="A55">
        <v>6</v>
      </c>
      <c r="B55">
        <v>6</v>
      </c>
      <c r="C55" t="str">
        <f>IF(A55=B55,"X","")</f>
        <v>X</v>
      </c>
      <c r="D55" s="98" t="e">
        <f>VLOOKUP(E55,'ESO zone constants'!$D$5:$H$10003,5,FALSE)</f>
        <v>#N/A</v>
      </c>
      <c r="E55" t="s">
        <v>2375</v>
      </c>
      <c r="F55" t="s">
        <v>2296</v>
      </c>
      <c r="G55" t="str">
        <f t="shared" si="1"/>
        <v>X</v>
      </c>
      <c r="H55" t="str">
        <f t="shared" si="2"/>
        <v/>
      </c>
      <c r="I55" t="str">
        <f t="shared" si="3"/>
        <v/>
      </c>
      <c r="J55" s="30" t="str">
        <f t="shared" si="4"/>
        <v>--DLC-Dungeons</v>
      </c>
    </row>
    <row r="56" spans="1:10" x14ac:dyDescent="0.25">
      <c r="A56">
        <v>6</v>
      </c>
      <c r="B56">
        <v>55</v>
      </c>
      <c r="D56" s="2">
        <f>VLOOKUP(E56,'ESO zone constants'!$D$5:$H$10003,5,FALSE)</f>
        <v>678</v>
      </c>
      <c r="E56" t="s">
        <v>52</v>
      </c>
      <c r="F56" t="s">
        <v>2334</v>
      </c>
      <c r="G56" t="str">
        <f t="shared" si="1"/>
        <v>X</v>
      </c>
      <c r="H56" t="str">
        <f t="shared" si="2"/>
        <v/>
      </c>
      <c r="I56" t="str">
        <f t="shared" si="3"/>
        <v/>
      </c>
      <c r="J56" s="30" t="str">
        <f t="shared" si="4"/>
        <v>{ parentCategory=6, category=55, zoneIds={678}, isDungeon=true},--Imperial City Prison</v>
      </c>
    </row>
    <row r="57" spans="1:10" x14ac:dyDescent="0.25">
      <c r="A57">
        <v>6</v>
      </c>
      <c r="B57">
        <v>56</v>
      </c>
      <c r="D57" s="2">
        <f>VLOOKUP(E57,'ESO zone constants'!$D$5:$H$10003,5,FALSE)</f>
        <v>688</v>
      </c>
      <c r="E57" t="s">
        <v>54</v>
      </c>
      <c r="F57" t="s">
        <v>2346</v>
      </c>
      <c r="G57" t="str">
        <f t="shared" si="1"/>
        <v>X</v>
      </c>
      <c r="H57" t="str">
        <f t="shared" si="2"/>
        <v/>
      </c>
      <c r="I57" t="str">
        <f t="shared" si="3"/>
        <v/>
      </c>
      <c r="J57" s="30" t="str">
        <f t="shared" si="4"/>
        <v>{ parentCategory=6, category=56, zoneIds={688}, isDungeon=true},--White-Gold Tower</v>
      </c>
    </row>
    <row r="58" spans="1:10" x14ac:dyDescent="0.25">
      <c r="A58">
        <v>6</v>
      </c>
      <c r="B58">
        <v>57</v>
      </c>
      <c r="D58" s="2">
        <f>VLOOKUP(E58,'ESO zone constants'!$D$5:$H$10003,5,FALSE)</f>
        <v>848</v>
      </c>
      <c r="E58" t="s">
        <v>72</v>
      </c>
      <c r="F58" t="s">
        <v>2347</v>
      </c>
      <c r="G58" t="str">
        <f t="shared" si="1"/>
        <v>X</v>
      </c>
      <c r="H58" t="str">
        <f t="shared" si="2"/>
        <v/>
      </c>
      <c r="I58" t="str">
        <f t="shared" si="3"/>
        <v/>
      </c>
      <c r="J58" s="30" t="str">
        <f t="shared" si="4"/>
        <v>{ parentCategory=6, category=57, zoneIds={848}, isDungeon=true},--Cradle of Shadows</v>
      </c>
    </row>
    <row r="59" spans="1:10" x14ac:dyDescent="0.25">
      <c r="A59">
        <v>6</v>
      </c>
      <c r="B59">
        <v>58</v>
      </c>
      <c r="D59" s="2">
        <f>VLOOKUP(E59,'ESO zone constants'!$D$5:$H$10003,5,FALSE)</f>
        <v>843</v>
      </c>
      <c r="E59" t="s">
        <v>53</v>
      </c>
      <c r="F59" t="s">
        <v>2342</v>
      </c>
      <c r="G59" t="str">
        <f t="shared" si="1"/>
        <v>X</v>
      </c>
      <c r="H59" t="str">
        <f t="shared" si="2"/>
        <v/>
      </c>
      <c r="I59" t="str">
        <f t="shared" si="3"/>
        <v/>
      </c>
      <c r="J59" s="30" t="str">
        <f t="shared" si="4"/>
        <v>{ parentCategory=6, category=58, zoneIds={843}, isDungeon=true},--Ruins of Mazzatun</v>
      </c>
    </row>
    <row r="60" spans="1:10" x14ac:dyDescent="0.25">
      <c r="A60">
        <v>6</v>
      </c>
      <c r="B60">
        <v>59</v>
      </c>
      <c r="D60" s="2">
        <f>VLOOKUP(E60,'ESO zone constants'!$D$5:$H$10003,5,FALSE)</f>
        <v>973</v>
      </c>
      <c r="E60" t="s">
        <v>45</v>
      </c>
      <c r="F60" t="s">
        <v>2330</v>
      </c>
      <c r="G60" t="str">
        <f t="shared" si="1"/>
        <v>X</v>
      </c>
      <c r="H60" t="str">
        <f t="shared" si="2"/>
        <v/>
      </c>
      <c r="I60" t="str">
        <f t="shared" si="3"/>
        <v/>
      </c>
      <c r="J60" s="30" t="str">
        <f t="shared" si="4"/>
        <v>{ parentCategory=6, category=59, zoneIds={973}, isDungeon=true},--Bloodroot Forge</v>
      </c>
    </row>
    <row r="61" spans="1:10" x14ac:dyDescent="0.25">
      <c r="A61">
        <v>6</v>
      </c>
      <c r="B61">
        <v>60</v>
      </c>
      <c r="D61" s="2">
        <f>VLOOKUP(E61,'ESO zone constants'!$D$5:$H$10003,5,FALSE)</f>
        <v>974</v>
      </c>
      <c r="E61" t="s">
        <v>44</v>
      </c>
      <c r="F61" t="s">
        <v>2332</v>
      </c>
      <c r="G61" t="str">
        <f t="shared" si="1"/>
        <v>X</v>
      </c>
      <c r="H61" t="str">
        <f t="shared" si="2"/>
        <v/>
      </c>
      <c r="I61" t="str">
        <f t="shared" si="3"/>
        <v/>
      </c>
      <c r="J61" s="30" t="str">
        <f t="shared" si="4"/>
        <v>{ parentCategory=6, category=60, zoneIds={974}, isDungeon=true},--Falkreath Hold</v>
      </c>
    </row>
    <row r="62" spans="1:10" x14ac:dyDescent="0.25">
      <c r="A62">
        <v>6</v>
      </c>
      <c r="B62">
        <v>61</v>
      </c>
      <c r="D62" s="2">
        <f>VLOOKUP(E62,'ESO zone constants'!$D$5:$H$10003,5,FALSE)</f>
        <v>1009</v>
      </c>
      <c r="E62" t="s">
        <v>69</v>
      </c>
      <c r="F62" t="s">
        <v>2338</v>
      </c>
      <c r="G62" t="str">
        <f t="shared" si="1"/>
        <v>X</v>
      </c>
      <c r="H62" t="str">
        <f t="shared" si="2"/>
        <v/>
      </c>
      <c r="I62" t="str">
        <f t="shared" si="3"/>
        <v/>
      </c>
      <c r="J62" s="30" t="str">
        <f t="shared" si="4"/>
        <v>{ parentCategory=6, category=61, zoneIds={1009}, isDungeon=true},--Fang Lair</v>
      </c>
    </row>
    <row r="63" spans="1:10" x14ac:dyDescent="0.25">
      <c r="A63">
        <v>6</v>
      </c>
      <c r="B63">
        <v>62</v>
      </c>
      <c r="D63" s="2">
        <f>VLOOKUP(E63,'ESO zone constants'!$D$5:$H$10003,5,FALSE)</f>
        <v>1010</v>
      </c>
      <c r="E63" t="s">
        <v>74</v>
      </c>
      <c r="F63" t="s">
        <v>2335</v>
      </c>
      <c r="G63" t="str">
        <f t="shared" si="1"/>
        <v>X</v>
      </c>
      <c r="H63" t="str">
        <f t="shared" si="2"/>
        <v/>
      </c>
      <c r="I63" t="str">
        <f t="shared" si="3"/>
        <v/>
      </c>
      <c r="J63" s="30" t="str">
        <f t="shared" si="4"/>
        <v>{ parentCategory=6, category=62, zoneIds={1010}, isDungeon=true},--Scalecaller Peak</v>
      </c>
    </row>
    <row r="64" spans="1:10" x14ac:dyDescent="0.25">
      <c r="A64">
        <v>6</v>
      </c>
      <c r="B64">
        <v>63</v>
      </c>
      <c r="D64" s="2">
        <f>VLOOKUP(E64,'ESO zone constants'!$D$5:$H$10003,5,FALSE)</f>
        <v>1055</v>
      </c>
      <c r="E64" t="s">
        <v>41</v>
      </c>
      <c r="F64" t="s">
        <v>2339</v>
      </c>
      <c r="G64" t="str">
        <f t="shared" si="1"/>
        <v>X</v>
      </c>
      <c r="H64" t="str">
        <f t="shared" si="2"/>
        <v/>
      </c>
      <c r="I64" t="str">
        <f t="shared" si="3"/>
        <v/>
      </c>
      <c r="J64" s="30" t="str">
        <f t="shared" si="4"/>
        <v>{ parentCategory=6, category=63, zoneIds={1055}, isDungeon=true},--March of Sacrifices</v>
      </c>
    </row>
    <row r="65" spans="1:10" x14ac:dyDescent="0.25">
      <c r="A65">
        <v>6</v>
      </c>
      <c r="B65">
        <v>64</v>
      </c>
      <c r="D65" s="2">
        <f>VLOOKUP(E65,'ESO zone constants'!$D$5:$H$10003,5,FALSE)</f>
        <v>1052</v>
      </c>
      <c r="E65" t="s">
        <v>73</v>
      </c>
      <c r="F65" t="s">
        <v>2341</v>
      </c>
      <c r="G65" t="str">
        <f t="shared" si="1"/>
        <v>X</v>
      </c>
      <c r="H65" t="str">
        <f t="shared" si="2"/>
        <v/>
      </c>
      <c r="I65" t="str">
        <f t="shared" si="3"/>
        <v/>
      </c>
      <c r="J65" s="30" t="str">
        <f t="shared" si="4"/>
        <v>{ parentCategory=6, category=64, zoneIds={1052}, isDungeon=true},--Moon Hunter Keep</v>
      </c>
    </row>
    <row r="66" spans="1:10" x14ac:dyDescent="0.25">
      <c r="A66">
        <v>6</v>
      </c>
      <c r="B66">
        <v>65</v>
      </c>
      <c r="D66" s="2">
        <f>VLOOKUP(E66,'ESO zone constants'!$D$5:$H$10003,5,FALSE)</f>
        <v>1081</v>
      </c>
      <c r="E66" t="s">
        <v>67</v>
      </c>
      <c r="F66" t="s">
        <v>2344</v>
      </c>
      <c r="G66" t="str">
        <f t="shared" si="1"/>
        <v>X</v>
      </c>
      <c r="H66" t="str">
        <f t="shared" si="2"/>
        <v/>
      </c>
      <c r="I66" t="str">
        <f t="shared" si="3"/>
        <v/>
      </c>
      <c r="J66" s="30" t="str">
        <f t="shared" si="4"/>
        <v>{ parentCategory=6, category=65, zoneIds={1081}, isDungeon=true},--Depths of Malatar</v>
      </c>
    </row>
    <row r="67" spans="1:10" x14ac:dyDescent="0.25">
      <c r="A67">
        <v>6</v>
      </c>
      <c r="B67">
        <v>66</v>
      </c>
      <c r="D67" s="2">
        <f>VLOOKUP(E67,'ESO zone constants'!$D$5:$H$10003,5,FALSE)</f>
        <v>1080</v>
      </c>
      <c r="E67" t="s">
        <v>64</v>
      </c>
      <c r="F67" t="s">
        <v>2333</v>
      </c>
      <c r="G67" t="str">
        <f t="shared" si="1"/>
        <v>X</v>
      </c>
      <c r="H67" t="str">
        <f t="shared" si="2"/>
        <v/>
      </c>
      <c r="I67" t="str">
        <f t="shared" si="3"/>
        <v/>
      </c>
      <c r="J67" s="30" t="str">
        <f t="shared" si="4"/>
        <v>{ parentCategory=6, category=66, zoneIds={1080}, isDungeon=true},--Frostvault</v>
      </c>
    </row>
    <row r="68" spans="1:10" x14ac:dyDescent="0.25">
      <c r="A68">
        <v>6</v>
      </c>
      <c r="B68">
        <v>67</v>
      </c>
      <c r="D68" s="2">
        <f>VLOOKUP(E68,'ESO zone constants'!$D$5:$H$10003,5,FALSE)</f>
        <v>1123</v>
      </c>
      <c r="E68" t="s">
        <v>1483</v>
      </c>
      <c r="F68" t="s">
        <v>2336</v>
      </c>
      <c r="G68" t="str">
        <f t="shared" si="1"/>
        <v>X</v>
      </c>
      <c r="H68" t="str">
        <f t="shared" si="2"/>
        <v/>
      </c>
      <c r="I68" t="str">
        <f t="shared" si="3"/>
        <v/>
      </c>
      <c r="J68" s="30" t="str">
        <f t="shared" si="4"/>
        <v>{ parentCategory=6, category=67, zoneIds={1123}, isDungeon=true},--Lair of Maarselok</v>
      </c>
    </row>
    <row r="69" spans="1:10" x14ac:dyDescent="0.25">
      <c r="A69">
        <v>6</v>
      </c>
      <c r="B69">
        <v>68</v>
      </c>
      <c r="D69" s="2">
        <f>VLOOKUP(E69,'ESO zone constants'!$D$5:$H$10003,5,FALSE)</f>
        <v>1122</v>
      </c>
      <c r="E69" t="s">
        <v>1482</v>
      </c>
      <c r="F69" t="s">
        <v>2340</v>
      </c>
      <c r="G69" t="str">
        <f t="shared" si="1"/>
        <v>X</v>
      </c>
      <c r="H69" t="str">
        <f t="shared" si="2"/>
        <v/>
      </c>
      <c r="I69" t="str">
        <f t="shared" si="3"/>
        <v/>
      </c>
      <c r="J69" s="30" t="str">
        <f t="shared" si="4"/>
        <v>{ parentCategory=6, category=68, zoneIds={1122}, isDungeon=true},--Moongrave Fane</v>
      </c>
    </row>
    <row r="70" spans="1:10" x14ac:dyDescent="0.25">
      <c r="A70">
        <v>6</v>
      </c>
      <c r="B70">
        <v>69</v>
      </c>
      <c r="D70" s="2">
        <f>VLOOKUP(E70,'ESO zone constants'!$D$5:$H$10003,5,FALSE)</f>
        <v>1152</v>
      </c>
      <c r="E70" t="s">
        <v>1642</v>
      </c>
      <c r="F70" t="s">
        <v>2331</v>
      </c>
      <c r="G70" t="str">
        <f t="shared" si="1"/>
        <v>X</v>
      </c>
      <c r="H70" t="str">
        <f t="shared" si="2"/>
        <v/>
      </c>
      <c r="I70" t="str">
        <f t="shared" si="3"/>
        <v/>
      </c>
      <c r="J70" s="30" t="str">
        <f t="shared" si="4"/>
        <v>{ parentCategory=6, category=69, zoneIds={1152}, isDungeon=true},--Icereach</v>
      </c>
    </row>
    <row r="71" spans="1:10" x14ac:dyDescent="0.25">
      <c r="A71">
        <v>6</v>
      </c>
      <c r="B71">
        <v>70</v>
      </c>
      <c r="D71" s="2">
        <f>VLOOKUP(E71,'ESO zone constants'!$D$5:$H$10003,5,FALSE)</f>
        <v>1153</v>
      </c>
      <c r="E71" t="s">
        <v>1641</v>
      </c>
      <c r="F71" t="s">
        <v>2345</v>
      </c>
      <c r="G71" t="str">
        <f t="shared" si="1"/>
        <v>X</v>
      </c>
      <c r="H71" t="str">
        <f t="shared" si="2"/>
        <v/>
      </c>
      <c r="I71" t="str">
        <f t="shared" si="3"/>
        <v/>
      </c>
      <c r="J71" s="30" t="str">
        <f t="shared" si="4"/>
        <v>{ parentCategory=6, category=70, zoneIds={1153}, isDungeon=true},--Unhallowed Grave</v>
      </c>
    </row>
    <row r="72" spans="1:10" x14ac:dyDescent="0.25">
      <c r="A72">
        <v>6</v>
      </c>
      <c r="B72">
        <v>87</v>
      </c>
      <c r="D72" s="2">
        <f>VLOOKUP(E72,'ESO zone constants'!$D$5:$H$10003,5,FALSE)</f>
        <v>1201</v>
      </c>
      <c r="E72" t="s">
        <v>1796</v>
      </c>
      <c r="F72" t="s">
        <v>2337</v>
      </c>
      <c r="G72" t="str">
        <f t="shared" si="1"/>
        <v>X</v>
      </c>
      <c r="H72" t="str">
        <f t="shared" si="2"/>
        <v/>
      </c>
      <c r="I72" t="str">
        <f t="shared" si="3"/>
        <v/>
      </c>
      <c r="J72" s="30" t="str">
        <f t="shared" si="4"/>
        <v>{ parentCategory=6, category=87, zoneIds={1201}, isDungeon=true},--Castle Thorn</v>
      </c>
    </row>
    <row r="73" spans="1:10" x14ac:dyDescent="0.25">
      <c r="A73">
        <v>6</v>
      </c>
      <c r="B73">
        <v>88</v>
      </c>
      <c r="D73" s="2">
        <f>VLOOKUP(E73,'ESO zone constants'!$D$5:$H$10003,5,FALSE)</f>
        <v>1197</v>
      </c>
      <c r="E73" t="s">
        <v>1801</v>
      </c>
      <c r="F73" t="s">
        <v>2343</v>
      </c>
      <c r="G73" t="str">
        <f t="shared" ref="G73:G111" si="17">IF(OR(A73=5,A73=6,),"X","")</f>
        <v>X</v>
      </c>
      <c r="H73" t="str">
        <f t="shared" ref="H73:H111" si="18">IF(OR(A73=7,),"X","")</f>
        <v/>
      </c>
      <c r="I73" t="str">
        <f t="shared" ref="I73:I111" si="19">IF(OR(A73=8,),"X","")</f>
        <v/>
      </c>
      <c r="J73" s="30" t="str">
        <f t="shared" ref="J73:J111" si="20">IF(C73="X","","{ parentCategory="&amp;A73&amp;", category="&amp;B73&amp;IF(AND(NOT(ISNA(D73)),D73&lt;&gt;"",NOT(ISERROR(D73))),", zoneIds={"&amp;D73&amp;"}","")&amp;IF(G73&lt;&gt;"",", isDungeon=true","")&amp;IF(H73&lt;&gt;"",", isTrial=true","")&amp;IF(I73&lt;&gt;"",", isArena=true","")&amp;"},") &amp;"--"&amp;E73</f>
        <v>{ parentCategory=6, category=88, zoneIds={1197}, isDungeon=true},--Stone Garden</v>
      </c>
    </row>
    <row r="74" spans="1:10" x14ac:dyDescent="0.25">
      <c r="A74">
        <v>6</v>
      </c>
      <c r="B74">
        <v>91</v>
      </c>
      <c r="D74" s="2">
        <f>VLOOKUP(E74,'ESO zone constants'!$D$5:$H$10003,5,FALSE)</f>
        <v>1228</v>
      </c>
      <c r="E74" t="s">
        <v>2388</v>
      </c>
      <c r="F74" t="s">
        <v>2406</v>
      </c>
      <c r="G74" t="str">
        <f t="shared" si="17"/>
        <v>X</v>
      </c>
      <c r="H74" t="str">
        <f t="shared" si="18"/>
        <v/>
      </c>
      <c r="I74" t="str">
        <f t="shared" si="19"/>
        <v/>
      </c>
      <c r="J74" s="30" t="str">
        <f t="shared" si="20"/>
        <v>{ parentCategory=6, category=91, zoneIds={1228}, isDungeon=true},--Black Drake Villa</v>
      </c>
    </row>
    <row r="75" spans="1:10" x14ac:dyDescent="0.25">
      <c r="A75">
        <v>6</v>
      </c>
      <c r="B75">
        <v>92</v>
      </c>
      <c r="D75" s="2">
        <f>VLOOKUP(E75,'ESO zone constants'!$D$5:$H$10003,5,FALSE)</f>
        <v>1229</v>
      </c>
      <c r="E75" t="s">
        <v>2389</v>
      </c>
      <c r="F75" t="s">
        <v>2407</v>
      </c>
      <c r="G75" t="str">
        <f t="shared" si="17"/>
        <v>X</v>
      </c>
      <c r="H75" t="str">
        <f t="shared" si="18"/>
        <v/>
      </c>
      <c r="I75" t="str">
        <f t="shared" si="19"/>
        <v/>
      </c>
      <c r="J75" s="30" t="str">
        <f t="shared" si="20"/>
        <v>{ parentCategory=6, category=92, zoneIds={1229}, isDungeon=true},--The Cauldron</v>
      </c>
    </row>
    <row r="76" spans="1:10" x14ac:dyDescent="0.25">
      <c r="A76">
        <v>6</v>
      </c>
      <c r="B76">
        <v>95</v>
      </c>
      <c r="D76" s="2">
        <v>1268</v>
      </c>
      <c r="E76" t="s">
        <v>2487</v>
      </c>
      <c r="F76" t="s">
        <v>2487</v>
      </c>
      <c r="G76" t="str">
        <f t="shared" ref="G76" si="21">IF(OR(A76=5,A76=6,),"X","")</f>
        <v>X</v>
      </c>
      <c r="H76" t="str">
        <f t="shared" ref="H76" si="22">IF(OR(A76=7,),"X","")</f>
        <v/>
      </c>
      <c r="I76" t="str">
        <f t="shared" ref="I76" si="23">IF(OR(A76=8,),"X","")</f>
        <v/>
      </c>
      <c r="J76" s="30" t="str">
        <f t="shared" ref="J76" si="24">IF(C76="X","","{ parentCategory="&amp;A76&amp;", category="&amp;B76&amp;IF(AND(NOT(ISNA(D76)),D76&lt;&gt;"",NOT(ISERROR(D76))),", zoneIds={"&amp;D76&amp;"}","")&amp;IF(G76&lt;&gt;"",", isDungeon=true","")&amp;IF(H76&lt;&gt;"",", isTrial=true","")&amp;IF(I76&lt;&gt;"",", isArena=true","")&amp;"},") &amp;"--"&amp;E76</f>
        <v>{ parentCategory=6, category=95, zoneIds={1268}, isDungeon=true},--Dread Cellar</v>
      </c>
    </row>
    <row r="77" spans="1:10" x14ac:dyDescent="0.25">
      <c r="A77">
        <v>6</v>
      </c>
      <c r="B77">
        <v>96</v>
      </c>
      <c r="D77" s="2">
        <v>1267</v>
      </c>
      <c r="E77" t="s">
        <v>2490</v>
      </c>
      <c r="F77" t="s">
        <v>3295</v>
      </c>
      <c r="G77" t="str">
        <f t="shared" si="17"/>
        <v>X</v>
      </c>
      <c r="H77" t="str">
        <f t="shared" si="18"/>
        <v/>
      </c>
      <c r="I77" t="str">
        <f t="shared" si="19"/>
        <v/>
      </c>
      <c r="J77" s="30" t="str">
        <f t="shared" si="20"/>
        <v>{ parentCategory=6, category=96, zoneIds={1267}, isDungeon=true},--Red Petal Bastion</v>
      </c>
    </row>
    <row r="78" spans="1:10" x14ac:dyDescent="0.25">
      <c r="A78">
        <v>6</v>
      </c>
      <c r="B78">
        <v>98</v>
      </c>
      <c r="D78" s="2">
        <f>VLOOKUP(E78,'ESO zone constants'!$D$5:$H$10003,5,FALSE)</f>
        <v>1301</v>
      </c>
      <c r="E78" t="s">
        <v>2708</v>
      </c>
      <c r="F78" t="s">
        <v>2708</v>
      </c>
      <c r="G78" t="str">
        <f t="shared" si="17"/>
        <v>X</v>
      </c>
      <c r="H78" t="str">
        <f t="shared" si="18"/>
        <v/>
      </c>
      <c r="I78" t="str">
        <f t="shared" si="19"/>
        <v/>
      </c>
      <c r="J78" s="30" t="str">
        <f t="shared" si="20"/>
        <v>{ parentCategory=6, category=98, zoneIds={1301}, isDungeon=true},--Coral Aerie</v>
      </c>
    </row>
    <row r="79" spans="1:10" x14ac:dyDescent="0.25">
      <c r="A79">
        <v>6</v>
      </c>
      <c r="B79">
        <v>99</v>
      </c>
      <c r="D79" s="2">
        <f>VLOOKUP(E79,'ESO zone constants'!$D$5:$H$10003,5,FALSE)</f>
        <v>1302</v>
      </c>
      <c r="E79" t="s">
        <v>2720</v>
      </c>
      <c r="G79" t="str">
        <f t="shared" ref="G79:G83" si="25">IF(OR(A79=5,A79=6,),"X","")</f>
        <v>X</v>
      </c>
      <c r="H79" t="str">
        <f t="shared" ref="H79" si="26">IF(OR(A79=7,),"X","")</f>
        <v/>
      </c>
      <c r="I79" t="str">
        <f t="shared" ref="I79" si="27">IF(OR(A79=8,),"X","")</f>
        <v/>
      </c>
      <c r="J79" s="30" t="str">
        <f t="shared" si="20"/>
        <v>{ parentCategory=6, category=99, zoneIds={1302}, isDungeon=true},--Shipwright's Regret</v>
      </c>
    </row>
    <row r="80" spans="1:10" x14ac:dyDescent="0.25">
      <c r="A80" s="36">
        <v>6</v>
      </c>
      <c r="B80" s="36">
        <v>102</v>
      </c>
      <c r="C80" s="36"/>
      <c r="D80" s="81">
        <f>VLOOKUP(E80,'ESO zone constants'!$D$5:$H$10003,5,FALSE)</f>
        <v>1360</v>
      </c>
      <c r="E80" s="36" t="s">
        <v>3381</v>
      </c>
      <c r="F80" s="36"/>
      <c r="G80" t="str">
        <f t="shared" si="25"/>
        <v>X</v>
      </c>
      <c r="H80" t="str">
        <f t="shared" ref="H80:H83" si="28">IF(OR(A80=7,),"X","")</f>
        <v/>
      </c>
      <c r="I80" t="str">
        <f t="shared" ref="I80:I83" si="29">IF(OR(A80=8,),"X","")</f>
        <v/>
      </c>
      <c r="J80" s="30" t="str">
        <f t="shared" si="20"/>
        <v>{ parentCategory=6, category=102, zoneIds={1360}, isDungeon=true},--Earthen Root Enclave</v>
      </c>
    </row>
    <row r="81" spans="1:10" x14ac:dyDescent="0.25">
      <c r="A81" s="36">
        <v>6</v>
      </c>
      <c r="B81" s="36">
        <v>103</v>
      </c>
      <c r="C81" s="36"/>
      <c r="D81" s="81">
        <f>VLOOKUP(E81,'ESO zone constants'!$D$5:$H$10003,5,FALSE)</f>
        <v>1361</v>
      </c>
      <c r="E81" s="36" t="s">
        <v>3382</v>
      </c>
      <c r="F81" s="36"/>
      <c r="G81" t="str">
        <f t="shared" si="25"/>
        <v>X</v>
      </c>
      <c r="H81" t="str">
        <f t="shared" si="28"/>
        <v/>
      </c>
      <c r="I81" t="str">
        <f t="shared" si="29"/>
        <v/>
      </c>
      <c r="J81" s="30" t="str">
        <f t="shared" si="20"/>
        <v>{ parentCategory=6, category=103, zoneIds={1361}, isDungeon=true},--Graven Deep</v>
      </c>
    </row>
    <row r="82" spans="1:10" x14ac:dyDescent="0.25">
      <c r="A82" s="36">
        <v>6</v>
      </c>
      <c r="B82" s="36">
        <v>105</v>
      </c>
      <c r="C82" s="36"/>
      <c r="D82" s="81">
        <f>VLOOKUP(E82,'ESO zone constants'!$D$5:$H$10003,5,FALSE)</f>
        <v>1389</v>
      </c>
      <c r="E82" s="36" t="s">
        <v>3548</v>
      </c>
      <c r="F82" s="36" t="s">
        <v>3548</v>
      </c>
      <c r="G82" t="str">
        <f t="shared" si="25"/>
        <v>X</v>
      </c>
      <c r="H82" t="str">
        <f t="shared" si="28"/>
        <v/>
      </c>
      <c r="I82" t="str">
        <f t="shared" si="29"/>
        <v/>
      </c>
      <c r="J82" s="30" t="str">
        <f t="shared" si="20"/>
        <v>{ parentCategory=6, category=105, zoneIds={1389}, isDungeon=true},--Bal Sunnar</v>
      </c>
    </row>
    <row r="83" spans="1:10" x14ac:dyDescent="0.25">
      <c r="A83" s="36">
        <v>6</v>
      </c>
      <c r="B83" s="36">
        <v>106</v>
      </c>
      <c r="C83" s="36"/>
      <c r="D83" s="81">
        <f>VLOOKUP(E83,'ESO zone constants'!$D$5:$H$10003,5,FALSE)</f>
        <v>1390</v>
      </c>
      <c r="E83" s="36" t="s">
        <v>3575</v>
      </c>
      <c r="F83" s="36" t="s">
        <v>3578</v>
      </c>
      <c r="G83" t="str">
        <f t="shared" si="25"/>
        <v>X</v>
      </c>
      <c r="H83" t="str">
        <f t="shared" si="28"/>
        <v/>
      </c>
      <c r="I83" t="str">
        <f t="shared" si="29"/>
        <v/>
      </c>
      <c r="J83" s="30" t="str">
        <f t="shared" si="20"/>
        <v>{ parentCategory=6, category=106, zoneIds={1390}, isDungeon=true},--Scrivener's Hall</v>
      </c>
    </row>
    <row r="84" spans="1:10" x14ac:dyDescent="0.25">
      <c r="A84" s="36">
        <v>6</v>
      </c>
      <c r="B84" s="36">
        <v>110</v>
      </c>
      <c r="C84" s="36"/>
      <c r="D84" s="81">
        <f>VLOOKUP(E84,'ESO zone constants'!$D$5:$H$10003,5,FALSE)</f>
        <v>1470</v>
      </c>
      <c r="E84" s="36" t="s">
        <v>3886</v>
      </c>
      <c r="F84" s="36" t="s">
        <v>3886</v>
      </c>
      <c r="G84" t="str">
        <f t="shared" ref="G84:G85" si="30">IF(OR(A84=5,A84=6,),"X","")</f>
        <v>X</v>
      </c>
      <c r="H84" t="str">
        <f t="shared" ref="H84:H85" si="31">IF(OR(A84=7,),"X","")</f>
        <v/>
      </c>
      <c r="I84" t="str">
        <f t="shared" ref="I84:I85" si="32">IF(OR(A84=8,),"X","")</f>
        <v/>
      </c>
      <c r="J84" s="30" t="str">
        <f t="shared" ref="J84:J85" si="33">IF(C84="X","","{ parentCategory="&amp;A84&amp;", category="&amp;B84&amp;IF(AND(NOT(ISNA(D84)),D84&lt;&gt;"",NOT(ISERROR(D84))),", zoneIds={"&amp;D84&amp;"}","")&amp;IF(G84&lt;&gt;"",", isDungeon=true","")&amp;IF(H84&lt;&gt;"",", isTrial=true","")&amp;IF(I84&lt;&gt;"",", isArena=true","")&amp;"},") &amp;"--"&amp;E84</f>
        <v>{ parentCategory=6, category=110, zoneIds={1470}, isDungeon=true},--Oathsworn Pit</v>
      </c>
    </row>
    <row r="85" spans="1:10" x14ac:dyDescent="0.25">
      <c r="A85" s="36">
        <v>6</v>
      </c>
      <c r="B85" s="36">
        <v>111</v>
      </c>
      <c r="C85" s="36"/>
      <c r="D85" s="81">
        <f>VLOOKUP(E85,'ESO zone constants'!$D$5:$H$10003,5,FALSE)</f>
        <v>1471</v>
      </c>
      <c r="E85" s="36" t="s">
        <v>3887</v>
      </c>
      <c r="F85" s="36" t="s">
        <v>3887</v>
      </c>
      <c r="G85" t="str">
        <f t="shared" si="30"/>
        <v>X</v>
      </c>
      <c r="H85" t="str">
        <f t="shared" si="31"/>
        <v/>
      </c>
      <c r="I85" t="str">
        <f t="shared" si="32"/>
        <v/>
      </c>
      <c r="J85" s="30" t="str">
        <f t="shared" si="33"/>
        <v>{ parentCategory=6, category=111, zoneIds={1471}, isDungeon=true},--Bedlam Veil</v>
      </c>
    </row>
    <row r="86" spans="1:10" x14ac:dyDescent="0.25">
      <c r="A86">
        <v>7</v>
      </c>
      <c r="B86">
        <v>7</v>
      </c>
      <c r="C86" t="str">
        <f>IF(A86=B86,"X","")</f>
        <v>X</v>
      </c>
      <c r="D86" s="98" t="e">
        <f>VLOOKUP(E86,'ESO zone constants'!$D$5:$H$10003,5,FALSE)</f>
        <v>#N/A</v>
      </c>
      <c r="E86" t="s">
        <v>2376</v>
      </c>
      <c r="F86" t="s">
        <v>2297</v>
      </c>
      <c r="G86" t="str">
        <f t="shared" si="17"/>
        <v/>
      </c>
      <c r="H86" t="str">
        <f t="shared" si="18"/>
        <v>X</v>
      </c>
      <c r="I86" t="str">
        <f t="shared" si="19"/>
        <v/>
      </c>
      <c r="J86" s="30" t="str">
        <f t="shared" si="20"/>
        <v>--Trials</v>
      </c>
    </row>
    <row r="87" spans="1:10" x14ac:dyDescent="0.25">
      <c r="A87">
        <v>7</v>
      </c>
      <c r="B87">
        <v>71</v>
      </c>
      <c r="D87" s="2">
        <f>VLOOKUP(E87,'ESO zone constants'!$D$5:$H$10003,5,FALSE)</f>
        <v>638</v>
      </c>
      <c r="E87" t="s">
        <v>442</v>
      </c>
      <c r="F87" t="s">
        <v>2349</v>
      </c>
      <c r="G87" t="str">
        <f t="shared" si="17"/>
        <v/>
      </c>
      <c r="H87" t="str">
        <f t="shared" si="18"/>
        <v>X</v>
      </c>
      <c r="I87" t="str">
        <f t="shared" si="19"/>
        <v/>
      </c>
      <c r="J87" s="30" t="str">
        <f t="shared" si="20"/>
        <v>{ parentCategory=7, category=71, zoneIds={638}, isTrial=true},--Aetherian Archive</v>
      </c>
    </row>
    <row r="88" spans="1:10" x14ac:dyDescent="0.25">
      <c r="A88">
        <v>7</v>
      </c>
      <c r="B88">
        <v>72</v>
      </c>
      <c r="D88" s="2">
        <f>VLOOKUP(E88,'ESO zone constants'!$D$5:$H$10003,5,FALSE)</f>
        <v>636</v>
      </c>
      <c r="E88" t="s">
        <v>440</v>
      </c>
      <c r="F88" t="s">
        <v>2355</v>
      </c>
      <c r="G88" t="str">
        <f t="shared" si="17"/>
        <v/>
      </c>
      <c r="H88" t="str">
        <f t="shared" si="18"/>
        <v>X</v>
      </c>
      <c r="I88" t="str">
        <f t="shared" si="19"/>
        <v/>
      </c>
      <c r="J88" s="30" t="str">
        <f t="shared" si="20"/>
        <v>{ parentCategory=7, category=72, zoneIds={636}, isTrial=true},--Hel Ra Citadel</v>
      </c>
    </row>
    <row r="89" spans="1:10" x14ac:dyDescent="0.25">
      <c r="A89">
        <v>7</v>
      </c>
      <c r="B89">
        <v>73</v>
      </c>
      <c r="D89" s="2">
        <f>VLOOKUP(E89,'ESO zone constants'!$D$5:$H$10003,5,FALSE)</f>
        <v>639</v>
      </c>
      <c r="E89" t="s">
        <v>443</v>
      </c>
      <c r="F89" t="s">
        <v>443</v>
      </c>
      <c r="G89" t="str">
        <f t="shared" si="17"/>
        <v/>
      </c>
      <c r="H89" t="str">
        <f t="shared" si="18"/>
        <v>X</v>
      </c>
      <c r="I89" t="str">
        <f t="shared" si="19"/>
        <v/>
      </c>
      <c r="J89" s="30" t="str">
        <f t="shared" si="20"/>
        <v>{ parentCategory=7, category=73, zoneIds={639}, isTrial=true},--Sanctum Ophidia</v>
      </c>
    </row>
    <row r="90" spans="1:10" x14ac:dyDescent="0.25">
      <c r="A90">
        <v>7</v>
      </c>
      <c r="B90">
        <v>74</v>
      </c>
      <c r="D90" s="2">
        <f>VLOOKUP(E90,'ESO zone constants'!$D$5:$H$10003,5,FALSE)</f>
        <v>725</v>
      </c>
      <c r="E90" t="s">
        <v>475</v>
      </c>
      <c r="F90" t="s">
        <v>2352</v>
      </c>
      <c r="G90" t="str">
        <f t="shared" si="17"/>
        <v/>
      </c>
      <c r="H90" t="str">
        <f t="shared" si="18"/>
        <v>X</v>
      </c>
      <c r="I90" t="str">
        <f t="shared" si="19"/>
        <v/>
      </c>
      <c r="J90" s="30" t="str">
        <f t="shared" si="20"/>
        <v>{ parentCategory=7, category=74, zoneIds={725}, isTrial=true},--Maw of Lorkhaj</v>
      </c>
    </row>
    <row r="91" spans="1:10" x14ac:dyDescent="0.25">
      <c r="A91">
        <v>7</v>
      </c>
      <c r="B91">
        <v>75</v>
      </c>
      <c r="D91" s="2">
        <f>VLOOKUP(E91,'ESO zone constants'!$D$5:$H$10003,5,FALSE)</f>
        <v>975</v>
      </c>
      <c r="E91" t="s">
        <v>638</v>
      </c>
      <c r="F91" t="s">
        <v>2350</v>
      </c>
      <c r="G91" t="str">
        <f t="shared" si="17"/>
        <v/>
      </c>
      <c r="H91" t="str">
        <f t="shared" si="18"/>
        <v>X</v>
      </c>
      <c r="I91" t="str">
        <f t="shared" si="19"/>
        <v/>
      </c>
      <c r="J91" s="30" t="str">
        <f t="shared" si="20"/>
        <v>{ parentCategory=7, category=75, zoneIds={975}, isTrial=true},--Halls of Fabrication</v>
      </c>
    </row>
    <row r="92" spans="1:10" x14ac:dyDescent="0.25">
      <c r="A92">
        <v>7</v>
      </c>
      <c r="B92">
        <v>76</v>
      </c>
      <c r="D92" s="2">
        <f>VLOOKUP(E92,'ESO zone constants'!$D$5:$H$10003,5,FALSE)</f>
        <v>1000</v>
      </c>
      <c r="E92" t="s">
        <v>658</v>
      </c>
      <c r="F92" t="s">
        <v>2348</v>
      </c>
      <c r="G92" t="str">
        <f t="shared" si="17"/>
        <v/>
      </c>
      <c r="H92" t="str">
        <f t="shared" si="18"/>
        <v>X</v>
      </c>
      <c r="I92" t="str">
        <f t="shared" si="19"/>
        <v/>
      </c>
      <c r="J92" s="30" t="str">
        <f t="shared" si="20"/>
        <v>{ parentCategory=7, category=76, zoneIds={1000}, isTrial=true},--Asylum Sanctorium</v>
      </c>
    </row>
    <row r="93" spans="1:10" x14ac:dyDescent="0.25">
      <c r="A93">
        <v>7</v>
      </c>
      <c r="B93">
        <v>77</v>
      </c>
      <c r="D93" s="2">
        <f>VLOOKUP(E93,'ESO zone constants'!$D$5:$H$10003,5,FALSE)</f>
        <v>1051</v>
      </c>
      <c r="E93" t="s">
        <v>698</v>
      </c>
      <c r="F93" t="s">
        <v>2354</v>
      </c>
      <c r="G93" t="str">
        <f t="shared" si="17"/>
        <v/>
      </c>
      <c r="H93" t="str">
        <f t="shared" si="18"/>
        <v>X</v>
      </c>
      <c r="I93" t="str">
        <f t="shared" si="19"/>
        <v/>
      </c>
      <c r="J93" s="30" t="str">
        <f t="shared" si="20"/>
        <v>{ parentCategory=7, category=77, zoneIds={1051}, isTrial=true},--Cloudrest</v>
      </c>
    </row>
    <row r="94" spans="1:10" x14ac:dyDescent="0.25">
      <c r="A94">
        <v>7</v>
      </c>
      <c r="B94">
        <v>78</v>
      </c>
      <c r="D94" s="2">
        <f>VLOOKUP(E94,'ESO zone constants'!$D$5:$H$10003,5,FALSE)</f>
        <v>1121</v>
      </c>
      <c r="E94" t="s">
        <v>1343</v>
      </c>
      <c r="F94" t="s">
        <v>2353</v>
      </c>
      <c r="G94" t="str">
        <f t="shared" si="17"/>
        <v/>
      </c>
      <c r="H94" t="str">
        <f t="shared" si="18"/>
        <v>X</v>
      </c>
      <c r="I94" t="str">
        <f t="shared" si="19"/>
        <v/>
      </c>
      <c r="J94" s="30" t="str">
        <f t="shared" si="20"/>
        <v>{ parentCategory=7, category=78, zoneIds={1121}, isTrial=true},--Sunspire</v>
      </c>
    </row>
    <row r="95" spans="1:10" x14ac:dyDescent="0.25">
      <c r="A95">
        <v>7</v>
      </c>
      <c r="B95">
        <v>79</v>
      </c>
      <c r="D95" s="2">
        <f>VLOOKUP(E95,'ESO zone constants'!$D$5:$H$10003,5,FALSE)</f>
        <v>1196</v>
      </c>
      <c r="E95" t="s">
        <v>1700</v>
      </c>
      <c r="F95" t="s">
        <v>2351</v>
      </c>
      <c r="G95" t="str">
        <f t="shared" si="17"/>
        <v/>
      </c>
      <c r="H95" t="str">
        <f t="shared" si="18"/>
        <v>X</v>
      </c>
      <c r="I95" t="str">
        <f t="shared" si="19"/>
        <v/>
      </c>
      <c r="J95" s="30" t="str">
        <f t="shared" si="20"/>
        <v>{ parentCategory=7, category=79, zoneIds={1196}, isTrial=true},--Kyne's Aegis</v>
      </c>
    </row>
    <row r="96" spans="1:10" x14ac:dyDescent="0.25">
      <c r="A96">
        <v>7</v>
      </c>
      <c r="B96">
        <v>101</v>
      </c>
      <c r="D96" s="2">
        <f>VLOOKUP(E96,'ESO zone constants'!$D$5:$H$10003,5,FALSE)</f>
        <v>1344</v>
      </c>
      <c r="E96" t="s">
        <v>3344</v>
      </c>
      <c r="F96" t="s">
        <v>3324</v>
      </c>
      <c r="H96" t="str">
        <f t="shared" si="18"/>
        <v>X</v>
      </c>
      <c r="J96" s="30" t="str">
        <f t="shared" si="20"/>
        <v>{ parentCategory=7, category=101, zoneIds={1344}, isTrial=true},--Dreadsail Reef</v>
      </c>
    </row>
    <row r="97" spans="1:10" x14ac:dyDescent="0.25">
      <c r="A97">
        <v>7</v>
      </c>
      <c r="B97">
        <v>108</v>
      </c>
      <c r="D97" s="2">
        <f>VLOOKUP(E97,'ESO zone constants'!$D$5:$H$10003,5,FALSE)</f>
        <v>1427</v>
      </c>
      <c r="E97" t="s">
        <v>3682</v>
      </c>
      <c r="H97" t="str">
        <f t="shared" si="18"/>
        <v>X</v>
      </c>
      <c r="J97" s="30" t="str">
        <f t="shared" si="20"/>
        <v>{ parentCategory=7, category=108, zoneIds={1427}, isTrial=true},--Sanity's Edge</v>
      </c>
    </row>
    <row r="98" spans="1:10" x14ac:dyDescent="0.25">
      <c r="A98">
        <v>8</v>
      </c>
      <c r="B98">
        <v>8</v>
      </c>
      <c r="C98" t="str">
        <f>IF(A98=B98,"X","")</f>
        <v>X</v>
      </c>
      <c r="D98" s="98" t="e">
        <f>VLOOKUP(E98,'ESO zone constants'!$D$5:$H$10003,5,FALSE)</f>
        <v>#N/A</v>
      </c>
      <c r="E98" t="s">
        <v>2377</v>
      </c>
      <c r="F98" t="s">
        <v>2298</v>
      </c>
      <c r="G98" t="str">
        <f t="shared" si="17"/>
        <v/>
      </c>
      <c r="H98" t="str">
        <f t="shared" si="18"/>
        <v/>
      </c>
      <c r="I98" t="str">
        <f t="shared" si="19"/>
        <v>X</v>
      </c>
      <c r="J98" s="30" t="str">
        <f t="shared" si="20"/>
        <v>--Arenas</v>
      </c>
    </row>
    <row r="99" spans="1:10" x14ac:dyDescent="0.25">
      <c r="A99">
        <v>8</v>
      </c>
      <c r="B99">
        <v>80</v>
      </c>
      <c r="D99" s="2">
        <f>VLOOKUP(E99,'ESO zone constants'!$D$5:$H$10003,5,FALSE)</f>
        <v>635</v>
      </c>
      <c r="E99" t="s">
        <v>439</v>
      </c>
      <c r="F99" t="s">
        <v>2356</v>
      </c>
      <c r="G99" t="str">
        <f t="shared" si="17"/>
        <v/>
      </c>
      <c r="H99" t="str">
        <f t="shared" si="18"/>
        <v/>
      </c>
      <c r="I99" t="str">
        <f t="shared" si="19"/>
        <v>X</v>
      </c>
      <c r="J99" s="30" t="str">
        <f t="shared" si="20"/>
        <v>{ parentCategory=8, category=80, zoneIds={635}, isArena=true},--Dragonstar Arena</v>
      </c>
    </row>
    <row r="100" spans="1:10" x14ac:dyDescent="0.25">
      <c r="A100">
        <v>8</v>
      </c>
      <c r="B100">
        <v>81</v>
      </c>
      <c r="D100" s="2">
        <f>VLOOKUP(E100,'ESO zone constants'!$D$5:$H$10003,5,FALSE)</f>
        <v>677</v>
      </c>
      <c r="E100" t="s">
        <v>449</v>
      </c>
      <c r="F100" t="s">
        <v>2358</v>
      </c>
      <c r="G100" t="str">
        <f t="shared" si="17"/>
        <v/>
      </c>
      <c r="H100" t="str">
        <f t="shared" si="18"/>
        <v/>
      </c>
      <c r="I100" t="str">
        <f t="shared" si="19"/>
        <v>X</v>
      </c>
      <c r="J100" s="30" t="str">
        <f t="shared" si="20"/>
        <v>{ parentCategory=8, category=81, zoneIds={677}, isArena=true},--Maelstrom Arena</v>
      </c>
    </row>
    <row r="101" spans="1:10" x14ac:dyDescent="0.25">
      <c r="A101">
        <v>8</v>
      </c>
      <c r="B101">
        <v>82</v>
      </c>
      <c r="D101" s="2">
        <f>VLOOKUP(E101,'ESO zone constants'!$D$5:$H$10003,5,FALSE)</f>
        <v>1082</v>
      </c>
      <c r="E101" t="s">
        <v>719</v>
      </c>
      <c r="F101" t="s">
        <v>2359</v>
      </c>
      <c r="G101" t="str">
        <f t="shared" si="17"/>
        <v/>
      </c>
      <c r="H101" t="str">
        <f t="shared" si="18"/>
        <v/>
      </c>
      <c r="I101" t="str">
        <f t="shared" si="19"/>
        <v>X</v>
      </c>
      <c r="J101" s="30" t="str">
        <f t="shared" si="20"/>
        <v>{ parentCategory=8, category=82, zoneIds={1082}, isArena=true},--Blackrose Prison</v>
      </c>
    </row>
    <row r="102" spans="1:10" x14ac:dyDescent="0.25">
      <c r="A102">
        <v>8</v>
      </c>
      <c r="B102">
        <v>90</v>
      </c>
      <c r="D102" s="2">
        <f>VLOOKUP(E102,'ESO zone constants'!$D$5:$H$10003,5,FALSE)</f>
        <v>1227</v>
      </c>
      <c r="E102" t="s">
        <v>2206</v>
      </c>
      <c r="F102" t="s">
        <v>2357</v>
      </c>
      <c r="G102" t="str">
        <f t="shared" si="17"/>
        <v/>
      </c>
      <c r="H102" t="str">
        <f t="shared" si="18"/>
        <v/>
      </c>
      <c r="I102" t="str">
        <f t="shared" si="19"/>
        <v>X</v>
      </c>
      <c r="J102" s="30" t="str">
        <f t="shared" si="20"/>
        <v>{ parentCategory=8, category=90, zoneIds={1227}, isArena=true},--Vateshran Hollows</v>
      </c>
    </row>
    <row r="103" spans="1:10" x14ac:dyDescent="0.25">
      <c r="A103">
        <v>9</v>
      </c>
      <c r="B103">
        <v>9</v>
      </c>
      <c r="C103" t="str">
        <f>IF(A103=B103,"X","")</f>
        <v>X</v>
      </c>
      <c r="D103" s="98" t="e">
        <f>VLOOKUP(E103,'ESO zone constants'!$D$5:$H$10003,5,FALSE)</f>
        <v>#N/A</v>
      </c>
      <c r="E103" t="s">
        <v>2299</v>
      </c>
      <c r="F103" t="s">
        <v>2299</v>
      </c>
      <c r="G103" t="str">
        <f t="shared" si="17"/>
        <v/>
      </c>
      <c r="H103" t="str">
        <f t="shared" si="18"/>
        <v/>
      </c>
      <c r="I103" t="str">
        <f t="shared" si="19"/>
        <v/>
      </c>
      <c r="J103" s="30" t="str">
        <f t="shared" si="20"/>
        <v>--PVP</v>
      </c>
    </row>
    <row r="104" spans="1:10" x14ac:dyDescent="0.25">
      <c r="A104">
        <v>9</v>
      </c>
      <c r="B104">
        <v>83</v>
      </c>
      <c r="D104" s="2">
        <f>VLOOKUP(E104,'ESO zone constants'!$D$5:$H$10003,5,FALSE)</f>
        <v>181</v>
      </c>
      <c r="E104" t="s">
        <v>125</v>
      </c>
      <c r="F104" t="s">
        <v>125</v>
      </c>
      <c r="G104" t="str">
        <f t="shared" si="17"/>
        <v/>
      </c>
      <c r="H104" t="str">
        <f t="shared" si="18"/>
        <v/>
      </c>
      <c r="I104" t="str">
        <f t="shared" si="19"/>
        <v/>
      </c>
      <c r="J104" s="30" t="str">
        <f t="shared" si="20"/>
        <v>{ parentCategory=9, category=83, zoneIds={181}},--Cyrodiil</v>
      </c>
    </row>
    <row r="105" spans="1:10" x14ac:dyDescent="0.25">
      <c r="A105">
        <v>9</v>
      </c>
      <c r="B105">
        <v>84</v>
      </c>
      <c r="D105" s="2">
        <f>VLOOKUP(E105,'ESO zone constants'!$D$5:$H$10003,5,FALSE)</f>
        <v>584</v>
      </c>
      <c r="E105" t="s">
        <v>39</v>
      </c>
      <c r="F105" t="s">
        <v>2360</v>
      </c>
      <c r="G105" t="str">
        <f t="shared" si="17"/>
        <v/>
      </c>
      <c r="H105" t="str">
        <f t="shared" si="18"/>
        <v/>
      </c>
      <c r="I105" t="str">
        <f t="shared" si="19"/>
        <v/>
      </c>
      <c r="J105" s="30" t="str">
        <f t="shared" si="20"/>
        <v>{ parentCategory=9, category=84, zoneIds={584}},--Imperial City</v>
      </c>
    </row>
    <row r="106" spans="1:10" x14ac:dyDescent="0.25">
      <c r="A106">
        <v>9</v>
      </c>
      <c r="B106">
        <v>85</v>
      </c>
      <c r="E106" t="s">
        <v>2369</v>
      </c>
      <c r="F106" t="s">
        <v>2361</v>
      </c>
      <c r="G106" t="str">
        <f t="shared" si="17"/>
        <v/>
      </c>
      <c r="H106" t="str">
        <f t="shared" si="18"/>
        <v/>
      </c>
      <c r="I106" t="str">
        <f t="shared" si="19"/>
        <v/>
      </c>
      <c r="J106" s="30" t="str">
        <f t="shared" si="20"/>
        <v>{ parentCategory=9, category=85},--Battlegrounds</v>
      </c>
    </row>
    <row r="107" spans="1:10" x14ac:dyDescent="0.25">
      <c r="A107">
        <v>10</v>
      </c>
      <c r="B107">
        <v>10</v>
      </c>
      <c r="C107" t="str">
        <f>IF(A107=B107,"X","")</f>
        <v>X</v>
      </c>
      <c r="D107" s="98" t="e">
        <f>VLOOKUP(E107,'ESO zone constants'!$D$5:$H$10003,5,FALSE)</f>
        <v>#N/A</v>
      </c>
      <c r="E107" t="s">
        <v>2378</v>
      </c>
      <c r="F107" t="s">
        <v>2300</v>
      </c>
      <c r="G107" t="str">
        <f t="shared" si="17"/>
        <v/>
      </c>
      <c r="H107" t="str">
        <f t="shared" si="18"/>
        <v/>
      </c>
      <c r="I107" t="str">
        <f t="shared" si="19"/>
        <v/>
      </c>
      <c r="J107" s="30" t="str">
        <f t="shared" si="20"/>
        <v>--Miscellaneous</v>
      </c>
    </row>
    <row r="108" spans="1:10" x14ac:dyDescent="0.25">
      <c r="A108">
        <v>10</v>
      </c>
      <c r="B108">
        <v>26</v>
      </c>
      <c r="D108" s="2" t="s">
        <v>3618</v>
      </c>
      <c r="E108" t="s">
        <v>2379</v>
      </c>
      <c r="F108" t="s">
        <v>2365</v>
      </c>
      <c r="G108" t="str">
        <f t="shared" si="17"/>
        <v/>
      </c>
      <c r="H108" t="str">
        <f t="shared" si="18"/>
        <v/>
      </c>
      <c r="I108" t="str">
        <f t="shared" si="19"/>
        <v/>
      </c>
      <c r="J108" s="30" t="str">
        <f t="shared" si="20"/>
        <v>{ parentCategory=10, category=26, zoneIds={280,281,534,535,537}},--Beginner zones</v>
      </c>
    </row>
    <row r="109" spans="1:10" x14ac:dyDescent="0.25">
      <c r="A109">
        <v>10</v>
      </c>
      <c r="B109">
        <v>27</v>
      </c>
      <c r="D109" s="2">
        <f>VLOOKUP(E109,'ESO zone constants'!$D$5:$H$10003,5,FALSE)</f>
        <v>347</v>
      </c>
      <c r="E109" t="s">
        <v>239</v>
      </c>
      <c r="F109" t="s">
        <v>2363</v>
      </c>
      <c r="G109" t="str">
        <f t="shared" si="17"/>
        <v/>
      </c>
      <c r="H109" t="str">
        <f t="shared" si="18"/>
        <v/>
      </c>
      <c r="I109" t="str">
        <f t="shared" si="19"/>
        <v/>
      </c>
      <c r="J109" s="30" t="str">
        <f t="shared" si="20"/>
        <v>{ parentCategory=10, category=27, zoneIds={347}},--Coldharbour</v>
      </c>
    </row>
    <row r="110" spans="1:10" x14ac:dyDescent="0.25">
      <c r="A110">
        <v>10</v>
      </c>
      <c r="B110">
        <v>28</v>
      </c>
      <c r="D110" s="2">
        <f>VLOOKUP(E110,'ESO zone constants'!$D$5:$H$10003,5,FALSE)</f>
        <v>888</v>
      </c>
      <c r="E110" t="s">
        <v>563</v>
      </c>
      <c r="F110" t="s">
        <v>2364</v>
      </c>
      <c r="G110" t="str">
        <f t="shared" si="17"/>
        <v/>
      </c>
      <c r="H110" t="str">
        <f t="shared" si="18"/>
        <v/>
      </c>
      <c r="I110" t="str">
        <f t="shared" si="19"/>
        <v/>
      </c>
      <c r="J110" s="30" t="str">
        <f t="shared" si="20"/>
        <v>{ parentCategory=10, category=28, zoneIds={888}},--Craglorn</v>
      </c>
    </row>
    <row r="111" spans="1:10" x14ac:dyDescent="0.25">
      <c r="A111">
        <v>10</v>
      </c>
      <c r="B111">
        <v>86</v>
      </c>
      <c r="E111" t="s">
        <v>1789</v>
      </c>
      <c r="F111" t="s">
        <v>2362</v>
      </c>
      <c r="G111" t="str">
        <f t="shared" si="17"/>
        <v/>
      </c>
      <c r="H111" t="str">
        <f t="shared" si="18"/>
        <v/>
      </c>
      <c r="I111" t="str">
        <f t="shared" si="19"/>
        <v/>
      </c>
      <c r="J111" s="30" t="str">
        <f t="shared" si="20"/>
        <v>{ parentCategory=10, category=86},--Antiquities</v>
      </c>
    </row>
  </sheetData>
  <autoFilter ref="A2:F2" xr:uid="{F87FCCB0-B4BF-449A-9B99-12262D434E94}"/>
  <sortState xmlns:xlrd2="http://schemas.microsoft.com/office/spreadsheetml/2017/richdata2" ref="A3:H111">
    <sortCondition ref="A3:A111"/>
    <sortCondition ref="B3:B111"/>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984"/>
  <sheetViews>
    <sheetView workbookViewId="0">
      <selection activeCell="B1" sqref="B1:J2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4" t="s">
        <v>3921</v>
      </c>
      <c r="B1">
        <v>348</v>
      </c>
      <c r="C1">
        <v>27</v>
      </c>
      <c r="D1" s="45">
        <v>667</v>
      </c>
      <c r="E1" t="s">
        <v>450</v>
      </c>
      <c r="F1">
        <v>380</v>
      </c>
      <c r="G1">
        <v>684</v>
      </c>
      <c r="H1" t="s">
        <v>450</v>
      </c>
      <c r="I1">
        <v>7</v>
      </c>
      <c r="J1" t="s">
        <v>691</v>
      </c>
    </row>
    <row r="2" spans="1:10" ht="15.75" customHeight="1" x14ac:dyDescent="0.25">
      <c r="A2" s="94" t="s">
        <v>3922</v>
      </c>
      <c r="B2">
        <v>565</v>
      </c>
      <c r="C2">
        <v>27</v>
      </c>
      <c r="D2" s="45">
        <v>667</v>
      </c>
      <c r="E2" t="s">
        <v>450</v>
      </c>
      <c r="F2">
        <v>380</v>
      </c>
      <c r="G2">
        <v>684</v>
      </c>
      <c r="H2" t="s">
        <v>450</v>
      </c>
      <c r="I2">
        <v>6</v>
      </c>
      <c r="J2" t="s">
        <v>3917</v>
      </c>
    </row>
    <row r="3" spans="1:10" x14ac:dyDescent="0.25">
      <c r="A3" s="94" t="s">
        <v>3923</v>
      </c>
      <c r="B3">
        <v>457</v>
      </c>
      <c r="C3">
        <v>42</v>
      </c>
      <c r="D3" s="45">
        <v>1814</v>
      </c>
      <c r="E3" t="s">
        <v>2207</v>
      </c>
      <c r="F3">
        <v>784</v>
      </c>
      <c r="G3">
        <v>1207</v>
      </c>
      <c r="H3" t="s">
        <v>2207</v>
      </c>
      <c r="I3">
        <v>0</v>
      </c>
      <c r="J3" t="s">
        <v>2206</v>
      </c>
    </row>
    <row r="4" spans="1:10" x14ac:dyDescent="0.25">
      <c r="A4" s="94" t="s">
        <v>3924</v>
      </c>
      <c r="B4">
        <v>428</v>
      </c>
      <c r="C4">
        <v>27</v>
      </c>
      <c r="D4" s="45">
        <v>667</v>
      </c>
      <c r="E4" t="s">
        <v>450</v>
      </c>
      <c r="F4">
        <v>380</v>
      </c>
      <c r="G4">
        <v>684</v>
      </c>
      <c r="H4" t="s">
        <v>450</v>
      </c>
      <c r="I4">
        <v>7</v>
      </c>
      <c r="J4" t="s">
        <v>1652</v>
      </c>
    </row>
    <row r="5" spans="1:10" x14ac:dyDescent="0.25">
      <c r="A5" s="94" t="s">
        <v>3925</v>
      </c>
      <c r="B5">
        <v>449</v>
      </c>
      <c r="C5">
        <v>42</v>
      </c>
      <c r="D5" s="45">
        <v>1814</v>
      </c>
      <c r="E5" t="s">
        <v>2207</v>
      </c>
      <c r="F5">
        <v>784</v>
      </c>
      <c r="G5">
        <v>1207</v>
      </c>
      <c r="H5" t="s">
        <v>2207</v>
      </c>
      <c r="I5">
        <v>1</v>
      </c>
      <c r="J5" t="s">
        <v>2203</v>
      </c>
    </row>
    <row r="6" spans="1:10" x14ac:dyDescent="0.25">
      <c r="A6" s="94" t="s">
        <v>3926</v>
      </c>
      <c r="B6">
        <v>442</v>
      </c>
      <c r="C6">
        <v>42</v>
      </c>
      <c r="D6" s="45">
        <v>1814</v>
      </c>
      <c r="E6" t="s">
        <v>2207</v>
      </c>
      <c r="F6">
        <v>784</v>
      </c>
      <c r="G6">
        <v>1207</v>
      </c>
      <c r="H6" t="s">
        <v>2207</v>
      </c>
      <c r="I6">
        <v>1</v>
      </c>
      <c r="J6" t="s">
        <v>2196</v>
      </c>
    </row>
    <row r="7" spans="1:10" x14ac:dyDescent="0.25">
      <c r="A7" s="94" t="s">
        <v>3927</v>
      </c>
      <c r="B7">
        <v>424</v>
      </c>
      <c r="C7">
        <v>27</v>
      </c>
      <c r="D7" s="45">
        <v>667</v>
      </c>
      <c r="E7" t="s">
        <v>450</v>
      </c>
      <c r="F7">
        <v>380</v>
      </c>
      <c r="G7">
        <v>684</v>
      </c>
      <c r="H7" t="s">
        <v>450</v>
      </c>
      <c r="I7">
        <v>6</v>
      </c>
      <c r="J7" t="s">
        <v>2131</v>
      </c>
    </row>
    <row r="8" spans="1:10" x14ac:dyDescent="0.25">
      <c r="A8" s="94" t="s">
        <v>3928</v>
      </c>
      <c r="B8">
        <v>441</v>
      </c>
      <c r="C8">
        <v>42</v>
      </c>
      <c r="D8" s="45">
        <v>1814</v>
      </c>
      <c r="E8" t="s">
        <v>2207</v>
      </c>
      <c r="F8">
        <v>784</v>
      </c>
      <c r="G8">
        <v>1207</v>
      </c>
      <c r="H8" t="s">
        <v>2207</v>
      </c>
      <c r="I8">
        <v>1</v>
      </c>
      <c r="J8" t="s">
        <v>2195</v>
      </c>
    </row>
    <row r="9" spans="1:10" x14ac:dyDescent="0.25">
      <c r="A9" s="94" t="s">
        <v>3929</v>
      </c>
      <c r="B9">
        <v>237</v>
      </c>
      <c r="C9">
        <v>27</v>
      </c>
      <c r="D9" s="45">
        <v>667</v>
      </c>
      <c r="E9" t="s">
        <v>450</v>
      </c>
      <c r="F9">
        <v>380</v>
      </c>
      <c r="G9">
        <v>684</v>
      </c>
      <c r="H9" t="s">
        <v>450</v>
      </c>
      <c r="I9">
        <v>1</v>
      </c>
      <c r="J9" t="s">
        <v>2026</v>
      </c>
    </row>
    <row r="10" spans="1:10" x14ac:dyDescent="0.25">
      <c r="A10" s="94" t="s">
        <v>3930</v>
      </c>
      <c r="B10">
        <v>238</v>
      </c>
      <c r="C10">
        <v>27</v>
      </c>
      <c r="D10" s="45">
        <v>667</v>
      </c>
      <c r="E10" t="s">
        <v>450</v>
      </c>
      <c r="F10">
        <v>380</v>
      </c>
      <c r="G10">
        <v>684</v>
      </c>
      <c r="H10" t="s">
        <v>450</v>
      </c>
      <c r="I10">
        <v>1</v>
      </c>
      <c r="J10" t="s">
        <v>2027</v>
      </c>
    </row>
    <row r="11" spans="1:10" x14ac:dyDescent="0.25">
      <c r="A11" s="94" t="s">
        <v>3931</v>
      </c>
      <c r="B11">
        <v>239</v>
      </c>
      <c r="C11">
        <v>27</v>
      </c>
      <c r="D11" s="45">
        <v>667</v>
      </c>
      <c r="E11" t="s">
        <v>450</v>
      </c>
      <c r="F11">
        <v>380</v>
      </c>
      <c r="G11">
        <v>684</v>
      </c>
      <c r="H11" t="s">
        <v>450</v>
      </c>
      <c r="I11">
        <v>1</v>
      </c>
      <c r="J11" t="s">
        <v>2028</v>
      </c>
    </row>
    <row r="12" spans="1:10" x14ac:dyDescent="0.25">
      <c r="A12" s="94" t="s">
        <v>3932</v>
      </c>
      <c r="B12">
        <v>240</v>
      </c>
      <c r="C12">
        <v>27</v>
      </c>
      <c r="D12" s="45">
        <v>667</v>
      </c>
      <c r="E12" t="s">
        <v>450</v>
      </c>
      <c r="F12">
        <v>380</v>
      </c>
      <c r="G12">
        <v>684</v>
      </c>
      <c r="H12" t="s">
        <v>450</v>
      </c>
      <c r="I12">
        <v>1</v>
      </c>
      <c r="J12" t="s">
        <v>2029</v>
      </c>
    </row>
    <row r="13" spans="1:10" x14ac:dyDescent="0.25">
      <c r="A13" s="94" t="s">
        <v>3933</v>
      </c>
      <c r="B13">
        <v>241</v>
      </c>
      <c r="C13">
        <v>27</v>
      </c>
      <c r="D13" s="45">
        <v>667</v>
      </c>
      <c r="E13" t="s">
        <v>450</v>
      </c>
      <c r="F13">
        <v>380</v>
      </c>
      <c r="G13">
        <v>684</v>
      </c>
      <c r="H13" t="s">
        <v>450</v>
      </c>
      <c r="I13">
        <v>1</v>
      </c>
      <c r="J13" t="s">
        <v>2030</v>
      </c>
    </row>
    <row r="14" spans="1:10" x14ac:dyDescent="0.25">
      <c r="A14" s="94" t="s">
        <v>3934</v>
      </c>
      <c r="B14">
        <v>242</v>
      </c>
      <c r="C14">
        <v>27</v>
      </c>
      <c r="D14" s="45">
        <v>667</v>
      </c>
      <c r="E14" t="s">
        <v>450</v>
      </c>
      <c r="F14">
        <v>380</v>
      </c>
      <c r="G14">
        <v>684</v>
      </c>
      <c r="H14" t="s">
        <v>450</v>
      </c>
      <c r="I14">
        <v>1</v>
      </c>
      <c r="J14" t="s">
        <v>2031</v>
      </c>
    </row>
    <row r="15" spans="1:10" x14ac:dyDescent="0.25">
      <c r="A15" s="94" t="s">
        <v>3935</v>
      </c>
      <c r="B15">
        <v>243</v>
      </c>
      <c r="C15">
        <v>27</v>
      </c>
      <c r="D15" s="45">
        <v>667</v>
      </c>
      <c r="E15" t="s">
        <v>450</v>
      </c>
      <c r="F15">
        <v>380</v>
      </c>
      <c r="G15">
        <v>684</v>
      </c>
      <c r="H15" t="s">
        <v>450</v>
      </c>
      <c r="I15">
        <v>1</v>
      </c>
      <c r="J15" t="s">
        <v>2032</v>
      </c>
    </row>
    <row r="16" spans="1:10" x14ac:dyDescent="0.25">
      <c r="A16" s="94" t="s">
        <v>3936</v>
      </c>
      <c r="B16">
        <v>244</v>
      </c>
      <c r="C16">
        <v>27</v>
      </c>
      <c r="D16" s="45">
        <v>667</v>
      </c>
      <c r="E16" t="s">
        <v>450</v>
      </c>
      <c r="F16">
        <v>380</v>
      </c>
      <c r="G16">
        <v>684</v>
      </c>
      <c r="H16" t="s">
        <v>450</v>
      </c>
      <c r="I16">
        <v>1</v>
      </c>
      <c r="J16" t="s">
        <v>2033</v>
      </c>
    </row>
    <row r="17" spans="1:10" x14ac:dyDescent="0.25">
      <c r="A17" s="94" t="s">
        <v>3937</v>
      </c>
      <c r="B17">
        <v>245</v>
      </c>
      <c r="C17">
        <v>27</v>
      </c>
      <c r="D17" s="45">
        <v>667</v>
      </c>
      <c r="E17" t="s">
        <v>450</v>
      </c>
      <c r="F17">
        <v>380</v>
      </c>
      <c r="G17">
        <v>684</v>
      </c>
      <c r="H17" t="s">
        <v>450</v>
      </c>
      <c r="I17">
        <v>1</v>
      </c>
      <c r="J17" t="s">
        <v>2034</v>
      </c>
    </row>
    <row r="18" spans="1:10" x14ac:dyDescent="0.25">
      <c r="A18" s="94" t="s">
        <v>3938</v>
      </c>
      <c r="B18">
        <v>246</v>
      </c>
      <c r="C18">
        <v>27</v>
      </c>
      <c r="D18" s="45">
        <v>667</v>
      </c>
      <c r="E18" t="s">
        <v>450</v>
      </c>
      <c r="F18">
        <v>380</v>
      </c>
      <c r="G18">
        <v>684</v>
      </c>
      <c r="H18" t="s">
        <v>450</v>
      </c>
      <c r="I18">
        <v>1</v>
      </c>
      <c r="J18" t="s">
        <v>2035</v>
      </c>
    </row>
    <row r="19" spans="1:10" x14ac:dyDescent="0.25">
      <c r="A19" s="94" t="s">
        <v>3939</v>
      </c>
      <c r="B19">
        <v>456</v>
      </c>
      <c r="C19">
        <v>42</v>
      </c>
      <c r="D19" s="45">
        <v>1814</v>
      </c>
      <c r="E19" t="s">
        <v>2207</v>
      </c>
      <c r="F19">
        <v>784</v>
      </c>
      <c r="G19">
        <v>1207</v>
      </c>
      <c r="H19" t="s">
        <v>2207</v>
      </c>
      <c r="I19">
        <v>7</v>
      </c>
      <c r="J19" t="s">
        <v>2205</v>
      </c>
    </row>
    <row r="20" spans="1:10" x14ac:dyDescent="0.25">
      <c r="A20" s="94" t="s">
        <v>3940</v>
      </c>
      <c r="B20">
        <v>556</v>
      </c>
      <c r="C20">
        <v>42</v>
      </c>
      <c r="D20" s="45">
        <v>1814</v>
      </c>
      <c r="E20" t="s">
        <v>2207</v>
      </c>
      <c r="F20">
        <v>784</v>
      </c>
      <c r="G20">
        <v>1207</v>
      </c>
      <c r="H20" t="s">
        <v>2207</v>
      </c>
      <c r="I20">
        <v>6</v>
      </c>
      <c r="J20" t="s">
        <v>3916</v>
      </c>
    </row>
    <row r="21" spans="1:10" x14ac:dyDescent="0.25">
      <c r="A21" s="94" t="s">
        <v>3941</v>
      </c>
      <c r="B21">
        <v>249</v>
      </c>
      <c r="C21">
        <v>27</v>
      </c>
      <c r="D21" s="45">
        <v>667</v>
      </c>
      <c r="E21" t="s">
        <v>450</v>
      </c>
      <c r="F21">
        <v>380</v>
      </c>
      <c r="G21">
        <v>684</v>
      </c>
      <c r="H21" t="s">
        <v>450</v>
      </c>
      <c r="I21">
        <v>0</v>
      </c>
      <c r="J21" t="s">
        <v>449</v>
      </c>
    </row>
    <row r="22" spans="1:10" x14ac:dyDescent="0.25">
      <c r="A22" s="94" t="s">
        <v>3942</v>
      </c>
      <c r="B22">
        <v>250</v>
      </c>
      <c r="C22">
        <v>27</v>
      </c>
      <c r="D22" s="45">
        <v>667</v>
      </c>
      <c r="E22" t="s">
        <v>450</v>
      </c>
      <c r="F22">
        <v>380</v>
      </c>
      <c r="G22">
        <v>684</v>
      </c>
      <c r="H22" t="s">
        <v>450</v>
      </c>
      <c r="I22">
        <v>0</v>
      </c>
      <c r="J22" t="s">
        <v>449</v>
      </c>
    </row>
    <row r="23" spans="1:10" x14ac:dyDescent="0.25">
      <c r="A23" s="94" t="s">
        <v>3943</v>
      </c>
      <c r="B23">
        <v>443</v>
      </c>
      <c r="C23">
        <v>42</v>
      </c>
      <c r="D23" s="45">
        <v>1814</v>
      </c>
      <c r="E23" t="s">
        <v>2207</v>
      </c>
      <c r="F23">
        <v>784</v>
      </c>
      <c r="G23">
        <v>1207</v>
      </c>
      <c r="H23" t="s">
        <v>2207</v>
      </c>
      <c r="I23">
        <v>1</v>
      </c>
      <c r="J23" t="s">
        <v>2197</v>
      </c>
    </row>
    <row r="24" spans="1:10" x14ac:dyDescent="0.25">
      <c r="A24" s="94" t="s">
        <v>3944</v>
      </c>
      <c r="B24">
        <v>444</v>
      </c>
      <c r="C24">
        <v>42</v>
      </c>
      <c r="D24" s="45">
        <v>1814</v>
      </c>
      <c r="E24" t="s">
        <v>2207</v>
      </c>
      <c r="F24">
        <v>784</v>
      </c>
      <c r="G24">
        <v>1207</v>
      </c>
      <c r="H24" t="s">
        <v>2207</v>
      </c>
      <c r="I24">
        <v>1</v>
      </c>
      <c r="J24" t="s">
        <v>2198</v>
      </c>
    </row>
    <row r="25" spans="1:10" x14ac:dyDescent="0.25">
      <c r="A25" s="94" t="s">
        <v>3945</v>
      </c>
      <c r="B25">
        <v>445</v>
      </c>
      <c r="C25">
        <v>42</v>
      </c>
      <c r="D25" s="45">
        <v>1814</v>
      </c>
      <c r="E25" t="s">
        <v>2207</v>
      </c>
      <c r="F25">
        <v>784</v>
      </c>
      <c r="G25">
        <v>1207</v>
      </c>
      <c r="H25" t="s">
        <v>2207</v>
      </c>
      <c r="I25">
        <v>1</v>
      </c>
      <c r="J25" t="s">
        <v>2199</v>
      </c>
    </row>
    <row r="26" spans="1:10" x14ac:dyDescent="0.25">
      <c r="A26" s="94" t="s">
        <v>3946</v>
      </c>
      <c r="B26">
        <v>447</v>
      </c>
      <c r="C26">
        <v>42</v>
      </c>
      <c r="D26" s="45">
        <v>1814</v>
      </c>
      <c r="E26" t="s">
        <v>2207</v>
      </c>
      <c r="F26">
        <v>784</v>
      </c>
      <c r="G26">
        <v>1207</v>
      </c>
      <c r="H26" t="s">
        <v>2207</v>
      </c>
      <c r="I26">
        <v>1</v>
      </c>
      <c r="J26" t="s">
        <v>2201</v>
      </c>
    </row>
    <row r="27" spans="1:10" x14ac:dyDescent="0.25">
      <c r="A27" s="94"/>
    </row>
    <row r="28" spans="1:10" x14ac:dyDescent="0.25">
      <c r="A28" s="94"/>
    </row>
    <row r="29" spans="1:10" x14ac:dyDescent="0.25">
      <c r="A29" s="94"/>
    </row>
    <row r="30" spans="1:10" x14ac:dyDescent="0.25">
      <c r="A30" s="94"/>
    </row>
    <row r="31" spans="1:10" x14ac:dyDescent="0.25">
      <c r="A31" s="94"/>
    </row>
    <row r="32" spans="1:10" x14ac:dyDescent="0.25">
      <c r="A32" s="94"/>
    </row>
    <row r="33" spans="1:1" x14ac:dyDescent="0.25">
      <c r="A33" s="94"/>
    </row>
    <row r="34" spans="1:1" x14ac:dyDescent="0.25">
      <c r="A34" s="94"/>
    </row>
    <row r="35" spans="1:1" x14ac:dyDescent="0.25">
      <c r="A35" s="94"/>
    </row>
    <row r="36" spans="1:1" x14ac:dyDescent="0.25">
      <c r="A36" s="94"/>
    </row>
    <row r="37" spans="1:1" x14ac:dyDescent="0.25">
      <c r="A37" s="94"/>
    </row>
    <row r="38" spans="1:1" x14ac:dyDescent="0.25">
      <c r="A38" s="94"/>
    </row>
    <row r="39" spans="1:1" x14ac:dyDescent="0.25">
      <c r="A39" s="94"/>
    </row>
    <row r="40" spans="1:1" x14ac:dyDescent="0.25">
      <c r="A40" s="94"/>
    </row>
    <row r="41" spans="1:1" x14ac:dyDescent="0.25">
      <c r="A41" s="94"/>
    </row>
    <row r="42" spans="1:1" x14ac:dyDescent="0.25">
      <c r="A42" s="94"/>
    </row>
    <row r="43" spans="1:1" x14ac:dyDescent="0.25">
      <c r="A43" s="94"/>
    </row>
    <row r="44" spans="1:1" x14ac:dyDescent="0.25">
      <c r="A44" s="94"/>
    </row>
    <row r="45" spans="1:1" x14ac:dyDescent="0.25">
      <c r="A45" s="94"/>
    </row>
    <row r="46" spans="1:1" x14ac:dyDescent="0.25">
      <c r="A46" s="94"/>
    </row>
    <row r="47" spans="1:1" x14ac:dyDescent="0.25">
      <c r="A47" s="94"/>
    </row>
    <row r="48" spans="1:1" x14ac:dyDescent="0.25">
      <c r="A48" s="94"/>
    </row>
    <row r="49" spans="1:1" x14ac:dyDescent="0.25">
      <c r="A49" s="94"/>
    </row>
    <row r="50" spans="1:1" x14ac:dyDescent="0.25">
      <c r="A50" s="94"/>
    </row>
    <row r="51" spans="1:1" x14ac:dyDescent="0.25">
      <c r="A51" s="94"/>
    </row>
    <row r="52" spans="1:1" x14ac:dyDescent="0.25">
      <c r="A52" s="94"/>
    </row>
    <row r="53" spans="1:1" x14ac:dyDescent="0.25">
      <c r="A53" s="94"/>
    </row>
    <row r="54" spans="1:1" x14ac:dyDescent="0.25">
      <c r="A54" s="94"/>
    </row>
    <row r="55" spans="1:1" x14ac:dyDescent="0.25">
      <c r="A55" s="94"/>
    </row>
    <row r="56" spans="1:1" x14ac:dyDescent="0.25">
      <c r="A56" s="94"/>
    </row>
    <row r="57" spans="1:1" x14ac:dyDescent="0.25">
      <c r="A57" s="94"/>
    </row>
    <row r="58" spans="1:1" x14ac:dyDescent="0.25">
      <c r="A58" s="94"/>
    </row>
    <row r="59" spans="1:1" x14ac:dyDescent="0.25">
      <c r="A59" s="94"/>
    </row>
    <row r="60" spans="1:1" x14ac:dyDescent="0.25">
      <c r="A60" s="94"/>
    </row>
    <row r="61" spans="1:1" x14ac:dyDescent="0.25">
      <c r="A61" s="94"/>
    </row>
    <row r="62" spans="1:1" x14ac:dyDescent="0.25">
      <c r="A62" s="94"/>
    </row>
    <row r="63" spans="1:1" x14ac:dyDescent="0.25">
      <c r="A63" s="94"/>
    </row>
    <row r="64" spans="1:1" x14ac:dyDescent="0.25">
      <c r="A64" s="94"/>
    </row>
    <row r="65" spans="1:1" x14ac:dyDescent="0.25">
      <c r="A65" s="94"/>
    </row>
    <row r="66" spans="1:1" x14ac:dyDescent="0.25">
      <c r="A66" s="94"/>
    </row>
    <row r="67" spans="1:1" x14ac:dyDescent="0.25">
      <c r="A67" s="94"/>
    </row>
    <row r="68" spans="1:1" x14ac:dyDescent="0.25">
      <c r="A68" s="94"/>
    </row>
    <row r="69" spans="1:1" x14ac:dyDescent="0.25">
      <c r="A69" s="94"/>
    </row>
    <row r="70" spans="1:1" x14ac:dyDescent="0.25">
      <c r="A70" s="94"/>
    </row>
    <row r="71" spans="1:1" x14ac:dyDescent="0.25">
      <c r="A71" s="94"/>
    </row>
    <row r="72" spans="1:1" x14ac:dyDescent="0.25">
      <c r="A72" s="94"/>
    </row>
    <row r="73" spans="1:1" x14ac:dyDescent="0.25">
      <c r="A73" s="94"/>
    </row>
    <row r="74" spans="1:1" x14ac:dyDescent="0.25">
      <c r="A74" s="94"/>
    </row>
    <row r="75" spans="1:1" x14ac:dyDescent="0.25">
      <c r="A75" s="94"/>
    </row>
    <row r="76" spans="1:1" x14ac:dyDescent="0.25">
      <c r="A76" s="94"/>
    </row>
    <row r="77" spans="1:1" x14ac:dyDescent="0.25">
      <c r="A77" s="94"/>
    </row>
    <row r="78" spans="1:1" x14ac:dyDescent="0.25">
      <c r="A78" s="94"/>
    </row>
    <row r="79" spans="1:1" x14ac:dyDescent="0.25">
      <c r="A79" s="94"/>
    </row>
    <row r="80" spans="1:1" x14ac:dyDescent="0.25">
      <c r="A80" s="94"/>
    </row>
    <row r="81" spans="1:1" x14ac:dyDescent="0.25">
      <c r="A81" s="94"/>
    </row>
    <row r="82" spans="1:1" x14ac:dyDescent="0.25">
      <c r="A82" s="94"/>
    </row>
    <row r="83" spans="1:1" x14ac:dyDescent="0.25">
      <c r="A83" s="94"/>
    </row>
    <row r="84" spans="1:1" x14ac:dyDescent="0.25">
      <c r="A84" s="94"/>
    </row>
    <row r="85" spans="1:1" x14ac:dyDescent="0.25">
      <c r="A85" s="94"/>
    </row>
    <row r="86" spans="1:1" x14ac:dyDescent="0.25">
      <c r="A86" s="94"/>
    </row>
    <row r="87" spans="1:1" x14ac:dyDescent="0.25">
      <c r="A87" s="94"/>
    </row>
    <row r="88" spans="1:1" x14ac:dyDescent="0.25">
      <c r="A88" s="94"/>
    </row>
    <row r="89" spans="1:1" x14ac:dyDescent="0.25">
      <c r="A89" s="94"/>
    </row>
    <row r="90" spans="1:1" x14ac:dyDescent="0.25">
      <c r="A90" s="94"/>
    </row>
    <row r="91" spans="1:1" x14ac:dyDescent="0.25">
      <c r="A91" s="94"/>
    </row>
    <row r="92" spans="1:1" x14ac:dyDescent="0.25">
      <c r="A92" s="94"/>
    </row>
    <row r="93" spans="1:1" x14ac:dyDescent="0.25">
      <c r="A93" s="94"/>
    </row>
    <row r="94" spans="1:1" x14ac:dyDescent="0.25">
      <c r="A94" s="94"/>
    </row>
    <row r="95" spans="1:1" x14ac:dyDescent="0.25">
      <c r="A95" s="94"/>
    </row>
    <row r="96" spans="1:1" x14ac:dyDescent="0.25">
      <c r="A96" s="94"/>
    </row>
    <row r="97" spans="1:1" x14ac:dyDescent="0.25">
      <c r="A97" s="94"/>
    </row>
    <row r="98" spans="1:1" x14ac:dyDescent="0.25">
      <c r="A98" s="94"/>
    </row>
    <row r="99" spans="1:1" x14ac:dyDescent="0.25">
      <c r="A99" s="94"/>
    </row>
    <row r="100" spans="1:1" x14ac:dyDescent="0.25">
      <c r="A100" s="94"/>
    </row>
    <row r="101" spans="1:1" x14ac:dyDescent="0.25">
      <c r="A101" s="94"/>
    </row>
    <row r="102" spans="1:1" x14ac:dyDescent="0.25">
      <c r="A102" s="94"/>
    </row>
    <row r="103" spans="1:1" x14ac:dyDescent="0.25">
      <c r="A103" s="94"/>
    </row>
    <row r="104" spans="1:1" x14ac:dyDescent="0.25">
      <c r="A104" s="94"/>
    </row>
    <row r="105" spans="1:1" x14ac:dyDescent="0.25">
      <c r="A105" s="94"/>
    </row>
    <row r="106" spans="1:1" x14ac:dyDescent="0.25">
      <c r="A106" s="94"/>
    </row>
    <row r="107" spans="1:1" x14ac:dyDescent="0.25">
      <c r="A107" s="94"/>
    </row>
    <row r="108" spans="1:1" x14ac:dyDescent="0.25">
      <c r="A108" s="94"/>
    </row>
    <row r="109" spans="1:1" x14ac:dyDescent="0.25">
      <c r="A109" s="94"/>
    </row>
    <row r="110" spans="1:1" x14ac:dyDescent="0.25">
      <c r="A110" s="94"/>
    </row>
    <row r="111" spans="1:1" x14ac:dyDescent="0.25">
      <c r="A111" s="94"/>
    </row>
    <row r="112" spans="1:1" x14ac:dyDescent="0.25">
      <c r="A112" s="94"/>
    </row>
    <row r="113" spans="1:1" x14ac:dyDescent="0.25">
      <c r="A113" s="94"/>
    </row>
    <row r="114" spans="1:1" x14ac:dyDescent="0.25">
      <c r="A114" s="94"/>
    </row>
    <row r="115" spans="1:1" x14ac:dyDescent="0.25">
      <c r="A115" s="94"/>
    </row>
    <row r="116" spans="1:1" x14ac:dyDescent="0.25">
      <c r="A116" s="94"/>
    </row>
    <row r="117" spans="1:1" x14ac:dyDescent="0.25">
      <c r="A117" s="94"/>
    </row>
    <row r="118" spans="1:1" x14ac:dyDescent="0.25">
      <c r="A118" s="94"/>
    </row>
    <row r="119" spans="1:1" x14ac:dyDescent="0.25">
      <c r="A119" s="94"/>
    </row>
    <row r="120" spans="1:1" x14ac:dyDescent="0.25">
      <c r="A120" s="94"/>
    </row>
    <row r="121" spans="1:1" x14ac:dyDescent="0.25">
      <c r="A121" s="94"/>
    </row>
    <row r="122" spans="1:1" x14ac:dyDescent="0.25">
      <c r="A122" s="94"/>
    </row>
    <row r="123" spans="1:1" x14ac:dyDescent="0.25">
      <c r="A123" s="94"/>
    </row>
    <row r="124" spans="1:1" x14ac:dyDescent="0.25">
      <c r="A124" s="94"/>
    </row>
    <row r="125" spans="1:1" x14ac:dyDescent="0.25">
      <c r="A125" s="94"/>
    </row>
    <row r="126" spans="1:1" x14ac:dyDescent="0.25">
      <c r="A126" s="94"/>
    </row>
    <row r="127" spans="1:1" x14ac:dyDescent="0.25">
      <c r="A127" s="94"/>
    </row>
    <row r="128" spans="1:1" x14ac:dyDescent="0.25">
      <c r="A128" s="94"/>
    </row>
    <row r="129" spans="1:1" x14ac:dyDescent="0.25">
      <c r="A129" s="94"/>
    </row>
    <row r="130" spans="1:1" x14ac:dyDescent="0.25">
      <c r="A130" s="94"/>
    </row>
    <row r="131" spans="1:1" x14ac:dyDescent="0.25">
      <c r="A131" s="94"/>
    </row>
    <row r="132" spans="1:1" x14ac:dyDescent="0.25">
      <c r="A132" s="94"/>
    </row>
    <row r="133" spans="1:1" x14ac:dyDescent="0.25">
      <c r="A133" s="94"/>
    </row>
    <row r="134" spans="1:1" x14ac:dyDescent="0.25">
      <c r="A134" s="94"/>
    </row>
    <row r="135" spans="1:1" x14ac:dyDescent="0.25">
      <c r="A135" s="94"/>
    </row>
    <row r="136" spans="1:1" x14ac:dyDescent="0.25">
      <c r="A136" s="94"/>
    </row>
    <row r="137" spans="1:1" x14ac:dyDescent="0.25">
      <c r="A137" s="94"/>
    </row>
    <row r="138" spans="1:1" x14ac:dyDescent="0.25">
      <c r="A138" s="94"/>
    </row>
    <row r="139" spans="1:1" x14ac:dyDescent="0.25">
      <c r="A139" s="94"/>
    </row>
    <row r="140" spans="1:1" x14ac:dyDescent="0.25">
      <c r="A140" s="94"/>
    </row>
    <row r="141" spans="1:1" x14ac:dyDescent="0.25">
      <c r="A141" s="94"/>
    </row>
    <row r="142" spans="1:1" x14ac:dyDescent="0.25">
      <c r="A142" s="94"/>
    </row>
    <row r="143" spans="1:1" x14ac:dyDescent="0.25">
      <c r="A143" s="94"/>
    </row>
    <row r="144" spans="1:1" x14ac:dyDescent="0.25">
      <c r="A144" s="94"/>
    </row>
    <row r="145" spans="1:1" x14ac:dyDescent="0.25">
      <c r="A145" s="94"/>
    </row>
    <row r="146" spans="1:1" x14ac:dyDescent="0.25">
      <c r="A146" s="94"/>
    </row>
    <row r="147" spans="1:1" x14ac:dyDescent="0.25">
      <c r="A147" s="94"/>
    </row>
    <row r="148" spans="1:1" x14ac:dyDescent="0.25">
      <c r="A148" s="94"/>
    </row>
    <row r="149" spans="1:1" x14ac:dyDescent="0.25">
      <c r="A149" s="94"/>
    </row>
    <row r="150" spans="1:1" x14ac:dyDescent="0.25">
      <c r="A150" s="94"/>
    </row>
    <row r="151" spans="1:1" x14ac:dyDescent="0.25">
      <c r="A151" s="94"/>
    </row>
    <row r="152" spans="1:1" x14ac:dyDescent="0.25">
      <c r="A152" s="94"/>
    </row>
    <row r="153" spans="1:1" x14ac:dyDescent="0.25">
      <c r="A153" s="94"/>
    </row>
    <row r="154" spans="1:1" x14ac:dyDescent="0.25">
      <c r="A154" s="94"/>
    </row>
    <row r="155" spans="1:1" x14ac:dyDescent="0.25">
      <c r="A155" s="94"/>
    </row>
    <row r="156" spans="1:1" x14ac:dyDescent="0.25">
      <c r="A156" s="94"/>
    </row>
    <row r="157" spans="1:1" x14ac:dyDescent="0.25">
      <c r="A157" s="94"/>
    </row>
    <row r="158" spans="1:1" x14ac:dyDescent="0.25">
      <c r="A158" s="94"/>
    </row>
    <row r="159" spans="1:1" x14ac:dyDescent="0.25">
      <c r="A159" s="94"/>
    </row>
    <row r="160" spans="1:1" x14ac:dyDescent="0.25">
      <c r="A160" s="94"/>
    </row>
    <row r="161" spans="1:1" x14ac:dyDescent="0.25">
      <c r="A161" s="94"/>
    </row>
    <row r="162" spans="1:1" x14ac:dyDescent="0.25">
      <c r="A162" s="94"/>
    </row>
    <row r="163" spans="1:1" x14ac:dyDescent="0.25">
      <c r="A163" s="94"/>
    </row>
    <row r="164" spans="1:1" x14ac:dyDescent="0.25">
      <c r="A164" s="94"/>
    </row>
    <row r="165" spans="1:1" x14ac:dyDescent="0.25">
      <c r="A165" s="94"/>
    </row>
    <row r="166" spans="1:1" x14ac:dyDescent="0.25">
      <c r="A166" s="94"/>
    </row>
    <row r="167" spans="1:1" x14ac:dyDescent="0.25">
      <c r="A167" s="94"/>
    </row>
    <row r="168" spans="1:1" x14ac:dyDescent="0.25">
      <c r="A168" s="94"/>
    </row>
    <row r="169" spans="1:1" x14ac:dyDescent="0.25">
      <c r="A169" s="94"/>
    </row>
    <row r="170" spans="1:1" x14ac:dyDescent="0.25">
      <c r="A170" s="94"/>
    </row>
    <row r="171" spans="1:1" x14ac:dyDescent="0.25">
      <c r="A171" s="94"/>
    </row>
    <row r="172" spans="1:1" x14ac:dyDescent="0.25">
      <c r="A172" s="94"/>
    </row>
    <row r="173" spans="1:1" x14ac:dyDescent="0.25">
      <c r="A173" s="94"/>
    </row>
    <row r="174" spans="1:1" x14ac:dyDescent="0.25">
      <c r="A174" s="94"/>
    </row>
    <row r="175" spans="1:1" x14ac:dyDescent="0.25">
      <c r="A175" s="94"/>
    </row>
    <row r="176" spans="1:1" x14ac:dyDescent="0.25">
      <c r="A176" s="94"/>
    </row>
    <row r="177" spans="1:1" x14ac:dyDescent="0.25">
      <c r="A177" s="94"/>
    </row>
    <row r="178" spans="1:1" x14ac:dyDescent="0.25">
      <c r="A178" s="94"/>
    </row>
    <row r="179" spans="1:1" x14ac:dyDescent="0.25">
      <c r="A179" s="94"/>
    </row>
    <row r="180" spans="1:1" x14ac:dyDescent="0.25">
      <c r="A180" s="94"/>
    </row>
    <row r="181" spans="1:1" x14ac:dyDescent="0.25">
      <c r="A181" s="94"/>
    </row>
    <row r="182" spans="1:1" x14ac:dyDescent="0.25">
      <c r="A182" s="94"/>
    </row>
    <row r="183" spans="1:1" x14ac:dyDescent="0.25">
      <c r="A183" s="94"/>
    </row>
    <row r="184" spans="1:1" x14ac:dyDescent="0.25">
      <c r="A184" s="94"/>
    </row>
    <row r="185" spans="1:1" x14ac:dyDescent="0.25">
      <c r="A185" s="94"/>
    </row>
    <row r="186" spans="1:1" x14ac:dyDescent="0.25">
      <c r="A186" s="94"/>
    </row>
    <row r="187" spans="1:1" x14ac:dyDescent="0.25">
      <c r="A187" s="94"/>
    </row>
    <row r="188" spans="1:1" x14ac:dyDescent="0.25">
      <c r="A188" s="94"/>
    </row>
    <row r="189" spans="1:1" x14ac:dyDescent="0.25">
      <c r="A189" s="94"/>
    </row>
    <row r="190" spans="1:1" x14ac:dyDescent="0.25">
      <c r="A190" s="94"/>
    </row>
    <row r="191" spans="1:1" x14ac:dyDescent="0.25">
      <c r="A191" s="94"/>
    </row>
    <row r="192" spans="1:1" x14ac:dyDescent="0.25">
      <c r="A192" s="94"/>
    </row>
    <row r="193" spans="1:1" x14ac:dyDescent="0.25">
      <c r="A193" s="94"/>
    </row>
    <row r="194" spans="1:1" x14ac:dyDescent="0.25">
      <c r="A194" s="94"/>
    </row>
    <row r="195" spans="1:1" x14ac:dyDescent="0.25">
      <c r="A195" s="94"/>
    </row>
    <row r="196" spans="1:1" x14ac:dyDescent="0.25">
      <c r="A196" s="94"/>
    </row>
    <row r="197" spans="1:1" x14ac:dyDescent="0.25">
      <c r="A197" s="94"/>
    </row>
    <row r="198" spans="1:1" x14ac:dyDescent="0.25">
      <c r="A198" s="94"/>
    </row>
    <row r="199" spans="1:1" x14ac:dyDescent="0.25">
      <c r="A199" s="94"/>
    </row>
    <row r="200" spans="1:1" x14ac:dyDescent="0.25">
      <c r="A200" s="94"/>
    </row>
    <row r="201" spans="1:1" x14ac:dyDescent="0.25">
      <c r="A201" s="94"/>
    </row>
    <row r="202" spans="1:1" x14ac:dyDescent="0.25">
      <c r="A202" s="94"/>
    </row>
    <row r="203" spans="1:1" x14ac:dyDescent="0.25">
      <c r="A203" s="94"/>
    </row>
    <row r="204" spans="1:1" x14ac:dyDescent="0.25">
      <c r="A204" s="94"/>
    </row>
    <row r="205" spans="1:1" x14ac:dyDescent="0.25">
      <c r="A205" s="94"/>
    </row>
    <row r="206" spans="1:1" x14ac:dyDescent="0.25">
      <c r="A206" s="94"/>
    </row>
    <row r="207" spans="1:1" x14ac:dyDescent="0.25">
      <c r="A207" s="94"/>
    </row>
    <row r="208" spans="1:1" x14ac:dyDescent="0.25">
      <c r="A208" s="94"/>
    </row>
    <row r="209" spans="1:1" x14ac:dyDescent="0.25">
      <c r="A209" s="94"/>
    </row>
    <row r="210" spans="1:1" x14ac:dyDescent="0.25">
      <c r="A210" s="94"/>
    </row>
    <row r="211" spans="1:1" x14ac:dyDescent="0.25">
      <c r="A211" s="94"/>
    </row>
    <row r="212" spans="1:1" x14ac:dyDescent="0.25">
      <c r="A212" s="94"/>
    </row>
    <row r="213" spans="1:1" x14ac:dyDescent="0.25">
      <c r="A213" s="94"/>
    </row>
    <row r="214" spans="1:1" x14ac:dyDescent="0.25">
      <c r="A214" s="94"/>
    </row>
    <row r="215" spans="1:1" x14ac:dyDescent="0.25">
      <c r="A215" s="94"/>
    </row>
    <row r="216" spans="1:1" x14ac:dyDescent="0.25">
      <c r="A216" s="94"/>
    </row>
    <row r="217" spans="1:1" x14ac:dyDescent="0.25">
      <c r="A217" s="94"/>
    </row>
    <row r="218" spans="1:1" x14ac:dyDescent="0.25">
      <c r="A218" s="94"/>
    </row>
    <row r="219" spans="1:1" x14ac:dyDescent="0.25">
      <c r="A219" s="94"/>
    </row>
    <row r="220" spans="1:1" x14ac:dyDescent="0.25">
      <c r="A220" s="94"/>
    </row>
    <row r="221" spans="1:1" x14ac:dyDescent="0.25">
      <c r="A221" s="94"/>
    </row>
    <row r="222" spans="1:1" x14ac:dyDescent="0.25">
      <c r="A222" s="94"/>
    </row>
    <row r="223" spans="1:1" x14ac:dyDescent="0.25">
      <c r="A223" s="94"/>
    </row>
    <row r="224" spans="1:1" x14ac:dyDescent="0.25">
      <c r="A224" s="94"/>
    </row>
    <row r="225" spans="1:1" x14ac:dyDescent="0.25">
      <c r="A225" s="94"/>
    </row>
    <row r="226" spans="1:1" x14ac:dyDescent="0.25">
      <c r="A226" s="94"/>
    </row>
    <row r="227" spans="1:1" x14ac:dyDescent="0.25">
      <c r="A227" s="94"/>
    </row>
    <row r="228" spans="1:1" x14ac:dyDescent="0.25">
      <c r="A228" s="94"/>
    </row>
    <row r="229" spans="1:1" x14ac:dyDescent="0.25">
      <c r="A229" s="94"/>
    </row>
    <row r="230" spans="1:1" x14ac:dyDescent="0.25">
      <c r="A230" s="94"/>
    </row>
    <row r="231" spans="1:1" x14ac:dyDescent="0.25">
      <c r="A231" s="94"/>
    </row>
    <row r="232" spans="1:1" x14ac:dyDescent="0.25">
      <c r="A232" s="94"/>
    </row>
    <row r="233" spans="1:1" x14ac:dyDescent="0.25">
      <c r="A233" s="94"/>
    </row>
    <row r="234" spans="1:1" x14ac:dyDescent="0.25">
      <c r="A234" s="94"/>
    </row>
    <row r="235" spans="1:1" x14ac:dyDescent="0.25">
      <c r="A235" s="94"/>
    </row>
    <row r="236" spans="1:1" x14ac:dyDescent="0.25">
      <c r="A236" s="94"/>
    </row>
    <row r="237" spans="1:1" x14ac:dyDescent="0.25">
      <c r="A237" s="94"/>
    </row>
    <row r="238" spans="1:1" x14ac:dyDescent="0.25">
      <c r="A238" s="94"/>
    </row>
    <row r="239" spans="1:1" x14ac:dyDescent="0.25">
      <c r="A239" s="94"/>
    </row>
    <row r="240" spans="1:1" x14ac:dyDescent="0.25">
      <c r="A240" s="94"/>
    </row>
    <row r="241" spans="1:1" x14ac:dyDescent="0.25">
      <c r="A241" s="94"/>
    </row>
    <row r="242" spans="1:1" x14ac:dyDescent="0.25">
      <c r="A242" s="94"/>
    </row>
    <row r="243" spans="1:1" x14ac:dyDescent="0.25">
      <c r="A243" s="94"/>
    </row>
    <row r="244" spans="1:1" x14ac:dyDescent="0.25">
      <c r="A244" s="94"/>
    </row>
    <row r="245" spans="1:1" x14ac:dyDescent="0.25">
      <c r="A245" s="94"/>
    </row>
    <row r="246" spans="1:1" x14ac:dyDescent="0.25">
      <c r="A246" s="94"/>
    </row>
    <row r="247" spans="1:1" x14ac:dyDescent="0.25">
      <c r="A247" s="94"/>
    </row>
    <row r="248" spans="1:1" x14ac:dyDescent="0.25">
      <c r="A248" s="94"/>
    </row>
    <row r="249" spans="1:1" x14ac:dyDescent="0.25">
      <c r="A249" s="94"/>
    </row>
    <row r="250" spans="1:1" x14ac:dyDescent="0.25">
      <c r="A250" s="94"/>
    </row>
    <row r="251" spans="1:1" x14ac:dyDescent="0.25">
      <c r="A251" s="94"/>
    </row>
    <row r="252" spans="1:1" x14ac:dyDescent="0.25">
      <c r="A252" s="94"/>
    </row>
    <row r="253" spans="1:1" x14ac:dyDescent="0.25">
      <c r="A253" s="94"/>
    </row>
    <row r="254" spans="1:1" x14ac:dyDescent="0.25">
      <c r="A254" s="94"/>
    </row>
    <row r="255" spans="1:1" x14ac:dyDescent="0.25">
      <c r="A255" s="94"/>
    </row>
    <row r="256" spans="1:1" x14ac:dyDescent="0.25">
      <c r="A256" s="94"/>
    </row>
    <row r="257" spans="1:1" x14ac:dyDescent="0.25">
      <c r="A257" s="94"/>
    </row>
    <row r="258" spans="1:1" x14ac:dyDescent="0.25">
      <c r="A258" s="94"/>
    </row>
    <row r="259" spans="1:1" x14ac:dyDescent="0.25">
      <c r="A259" s="94"/>
    </row>
    <row r="260" spans="1:1" x14ac:dyDescent="0.25">
      <c r="A260" s="94"/>
    </row>
    <row r="261" spans="1:1" x14ac:dyDescent="0.25">
      <c r="A261" s="94"/>
    </row>
    <row r="262" spans="1:1" x14ac:dyDescent="0.25">
      <c r="A262" s="94"/>
    </row>
    <row r="263" spans="1:1" x14ac:dyDescent="0.25">
      <c r="A263" s="94"/>
    </row>
    <row r="264" spans="1:1" x14ac:dyDescent="0.25">
      <c r="A264" s="94"/>
    </row>
    <row r="265" spans="1:1" x14ac:dyDescent="0.25">
      <c r="A265" s="94"/>
    </row>
    <row r="266" spans="1:1" x14ac:dyDescent="0.25">
      <c r="A266" s="94"/>
    </row>
    <row r="267" spans="1:1" x14ac:dyDescent="0.25">
      <c r="A267" s="94"/>
    </row>
    <row r="268" spans="1:1" x14ac:dyDescent="0.25">
      <c r="A268" s="94"/>
    </row>
    <row r="269" spans="1:1" x14ac:dyDescent="0.25">
      <c r="A269" s="94"/>
    </row>
    <row r="270" spans="1:1" x14ac:dyDescent="0.25">
      <c r="A270" s="94"/>
    </row>
    <row r="271" spans="1:1" x14ac:dyDescent="0.25">
      <c r="A271" s="94"/>
    </row>
    <row r="272" spans="1:1" x14ac:dyDescent="0.25">
      <c r="A272" s="94"/>
    </row>
    <row r="273" spans="1:1" x14ac:dyDescent="0.25">
      <c r="A273" s="94"/>
    </row>
    <row r="274" spans="1:1" x14ac:dyDescent="0.25">
      <c r="A274" s="94"/>
    </row>
    <row r="275" spans="1:1" x14ac:dyDescent="0.25">
      <c r="A275" s="94"/>
    </row>
    <row r="276" spans="1:1" x14ac:dyDescent="0.25">
      <c r="A276" s="94"/>
    </row>
    <row r="277" spans="1:1" x14ac:dyDescent="0.25">
      <c r="A277" s="94"/>
    </row>
    <row r="278" spans="1:1" x14ac:dyDescent="0.25">
      <c r="A278" s="94"/>
    </row>
    <row r="279" spans="1:1" x14ac:dyDescent="0.25">
      <c r="A279" s="94"/>
    </row>
    <row r="280" spans="1:1" x14ac:dyDescent="0.25">
      <c r="A280" s="94"/>
    </row>
    <row r="281" spans="1:1" x14ac:dyDescent="0.25">
      <c r="A281" s="94"/>
    </row>
    <row r="282" spans="1:1" x14ac:dyDescent="0.25">
      <c r="A282" s="94"/>
    </row>
    <row r="283" spans="1:1" x14ac:dyDescent="0.25">
      <c r="A283" s="94"/>
    </row>
    <row r="284" spans="1:1" x14ac:dyDescent="0.25">
      <c r="A284" s="94"/>
    </row>
    <row r="285" spans="1:1" x14ac:dyDescent="0.25">
      <c r="A285" s="94"/>
    </row>
    <row r="286" spans="1:1" x14ac:dyDescent="0.25">
      <c r="A286" s="94"/>
    </row>
    <row r="287" spans="1:1" x14ac:dyDescent="0.25">
      <c r="A287" s="94"/>
    </row>
    <row r="288" spans="1:1" x14ac:dyDescent="0.25">
      <c r="A288" s="94"/>
    </row>
    <row r="289" spans="1:1" x14ac:dyDescent="0.25">
      <c r="A289" s="94"/>
    </row>
    <row r="290" spans="1:1" x14ac:dyDescent="0.25">
      <c r="A290" s="94"/>
    </row>
    <row r="291" spans="1:1" x14ac:dyDescent="0.25">
      <c r="A291" s="94"/>
    </row>
    <row r="292" spans="1:1" x14ac:dyDescent="0.25">
      <c r="A292" s="94"/>
    </row>
    <row r="293" spans="1:1" x14ac:dyDescent="0.25">
      <c r="A293" s="94"/>
    </row>
    <row r="294" spans="1:1" x14ac:dyDescent="0.25">
      <c r="A294" s="94"/>
    </row>
    <row r="295" spans="1:1" x14ac:dyDescent="0.25">
      <c r="A295" s="94"/>
    </row>
    <row r="296" spans="1:1" x14ac:dyDescent="0.25">
      <c r="A296" s="94"/>
    </row>
    <row r="297" spans="1:1" x14ac:dyDescent="0.25">
      <c r="A297" s="94"/>
    </row>
    <row r="298" spans="1:1" x14ac:dyDescent="0.25">
      <c r="A298" s="94"/>
    </row>
    <row r="299" spans="1:1" x14ac:dyDescent="0.25">
      <c r="A299" s="94"/>
    </row>
    <row r="300" spans="1:1" x14ac:dyDescent="0.25">
      <c r="A300" s="94"/>
    </row>
    <row r="301" spans="1:1" x14ac:dyDescent="0.25">
      <c r="A301" s="94"/>
    </row>
    <row r="302" spans="1:1" x14ac:dyDescent="0.25">
      <c r="A302" s="94"/>
    </row>
    <row r="303" spans="1:1" x14ac:dyDescent="0.25">
      <c r="A303" s="94"/>
    </row>
    <row r="304" spans="1:1" x14ac:dyDescent="0.25">
      <c r="A304" s="94"/>
    </row>
    <row r="305" spans="1:1" x14ac:dyDescent="0.25">
      <c r="A305" s="94"/>
    </row>
    <row r="306" spans="1:1" x14ac:dyDescent="0.25">
      <c r="A306" s="94"/>
    </row>
    <row r="307" spans="1:1" x14ac:dyDescent="0.25">
      <c r="A307" s="94"/>
    </row>
    <row r="308" spans="1:1" x14ac:dyDescent="0.25">
      <c r="A308" s="94"/>
    </row>
    <row r="309" spans="1:1" x14ac:dyDescent="0.25">
      <c r="A309" s="94"/>
    </row>
    <row r="310" spans="1:1" x14ac:dyDescent="0.25">
      <c r="A310" s="94"/>
    </row>
    <row r="311" spans="1:1" x14ac:dyDescent="0.25">
      <c r="A311" s="94"/>
    </row>
    <row r="312" spans="1:1" x14ac:dyDescent="0.25">
      <c r="A312" s="94"/>
    </row>
    <row r="313" spans="1:1" x14ac:dyDescent="0.25">
      <c r="A313" s="94"/>
    </row>
    <row r="314" spans="1:1" x14ac:dyDescent="0.25">
      <c r="A314" s="94"/>
    </row>
    <row r="315" spans="1:1" x14ac:dyDescent="0.25">
      <c r="A315" s="94"/>
    </row>
    <row r="316" spans="1:1" x14ac:dyDescent="0.25">
      <c r="A316" s="94"/>
    </row>
    <row r="317" spans="1:1" x14ac:dyDescent="0.25">
      <c r="A317" s="94"/>
    </row>
    <row r="318" spans="1:1" x14ac:dyDescent="0.25">
      <c r="A318" s="94"/>
    </row>
    <row r="319" spans="1:1" x14ac:dyDescent="0.25">
      <c r="A319" s="94"/>
    </row>
    <row r="320" spans="1:1" x14ac:dyDescent="0.25">
      <c r="A320" s="94"/>
    </row>
    <row r="321" spans="1:1" x14ac:dyDescent="0.25">
      <c r="A321" s="94"/>
    </row>
    <row r="322" spans="1:1" x14ac:dyDescent="0.25">
      <c r="A322" s="94"/>
    </row>
    <row r="323" spans="1:1" x14ac:dyDescent="0.25">
      <c r="A323" s="94"/>
    </row>
    <row r="324" spans="1:1" x14ac:dyDescent="0.25">
      <c r="A324" s="94"/>
    </row>
    <row r="325" spans="1:1" x14ac:dyDescent="0.25">
      <c r="A325" s="94"/>
    </row>
    <row r="326" spans="1:1" x14ac:dyDescent="0.25">
      <c r="A326" s="94"/>
    </row>
    <row r="327" spans="1:1" x14ac:dyDescent="0.25">
      <c r="A327" s="94"/>
    </row>
    <row r="328" spans="1:1" x14ac:dyDescent="0.25">
      <c r="A328" s="94"/>
    </row>
    <row r="329" spans="1:1" x14ac:dyDescent="0.25">
      <c r="A329" s="94"/>
    </row>
    <row r="330" spans="1:1" x14ac:dyDescent="0.25">
      <c r="A330" s="94"/>
    </row>
    <row r="331" spans="1:1" x14ac:dyDescent="0.25">
      <c r="A331" s="94"/>
    </row>
    <row r="332" spans="1:1" x14ac:dyDescent="0.25">
      <c r="A332" s="94"/>
    </row>
    <row r="333" spans="1:1" x14ac:dyDescent="0.25">
      <c r="A333" s="94"/>
    </row>
    <row r="334" spans="1:1" x14ac:dyDescent="0.25">
      <c r="A334" s="94"/>
    </row>
    <row r="335" spans="1:1" x14ac:dyDescent="0.25">
      <c r="A335" s="94"/>
    </row>
    <row r="336" spans="1:1" x14ac:dyDescent="0.25">
      <c r="A336" s="94"/>
    </row>
    <row r="337" spans="1:1" x14ac:dyDescent="0.25">
      <c r="A337" s="94"/>
    </row>
    <row r="338" spans="1:1" x14ac:dyDescent="0.25">
      <c r="A338" s="94"/>
    </row>
    <row r="339" spans="1:1" x14ac:dyDescent="0.25">
      <c r="A339" s="94"/>
    </row>
    <row r="340" spans="1:1" x14ac:dyDescent="0.25">
      <c r="A340" s="94"/>
    </row>
    <row r="341" spans="1:1" x14ac:dyDescent="0.25">
      <c r="A341" s="94"/>
    </row>
    <row r="342" spans="1:1" x14ac:dyDescent="0.25">
      <c r="A342" s="94"/>
    </row>
    <row r="343" spans="1:1" x14ac:dyDescent="0.25">
      <c r="A343" s="94"/>
    </row>
    <row r="344" spans="1:1" x14ac:dyDescent="0.25">
      <c r="A344" s="94"/>
    </row>
    <row r="345" spans="1:1" x14ac:dyDescent="0.25">
      <c r="A345" s="94"/>
    </row>
    <row r="346" spans="1:1" x14ac:dyDescent="0.25">
      <c r="A346" s="94"/>
    </row>
    <row r="347" spans="1:1" x14ac:dyDescent="0.25">
      <c r="A347" s="94"/>
    </row>
    <row r="348" spans="1:1" x14ac:dyDescent="0.25">
      <c r="A348" s="94"/>
    </row>
    <row r="349" spans="1:1" x14ac:dyDescent="0.25">
      <c r="A349" s="94"/>
    </row>
    <row r="350" spans="1:1" x14ac:dyDescent="0.25">
      <c r="A350" s="94"/>
    </row>
    <row r="351" spans="1:1" x14ac:dyDescent="0.25">
      <c r="A351" s="94"/>
    </row>
    <row r="352" spans="1:1" x14ac:dyDescent="0.25">
      <c r="A352" s="94"/>
    </row>
    <row r="353" spans="1:1" x14ac:dyDescent="0.25">
      <c r="A353" s="94"/>
    </row>
    <row r="354" spans="1:1" x14ac:dyDescent="0.25">
      <c r="A354" s="94"/>
    </row>
    <row r="355" spans="1:1" x14ac:dyDescent="0.25">
      <c r="A355" s="94"/>
    </row>
    <row r="356" spans="1:1" x14ac:dyDescent="0.25">
      <c r="A356" s="94"/>
    </row>
    <row r="357" spans="1:1" x14ac:dyDescent="0.25">
      <c r="A357" s="94"/>
    </row>
    <row r="358" spans="1:1" x14ac:dyDescent="0.25">
      <c r="A358" s="94"/>
    </row>
    <row r="359" spans="1:1" x14ac:dyDescent="0.25">
      <c r="A359" s="94"/>
    </row>
    <row r="360" spans="1:1" x14ac:dyDescent="0.25">
      <c r="A360" s="94"/>
    </row>
    <row r="361" spans="1:1" x14ac:dyDescent="0.25">
      <c r="A361" s="94"/>
    </row>
    <row r="362" spans="1:1" x14ac:dyDescent="0.25">
      <c r="A362" s="94"/>
    </row>
    <row r="363" spans="1:1" x14ac:dyDescent="0.25">
      <c r="A363" s="94"/>
    </row>
    <row r="364" spans="1:1" x14ac:dyDescent="0.25">
      <c r="A364" s="94"/>
    </row>
    <row r="365" spans="1:1" x14ac:dyDescent="0.25">
      <c r="A365" s="94"/>
    </row>
    <row r="366" spans="1:1" x14ac:dyDescent="0.25">
      <c r="A366" s="94"/>
    </row>
    <row r="367" spans="1:1" x14ac:dyDescent="0.25">
      <c r="A367" s="94"/>
    </row>
    <row r="368" spans="1:1" x14ac:dyDescent="0.25">
      <c r="A368" s="94"/>
    </row>
    <row r="369" spans="1:1" x14ac:dyDescent="0.25">
      <c r="A369" s="94"/>
    </row>
    <row r="370" spans="1:1" x14ac:dyDescent="0.25">
      <c r="A370" s="94"/>
    </row>
    <row r="371" spans="1:1" x14ac:dyDescent="0.25">
      <c r="A371" s="94"/>
    </row>
    <row r="372" spans="1:1" x14ac:dyDescent="0.25">
      <c r="A372" s="94"/>
    </row>
    <row r="373" spans="1:1" x14ac:dyDescent="0.25">
      <c r="A373" s="94"/>
    </row>
    <row r="374" spans="1:1" x14ac:dyDescent="0.25">
      <c r="A374" s="94"/>
    </row>
    <row r="375" spans="1:1" x14ac:dyDescent="0.25">
      <c r="A375" s="94"/>
    </row>
    <row r="376" spans="1:1" x14ac:dyDescent="0.25">
      <c r="A376" s="94"/>
    </row>
    <row r="377" spans="1:1" x14ac:dyDescent="0.25">
      <c r="A377" s="94"/>
    </row>
    <row r="378" spans="1:1" x14ac:dyDescent="0.25">
      <c r="A378" s="94"/>
    </row>
    <row r="379" spans="1:1" x14ac:dyDescent="0.25">
      <c r="A379" s="94"/>
    </row>
    <row r="380" spans="1:1" x14ac:dyDescent="0.25">
      <c r="A380" s="94"/>
    </row>
    <row r="381" spans="1:1" x14ac:dyDescent="0.25">
      <c r="A381" s="94"/>
    </row>
    <row r="382" spans="1:1" x14ac:dyDescent="0.25">
      <c r="A382" s="94"/>
    </row>
    <row r="383" spans="1:1" x14ac:dyDescent="0.25">
      <c r="A383" s="94"/>
    </row>
    <row r="384" spans="1:1" x14ac:dyDescent="0.25">
      <c r="A384" s="94"/>
    </row>
    <row r="385" spans="1:1" x14ac:dyDescent="0.25">
      <c r="A385" s="94"/>
    </row>
    <row r="386" spans="1:1" x14ac:dyDescent="0.25">
      <c r="A386" s="94"/>
    </row>
    <row r="387" spans="1:1" x14ac:dyDescent="0.25">
      <c r="A387" s="94"/>
    </row>
    <row r="388" spans="1:1" x14ac:dyDescent="0.25">
      <c r="A388" s="94"/>
    </row>
    <row r="389" spans="1:1" x14ac:dyDescent="0.25">
      <c r="A389" s="94"/>
    </row>
    <row r="390" spans="1:1" x14ac:dyDescent="0.25">
      <c r="A390" s="94"/>
    </row>
    <row r="391" spans="1:1" x14ac:dyDescent="0.25">
      <c r="A391" s="94"/>
    </row>
    <row r="392" spans="1:1" x14ac:dyDescent="0.25">
      <c r="A392" s="94"/>
    </row>
    <row r="393" spans="1:1" x14ac:dyDescent="0.25">
      <c r="A393" s="94"/>
    </row>
    <row r="394" spans="1:1" x14ac:dyDescent="0.25">
      <c r="A394" s="94"/>
    </row>
    <row r="395" spans="1:1" x14ac:dyDescent="0.25">
      <c r="A395" s="94"/>
    </row>
    <row r="396" spans="1:1" x14ac:dyDescent="0.25">
      <c r="A396" s="94"/>
    </row>
    <row r="397" spans="1:1" x14ac:dyDescent="0.25">
      <c r="A397" s="94"/>
    </row>
    <row r="398" spans="1:1" x14ac:dyDescent="0.25">
      <c r="A398" s="94"/>
    </row>
    <row r="399" spans="1:1" x14ac:dyDescent="0.25">
      <c r="A399" s="94"/>
    </row>
    <row r="400" spans="1:1" x14ac:dyDescent="0.25">
      <c r="A400" s="94"/>
    </row>
    <row r="401" spans="1:1" x14ac:dyDescent="0.25">
      <c r="A401" s="94"/>
    </row>
    <row r="402" spans="1:1" x14ac:dyDescent="0.25">
      <c r="A402" s="94"/>
    </row>
    <row r="403" spans="1:1" x14ac:dyDescent="0.25">
      <c r="A403" s="94"/>
    </row>
    <row r="404" spans="1:1" x14ac:dyDescent="0.25">
      <c r="A404" s="94"/>
    </row>
    <row r="405" spans="1:1" x14ac:dyDescent="0.25">
      <c r="A405" s="94"/>
    </row>
    <row r="406" spans="1:1" x14ac:dyDescent="0.25">
      <c r="A406" s="94"/>
    </row>
    <row r="407" spans="1:1" x14ac:dyDescent="0.25">
      <c r="A407" s="94"/>
    </row>
    <row r="408" spans="1:1" x14ac:dyDescent="0.25">
      <c r="A408" s="94"/>
    </row>
    <row r="409" spans="1:1" x14ac:dyDescent="0.25">
      <c r="A409" s="94"/>
    </row>
    <row r="410" spans="1:1" x14ac:dyDescent="0.25">
      <c r="A410" s="94"/>
    </row>
    <row r="411" spans="1:1" x14ac:dyDescent="0.25">
      <c r="A411" s="94"/>
    </row>
    <row r="412" spans="1:1" x14ac:dyDescent="0.25">
      <c r="A412" s="94"/>
    </row>
    <row r="413" spans="1:1" x14ac:dyDescent="0.25">
      <c r="A413" s="94"/>
    </row>
    <row r="414" spans="1:1" x14ac:dyDescent="0.25">
      <c r="A414" s="94"/>
    </row>
    <row r="415" spans="1:1" x14ac:dyDescent="0.25">
      <c r="A415" s="94"/>
    </row>
    <row r="416" spans="1:1" x14ac:dyDescent="0.25">
      <c r="A416" s="94"/>
    </row>
    <row r="417" spans="1:1" x14ac:dyDescent="0.25">
      <c r="A417" s="94"/>
    </row>
    <row r="418" spans="1:1" x14ac:dyDescent="0.25">
      <c r="A418" s="94"/>
    </row>
    <row r="419" spans="1:1" x14ac:dyDescent="0.25">
      <c r="A419" s="94"/>
    </row>
    <row r="420" spans="1:1" x14ac:dyDescent="0.25">
      <c r="A420" s="94"/>
    </row>
    <row r="421" spans="1:1" x14ac:dyDescent="0.25">
      <c r="A421" s="94"/>
    </row>
    <row r="422" spans="1:1" x14ac:dyDescent="0.25">
      <c r="A422" s="94"/>
    </row>
    <row r="423" spans="1:1" x14ac:dyDescent="0.25">
      <c r="A423" s="94"/>
    </row>
    <row r="424" spans="1:1" x14ac:dyDescent="0.25">
      <c r="A424" s="94"/>
    </row>
    <row r="425" spans="1:1" x14ac:dyDescent="0.25">
      <c r="A425" s="94"/>
    </row>
    <row r="426" spans="1:1" x14ac:dyDescent="0.25">
      <c r="A426" s="94"/>
    </row>
    <row r="427" spans="1:1" x14ac:dyDescent="0.25">
      <c r="A427" s="94"/>
    </row>
    <row r="428" spans="1:1" x14ac:dyDescent="0.25">
      <c r="A428" s="94"/>
    </row>
    <row r="429" spans="1:1" x14ac:dyDescent="0.25">
      <c r="A429" s="94"/>
    </row>
    <row r="430" spans="1:1" x14ac:dyDescent="0.25">
      <c r="A430" s="94"/>
    </row>
    <row r="431" spans="1:1" x14ac:dyDescent="0.25">
      <c r="A431" s="94"/>
    </row>
    <row r="432" spans="1:1" x14ac:dyDescent="0.25">
      <c r="A432" s="94"/>
    </row>
    <row r="433" spans="1:1" x14ac:dyDescent="0.25">
      <c r="A433" s="94"/>
    </row>
    <row r="434" spans="1:1" x14ac:dyDescent="0.25">
      <c r="A434" s="94"/>
    </row>
    <row r="435" spans="1:1" x14ac:dyDescent="0.25">
      <c r="A435" s="94"/>
    </row>
    <row r="436" spans="1:1" x14ac:dyDescent="0.25">
      <c r="A436" s="94"/>
    </row>
    <row r="437" spans="1:1" x14ac:dyDescent="0.25">
      <c r="A437" s="94"/>
    </row>
    <row r="438" spans="1:1" x14ac:dyDescent="0.25">
      <c r="A438" s="94"/>
    </row>
    <row r="439" spans="1:1" x14ac:dyDescent="0.25">
      <c r="A439" s="94"/>
    </row>
    <row r="440" spans="1:1" x14ac:dyDescent="0.25">
      <c r="A440" s="94"/>
    </row>
    <row r="441" spans="1:1" x14ac:dyDescent="0.25">
      <c r="A441" s="94"/>
    </row>
    <row r="442" spans="1:1" x14ac:dyDescent="0.25">
      <c r="A442" s="94"/>
    </row>
    <row r="443" spans="1:1" x14ac:dyDescent="0.25">
      <c r="A443" s="94"/>
    </row>
    <row r="444" spans="1:1" x14ac:dyDescent="0.25">
      <c r="A444" s="94"/>
    </row>
    <row r="445" spans="1:1" x14ac:dyDescent="0.25">
      <c r="A445" s="94"/>
    </row>
    <row r="446" spans="1:1" x14ac:dyDescent="0.25">
      <c r="A446" s="94"/>
    </row>
    <row r="447" spans="1:1" x14ac:dyDescent="0.25">
      <c r="A447" s="94"/>
    </row>
    <row r="448" spans="1:1" x14ac:dyDescent="0.25">
      <c r="A448" s="94"/>
    </row>
    <row r="449" spans="1:1" x14ac:dyDescent="0.25">
      <c r="A449" s="94"/>
    </row>
    <row r="450" spans="1:1" x14ac:dyDescent="0.25">
      <c r="A450" s="94"/>
    </row>
    <row r="451" spans="1:1" x14ac:dyDescent="0.25">
      <c r="A451" s="94"/>
    </row>
    <row r="452" spans="1:1" x14ac:dyDescent="0.25">
      <c r="A452" s="94"/>
    </row>
    <row r="453" spans="1:1" x14ac:dyDescent="0.25">
      <c r="A453" s="94"/>
    </row>
    <row r="454" spans="1:1" x14ac:dyDescent="0.25">
      <c r="A454" s="94"/>
    </row>
    <row r="455" spans="1:1" x14ac:dyDescent="0.25">
      <c r="A455" s="94"/>
    </row>
    <row r="456" spans="1:1" x14ac:dyDescent="0.25">
      <c r="A456" s="94"/>
    </row>
    <row r="457" spans="1:1" x14ac:dyDescent="0.25">
      <c r="A457" s="94"/>
    </row>
    <row r="458" spans="1:1" x14ac:dyDescent="0.25">
      <c r="A458" s="94"/>
    </row>
    <row r="459" spans="1:1" x14ac:dyDescent="0.25">
      <c r="A459" s="94"/>
    </row>
    <row r="460" spans="1:1" x14ac:dyDescent="0.25">
      <c r="A460" s="94"/>
    </row>
    <row r="461" spans="1:1" x14ac:dyDescent="0.25">
      <c r="A461" s="94"/>
    </row>
    <row r="462" spans="1:1" x14ac:dyDescent="0.25">
      <c r="A462" s="94"/>
    </row>
    <row r="463" spans="1:1" x14ac:dyDescent="0.25">
      <c r="A463" s="94"/>
    </row>
    <row r="464" spans="1:1" x14ac:dyDescent="0.25">
      <c r="A464" s="94"/>
    </row>
    <row r="465" spans="1:1" x14ac:dyDescent="0.25">
      <c r="A465" s="94"/>
    </row>
    <row r="466" spans="1:1" x14ac:dyDescent="0.25">
      <c r="A466" s="94"/>
    </row>
    <row r="467" spans="1:1" x14ac:dyDescent="0.25">
      <c r="A467" s="94"/>
    </row>
    <row r="468" spans="1:1" x14ac:dyDescent="0.25">
      <c r="A468" s="94"/>
    </row>
    <row r="469" spans="1:1" x14ac:dyDescent="0.25">
      <c r="A469" s="94"/>
    </row>
    <row r="470" spans="1:1" x14ac:dyDescent="0.25">
      <c r="A470" s="94"/>
    </row>
    <row r="471" spans="1:1" x14ac:dyDescent="0.25">
      <c r="A471" s="94"/>
    </row>
    <row r="472" spans="1:1" x14ac:dyDescent="0.25">
      <c r="A472" s="94"/>
    </row>
    <row r="473" spans="1:1" x14ac:dyDescent="0.25">
      <c r="A473" s="94"/>
    </row>
    <row r="474" spans="1:1" x14ac:dyDescent="0.25">
      <c r="A474" s="94"/>
    </row>
    <row r="475" spans="1:1" x14ac:dyDescent="0.25">
      <c r="A475" s="94"/>
    </row>
    <row r="476" spans="1:1" x14ac:dyDescent="0.25">
      <c r="A476" s="94"/>
    </row>
    <row r="477" spans="1:1" x14ac:dyDescent="0.25">
      <c r="A477" s="94"/>
    </row>
    <row r="478" spans="1:1" x14ac:dyDescent="0.25">
      <c r="A478" s="94"/>
    </row>
    <row r="479" spans="1:1" x14ac:dyDescent="0.25">
      <c r="A479" s="94"/>
    </row>
    <row r="480" spans="1:1" x14ac:dyDescent="0.25">
      <c r="A480" s="94"/>
    </row>
    <row r="481" spans="1:1" x14ac:dyDescent="0.25">
      <c r="A481" s="94"/>
    </row>
    <row r="482" spans="1:1" x14ac:dyDescent="0.25">
      <c r="A482" s="94"/>
    </row>
    <row r="483" spans="1:1" x14ac:dyDescent="0.25">
      <c r="A483" s="94"/>
    </row>
    <row r="484" spans="1:1" x14ac:dyDescent="0.25">
      <c r="A484" s="94"/>
    </row>
    <row r="485" spans="1:1" x14ac:dyDescent="0.25">
      <c r="A485" s="94"/>
    </row>
    <row r="486" spans="1:1" x14ac:dyDescent="0.25">
      <c r="A486" s="94"/>
    </row>
    <row r="487" spans="1:1" x14ac:dyDescent="0.25">
      <c r="A487" s="94"/>
    </row>
    <row r="488" spans="1:1" x14ac:dyDescent="0.25">
      <c r="A488" s="94"/>
    </row>
    <row r="489" spans="1:1" x14ac:dyDescent="0.25">
      <c r="A489" s="94"/>
    </row>
    <row r="490" spans="1:1" x14ac:dyDescent="0.25">
      <c r="A490" s="94"/>
    </row>
    <row r="491" spans="1:1" x14ac:dyDescent="0.25">
      <c r="A491" s="94"/>
    </row>
    <row r="492" spans="1:1" x14ac:dyDescent="0.25">
      <c r="A492" s="94"/>
    </row>
    <row r="493" spans="1:1" x14ac:dyDescent="0.25">
      <c r="A493" s="94"/>
    </row>
    <row r="494" spans="1:1" x14ac:dyDescent="0.25">
      <c r="A494" s="94"/>
    </row>
    <row r="495" spans="1:1" x14ac:dyDescent="0.25">
      <c r="A495" s="94"/>
    </row>
    <row r="496" spans="1:1" x14ac:dyDescent="0.25">
      <c r="A496" s="94"/>
    </row>
    <row r="497" spans="1:1" x14ac:dyDescent="0.25">
      <c r="A497" s="94"/>
    </row>
    <row r="498" spans="1:1" x14ac:dyDescent="0.25">
      <c r="A498" s="94"/>
    </row>
    <row r="499" spans="1:1" x14ac:dyDescent="0.25">
      <c r="A499" s="94"/>
    </row>
    <row r="500" spans="1:1" x14ac:dyDescent="0.25">
      <c r="A500" s="94"/>
    </row>
    <row r="501" spans="1:1" x14ac:dyDescent="0.25">
      <c r="A501" s="94"/>
    </row>
    <row r="502" spans="1:1" x14ac:dyDescent="0.25">
      <c r="A502" s="94"/>
    </row>
    <row r="503" spans="1:1" x14ac:dyDescent="0.25">
      <c r="A503" s="94"/>
    </row>
    <row r="504" spans="1:1" x14ac:dyDescent="0.25">
      <c r="A504" s="94"/>
    </row>
    <row r="505" spans="1:1" x14ac:dyDescent="0.25">
      <c r="A505" s="94"/>
    </row>
    <row r="506" spans="1:1" x14ac:dyDescent="0.25">
      <c r="A506" s="94"/>
    </row>
    <row r="507" spans="1:1" x14ac:dyDescent="0.25">
      <c r="A507" s="94"/>
    </row>
    <row r="508" spans="1:1" x14ac:dyDescent="0.25">
      <c r="A508" s="94"/>
    </row>
    <row r="509" spans="1:1" x14ac:dyDescent="0.25">
      <c r="A509" s="94"/>
    </row>
    <row r="510" spans="1:1" x14ac:dyDescent="0.25">
      <c r="A510" s="94"/>
    </row>
    <row r="511" spans="1:1" x14ac:dyDescent="0.25">
      <c r="A511" s="94"/>
    </row>
    <row r="512" spans="1:1" x14ac:dyDescent="0.25">
      <c r="A512" s="94"/>
    </row>
    <row r="513" spans="1:1" x14ac:dyDescent="0.25">
      <c r="A513" s="94"/>
    </row>
    <row r="514" spans="1:1" x14ac:dyDescent="0.25">
      <c r="A514" s="94"/>
    </row>
    <row r="515" spans="1:1" x14ac:dyDescent="0.25">
      <c r="A515" s="94"/>
    </row>
    <row r="516" spans="1:1" x14ac:dyDescent="0.25">
      <c r="A516" s="94"/>
    </row>
    <row r="517" spans="1:1" x14ac:dyDescent="0.25">
      <c r="A517" s="94"/>
    </row>
    <row r="518" spans="1:1" x14ac:dyDescent="0.25">
      <c r="A518" s="94"/>
    </row>
    <row r="519" spans="1:1" x14ac:dyDescent="0.25">
      <c r="A519" s="94"/>
    </row>
    <row r="520" spans="1:1" x14ac:dyDescent="0.25">
      <c r="A520" s="94"/>
    </row>
    <row r="521" spans="1:1" x14ac:dyDescent="0.25">
      <c r="A521" s="94"/>
    </row>
    <row r="522" spans="1:1" x14ac:dyDescent="0.25">
      <c r="A522" s="94"/>
    </row>
    <row r="523" spans="1:1" x14ac:dyDescent="0.25">
      <c r="A523" s="94"/>
    </row>
    <row r="524" spans="1:1" x14ac:dyDescent="0.25">
      <c r="A524" s="94"/>
    </row>
    <row r="525" spans="1:1" x14ac:dyDescent="0.25">
      <c r="A525" s="94"/>
    </row>
    <row r="526" spans="1:1" x14ac:dyDescent="0.25">
      <c r="A526" s="94"/>
    </row>
    <row r="527" spans="1:1" x14ac:dyDescent="0.25">
      <c r="A527" s="94"/>
    </row>
    <row r="528" spans="1:1" x14ac:dyDescent="0.25">
      <c r="A528" s="94"/>
    </row>
    <row r="529" spans="1:1" x14ac:dyDescent="0.25">
      <c r="A529" s="94"/>
    </row>
    <row r="530" spans="1:1" x14ac:dyDescent="0.25">
      <c r="A530" s="94"/>
    </row>
    <row r="531" spans="1:1" x14ac:dyDescent="0.25">
      <c r="A531" s="94"/>
    </row>
    <row r="532" spans="1:1" x14ac:dyDescent="0.25">
      <c r="A532" s="94"/>
    </row>
    <row r="533" spans="1:1" x14ac:dyDescent="0.25">
      <c r="A533" s="94"/>
    </row>
    <row r="534" spans="1:1" x14ac:dyDescent="0.25">
      <c r="A534" s="94"/>
    </row>
    <row r="535" spans="1:1" x14ac:dyDescent="0.25">
      <c r="A535" s="94"/>
    </row>
    <row r="536" spans="1:1" x14ac:dyDescent="0.25">
      <c r="A536" s="94"/>
    </row>
    <row r="537" spans="1:1" x14ac:dyDescent="0.25">
      <c r="A537" s="94"/>
    </row>
    <row r="538" spans="1:1" x14ac:dyDescent="0.25">
      <c r="A538" s="94"/>
    </row>
    <row r="539" spans="1:1" x14ac:dyDescent="0.25">
      <c r="A539" s="94"/>
    </row>
    <row r="540" spans="1:1" x14ac:dyDescent="0.25">
      <c r="A540" s="94"/>
    </row>
    <row r="541" spans="1:1" x14ac:dyDescent="0.25">
      <c r="A541" s="94"/>
    </row>
    <row r="542" spans="1:1" x14ac:dyDescent="0.25">
      <c r="A542" s="94"/>
    </row>
    <row r="543" spans="1:1" x14ac:dyDescent="0.25">
      <c r="A543" s="94"/>
    </row>
    <row r="544" spans="1:1" x14ac:dyDescent="0.25">
      <c r="A544" s="94"/>
    </row>
    <row r="545" spans="1:1" x14ac:dyDescent="0.25">
      <c r="A545" s="94"/>
    </row>
    <row r="546" spans="1:1" x14ac:dyDescent="0.25">
      <c r="A546" s="94"/>
    </row>
    <row r="547" spans="1:1" x14ac:dyDescent="0.25">
      <c r="A547" s="94"/>
    </row>
    <row r="548" spans="1:1" x14ac:dyDescent="0.25">
      <c r="A548" s="94"/>
    </row>
    <row r="549" spans="1:1" x14ac:dyDescent="0.25">
      <c r="A549" s="94"/>
    </row>
    <row r="550" spans="1:1" x14ac:dyDescent="0.25">
      <c r="A550" s="94"/>
    </row>
    <row r="551" spans="1:1" x14ac:dyDescent="0.25">
      <c r="A551" s="94"/>
    </row>
    <row r="552" spans="1:1" x14ac:dyDescent="0.25">
      <c r="A552" s="94"/>
    </row>
    <row r="553" spans="1:1" x14ac:dyDescent="0.25">
      <c r="A553" s="94"/>
    </row>
    <row r="554" spans="1:1" x14ac:dyDescent="0.25">
      <c r="A554" s="94"/>
    </row>
    <row r="555" spans="1:1" x14ac:dyDescent="0.25">
      <c r="A555" s="94"/>
    </row>
    <row r="556" spans="1:1" x14ac:dyDescent="0.25">
      <c r="A556" s="94"/>
    </row>
    <row r="557" spans="1:1" x14ac:dyDescent="0.25">
      <c r="A557" s="94"/>
    </row>
    <row r="558" spans="1:1" x14ac:dyDescent="0.25">
      <c r="A558" s="94"/>
    </row>
    <row r="559" spans="1:1" x14ac:dyDescent="0.25">
      <c r="A559" s="94"/>
    </row>
    <row r="560" spans="1:1" x14ac:dyDescent="0.25">
      <c r="A560" s="94"/>
    </row>
    <row r="561" spans="1:1" x14ac:dyDescent="0.25">
      <c r="A561" s="94"/>
    </row>
    <row r="562" spans="1:1" x14ac:dyDescent="0.25">
      <c r="A562" s="94"/>
    </row>
    <row r="563" spans="1:1" x14ac:dyDescent="0.25">
      <c r="A563" s="94"/>
    </row>
    <row r="564" spans="1:1" x14ac:dyDescent="0.25">
      <c r="A564" s="94"/>
    </row>
    <row r="565" spans="1:1" x14ac:dyDescent="0.25">
      <c r="A565" s="94"/>
    </row>
    <row r="566" spans="1:1" x14ac:dyDescent="0.25">
      <c r="A566" s="94"/>
    </row>
    <row r="567" spans="1:1" x14ac:dyDescent="0.25">
      <c r="A567" s="94"/>
    </row>
    <row r="568" spans="1:1" x14ac:dyDescent="0.25">
      <c r="A568" s="94"/>
    </row>
    <row r="569" spans="1:1" x14ac:dyDescent="0.25">
      <c r="A569" s="94"/>
    </row>
    <row r="570" spans="1:1" x14ac:dyDescent="0.25">
      <c r="A570" s="94"/>
    </row>
    <row r="571" spans="1:1" x14ac:dyDescent="0.25">
      <c r="A571" s="94"/>
    </row>
    <row r="572" spans="1:1" x14ac:dyDescent="0.25">
      <c r="A572" s="94"/>
    </row>
    <row r="573" spans="1:1" x14ac:dyDescent="0.25">
      <c r="A573" s="94"/>
    </row>
    <row r="574" spans="1:1" x14ac:dyDescent="0.25">
      <c r="A574" s="94"/>
    </row>
    <row r="575" spans="1:1" x14ac:dyDescent="0.25">
      <c r="A575" s="94"/>
    </row>
    <row r="576" spans="1:1" x14ac:dyDescent="0.25">
      <c r="A576" s="94"/>
    </row>
    <row r="577" spans="1:1" x14ac:dyDescent="0.25">
      <c r="A577" s="94"/>
    </row>
    <row r="578" spans="1:1" x14ac:dyDescent="0.25">
      <c r="A578" s="94"/>
    </row>
    <row r="579" spans="1:1" x14ac:dyDescent="0.25">
      <c r="A579" s="94"/>
    </row>
    <row r="580" spans="1:1" x14ac:dyDescent="0.25">
      <c r="A580" s="94"/>
    </row>
    <row r="581" spans="1:1" x14ac:dyDescent="0.25">
      <c r="A581" s="94"/>
    </row>
    <row r="582" spans="1:1" x14ac:dyDescent="0.25">
      <c r="A582" s="94"/>
    </row>
    <row r="583" spans="1:1" x14ac:dyDescent="0.25">
      <c r="A583" s="94"/>
    </row>
    <row r="584" spans="1:1" x14ac:dyDescent="0.25">
      <c r="A584" s="94"/>
    </row>
    <row r="585" spans="1:1" x14ac:dyDescent="0.25">
      <c r="A585" s="94"/>
    </row>
    <row r="586" spans="1:1" x14ac:dyDescent="0.25">
      <c r="A586" s="94"/>
    </row>
    <row r="587" spans="1:1" x14ac:dyDescent="0.25">
      <c r="A587" s="94"/>
    </row>
    <row r="588" spans="1:1" x14ac:dyDescent="0.25">
      <c r="A588" s="94"/>
    </row>
    <row r="589" spans="1:1" x14ac:dyDescent="0.25">
      <c r="A589" s="94"/>
    </row>
    <row r="590" spans="1:1" x14ac:dyDescent="0.25">
      <c r="A590" s="94"/>
    </row>
    <row r="591" spans="1:1" x14ac:dyDescent="0.25">
      <c r="A591" s="94"/>
    </row>
    <row r="592" spans="1:1" x14ac:dyDescent="0.25">
      <c r="A592" s="94"/>
    </row>
    <row r="593" spans="1:1" x14ac:dyDescent="0.25">
      <c r="A593" s="94"/>
    </row>
    <row r="594" spans="1:1" x14ac:dyDescent="0.25">
      <c r="A594" s="94"/>
    </row>
    <row r="595" spans="1:1" x14ac:dyDescent="0.25">
      <c r="A595" s="94"/>
    </row>
    <row r="596" spans="1:1" x14ac:dyDescent="0.25">
      <c r="A596" s="94"/>
    </row>
    <row r="597" spans="1:1" x14ac:dyDescent="0.25">
      <c r="A597" s="94"/>
    </row>
    <row r="598" spans="1:1" x14ac:dyDescent="0.25">
      <c r="A598" s="94"/>
    </row>
    <row r="599" spans="1:1" x14ac:dyDescent="0.25">
      <c r="A599" s="94"/>
    </row>
    <row r="600" spans="1:1" x14ac:dyDescent="0.25">
      <c r="A600" s="94"/>
    </row>
    <row r="601" spans="1:1" x14ac:dyDescent="0.25">
      <c r="A601" s="94"/>
    </row>
    <row r="602" spans="1:1" x14ac:dyDescent="0.25">
      <c r="A602" s="94"/>
    </row>
    <row r="603" spans="1:1" x14ac:dyDescent="0.25">
      <c r="A603" s="94"/>
    </row>
    <row r="604" spans="1:1" x14ac:dyDescent="0.25">
      <c r="A604" s="94"/>
    </row>
    <row r="605" spans="1:1" x14ac:dyDescent="0.25">
      <c r="A605" s="94"/>
    </row>
    <row r="606" spans="1:1" x14ac:dyDescent="0.25">
      <c r="A606" s="94"/>
    </row>
    <row r="607" spans="1:1" x14ac:dyDescent="0.25">
      <c r="A607" s="94"/>
    </row>
    <row r="608" spans="1:1" x14ac:dyDescent="0.25">
      <c r="A608" s="94"/>
    </row>
    <row r="609" spans="1:1" x14ac:dyDescent="0.25">
      <c r="A609" s="94"/>
    </row>
    <row r="610" spans="1:1" x14ac:dyDescent="0.25">
      <c r="A610" s="94"/>
    </row>
    <row r="611" spans="1:1" x14ac:dyDescent="0.25">
      <c r="A611" s="94"/>
    </row>
    <row r="612" spans="1:1" x14ac:dyDescent="0.25">
      <c r="A612" s="94"/>
    </row>
    <row r="613" spans="1:1" x14ac:dyDescent="0.25">
      <c r="A613" s="94"/>
    </row>
    <row r="614" spans="1:1" x14ac:dyDescent="0.25">
      <c r="A614" s="94"/>
    </row>
    <row r="615" spans="1:1" x14ac:dyDescent="0.25">
      <c r="A615" s="94"/>
    </row>
    <row r="616" spans="1:1" x14ac:dyDescent="0.25">
      <c r="A616" s="94"/>
    </row>
    <row r="617" spans="1:1" x14ac:dyDescent="0.25">
      <c r="A617" s="94"/>
    </row>
    <row r="618" spans="1:1" x14ac:dyDescent="0.25">
      <c r="A618" s="94"/>
    </row>
    <row r="619" spans="1:1" x14ac:dyDescent="0.25">
      <c r="A619" s="94"/>
    </row>
    <row r="620" spans="1:1" x14ac:dyDescent="0.25">
      <c r="A620" s="94"/>
    </row>
    <row r="621" spans="1:1" x14ac:dyDescent="0.25">
      <c r="A621" s="94"/>
    </row>
    <row r="622" spans="1:1" x14ac:dyDescent="0.25">
      <c r="A622" s="94"/>
    </row>
    <row r="623" spans="1:1" x14ac:dyDescent="0.25">
      <c r="A623" s="94"/>
    </row>
    <row r="624" spans="1:1" x14ac:dyDescent="0.25">
      <c r="A624" s="94"/>
    </row>
    <row r="625" spans="1:1" x14ac:dyDescent="0.25">
      <c r="A625" s="94"/>
    </row>
    <row r="626" spans="1:1" x14ac:dyDescent="0.25">
      <c r="A626" s="94"/>
    </row>
    <row r="627" spans="1:1" x14ac:dyDescent="0.25">
      <c r="A627" s="94"/>
    </row>
    <row r="628" spans="1:1" x14ac:dyDescent="0.25">
      <c r="A628" s="94"/>
    </row>
    <row r="629" spans="1:1" x14ac:dyDescent="0.25">
      <c r="A629" s="94"/>
    </row>
    <row r="630" spans="1:1" x14ac:dyDescent="0.25">
      <c r="A630" s="94"/>
    </row>
    <row r="631" spans="1:1" x14ac:dyDescent="0.25">
      <c r="A631" s="94"/>
    </row>
    <row r="632" spans="1:1" x14ac:dyDescent="0.25">
      <c r="A632" s="94"/>
    </row>
    <row r="633" spans="1:1" x14ac:dyDescent="0.25">
      <c r="A633" s="94"/>
    </row>
    <row r="634" spans="1:1" x14ac:dyDescent="0.25">
      <c r="A634" s="94"/>
    </row>
    <row r="635" spans="1:1" x14ac:dyDescent="0.25">
      <c r="A635" s="94"/>
    </row>
    <row r="636" spans="1:1" x14ac:dyDescent="0.25">
      <c r="A636" s="94"/>
    </row>
    <row r="637" spans="1:1" x14ac:dyDescent="0.25">
      <c r="A637" s="94"/>
    </row>
    <row r="638" spans="1:1" x14ac:dyDescent="0.25">
      <c r="A638" s="94"/>
    </row>
    <row r="639" spans="1:1" x14ac:dyDescent="0.25">
      <c r="A639" s="94"/>
    </row>
    <row r="640" spans="1:1" x14ac:dyDescent="0.25">
      <c r="A640" s="94"/>
    </row>
    <row r="641" spans="1:1" x14ac:dyDescent="0.25">
      <c r="A641" s="94"/>
    </row>
    <row r="642" spans="1:1" x14ac:dyDescent="0.25">
      <c r="A642" s="94"/>
    </row>
    <row r="643" spans="1:1" x14ac:dyDescent="0.25">
      <c r="A643" s="94"/>
    </row>
    <row r="644" spans="1:1" x14ac:dyDescent="0.25">
      <c r="A644" s="94"/>
    </row>
    <row r="645" spans="1:1" x14ac:dyDescent="0.25">
      <c r="A645" s="94"/>
    </row>
    <row r="646" spans="1:1" x14ac:dyDescent="0.25">
      <c r="A646" s="94"/>
    </row>
    <row r="647" spans="1:1" x14ac:dyDescent="0.25">
      <c r="A647" s="94"/>
    </row>
    <row r="648" spans="1:1" x14ac:dyDescent="0.25">
      <c r="A648" s="94"/>
    </row>
    <row r="649" spans="1:1" x14ac:dyDescent="0.25">
      <c r="A649" s="94"/>
    </row>
    <row r="650" spans="1:1" x14ac:dyDescent="0.25">
      <c r="A650" s="94"/>
    </row>
    <row r="651" spans="1:1" x14ac:dyDescent="0.25">
      <c r="A651" s="94"/>
    </row>
    <row r="652" spans="1:1" x14ac:dyDescent="0.25">
      <c r="A652" s="94"/>
    </row>
    <row r="653" spans="1:1" x14ac:dyDescent="0.25">
      <c r="A653" s="94"/>
    </row>
    <row r="654" spans="1:1" x14ac:dyDescent="0.25">
      <c r="A654" s="94"/>
    </row>
    <row r="655" spans="1:1" x14ac:dyDescent="0.25">
      <c r="A655" s="94"/>
    </row>
    <row r="656" spans="1:1" x14ac:dyDescent="0.25">
      <c r="A656" s="94"/>
    </row>
    <row r="657" spans="1:1" x14ac:dyDescent="0.25">
      <c r="A657" s="94"/>
    </row>
    <row r="658" spans="1:1" x14ac:dyDescent="0.25">
      <c r="A658" s="94"/>
    </row>
    <row r="659" spans="1:1" x14ac:dyDescent="0.25">
      <c r="A659" s="94"/>
    </row>
    <row r="660" spans="1:1" x14ac:dyDescent="0.25">
      <c r="A660" s="94"/>
    </row>
    <row r="661" spans="1:1" x14ac:dyDescent="0.25">
      <c r="A661" s="94"/>
    </row>
    <row r="662" spans="1:1" x14ac:dyDescent="0.25">
      <c r="A662" s="94"/>
    </row>
    <row r="663" spans="1:1" x14ac:dyDescent="0.25">
      <c r="A663" s="94"/>
    </row>
    <row r="664" spans="1:1" x14ac:dyDescent="0.25">
      <c r="A664" s="94"/>
    </row>
    <row r="665" spans="1:1" x14ac:dyDescent="0.25">
      <c r="A665" s="94"/>
    </row>
    <row r="666" spans="1:1" x14ac:dyDescent="0.25">
      <c r="A666" s="94"/>
    </row>
    <row r="667" spans="1:1" x14ac:dyDescent="0.25">
      <c r="A667" s="94"/>
    </row>
    <row r="668" spans="1:1" x14ac:dyDescent="0.25">
      <c r="A668" s="94"/>
    </row>
    <row r="669" spans="1:1" x14ac:dyDescent="0.25">
      <c r="A669" s="94"/>
    </row>
    <row r="670" spans="1:1" x14ac:dyDescent="0.25">
      <c r="A670" s="94"/>
    </row>
    <row r="671" spans="1:1" x14ac:dyDescent="0.25">
      <c r="A671" s="94"/>
    </row>
    <row r="672" spans="1:1" x14ac:dyDescent="0.25">
      <c r="A672" s="94"/>
    </row>
    <row r="673" spans="1:1" x14ac:dyDescent="0.25">
      <c r="A673" s="94"/>
    </row>
    <row r="674" spans="1:1" x14ac:dyDescent="0.25">
      <c r="A674" s="94"/>
    </row>
    <row r="675" spans="1:1" x14ac:dyDescent="0.25">
      <c r="A675" s="94"/>
    </row>
    <row r="676" spans="1:1" x14ac:dyDescent="0.25">
      <c r="A676" s="94"/>
    </row>
    <row r="677" spans="1:1" x14ac:dyDescent="0.25">
      <c r="A677" s="94"/>
    </row>
    <row r="678" spans="1:1" x14ac:dyDescent="0.25">
      <c r="A678" s="94"/>
    </row>
    <row r="679" spans="1:1" x14ac:dyDescent="0.25">
      <c r="A679" s="94"/>
    </row>
    <row r="680" spans="1:1" x14ac:dyDescent="0.25">
      <c r="A680" s="94"/>
    </row>
    <row r="681" spans="1:1" x14ac:dyDescent="0.25">
      <c r="A681" s="94"/>
    </row>
    <row r="682" spans="1:1" x14ac:dyDescent="0.25">
      <c r="A682" s="94"/>
    </row>
    <row r="683" spans="1:1" x14ac:dyDescent="0.25">
      <c r="A683" s="94"/>
    </row>
    <row r="684" spans="1:1" x14ac:dyDescent="0.25">
      <c r="A684" s="94"/>
    </row>
    <row r="685" spans="1:1" x14ac:dyDescent="0.25">
      <c r="A685" s="94"/>
    </row>
    <row r="686" spans="1:1" x14ac:dyDescent="0.25">
      <c r="A686" s="94"/>
    </row>
    <row r="687" spans="1:1" x14ac:dyDescent="0.25">
      <c r="A687" s="94"/>
    </row>
    <row r="688" spans="1:1" x14ac:dyDescent="0.25">
      <c r="A688" s="94"/>
    </row>
    <row r="689" spans="1:1" x14ac:dyDescent="0.25">
      <c r="A689" s="94"/>
    </row>
    <row r="690" spans="1:1" x14ac:dyDescent="0.25">
      <c r="A690" s="94"/>
    </row>
    <row r="691" spans="1:1" x14ac:dyDescent="0.25">
      <c r="A691" s="94"/>
    </row>
    <row r="692" spans="1:1" x14ac:dyDescent="0.25">
      <c r="A692" s="94"/>
    </row>
    <row r="693" spans="1:1" x14ac:dyDescent="0.25">
      <c r="A693" s="94"/>
    </row>
    <row r="694" spans="1:1" x14ac:dyDescent="0.25">
      <c r="A694" s="94"/>
    </row>
    <row r="695" spans="1:1" x14ac:dyDescent="0.25">
      <c r="A695" s="94"/>
    </row>
    <row r="696" spans="1:1" x14ac:dyDescent="0.25">
      <c r="A696" s="94"/>
    </row>
    <row r="697" spans="1:1" x14ac:dyDescent="0.25">
      <c r="A697" s="94"/>
    </row>
    <row r="698" spans="1:1" x14ac:dyDescent="0.25">
      <c r="A698" s="94"/>
    </row>
    <row r="699" spans="1:1" x14ac:dyDescent="0.25">
      <c r="A699" s="94"/>
    </row>
    <row r="700" spans="1:1" x14ac:dyDescent="0.25">
      <c r="A700" s="94"/>
    </row>
    <row r="701" spans="1:1" x14ac:dyDescent="0.25">
      <c r="A701" s="94"/>
    </row>
    <row r="702" spans="1:1" x14ac:dyDescent="0.25">
      <c r="A702" s="94"/>
    </row>
    <row r="703" spans="1:1" x14ac:dyDescent="0.25">
      <c r="A703" s="94"/>
    </row>
    <row r="704" spans="1:1" x14ac:dyDescent="0.25">
      <c r="A704" s="94"/>
    </row>
    <row r="705" spans="1:1" x14ac:dyDescent="0.25">
      <c r="A705" s="94"/>
    </row>
    <row r="706" spans="1:1" x14ac:dyDescent="0.25">
      <c r="A706" s="94"/>
    </row>
    <row r="707" spans="1:1" x14ac:dyDescent="0.25">
      <c r="A707" s="94"/>
    </row>
    <row r="708" spans="1:1" x14ac:dyDescent="0.25">
      <c r="A708" s="94"/>
    </row>
    <row r="709" spans="1:1" x14ac:dyDescent="0.25">
      <c r="A709" s="94"/>
    </row>
    <row r="710" spans="1:1" x14ac:dyDescent="0.25">
      <c r="A710" s="94"/>
    </row>
    <row r="711" spans="1:1" x14ac:dyDescent="0.25">
      <c r="A711" s="94"/>
    </row>
    <row r="712" spans="1:1" x14ac:dyDescent="0.25">
      <c r="A712" s="94"/>
    </row>
    <row r="713" spans="1:1" x14ac:dyDescent="0.25">
      <c r="A713" s="94"/>
    </row>
    <row r="714" spans="1:1" x14ac:dyDescent="0.25">
      <c r="A714" s="94"/>
    </row>
    <row r="715" spans="1:1" x14ac:dyDescent="0.25">
      <c r="A715" s="94"/>
    </row>
    <row r="716" spans="1:1" x14ac:dyDescent="0.25">
      <c r="A716" s="94"/>
    </row>
    <row r="717" spans="1:1" x14ac:dyDescent="0.25">
      <c r="A717" s="94"/>
    </row>
    <row r="718" spans="1:1" x14ac:dyDescent="0.25">
      <c r="A718" s="94"/>
    </row>
    <row r="719" spans="1:1" x14ac:dyDescent="0.25">
      <c r="A719" s="94"/>
    </row>
    <row r="720" spans="1:1" x14ac:dyDescent="0.25">
      <c r="A720" s="94"/>
    </row>
    <row r="721" spans="1:1" x14ac:dyDescent="0.25">
      <c r="A721" s="94"/>
    </row>
    <row r="722" spans="1:1" x14ac:dyDescent="0.25">
      <c r="A722" s="94"/>
    </row>
    <row r="723" spans="1:1" x14ac:dyDescent="0.25">
      <c r="A723" s="94"/>
    </row>
    <row r="724" spans="1:1" x14ac:dyDescent="0.25">
      <c r="A724" s="94"/>
    </row>
    <row r="725" spans="1:1" x14ac:dyDescent="0.25">
      <c r="A725" s="94"/>
    </row>
    <row r="726" spans="1:1" x14ac:dyDescent="0.25">
      <c r="A726" s="94"/>
    </row>
    <row r="727" spans="1:1" x14ac:dyDescent="0.25">
      <c r="A727" s="94"/>
    </row>
    <row r="728" spans="1:1" x14ac:dyDescent="0.25">
      <c r="A728" s="94"/>
    </row>
    <row r="729" spans="1:1" x14ac:dyDescent="0.25">
      <c r="A729" s="94"/>
    </row>
    <row r="730" spans="1:1" x14ac:dyDescent="0.25">
      <c r="A730" s="94"/>
    </row>
    <row r="731" spans="1:1" x14ac:dyDescent="0.25">
      <c r="A731" s="94"/>
    </row>
    <row r="732" spans="1:1" x14ac:dyDescent="0.25">
      <c r="A732" s="94"/>
    </row>
    <row r="733" spans="1:1" x14ac:dyDescent="0.25">
      <c r="A733" s="94"/>
    </row>
    <row r="734" spans="1:1" x14ac:dyDescent="0.25">
      <c r="A734" s="94"/>
    </row>
    <row r="735" spans="1:1" x14ac:dyDescent="0.25">
      <c r="A735" s="94"/>
    </row>
    <row r="736" spans="1:1" x14ac:dyDescent="0.25">
      <c r="A736" s="94"/>
    </row>
    <row r="737" spans="1:1" x14ac:dyDescent="0.25">
      <c r="A737" s="94"/>
    </row>
    <row r="738" spans="1:1" x14ac:dyDescent="0.25">
      <c r="A738" s="94"/>
    </row>
    <row r="739" spans="1:1" x14ac:dyDescent="0.25">
      <c r="A739" s="94"/>
    </row>
    <row r="740" spans="1:1" x14ac:dyDescent="0.25">
      <c r="A740" s="94"/>
    </row>
    <row r="741" spans="1:1" x14ac:dyDescent="0.25">
      <c r="A741" s="94"/>
    </row>
    <row r="742" spans="1:1" x14ac:dyDescent="0.25">
      <c r="A742" s="94"/>
    </row>
    <row r="743" spans="1:1" x14ac:dyDescent="0.25">
      <c r="A743" s="94"/>
    </row>
    <row r="744" spans="1:1" x14ac:dyDescent="0.25">
      <c r="A744" s="94"/>
    </row>
    <row r="745" spans="1:1" x14ac:dyDescent="0.25">
      <c r="A745" s="94"/>
    </row>
    <row r="746" spans="1:1" x14ac:dyDescent="0.25">
      <c r="A746" s="94"/>
    </row>
    <row r="747" spans="1:1" x14ac:dyDescent="0.25">
      <c r="A747" s="94"/>
    </row>
    <row r="748" spans="1:1" x14ac:dyDescent="0.25">
      <c r="A748" s="94"/>
    </row>
    <row r="749" spans="1:1" x14ac:dyDescent="0.25">
      <c r="A749" s="94"/>
    </row>
    <row r="750" spans="1:1" x14ac:dyDescent="0.25">
      <c r="A750" s="94"/>
    </row>
    <row r="751" spans="1:1" x14ac:dyDescent="0.25">
      <c r="A751" s="94"/>
    </row>
    <row r="752" spans="1:1" x14ac:dyDescent="0.25">
      <c r="A752" s="94"/>
    </row>
    <row r="753" spans="1:1" x14ac:dyDescent="0.25">
      <c r="A753" s="94"/>
    </row>
    <row r="754" spans="1:1" x14ac:dyDescent="0.25">
      <c r="A754" s="94"/>
    </row>
    <row r="755" spans="1:1" x14ac:dyDescent="0.25">
      <c r="A755" s="94"/>
    </row>
    <row r="756" spans="1:1" x14ac:dyDescent="0.25">
      <c r="A756" s="94"/>
    </row>
    <row r="757" spans="1:1" x14ac:dyDescent="0.25">
      <c r="A757" s="94"/>
    </row>
    <row r="758" spans="1:1" x14ac:dyDescent="0.25">
      <c r="A758" s="94"/>
    </row>
    <row r="759" spans="1:1" x14ac:dyDescent="0.25">
      <c r="A759" s="94"/>
    </row>
    <row r="760" spans="1:1" x14ac:dyDescent="0.25">
      <c r="A760" s="94"/>
    </row>
    <row r="761" spans="1:1" x14ac:dyDescent="0.25">
      <c r="A761" s="94"/>
    </row>
    <row r="762" spans="1:1" x14ac:dyDescent="0.25">
      <c r="A762" s="94"/>
    </row>
    <row r="763" spans="1:1" x14ac:dyDescent="0.25">
      <c r="A763" s="94"/>
    </row>
    <row r="764" spans="1:1" x14ac:dyDescent="0.25">
      <c r="A764" s="94"/>
    </row>
    <row r="765" spans="1:1" x14ac:dyDescent="0.25">
      <c r="A765" s="94"/>
    </row>
    <row r="766" spans="1:1" x14ac:dyDescent="0.25">
      <c r="A766" s="94"/>
    </row>
    <row r="767" spans="1:1" x14ac:dyDescent="0.25">
      <c r="A767" s="94"/>
    </row>
    <row r="768" spans="1:1" x14ac:dyDescent="0.25">
      <c r="A768" s="94"/>
    </row>
    <row r="769" spans="1:1" x14ac:dyDescent="0.25">
      <c r="A769" s="94"/>
    </row>
    <row r="770" spans="1:1" x14ac:dyDescent="0.25">
      <c r="A770" s="94"/>
    </row>
    <row r="771" spans="1:1" x14ac:dyDescent="0.25">
      <c r="A771" s="94"/>
    </row>
    <row r="772" spans="1:1" x14ac:dyDescent="0.25">
      <c r="A772" s="94"/>
    </row>
    <row r="773" spans="1:1" x14ac:dyDescent="0.25">
      <c r="A773" s="94"/>
    </row>
    <row r="774" spans="1:1" x14ac:dyDescent="0.25">
      <c r="A774" s="94"/>
    </row>
    <row r="775" spans="1:1" x14ac:dyDescent="0.25">
      <c r="A775" s="94"/>
    </row>
    <row r="776" spans="1:1" x14ac:dyDescent="0.25">
      <c r="A776" s="94"/>
    </row>
    <row r="777" spans="1:1" x14ac:dyDescent="0.25">
      <c r="A777" s="94"/>
    </row>
    <row r="778" spans="1:1" x14ac:dyDescent="0.25">
      <c r="A778" s="94"/>
    </row>
    <row r="779" spans="1:1" x14ac:dyDescent="0.25">
      <c r="A779" s="94"/>
    </row>
    <row r="780" spans="1:1" x14ac:dyDescent="0.25">
      <c r="A780" s="94"/>
    </row>
    <row r="781" spans="1:1" x14ac:dyDescent="0.25">
      <c r="A781" s="94"/>
    </row>
    <row r="782" spans="1:1" x14ac:dyDescent="0.25">
      <c r="A782" s="94"/>
    </row>
    <row r="783" spans="1:1" x14ac:dyDescent="0.25">
      <c r="A783" s="94"/>
    </row>
    <row r="784" spans="1:1" x14ac:dyDescent="0.25">
      <c r="A784" s="94"/>
    </row>
    <row r="785" spans="1:1" x14ac:dyDescent="0.25">
      <c r="A785" s="94"/>
    </row>
    <row r="786" spans="1:1" x14ac:dyDescent="0.25">
      <c r="A786" s="94"/>
    </row>
    <row r="787" spans="1:1" x14ac:dyDescent="0.25">
      <c r="A787" s="94"/>
    </row>
    <row r="788" spans="1:1" x14ac:dyDescent="0.25">
      <c r="A788" s="94"/>
    </row>
    <row r="789" spans="1:1" x14ac:dyDescent="0.25">
      <c r="A789" s="94"/>
    </row>
    <row r="790" spans="1:1" x14ac:dyDescent="0.25">
      <c r="A790" s="94"/>
    </row>
    <row r="791" spans="1:1" x14ac:dyDescent="0.25">
      <c r="A791" s="94"/>
    </row>
    <row r="792" spans="1:1" x14ac:dyDescent="0.25">
      <c r="A792" s="94"/>
    </row>
    <row r="793" spans="1:1" x14ac:dyDescent="0.25">
      <c r="A793" s="94"/>
    </row>
    <row r="794" spans="1:1" x14ac:dyDescent="0.25">
      <c r="A794" s="94"/>
    </row>
    <row r="795" spans="1:1" x14ac:dyDescent="0.25">
      <c r="A795" s="94"/>
    </row>
    <row r="796" spans="1:1" x14ac:dyDescent="0.25">
      <c r="A796" s="94"/>
    </row>
    <row r="797" spans="1:1" x14ac:dyDescent="0.25">
      <c r="A797" s="94"/>
    </row>
    <row r="798" spans="1:1" x14ac:dyDescent="0.25">
      <c r="A798" s="94"/>
    </row>
    <row r="799" spans="1:1" x14ac:dyDescent="0.25">
      <c r="A799" s="94"/>
    </row>
    <row r="800" spans="1:1" x14ac:dyDescent="0.25">
      <c r="A800" s="94"/>
    </row>
    <row r="801" spans="1:1" x14ac:dyDescent="0.25">
      <c r="A801" s="94"/>
    </row>
    <row r="802" spans="1:1" x14ac:dyDescent="0.25">
      <c r="A802" s="94"/>
    </row>
    <row r="803" spans="1:1" x14ac:dyDescent="0.25">
      <c r="A803" s="94"/>
    </row>
    <row r="804" spans="1:1" x14ac:dyDescent="0.25">
      <c r="A804" s="94"/>
    </row>
    <row r="805" spans="1:1" x14ac:dyDescent="0.25">
      <c r="A805" s="94"/>
    </row>
    <row r="806" spans="1:1" x14ac:dyDescent="0.25">
      <c r="A806" s="94"/>
    </row>
    <row r="807" spans="1:1" x14ac:dyDescent="0.25">
      <c r="A807" s="94"/>
    </row>
    <row r="808" spans="1:1" x14ac:dyDescent="0.25">
      <c r="A808" s="94"/>
    </row>
    <row r="809" spans="1:1" x14ac:dyDescent="0.25">
      <c r="A809" s="94"/>
    </row>
    <row r="810" spans="1:1" x14ac:dyDescent="0.25">
      <c r="A810" s="94"/>
    </row>
    <row r="811" spans="1:1" x14ac:dyDescent="0.25">
      <c r="A811" s="94"/>
    </row>
    <row r="812" spans="1:1" x14ac:dyDescent="0.25">
      <c r="A812" s="94"/>
    </row>
    <row r="813" spans="1:1" x14ac:dyDescent="0.25">
      <c r="A813" s="94"/>
    </row>
    <row r="814" spans="1:1" x14ac:dyDescent="0.25">
      <c r="A814" s="94"/>
    </row>
    <row r="815" spans="1:1" x14ac:dyDescent="0.25">
      <c r="A815" s="94"/>
    </row>
    <row r="816" spans="1:1" x14ac:dyDescent="0.25">
      <c r="A816" s="94"/>
    </row>
    <row r="817" spans="1:1" x14ac:dyDescent="0.25">
      <c r="A817" s="94"/>
    </row>
    <row r="818" spans="1:1" x14ac:dyDescent="0.25">
      <c r="A818" s="94"/>
    </row>
    <row r="819" spans="1:1" x14ac:dyDescent="0.25">
      <c r="A819" s="94"/>
    </row>
    <row r="820" spans="1:1" x14ac:dyDescent="0.25">
      <c r="A820" s="94"/>
    </row>
    <row r="821" spans="1:1" x14ac:dyDescent="0.25">
      <c r="A821" s="94"/>
    </row>
    <row r="822" spans="1:1" x14ac:dyDescent="0.25">
      <c r="A822" s="94"/>
    </row>
    <row r="823" spans="1:1" x14ac:dyDescent="0.25">
      <c r="A823" s="94"/>
    </row>
    <row r="824" spans="1:1" x14ac:dyDescent="0.25">
      <c r="A824" s="94"/>
    </row>
    <row r="825" spans="1:1" x14ac:dyDescent="0.25">
      <c r="A825" s="94"/>
    </row>
    <row r="826" spans="1:1" x14ac:dyDescent="0.25">
      <c r="A826" s="94"/>
    </row>
    <row r="827" spans="1:1" x14ac:dyDescent="0.25">
      <c r="A827" s="94"/>
    </row>
    <row r="828" spans="1:1" x14ac:dyDescent="0.25">
      <c r="A828" s="94"/>
    </row>
    <row r="829" spans="1:1" x14ac:dyDescent="0.25">
      <c r="A829" s="94"/>
    </row>
    <row r="830" spans="1:1" x14ac:dyDescent="0.25">
      <c r="A830" s="94"/>
    </row>
    <row r="831" spans="1:1" x14ac:dyDescent="0.25">
      <c r="A831" s="94"/>
    </row>
    <row r="832" spans="1:1" x14ac:dyDescent="0.25">
      <c r="A832" s="94"/>
    </row>
    <row r="833" spans="1:1" x14ac:dyDescent="0.25">
      <c r="A833" s="94"/>
    </row>
    <row r="834" spans="1:1" x14ac:dyDescent="0.25">
      <c r="A834" s="94"/>
    </row>
    <row r="835" spans="1:1" x14ac:dyDescent="0.25">
      <c r="A835" s="94"/>
    </row>
    <row r="836" spans="1:1" x14ac:dyDescent="0.25">
      <c r="A836" s="94"/>
    </row>
    <row r="837" spans="1:1" x14ac:dyDescent="0.25">
      <c r="A837" s="94"/>
    </row>
    <row r="838" spans="1:1" x14ac:dyDescent="0.25">
      <c r="A838" s="94"/>
    </row>
    <row r="839" spans="1:1" x14ac:dyDescent="0.25">
      <c r="A839" s="94"/>
    </row>
    <row r="840" spans="1:1" x14ac:dyDescent="0.25">
      <c r="A840" s="94"/>
    </row>
    <row r="841" spans="1:1" x14ac:dyDescent="0.25">
      <c r="A841" s="94"/>
    </row>
    <row r="842" spans="1:1" x14ac:dyDescent="0.25">
      <c r="A842" s="94"/>
    </row>
    <row r="843" spans="1:1" x14ac:dyDescent="0.25">
      <c r="A843" s="94"/>
    </row>
    <row r="844" spans="1:1" x14ac:dyDescent="0.25">
      <c r="A844" s="94"/>
    </row>
    <row r="845" spans="1:1" x14ac:dyDescent="0.25">
      <c r="A845" s="94"/>
    </row>
    <row r="846" spans="1:1" x14ac:dyDescent="0.25">
      <c r="A846" s="94"/>
    </row>
    <row r="847" spans="1:1" x14ac:dyDescent="0.25">
      <c r="A847" s="94"/>
    </row>
    <row r="848" spans="1:1" x14ac:dyDescent="0.25">
      <c r="A848" s="94"/>
    </row>
    <row r="849" spans="1:1" x14ac:dyDescent="0.25">
      <c r="A849" s="94"/>
    </row>
    <row r="850" spans="1:1" x14ac:dyDescent="0.25">
      <c r="A850" s="94"/>
    </row>
    <row r="851" spans="1:1" x14ac:dyDescent="0.25">
      <c r="A851" s="94"/>
    </row>
    <row r="852" spans="1:1" x14ac:dyDescent="0.25">
      <c r="A852" s="94"/>
    </row>
    <row r="853" spans="1:1" x14ac:dyDescent="0.25">
      <c r="A853" s="94"/>
    </row>
    <row r="854" spans="1:1" x14ac:dyDescent="0.25">
      <c r="A854" s="94"/>
    </row>
    <row r="855" spans="1:1" x14ac:dyDescent="0.25">
      <c r="A855" s="94"/>
    </row>
    <row r="856" spans="1:1" x14ac:dyDescent="0.25">
      <c r="A856" s="94"/>
    </row>
    <row r="857" spans="1:1" x14ac:dyDescent="0.25">
      <c r="A857" s="94"/>
    </row>
    <row r="858" spans="1:1" x14ac:dyDescent="0.25">
      <c r="A858" s="94"/>
    </row>
    <row r="859" spans="1:1" x14ac:dyDescent="0.25">
      <c r="A859" s="94"/>
    </row>
    <row r="860" spans="1:1" x14ac:dyDescent="0.25">
      <c r="A860" s="94"/>
    </row>
    <row r="861" spans="1:1" x14ac:dyDescent="0.25">
      <c r="A861" s="94"/>
    </row>
    <row r="862" spans="1:1" x14ac:dyDescent="0.25">
      <c r="A862" s="94"/>
    </row>
    <row r="863" spans="1:1" x14ac:dyDescent="0.25">
      <c r="A863" s="94"/>
    </row>
    <row r="864" spans="1:1" x14ac:dyDescent="0.25">
      <c r="A864" s="94"/>
    </row>
    <row r="865" spans="1:1" x14ac:dyDescent="0.25">
      <c r="A865" s="94"/>
    </row>
    <row r="866" spans="1:1" x14ac:dyDescent="0.25">
      <c r="A866" s="94"/>
    </row>
    <row r="867" spans="1:1" x14ac:dyDescent="0.25">
      <c r="A867" s="94"/>
    </row>
    <row r="868" spans="1:1" x14ac:dyDescent="0.25">
      <c r="A868" s="94"/>
    </row>
    <row r="869" spans="1:1" x14ac:dyDescent="0.25">
      <c r="A869" s="94"/>
    </row>
    <row r="870" spans="1:1" x14ac:dyDescent="0.25">
      <c r="A870" s="94"/>
    </row>
    <row r="871" spans="1:1" x14ac:dyDescent="0.25">
      <c r="A871" s="94"/>
    </row>
    <row r="872" spans="1:1" x14ac:dyDescent="0.25">
      <c r="A872" s="94"/>
    </row>
    <row r="873" spans="1:1" x14ac:dyDescent="0.25">
      <c r="A873" s="94"/>
    </row>
    <row r="874" spans="1:1" x14ac:dyDescent="0.25">
      <c r="A874" s="94"/>
    </row>
    <row r="875" spans="1:1" x14ac:dyDescent="0.25">
      <c r="A875" s="94"/>
    </row>
    <row r="876" spans="1:1" x14ac:dyDescent="0.25">
      <c r="A876" s="94"/>
    </row>
    <row r="877" spans="1:1" x14ac:dyDescent="0.25">
      <c r="A877" s="94"/>
    </row>
    <row r="878" spans="1:1" x14ac:dyDescent="0.25">
      <c r="A878" s="94"/>
    </row>
    <row r="879" spans="1:1" x14ac:dyDescent="0.25">
      <c r="A879" s="94"/>
    </row>
    <row r="880" spans="1:1" x14ac:dyDescent="0.25">
      <c r="A880" s="94"/>
    </row>
    <row r="881" spans="1:1" x14ac:dyDescent="0.25">
      <c r="A881" s="94"/>
    </row>
    <row r="882" spans="1:1" x14ac:dyDescent="0.25">
      <c r="A882" s="94"/>
    </row>
    <row r="883" spans="1:1" x14ac:dyDescent="0.25">
      <c r="A883" s="94"/>
    </row>
    <row r="884" spans="1:1" x14ac:dyDescent="0.25">
      <c r="A884" s="94"/>
    </row>
    <row r="885" spans="1:1" x14ac:dyDescent="0.25">
      <c r="A885" s="94"/>
    </row>
    <row r="886" spans="1:1" x14ac:dyDescent="0.25">
      <c r="A886" s="94"/>
    </row>
    <row r="887" spans="1:1" x14ac:dyDescent="0.25">
      <c r="A887" s="94"/>
    </row>
    <row r="888" spans="1:1" x14ac:dyDescent="0.25">
      <c r="A888" s="94"/>
    </row>
    <row r="889" spans="1:1" x14ac:dyDescent="0.25">
      <c r="A889" s="94"/>
    </row>
    <row r="890" spans="1:1" x14ac:dyDescent="0.25">
      <c r="A890" s="94"/>
    </row>
    <row r="891" spans="1:1" x14ac:dyDescent="0.25">
      <c r="A891" s="94"/>
    </row>
    <row r="892" spans="1:1" x14ac:dyDescent="0.25">
      <c r="A892" s="94"/>
    </row>
    <row r="893" spans="1:1" x14ac:dyDescent="0.25">
      <c r="A893" s="94"/>
    </row>
    <row r="894" spans="1:1" x14ac:dyDescent="0.25">
      <c r="A894" s="94"/>
    </row>
    <row r="895" spans="1:1" x14ac:dyDescent="0.25">
      <c r="A895" s="94"/>
    </row>
    <row r="896" spans="1:1" x14ac:dyDescent="0.25">
      <c r="A896" s="94"/>
    </row>
    <row r="897" spans="1:1" x14ac:dyDescent="0.25">
      <c r="A897" s="94"/>
    </row>
    <row r="898" spans="1:1" x14ac:dyDescent="0.25">
      <c r="A898" s="94"/>
    </row>
    <row r="899" spans="1:1" x14ac:dyDescent="0.25">
      <c r="A899" s="94"/>
    </row>
    <row r="900" spans="1:1" x14ac:dyDescent="0.25">
      <c r="A900" s="94"/>
    </row>
    <row r="901" spans="1:1" x14ac:dyDescent="0.25">
      <c r="A901" s="94"/>
    </row>
    <row r="902" spans="1:1" x14ac:dyDescent="0.25">
      <c r="A902" s="94"/>
    </row>
    <row r="903" spans="1:1" x14ac:dyDescent="0.25">
      <c r="A903" s="94"/>
    </row>
    <row r="904" spans="1:1" x14ac:dyDescent="0.25">
      <c r="A904" s="94"/>
    </row>
    <row r="905" spans="1:1" x14ac:dyDescent="0.25">
      <c r="A905" s="94"/>
    </row>
    <row r="906" spans="1:1" x14ac:dyDescent="0.25">
      <c r="A906" s="94"/>
    </row>
    <row r="907" spans="1:1" x14ac:dyDescent="0.25">
      <c r="A907" s="94"/>
    </row>
    <row r="908" spans="1:1" x14ac:dyDescent="0.25">
      <c r="A908" s="94"/>
    </row>
    <row r="909" spans="1:1" x14ac:dyDescent="0.25">
      <c r="A909" s="94"/>
    </row>
    <row r="910" spans="1:1" x14ac:dyDescent="0.25">
      <c r="A910" s="94"/>
    </row>
    <row r="911" spans="1:1" x14ac:dyDescent="0.25">
      <c r="A911" s="94"/>
    </row>
    <row r="912" spans="1:1" x14ac:dyDescent="0.25">
      <c r="A912" s="94"/>
    </row>
    <row r="913" spans="1:1" x14ac:dyDescent="0.25">
      <c r="A913" s="94"/>
    </row>
    <row r="914" spans="1:1" x14ac:dyDescent="0.25">
      <c r="A914" s="94"/>
    </row>
    <row r="915" spans="1:1" x14ac:dyDescent="0.25">
      <c r="A915" s="94"/>
    </row>
    <row r="916" spans="1:1" x14ac:dyDescent="0.25">
      <c r="A916" s="94"/>
    </row>
    <row r="917" spans="1:1" x14ac:dyDescent="0.25">
      <c r="A917" s="94"/>
    </row>
    <row r="918" spans="1:1" x14ac:dyDescent="0.25">
      <c r="A918" s="94"/>
    </row>
    <row r="919" spans="1:1" x14ac:dyDescent="0.25">
      <c r="A919" s="94"/>
    </row>
    <row r="920" spans="1:1" x14ac:dyDescent="0.25">
      <c r="A920" s="94"/>
    </row>
    <row r="921" spans="1:1" x14ac:dyDescent="0.25">
      <c r="A921" s="94"/>
    </row>
    <row r="922" spans="1:1" x14ac:dyDescent="0.25">
      <c r="A922" s="94"/>
    </row>
    <row r="923" spans="1:1" x14ac:dyDescent="0.25">
      <c r="A923" s="94"/>
    </row>
    <row r="924" spans="1:1" x14ac:dyDescent="0.25">
      <c r="A924" s="94"/>
    </row>
    <row r="925" spans="1:1" x14ac:dyDescent="0.25">
      <c r="A925" s="94"/>
    </row>
    <row r="926" spans="1:1" x14ac:dyDescent="0.25">
      <c r="A926" s="94"/>
    </row>
    <row r="927" spans="1:1" x14ac:dyDescent="0.25">
      <c r="A927" s="94"/>
    </row>
    <row r="928" spans="1:1" x14ac:dyDescent="0.25">
      <c r="A928" s="94"/>
    </row>
    <row r="929" spans="1:1" x14ac:dyDescent="0.25">
      <c r="A929" s="94"/>
    </row>
    <row r="930" spans="1:1" x14ac:dyDescent="0.25">
      <c r="A930" s="94"/>
    </row>
    <row r="931" spans="1:1" x14ac:dyDescent="0.25">
      <c r="A931" s="94"/>
    </row>
    <row r="932" spans="1:1" x14ac:dyDescent="0.25">
      <c r="A932" s="94"/>
    </row>
    <row r="933" spans="1:1" x14ac:dyDescent="0.25">
      <c r="A933" s="94"/>
    </row>
    <row r="934" spans="1:1" x14ac:dyDescent="0.25">
      <c r="A934" s="94"/>
    </row>
    <row r="935" spans="1:1" x14ac:dyDescent="0.25">
      <c r="A935" s="94"/>
    </row>
    <row r="936" spans="1:1" x14ac:dyDescent="0.25">
      <c r="A936" s="94"/>
    </row>
    <row r="937" spans="1:1" x14ac:dyDescent="0.25">
      <c r="A937" s="94"/>
    </row>
    <row r="938" spans="1:1" x14ac:dyDescent="0.25">
      <c r="A938" s="94"/>
    </row>
    <row r="939" spans="1:1" x14ac:dyDescent="0.25">
      <c r="A939" s="94"/>
    </row>
    <row r="940" spans="1:1" x14ac:dyDescent="0.25">
      <c r="A940" s="94"/>
    </row>
    <row r="941" spans="1:1" x14ac:dyDescent="0.25">
      <c r="A941" s="94"/>
    </row>
    <row r="942" spans="1:1" x14ac:dyDescent="0.25">
      <c r="A942" s="94"/>
    </row>
    <row r="943" spans="1:1" x14ac:dyDescent="0.25">
      <c r="A943" s="94"/>
    </row>
    <row r="944" spans="1:1" x14ac:dyDescent="0.25">
      <c r="A944" s="94"/>
    </row>
    <row r="945" spans="1:1" x14ac:dyDescent="0.25">
      <c r="A945" s="94"/>
    </row>
    <row r="946" spans="1:1" x14ac:dyDescent="0.25">
      <c r="A946" s="94"/>
    </row>
    <row r="947" spans="1:1" x14ac:dyDescent="0.25">
      <c r="A947" s="94"/>
    </row>
    <row r="948" spans="1:1" x14ac:dyDescent="0.25">
      <c r="A948" s="94"/>
    </row>
    <row r="949" spans="1:1" x14ac:dyDescent="0.25">
      <c r="A949" s="94"/>
    </row>
    <row r="950" spans="1:1" x14ac:dyDescent="0.25">
      <c r="A950" s="94"/>
    </row>
    <row r="951" spans="1:1" x14ac:dyDescent="0.25">
      <c r="A951" s="94"/>
    </row>
    <row r="952" spans="1:1" x14ac:dyDescent="0.25">
      <c r="A952" s="94"/>
    </row>
    <row r="953" spans="1:1" x14ac:dyDescent="0.25">
      <c r="A953" s="94"/>
    </row>
    <row r="954" spans="1:1" x14ac:dyDescent="0.25">
      <c r="A954" s="94"/>
    </row>
    <row r="955" spans="1:1" x14ac:dyDescent="0.25">
      <c r="A955" s="94"/>
    </row>
    <row r="956" spans="1:1" x14ac:dyDescent="0.25">
      <c r="A956" s="94"/>
    </row>
    <row r="957" spans="1:1" x14ac:dyDescent="0.25">
      <c r="A957" s="94"/>
    </row>
    <row r="958" spans="1:1" x14ac:dyDescent="0.25">
      <c r="A958" s="94"/>
    </row>
    <row r="959" spans="1:1" x14ac:dyDescent="0.25">
      <c r="A959" s="94"/>
    </row>
    <row r="960" spans="1:1" x14ac:dyDescent="0.25">
      <c r="A960" s="94"/>
    </row>
    <row r="961" spans="1:1" x14ac:dyDescent="0.25">
      <c r="A961" s="94"/>
    </row>
    <row r="962" spans="1:1" x14ac:dyDescent="0.25">
      <c r="A962" s="94"/>
    </row>
    <row r="963" spans="1:1" x14ac:dyDescent="0.25">
      <c r="A963" s="94"/>
    </row>
    <row r="964" spans="1:1" x14ac:dyDescent="0.25">
      <c r="A964" s="94"/>
    </row>
    <row r="965" spans="1:1" x14ac:dyDescent="0.25">
      <c r="A965" s="94"/>
    </row>
    <row r="966" spans="1:1" x14ac:dyDescent="0.25">
      <c r="A966" s="94"/>
    </row>
    <row r="967" spans="1:1" x14ac:dyDescent="0.25">
      <c r="A967" s="94"/>
    </row>
    <row r="968" spans="1:1" x14ac:dyDescent="0.25">
      <c r="A968" s="94"/>
    </row>
    <row r="969" spans="1:1" x14ac:dyDescent="0.25">
      <c r="A969" s="94"/>
    </row>
    <row r="970" spans="1:1" x14ac:dyDescent="0.25">
      <c r="A970" s="94"/>
    </row>
    <row r="971" spans="1:1" x14ac:dyDescent="0.25">
      <c r="A971" s="94"/>
    </row>
    <row r="972" spans="1:1" x14ac:dyDescent="0.25">
      <c r="A972" s="94"/>
    </row>
    <row r="973" spans="1:1" x14ac:dyDescent="0.25">
      <c r="A973" s="94"/>
    </row>
    <row r="974" spans="1:1" x14ac:dyDescent="0.25">
      <c r="A974" s="94"/>
    </row>
    <row r="975" spans="1:1" x14ac:dyDescent="0.25">
      <c r="A975" s="94"/>
    </row>
    <row r="976" spans="1:1" x14ac:dyDescent="0.25">
      <c r="A976" s="94"/>
    </row>
    <row r="977" spans="1:1" x14ac:dyDescent="0.25">
      <c r="A977" s="94"/>
    </row>
    <row r="978" spans="1:1" x14ac:dyDescent="0.25">
      <c r="A978" s="94"/>
    </row>
    <row r="979" spans="1:1" x14ac:dyDescent="0.25">
      <c r="A979" s="94"/>
    </row>
    <row r="980" spans="1:1" x14ac:dyDescent="0.25">
      <c r="A980" s="94"/>
    </row>
    <row r="981" spans="1:1" x14ac:dyDescent="0.25">
      <c r="A981" s="94"/>
    </row>
    <row r="982" spans="1:1" x14ac:dyDescent="0.25">
      <c r="A982" s="94"/>
    </row>
    <row r="983" spans="1:1" x14ac:dyDescent="0.25">
      <c r="A983" s="94"/>
    </row>
    <row r="984" spans="1:1" x14ac:dyDescent="0.25">
      <c r="A984" s="94"/>
    </row>
  </sheetData>
  <sortState xmlns:xlrd2="http://schemas.microsoft.com/office/spreadsheetml/2017/richdata2" ref="A3:A910">
    <sortCondition ref="A3:A910"/>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55"/>
  <sheetViews>
    <sheetView zoomScale="85" zoomScaleNormal="85" workbookViewId="0">
      <pane ySplit="2" topLeftCell="A6" activePane="bottomLeft" state="frozen"/>
      <selection pane="bottomLeft" activeCell="I40" sqref="I40"/>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2" customFormat="1" x14ac:dyDescent="0.25">
      <c r="A1" s="120" t="s">
        <v>3777</v>
      </c>
      <c r="B1" s="121"/>
      <c r="C1" s="121"/>
      <c r="D1" s="121"/>
      <c r="E1" s="121"/>
      <c r="F1" s="121"/>
      <c r="G1" s="121"/>
      <c r="H1" s="121"/>
      <c r="I1" s="121"/>
      <c r="J1" s="121"/>
      <c r="K1" s="121"/>
      <c r="L1" s="121"/>
    </row>
    <row r="2" spans="1:15" ht="30" x14ac:dyDescent="0.25">
      <c r="A2" s="3" t="s">
        <v>85</v>
      </c>
      <c r="B2" s="1" t="s">
        <v>1454</v>
      </c>
      <c r="C2" s="1" t="s">
        <v>75</v>
      </c>
      <c r="F2" s="3" t="s">
        <v>1464</v>
      </c>
      <c r="G2" s="26" t="s">
        <v>1465</v>
      </c>
      <c r="H2" s="26" t="s">
        <v>1466</v>
      </c>
      <c r="I2" s="3" t="s">
        <v>1523</v>
      </c>
      <c r="J2" s="31" t="s">
        <v>1528</v>
      </c>
      <c r="K2" s="26" t="s">
        <v>1524</v>
      </c>
      <c r="L2" s="26" t="s">
        <v>1525</v>
      </c>
      <c r="M2" s="26" t="s">
        <v>2161</v>
      </c>
      <c r="N2" s="26" t="s">
        <v>2165</v>
      </c>
      <c r="O2" s="26" t="s">
        <v>2166</v>
      </c>
    </row>
    <row r="3" spans="1:15" x14ac:dyDescent="0.25">
      <c r="A3" s="3">
        <v>0</v>
      </c>
      <c r="B3" s="46" t="s">
        <v>3538</v>
      </c>
      <c r="C3" s="46" t="s">
        <v>1678</v>
      </c>
      <c r="F3" s="47" t="s">
        <v>1467</v>
      </c>
      <c r="G3" t="s">
        <v>1677</v>
      </c>
      <c r="H3">
        <v>1</v>
      </c>
      <c r="I3" s="48" t="s">
        <v>1578</v>
      </c>
      <c r="J3">
        <v>1</v>
      </c>
      <c r="K3" t="s">
        <v>1671</v>
      </c>
      <c r="L3" t="s">
        <v>1679</v>
      </c>
      <c r="M3">
        <v>1</v>
      </c>
      <c r="N3" t="s">
        <v>2164</v>
      </c>
      <c r="O3" t="s">
        <v>2175</v>
      </c>
    </row>
    <row r="4" spans="1:15" x14ac:dyDescent="0.25">
      <c r="A4" s="3">
        <v>0</v>
      </c>
      <c r="B4" t="s">
        <v>1439</v>
      </c>
      <c r="C4" s="1" t="s">
        <v>84</v>
      </c>
      <c r="F4" s="8" t="s">
        <v>1468</v>
      </c>
      <c r="G4" t="s">
        <v>1337</v>
      </c>
      <c r="H4">
        <v>1</v>
      </c>
      <c r="I4" s="3" t="s">
        <v>1535</v>
      </c>
      <c r="J4">
        <v>1</v>
      </c>
      <c r="K4" t="s">
        <v>1536</v>
      </c>
      <c r="L4" t="s">
        <v>1537</v>
      </c>
      <c r="M4">
        <v>2</v>
      </c>
      <c r="N4" t="s">
        <v>2167</v>
      </c>
      <c r="O4" t="s">
        <v>2174</v>
      </c>
    </row>
    <row r="5" spans="1:15" x14ac:dyDescent="0.25">
      <c r="A5" s="3">
        <v>1</v>
      </c>
      <c r="B5" t="s">
        <v>1440</v>
      </c>
      <c r="C5" s="2" t="s">
        <v>39</v>
      </c>
      <c r="F5" s="8" t="s">
        <v>1469</v>
      </c>
      <c r="G5" t="s">
        <v>1420</v>
      </c>
      <c r="H5">
        <v>2</v>
      </c>
      <c r="I5" s="3" t="s">
        <v>1527</v>
      </c>
      <c r="J5">
        <v>2</v>
      </c>
      <c r="K5" t="s">
        <v>1531</v>
      </c>
      <c r="L5" t="s">
        <v>1534</v>
      </c>
      <c r="M5">
        <v>4</v>
      </c>
      <c r="N5" t="s">
        <v>2176</v>
      </c>
      <c r="O5" t="s">
        <v>2177</v>
      </c>
    </row>
    <row r="6" spans="1:15" x14ac:dyDescent="0.25">
      <c r="A6" s="3">
        <v>2</v>
      </c>
      <c r="B6" t="s">
        <v>1441</v>
      </c>
      <c r="C6" t="s">
        <v>726</v>
      </c>
      <c r="F6" s="8" t="s">
        <v>1470</v>
      </c>
      <c r="G6" t="s">
        <v>1348</v>
      </c>
      <c r="H6">
        <v>3</v>
      </c>
      <c r="I6" s="3" t="s">
        <v>2765</v>
      </c>
      <c r="J6">
        <v>3</v>
      </c>
      <c r="K6" t="s">
        <v>2766</v>
      </c>
      <c r="L6" t="s">
        <v>1532</v>
      </c>
      <c r="M6">
        <v>5</v>
      </c>
      <c r="N6" t="s">
        <v>2178</v>
      </c>
      <c r="O6" t="s">
        <v>2179</v>
      </c>
    </row>
    <row r="7" spans="1:15" x14ac:dyDescent="0.25">
      <c r="A7" s="3">
        <v>3</v>
      </c>
      <c r="B7" t="s">
        <v>1442</v>
      </c>
      <c r="C7" t="s">
        <v>76</v>
      </c>
      <c r="F7" s="8" t="s">
        <v>1471</v>
      </c>
      <c r="G7" t="s">
        <v>125</v>
      </c>
      <c r="H7">
        <v>4</v>
      </c>
      <c r="I7" s="3" t="s">
        <v>1529</v>
      </c>
      <c r="J7">
        <v>4</v>
      </c>
      <c r="K7" t="s">
        <v>1530</v>
      </c>
      <c r="L7" t="s">
        <v>1533</v>
      </c>
    </row>
    <row r="8" spans="1:15" x14ac:dyDescent="0.25">
      <c r="A8" s="3">
        <v>4</v>
      </c>
      <c r="B8" t="s">
        <v>1443</v>
      </c>
      <c r="C8" t="s">
        <v>77</v>
      </c>
      <c r="F8" s="8" t="s">
        <v>1472</v>
      </c>
      <c r="G8" t="s">
        <v>1480</v>
      </c>
      <c r="H8">
        <v>5</v>
      </c>
      <c r="I8" s="3" t="s">
        <v>1550</v>
      </c>
      <c r="J8">
        <v>5</v>
      </c>
      <c r="K8" t="s">
        <v>1364</v>
      </c>
      <c r="L8" t="s">
        <v>1551</v>
      </c>
    </row>
    <row r="9" spans="1:15" x14ac:dyDescent="0.25">
      <c r="A9" s="3">
        <v>5</v>
      </c>
      <c r="B9" t="s">
        <v>1444</v>
      </c>
      <c r="C9" s="4" t="s">
        <v>38</v>
      </c>
      <c r="F9" s="8" t="s">
        <v>1473</v>
      </c>
      <c r="G9" t="s">
        <v>1355</v>
      </c>
      <c r="H9">
        <v>6</v>
      </c>
      <c r="I9" s="3" t="s">
        <v>1538</v>
      </c>
      <c r="J9">
        <v>6</v>
      </c>
      <c r="K9" t="s">
        <v>2754</v>
      </c>
      <c r="L9" t="s">
        <v>2755</v>
      </c>
      <c r="M9">
        <v>99</v>
      </c>
      <c r="N9" t="s">
        <v>2172</v>
      </c>
      <c r="O9" t="s">
        <v>2173</v>
      </c>
    </row>
    <row r="10" spans="1:15" x14ac:dyDescent="0.25">
      <c r="A10" s="3">
        <v>6</v>
      </c>
      <c r="B10" t="s">
        <v>1445</v>
      </c>
      <c r="C10" t="s">
        <v>727</v>
      </c>
      <c r="F10" s="8" t="s">
        <v>1474</v>
      </c>
      <c r="G10" t="s">
        <v>39</v>
      </c>
      <c r="H10">
        <v>7</v>
      </c>
      <c r="I10" s="3" t="s">
        <v>1554</v>
      </c>
      <c r="J10">
        <v>7</v>
      </c>
      <c r="K10" s="34" t="s">
        <v>1560</v>
      </c>
      <c r="L10" s="34" t="s">
        <v>1563</v>
      </c>
    </row>
    <row r="11" spans="1:15" x14ac:dyDescent="0.25">
      <c r="A11" s="3">
        <v>7</v>
      </c>
      <c r="B11" t="s">
        <v>1446</v>
      </c>
      <c r="C11" t="s">
        <v>36</v>
      </c>
      <c r="F11" s="8" t="s">
        <v>1475</v>
      </c>
      <c r="G11" t="s">
        <v>1356</v>
      </c>
      <c r="H11">
        <v>8</v>
      </c>
      <c r="I11" s="3" t="s">
        <v>1555</v>
      </c>
      <c r="J11">
        <v>8</v>
      </c>
      <c r="K11" s="34" t="s">
        <v>1558</v>
      </c>
      <c r="L11" t="s">
        <v>1561</v>
      </c>
    </row>
    <row r="12" spans="1:15" x14ac:dyDescent="0.25">
      <c r="A12" s="3">
        <v>8</v>
      </c>
      <c r="B12" t="s">
        <v>1447</v>
      </c>
      <c r="C12" t="s">
        <v>78</v>
      </c>
      <c r="F12" s="8" t="s">
        <v>1476</v>
      </c>
      <c r="G12" t="s">
        <v>1347</v>
      </c>
      <c r="H12">
        <v>9</v>
      </c>
      <c r="I12" s="3" t="s">
        <v>1556</v>
      </c>
      <c r="J12">
        <v>9</v>
      </c>
      <c r="K12" s="34" t="s">
        <v>1559</v>
      </c>
      <c r="L12" t="s">
        <v>1562</v>
      </c>
    </row>
    <row r="13" spans="1:15" ht="16.5" customHeight="1" x14ac:dyDescent="0.25">
      <c r="A13" s="3">
        <v>9</v>
      </c>
      <c r="B13" t="s">
        <v>1448</v>
      </c>
      <c r="C13" t="s">
        <v>37</v>
      </c>
      <c r="F13" s="8" t="s">
        <v>1478</v>
      </c>
      <c r="G13" t="s">
        <v>1481</v>
      </c>
      <c r="H13">
        <v>10</v>
      </c>
      <c r="I13" s="3" t="s">
        <v>1557</v>
      </c>
      <c r="J13">
        <v>10</v>
      </c>
      <c r="K13" s="35" t="s">
        <v>1564</v>
      </c>
      <c r="L13" s="23" t="s">
        <v>1565</v>
      </c>
    </row>
    <row r="14" spans="1:15" x14ac:dyDescent="0.25">
      <c r="A14" s="3">
        <v>10</v>
      </c>
      <c r="B14" t="s">
        <v>1449</v>
      </c>
      <c r="C14" t="s">
        <v>79</v>
      </c>
      <c r="F14" s="8" t="s">
        <v>1477</v>
      </c>
      <c r="G14" t="s">
        <v>1354</v>
      </c>
      <c r="H14">
        <v>11</v>
      </c>
      <c r="I14" s="3" t="s">
        <v>1569</v>
      </c>
      <c r="J14">
        <v>11</v>
      </c>
      <c r="K14" s="34" t="s">
        <v>1570</v>
      </c>
      <c r="L14" t="s">
        <v>1579</v>
      </c>
    </row>
    <row r="15" spans="1:15" x14ac:dyDescent="0.25">
      <c r="A15" s="3">
        <v>11</v>
      </c>
      <c r="B15" t="s">
        <v>1450</v>
      </c>
      <c r="C15" t="s">
        <v>35</v>
      </c>
      <c r="F15" s="8" t="s">
        <v>1675</v>
      </c>
      <c r="G15" t="s">
        <v>1676</v>
      </c>
      <c r="H15">
        <v>12</v>
      </c>
      <c r="I15" s="3" t="s">
        <v>1571</v>
      </c>
      <c r="J15">
        <v>12</v>
      </c>
      <c r="K15" s="34" t="s">
        <v>1572</v>
      </c>
      <c r="L15" t="s">
        <v>1573</v>
      </c>
    </row>
    <row r="16" spans="1:15" x14ac:dyDescent="0.25">
      <c r="A16" s="3">
        <v>12</v>
      </c>
      <c r="B16" t="s">
        <v>1451</v>
      </c>
      <c r="C16" t="s">
        <v>80</v>
      </c>
      <c r="F16" s="8" t="s">
        <v>2752</v>
      </c>
      <c r="G16" t="s">
        <v>2753</v>
      </c>
      <c r="H16">
        <v>13</v>
      </c>
      <c r="I16" s="3" t="s">
        <v>1574</v>
      </c>
      <c r="J16">
        <v>13</v>
      </c>
      <c r="K16" s="34" t="s">
        <v>1575</v>
      </c>
      <c r="L16" t="s">
        <v>1576</v>
      </c>
    </row>
    <row r="17" spans="1:12" x14ac:dyDescent="0.25">
      <c r="A17" s="3">
        <v>13</v>
      </c>
      <c r="B17" t="s">
        <v>1452</v>
      </c>
      <c r="C17" t="s">
        <v>40</v>
      </c>
      <c r="F17" s="8" t="s">
        <v>3713</v>
      </c>
      <c r="G17" t="s">
        <v>3714</v>
      </c>
      <c r="H17">
        <v>14</v>
      </c>
      <c r="I17" s="3" t="s">
        <v>1608</v>
      </c>
      <c r="J17">
        <v>14</v>
      </c>
      <c r="K17" s="34" t="s">
        <v>1609</v>
      </c>
      <c r="L17" t="s">
        <v>1610</v>
      </c>
    </row>
    <row r="18" spans="1:12" x14ac:dyDescent="0.25">
      <c r="A18" s="3">
        <v>14</v>
      </c>
      <c r="B18" t="s">
        <v>1453</v>
      </c>
      <c r="C18" t="s">
        <v>728</v>
      </c>
      <c r="F18" s="3" t="s">
        <v>3748</v>
      </c>
      <c r="G18" t="s">
        <v>3749</v>
      </c>
      <c r="I18" s="3" t="s">
        <v>1672</v>
      </c>
      <c r="J18">
        <v>15</v>
      </c>
      <c r="K18" s="34" t="s">
        <v>1673</v>
      </c>
      <c r="L18" s="34" t="s">
        <v>1674</v>
      </c>
    </row>
    <row r="19" spans="1:12" x14ac:dyDescent="0.25">
      <c r="A19" s="3">
        <v>15</v>
      </c>
      <c r="B19" t="s">
        <v>1505</v>
      </c>
      <c r="C19" t="s">
        <v>1485</v>
      </c>
      <c r="I19" s="3" t="s">
        <v>2520</v>
      </c>
      <c r="J19">
        <v>16</v>
      </c>
      <c r="K19" s="34" t="s">
        <v>2521</v>
      </c>
      <c r="L19" s="34" t="s">
        <v>2522</v>
      </c>
    </row>
    <row r="20" spans="1:12" x14ac:dyDescent="0.25">
      <c r="A20" s="3">
        <v>16</v>
      </c>
      <c r="B20" t="s">
        <v>1484</v>
      </c>
      <c r="C20" t="s">
        <v>1486</v>
      </c>
      <c r="F20" s="50" t="s">
        <v>1479</v>
      </c>
      <c r="G20" t="s">
        <v>3589</v>
      </c>
      <c r="I20" s="3" t="s">
        <v>2756</v>
      </c>
      <c r="J20">
        <v>17</v>
      </c>
      <c r="K20" s="34" t="s">
        <v>2757</v>
      </c>
      <c r="L20" s="34" t="s">
        <v>2758</v>
      </c>
    </row>
    <row r="21" spans="1:12" x14ac:dyDescent="0.25">
      <c r="A21" s="3">
        <v>17</v>
      </c>
      <c r="B21" t="s">
        <v>1639</v>
      </c>
      <c r="C21" t="s">
        <v>1640</v>
      </c>
      <c r="I21" s="3" t="s">
        <v>2760</v>
      </c>
      <c r="J21">
        <v>18</v>
      </c>
      <c r="K21" s="34" t="s">
        <v>2761</v>
      </c>
      <c r="L21" s="34" t="s">
        <v>2762</v>
      </c>
    </row>
    <row r="22" spans="1:12" x14ac:dyDescent="0.25">
      <c r="A22" s="3">
        <v>18</v>
      </c>
      <c r="B22" t="s">
        <v>1606</v>
      </c>
      <c r="C22" t="s">
        <v>1607</v>
      </c>
      <c r="I22" s="3" t="s">
        <v>3190</v>
      </c>
      <c r="J22">
        <v>19</v>
      </c>
      <c r="K22" s="34" t="s">
        <v>3189</v>
      </c>
      <c r="L22" s="34" t="s">
        <v>3191</v>
      </c>
    </row>
    <row r="23" spans="1:12" x14ac:dyDescent="0.25">
      <c r="A23" s="3">
        <v>19</v>
      </c>
      <c r="B23" t="s">
        <v>1793</v>
      </c>
      <c r="C23" t="s">
        <v>1794</v>
      </c>
      <c r="I23" s="3" t="s">
        <v>3194</v>
      </c>
      <c r="J23">
        <v>20</v>
      </c>
      <c r="K23" s="34" t="s">
        <v>3196</v>
      </c>
      <c r="L23" s="34" t="s">
        <v>3195</v>
      </c>
    </row>
    <row r="24" spans="1:12" x14ac:dyDescent="0.25">
      <c r="A24" s="3">
        <v>20</v>
      </c>
      <c r="B24" t="s">
        <v>2159</v>
      </c>
      <c r="C24" t="s">
        <v>2160</v>
      </c>
      <c r="I24" s="3" t="s">
        <v>3231</v>
      </c>
      <c r="J24">
        <v>21</v>
      </c>
      <c r="K24" t="s">
        <v>3232</v>
      </c>
      <c r="L24" s="34" t="s">
        <v>3272</v>
      </c>
    </row>
    <row r="25" spans="1:12" x14ac:dyDescent="0.25">
      <c r="A25" s="3">
        <v>21</v>
      </c>
      <c r="B25" t="s">
        <v>2383</v>
      </c>
      <c r="C25" t="s">
        <v>2384</v>
      </c>
      <c r="I25" s="3" t="s">
        <v>3204</v>
      </c>
      <c r="J25">
        <v>22</v>
      </c>
      <c r="K25" s="34" t="s">
        <v>3205</v>
      </c>
      <c r="L25" s="34" t="s">
        <v>3206</v>
      </c>
    </row>
    <row r="26" spans="1:12" x14ac:dyDescent="0.25">
      <c r="A26" s="3">
        <v>22</v>
      </c>
      <c r="B26" t="s">
        <v>2381</v>
      </c>
      <c r="C26" t="s">
        <v>2382</v>
      </c>
      <c r="I26" s="3" t="s">
        <v>3207</v>
      </c>
      <c r="J26">
        <v>23</v>
      </c>
      <c r="K26" s="34" t="s">
        <v>3208</v>
      </c>
      <c r="L26" s="34" t="s">
        <v>3209</v>
      </c>
    </row>
    <row r="27" spans="1:12" x14ac:dyDescent="0.25">
      <c r="A27" s="3">
        <v>23</v>
      </c>
      <c r="B27" t="s">
        <v>2523</v>
      </c>
      <c r="C27" t="s">
        <v>2524</v>
      </c>
      <c r="I27" s="3" t="s">
        <v>3212</v>
      </c>
      <c r="J27">
        <v>24</v>
      </c>
      <c r="K27" s="34" t="s">
        <v>3213</v>
      </c>
      <c r="L27" s="34" t="s">
        <v>3214</v>
      </c>
    </row>
    <row r="28" spans="1:12" x14ac:dyDescent="0.25">
      <c r="A28" s="3">
        <v>24</v>
      </c>
      <c r="B28" t="s">
        <v>2652</v>
      </c>
      <c r="C28" t="s">
        <v>2438</v>
      </c>
      <c r="I28" s="3" t="s">
        <v>3218</v>
      </c>
      <c r="J28">
        <v>25</v>
      </c>
      <c r="K28" s="34" t="s">
        <v>3219</v>
      </c>
      <c r="L28" s="34" t="s">
        <v>3220</v>
      </c>
    </row>
    <row r="29" spans="1:12" x14ac:dyDescent="0.25">
      <c r="A29" s="3">
        <v>25</v>
      </c>
      <c r="B29" t="s">
        <v>2706</v>
      </c>
      <c r="C29" t="s">
        <v>2707</v>
      </c>
      <c r="I29" s="3" t="s">
        <v>3261</v>
      </c>
      <c r="J29">
        <v>26</v>
      </c>
      <c r="K29" t="s">
        <v>3262</v>
      </c>
      <c r="L29" s="34" t="s">
        <v>3263</v>
      </c>
    </row>
    <row r="30" spans="1:12" x14ac:dyDescent="0.25">
      <c r="A30" s="3">
        <v>26</v>
      </c>
      <c r="B30" t="s">
        <v>3323</v>
      </c>
      <c r="C30" t="s">
        <v>3322</v>
      </c>
      <c r="I30" s="3" t="s">
        <v>3264</v>
      </c>
      <c r="J30">
        <v>27</v>
      </c>
      <c r="K30" s="34" t="s">
        <v>3265</v>
      </c>
      <c r="L30" s="34" t="s">
        <v>3266</v>
      </c>
    </row>
    <row r="31" spans="1:12" x14ac:dyDescent="0.25">
      <c r="A31" s="3">
        <v>27</v>
      </c>
      <c r="B31" t="s">
        <v>3379</v>
      </c>
      <c r="C31" t="s">
        <v>3380</v>
      </c>
      <c r="I31" s="3" t="s">
        <v>3280</v>
      </c>
      <c r="J31">
        <v>28</v>
      </c>
      <c r="K31" t="s">
        <v>3281</v>
      </c>
      <c r="L31" t="s">
        <v>3282</v>
      </c>
    </row>
    <row r="32" spans="1:12" x14ac:dyDescent="0.25">
      <c r="A32" s="3">
        <v>28</v>
      </c>
      <c r="B32" t="s">
        <v>3414</v>
      </c>
      <c r="C32" t="s">
        <v>3415</v>
      </c>
      <c r="I32" s="3" t="s">
        <v>3283</v>
      </c>
      <c r="J32">
        <v>29</v>
      </c>
      <c r="K32" s="34" t="s">
        <v>1348</v>
      </c>
      <c r="L32" s="34" t="s">
        <v>3284</v>
      </c>
    </row>
    <row r="33" spans="1:12" x14ac:dyDescent="0.25">
      <c r="A33" s="3">
        <v>29</v>
      </c>
      <c r="B33" t="s">
        <v>3556</v>
      </c>
      <c r="C33" t="s">
        <v>3557</v>
      </c>
      <c r="I33" s="3" t="s">
        <v>3487</v>
      </c>
      <c r="J33">
        <v>30</v>
      </c>
      <c r="K33" t="s">
        <v>3488</v>
      </c>
      <c r="L33" s="34" t="s">
        <v>3489</v>
      </c>
    </row>
    <row r="34" spans="1:12" x14ac:dyDescent="0.25">
      <c r="A34" s="3">
        <v>30</v>
      </c>
      <c r="B34" t="s">
        <v>3639</v>
      </c>
      <c r="C34" t="s">
        <v>3640</v>
      </c>
      <c r="I34" s="3" t="s">
        <v>3588</v>
      </c>
      <c r="J34">
        <v>31</v>
      </c>
      <c r="K34" s="34" t="s">
        <v>3590</v>
      </c>
      <c r="L34" s="34" t="s">
        <v>3591</v>
      </c>
    </row>
    <row r="35" spans="1:12" x14ac:dyDescent="0.25">
      <c r="A35" s="3">
        <v>31</v>
      </c>
      <c r="B35" t="s">
        <v>3719</v>
      </c>
      <c r="C35" t="s">
        <v>3715</v>
      </c>
      <c r="I35" s="3" t="s">
        <v>3733</v>
      </c>
      <c r="J35">
        <v>32</v>
      </c>
      <c r="K35" t="s">
        <v>3734</v>
      </c>
      <c r="L35" t="s">
        <v>3721</v>
      </c>
    </row>
    <row r="36" spans="1:12" x14ac:dyDescent="0.25">
      <c r="A36" s="3">
        <v>32</v>
      </c>
      <c r="B36" t="s">
        <v>3743</v>
      </c>
      <c r="C36" t="s">
        <v>3744</v>
      </c>
      <c r="I36" s="3" t="s">
        <v>3722</v>
      </c>
      <c r="J36">
        <v>33</v>
      </c>
      <c r="K36" t="s">
        <v>3723</v>
      </c>
      <c r="L36" s="34" t="s">
        <v>3724</v>
      </c>
    </row>
    <row r="37" spans="1:12" x14ac:dyDescent="0.25">
      <c r="A37" s="3">
        <v>33</v>
      </c>
      <c r="B37" t="s">
        <v>3888</v>
      </c>
      <c r="C37" t="s">
        <v>3889</v>
      </c>
      <c r="I37" s="3" t="s">
        <v>3725</v>
      </c>
      <c r="J37">
        <v>34</v>
      </c>
      <c r="K37" t="s">
        <v>3726</v>
      </c>
      <c r="L37" s="34" t="s">
        <v>3727</v>
      </c>
    </row>
    <row r="38" spans="1:12" x14ac:dyDescent="0.25">
      <c r="B38" s="45" t="s">
        <v>1665</v>
      </c>
      <c r="C38" s="45" t="s">
        <v>2410</v>
      </c>
      <c r="I38" s="3" t="s">
        <v>3731</v>
      </c>
      <c r="J38">
        <v>35</v>
      </c>
      <c r="K38" t="s">
        <v>3735</v>
      </c>
      <c r="L38" s="34" t="s">
        <v>3732</v>
      </c>
    </row>
    <row r="39" spans="1:12" x14ac:dyDescent="0.25">
      <c r="I39" s="3" t="s">
        <v>3728</v>
      </c>
      <c r="J39">
        <v>36</v>
      </c>
      <c r="K39" t="s">
        <v>3729</v>
      </c>
      <c r="L39" s="34" t="s">
        <v>3730</v>
      </c>
    </row>
    <row r="40" spans="1:12" x14ac:dyDescent="0.25">
      <c r="I40" s="3" t="s">
        <v>3745</v>
      </c>
      <c r="J40">
        <v>37</v>
      </c>
      <c r="K40" t="s">
        <v>3746</v>
      </c>
      <c r="L40" s="34" t="s">
        <v>3747</v>
      </c>
    </row>
    <row r="43" spans="1:12" x14ac:dyDescent="0.25">
      <c r="I43" s="49" t="s">
        <v>1577</v>
      </c>
      <c r="K43" t="s">
        <v>1795</v>
      </c>
      <c r="L43" t="s">
        <v>1680</v>
      </c>
    </row>
    <row r="47" spans="1:12" x14ac:dyDescent="0.25">
      <c r="A47" s="7" t="s">
        <v>3531</v>
      </c>
      <c r="B47" s="1" t="s">
        <v>3536</v>
      </c>
      <c r="C47" s="1" t="s">
        <v>3537</v>
      </c>
      <c r="F47" s="3" t="s">
        <v>86</v>
      </c>
      <c r="G47" s="1" t="s">
        <v>87</v>
      </c>
    </row>
    <row r="48" spans="1:12" x14ac:dyDescent="0.25">
      <c r="A48" s="7">
        <v>0</v>
      </c>
      <c r="B48" s="45" t="s">
        <v>3540</v>
      </c>
      <c r="C48" s="1" t="s">
        <v>3541</v>
      </c>
      <c r="F48" s="8">
        <v>1</v>
      </c>
      <c r="G48" t="s">
        <v>90</v>
      </c>
    </row>
    <row r="49" spans="1:7" x14ac:dyDescent="0.25">
      <c r="A49" s="3">
        <v>0</v>
      </c>
      <c r="B49" s="88" t="s">
        <v>3532</v>
      </c>
      <c r="C49" t="s">
        <v>3543</v>
      </c>
      <c r="F49" s="8">
        <v>2</v>
      </c>
      <c r="G49" t="s">
        <v>89</v>
      </c>
    </row>
    <row r="50" spans="1:7" x14ac:dyDescent="0.25">
      <c r="A50" s="3">
        <v>1</v>
      </c>
      <c r="B50" s="88" t="s">
        <v>3533</v>
      </c>
      <c r="C50" t="s">
        <v>3544</v>
      </c>
      <c r="F50" s="8">
        <v>3</v>
      </c>
      <c r="G50" t="s">
        <v>88</v>
      </c>
    </row>
    <row r="51" spans="1:7" x14ac:dyDescent="0.25">
      <c r="A51" s="3">
        <v>2</v>
      </c>
      <c r="B51" s="88" t="s">
        <v>3534</v>
      </c>
      <c r="C51" t="s">
        <v>3545</v>
      </c>
    </row>
    <row r="52" spans="1:7" x14ac:dyDescent="0.25">
      <c r="A52" s="3">
        <v>3</v>
      </c>
      <c r="B52" s="88" t="s">
        <v>3535</v>
      </c>
      <c r="C52" t="s">
        <v>3546</v>
      </c>
    </row>
    <row r="53" spans="1:7" x14ac:dyDescent="0.25">
      <c r="A53" s="3">
        <v>4</v>
      </c>
      <c r="B53" t="s">
        <v>3717</v>
      </c>
      <c r="C53" t="s">
        <v>3718</v>
      </c>
    </row>
    <row r="55" spans="1:7" x14ac:dyDescent="0.25">
      <c r="B55" s="45" t="s">
        <v>3539</v>
      </c>
      <c r="C55" s="1" t="s">
        <v>3542</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3" t="s">
        <v>2409</v>
      </c>
      <c r="B1" s="113"/>
      <c r="C1" s="113"/>
      <c r="D1" s="23" t="s">
        <v>2366</v>
      </c>
      <c r="G1" s="67" t="s">
        <v>2194</v>
      </c>
    </row>
    <row r="2" spans="1:7" x14ac:dyDescent="0.25">
      <c r="A2" s="6" t="s">
        <v>83</v>
      </c>
      <c r="B2" s="7" t="s">
        <v>1667</v>
      </c>
      <c r="C2" s="7" t="s">
        <v>1668</v>
      </c>
      <c r="D2" s="1" t="s">
        <v>2170</v>
      </c>
      <c r="E2" s="1" t="s">
        <v>2162</v>
      </c>
      <c r="F2" s="1" t="s">
        <v>2163</v>
      </c>
      <c r="G2" s="66" t="s">
        <v>2168</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2191</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2189</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2190</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2192</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2193</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2277</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2273</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2276</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2180</v>
      </c>
      <c r="E193" t="s">
        <v>2171</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2181</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2271</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2269</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2182</v>
      </c>
      <c r="E236" t="s">
        <v>2169</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2183</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2184</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2185</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2186</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2272</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2272</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2282</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2281</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2280</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2274</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2275</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2187</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2188</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2279</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2278</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2270</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2268</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2267</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2266</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2268</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2267</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2266</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2024-03-28T20:45:00Z</dcterms:modified>
</cp:coreProperties>
</file>