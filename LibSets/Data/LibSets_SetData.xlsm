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D8A35FD6-F166-4C8C-BBBB-BDFA9C0DAD3E}" xr6:coauthVersionLast="47" xr6:coauthVersionMax="47" xr10:uidLastSave="{00000000-0000-0000-0000-000000000000}"/>
  <bookViews>
    <workbookView xWindow="-120" yWindow="-120" windowWidth="29040" windowHeight="15525" tabRatio="905" activeTab="3"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WayshrineInfo'!$A$2:$N$559</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names'!$A$2:$B$2</definedName>
    <definedName name="_xlnm._FilterDatabase" localSheetId="3" hidden="1">'ESO zone constants'!$A$2:$L$1037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804" i="7" l="1"/>
  <c r="E7" i="7"/>
  <c r="E972" i="7"/>
  <c r="J972" i="7" s="1"/>
  <c r="E8" i="7"/>
  <c r="E10" i="7"/>
  <c r="E987" i="7"/>
  <c r="J987" i="7" s="1"/>
  <c r="E700" i="7"/>
  <c r="J700" i="7" s="1"/>
  <c r="E84" i="7"/>
  <c r="J84" i="7" s="1"/>
  <c r="E11" i="7"/>
  <c r="E12" i="7"/>
  <c r="E13" i="7"/>
  <c r="E198" i="7"/>
  <c r="J198" i="7" s="1"/>
  <c r="E93" i="7"/>
  <c r="J93" i="7" s="1"/>
  <c r="E14" i="7"/>
  <c r="E15" i="7"/>
  <c r="E16" i="7"/>
  <c r="E17" i="7"/>
  <c r="E18" i="7"/>
  <c r="E19" i="7"/>
  <c r="E20" i="7"/>
  <c r="E259" i="7"/>
  <c r="J259" i="7" s="1"/>
  <c r="E186" i="7"/>
  <c r="J186" i="7" s="1"/>
  <c r="E810" i="7"/>
  <c r="J810" i="7" s="1"/>
  <c r="E21" i="7"/>
  <c r="E22" i="7"/>
  <c r="E23" i="7"/>
  <c r="E24" i="7"/>
  <c r="E762" i="7"/>
  <c r="J762" i="7" s="1"/>
  <c r="E1001" i="7"/>
  <c r="J1001" i="7" s="1"/>
  <c r="E45" i="7"/>
  <c r="J45" i="7" s="1"/>
  <c r="E25" i="7"/>
  <c r="E26" i="7"/>
  <c r="E27" i="7"/>
  <c r="E28" i="7"/>
  <c r="E29" i="7"/>
  <c r="E30" i="7"/>
  <c r="E152" i="7"/>
  <c r="J152" i="7" s="1"/>
  <c r="E31" i="7"/>
  <c r="E32" i="7"/>
  <c r="E33" i="7"/>
  <c r="E34" i="7"/>
  <c r="E35" i="7"/>
  <c r="E36" i="7"/>
  <c r="E37" i="7"/>
  <c r="E38" i="7"/>
  <c r="E39" i="7"/>
  <c r="E40" i="7"/>
  <c r="E41" i="7"/>
  <c r="E42" i="7"/>
  <c r="E43" i="7"/>
  <c r="E44" i="7"/>
  <c r="E46" i="7"/>
  <c r="E47" i="7"/>
  <c r="E48" i="7"/>
  <c r="E49" i="7"/>
  <c r="E50" i="7"/>
  <c r="E51" i="7"/>
  <c r="E53" i="7"/>
  <c r="E54" i="7"/>
  <c r="E55" i="7"/>
  <c r="E56" i="7"/>
  <c r="E57" i="7"/>
  <c r="E58" i="7"/>
  <c r="E59" i="7"/>
  <c r="E60" i="7"/>
  <c r="E61" i="7"/>
  <c r="E62" i="7"/>
  <c r="E64" i="7"/>
  <c r="E65" i="7"/>
  <c r="E66" i="7"/>
  <c r="E67" i="7"/>
  <c r="E68" i="7"/>
  <c r="E69" i="7"/>
  <c r="E70" i="7"/>
  <c r="E71" i="7"/>
  <c r="E72" i="7"/>
  <c r="E73" i="7"/>
  <c r="E74" i="7"/>
  <c r="E75" i="7"/>
  <c r="E77" i="7"/>
  <c r="E78" i="7"/>
  <c r="E79" i="7"/>
  <c r="E80" i="7"/>
  <c r="E82" i="7"/>
  <c r="E83" i="7"/>
  <c r="E85" i="7"/>
  <c r="E86" i="7"/>
  <c r="E87" i="7"/>
  <c r="E88" i="7"/>
  <c r="E89" i="7"/>
  <c r="E90" i="7"/>
  <c r="E91" i="7"/>
  <c r="E92" i="7"/>
  <c r="E94" i="7"/>
  <c r="E95" i="7"/>
  <c r="E96" i="7"/>
  <c r="E98" i="7"/>
  <c r="E99" i="7"/>
  <c r="E100" i="7"/>
  <c r="E101" i="7"/>
  <c r="E102" i="7"/>
  <c r="E103" i="7"/>
  <c r="E104" i="7"/>
  <c r="E105" i="7"/>
  <c r="E106" i="7"/>
  <c r="E107" i="7"/>
  <c r="E108" i="7"/>
  <c r="E109" i="7"/>
  <c r="E110" i="7"/>
  <c r="E111" i="7"/>
  <c r="E112" i="7"/>
  <c r="E332" i="7"/>
  <c r="J332" i="7" s="1"/>
  <c r="E113" i="7"/>
  <c r="E114" i="7"/>
  <c r="E115" i="7"/>
  <c r="E116" i="7"/>
  <c r="E117" i="7"/>
  <c r="E118" i="7"/>
  <c r="E119" i="7"/>
  <c r="E120" i="7"/>
  <c r="E121" i="7"/>
  <c r="E122" i="7"/>
  <c r="E123" i="7"/>
  <c r="E124" i="7"/>
  <c r="E125" i="7"/>
  <c r="E126" i="7"/>
  <c r="E127" i="7"/>
  <c r="E128" i="7"/>
  <c r="E130" i="7"/>
  <c r="E131" i="7"/>
  <c r="E132" i="7"/>
  <c r="E133" i="7"/>
  <c r="E134" i="7"/>
  <c r="E135" i="7"/>
  <c r="E136" i="7"/>
  <c r="E137" i="7"/>
  <c r="E138" i="7"/>
  <c r="E139" i="7"/>
  <c r="E140" i="7"/>
  <c r="E141" i="7"/>
  <c r="E142" i="7"/>
  <c r="E143" i="7"/>
  <c r="E144" i="7"/>
  <c r="E145" i="7"/>
  <c r="E146" i="7"/>
  <c r="E147" i="7"/>
  <c r="E148" i="7"/>
  <c r="E149" i="7"/>
  <c r="E150" i="7"/>
  <c r="E151" i="7"/>
  <c r="E154" i="7"/>
  <c r="E155" i="7"/>
  <c r="E156" i="7"/>
  <c r="E157" i="7"/>
  <c r="E158" i="7"/>
  <c r="E159" i="7"/>
  <c r="E160" i="7"/>
  <c r="E161" i="7"/>
  <c r="E163" i="7"/>
  <c r="E164" i="7"/>
  <c r="E165" i="7"/>
  <c r="E166" i="7"/>
  <c r="E167" i="7"/>
  <c r="E168" i="7"/>
  <c r="E169" i="7"/>
  <c r="E170" i="7"/>
  <c r="E171" i="7"/>
  <c r="E172" i="7"/>
  <c r="E174" i="7"/>
  <c r="E175" i="7"/>
  <c r="E176" i="7"/>
  <c r="E177" i="7"/>
  <c r="E179" i="7"/>
  <c r="E180" i="7"/>
  <c r="E181" i="7"/>
  <c r="E182" i="7"/>
  <c r="E183" i="7"/>
  <c r="E824" i="7"/>
  <c r="J824" i="7" s="1"/>
  <c r="E184" i="7"/>
  <c r="E185" i="7"/>
  <c r="E188" i="7"/>
  <c r="E189" i="7"/>
  <c r="E190" i="7"/>
  <c r="E191" i="7"/>
  <c r="E192" i="7"/>
  <c r="E193" i="7"/>
  <c r="E194" i="7"/>
  <c r="E195" i="7"/>
  <c r="E196" i="7"/>
  <c r="E197" i="7"/>
  <c r="E200" i="7"/>
  <c r="E201" i="7"/>
  <c r="E202" i="7"/>
  <c r="E203" i="7"/>
  <c r="E204" i="7"/>
  <c r="E205" i="7"/>
  <c r="E206" i="7"/>
  <c r="E207" i="7"/>
  <c r="E208" i="7"/>
  <c r="E209" i="7"/>
  <c r="E210" i="7"/>
  <c r="E211" i="7"/>
  <c r="E212" i="7"/>
  <c r="E214" i="7"/>
  <c r="E215" i="7"/>
  <c r="E216" i="7"/>
  <c r="E218" i="7"/>
  <c r="E219" i="7"/>
  <c r="E220" i="7"/>
  <c r="E221" i="7"/>
  <c r="E222" i="7"/>
  <c r="E223" i="7"/>
  <c r="E224" i="7"/>
  <c r="E225" i="7"/>
  <c r="E226" i="7"/>
  <c r="E227" i="7"/>
  <c r="E228" i="7"/>
  <c r="E229" i="7"/>
  <c r="E230" i="7"/>
  <c r="E231" i="7"/>
  <c r="E232" i="7"/>
  <c r="E233" i="7"/>
  <c r="E234" i="7"/>
  <c r="E235" i="7"/>
  <c r="E236" i="7"/>
  <c r="E237" i="7"/>
  <c r="E238" i="7"/>
  <c r="E239" i="7"/>
  <c r="E241" i="7"/>
  <c r="E242" i="7"/>
  <c r="E243" i="7"/>
  <c r="E244" i="7"/>
  <c r="E245" i="7"/>
  <c r="E247" i="7"/>
  <c r="E248" i="7"/>
  <c r="E217" i="7"/>
  <c r="J217" i="7" s="1"/>
  <c r="E249" i="7"/>
  <c r="E250" i="7"/>
  <c r="E251" i="7"/>
  <c r="E252" i="7"/>
  <c r="E253" i="7"/>
  <c r="E254" i="7"/>
  <c r="E255" i="7"/>
  <c r="E256" i="7"/>
  <c r="E257" i="7"/>
  <c r="E258"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1" i="7"/>
  <c r="E292"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9" i="7"/>
  <c r="E330" i="7"/>
  <c r="E331"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4" i="7"/>
  <c r="E365" i="7"/>
  <c r="E366" i="7"/>
  <c r="E367" i="7"/>
  <c r="E368" i="7"/>
  <c r="E369" i="7"/>
  <c r="E370" i="7"/>
  <c r="E371" i="7"/>
  <c r="E372" i="7"/>
  <c r="E373" i="7"/>
  <c r="E374" i="7"/>
  <c r="E375" i="7"/>
  <c r="E376" i="7"/>
  <c r="E377" i="7"/>
  <c r="E378" i="7"/>
  <c r="E379" i="7"/>
  <c r="E380" i="7"/>
  <c r="E381" i="7"/>
  <c r="E382" i="7"/>
  <c r="E383" i="7"/>
  <c r="E384" i="7"/>
  <c r="E386" i="7"/>
  <c r="E387" i="7"/>
  <c r="E388" i="7"/>
  <c r="E399" i="7"/>
  <c r="J399" i="7" s="1"/>
  <c r="E389" i="7"/>
  <c r="E9" i="7"/>
  <c r="J9" i="7" s="1"/>
  <c r="K9" i="7" s="1"/>
  <c r="E683" i="7"/>
  <c r="J683" i="7" s="1"/>
  <c r="E390" i="7"/>
  <c r="E391" i="7"/>
  <c r="E392" i="7"/>
  <c r="E393" i="7"/>
  <c r="E394" i="7"/>
  <c r="E395" i="7"/>
  <c r="E396" i="7"/>
  <c r="E430" i="7"/>
  <c r="J430" i="7" s="1"/>
  <c r="E153" i="7"/>
  <c r="J153" i="7" s="1"/>
  <c r="E397" i="7"/>
  <c r="E1011" i="7"/>
  <c r="J1011" i="7" s="1"/>
  <c r="E398" i="7"/>
  <c r="E400" i="7"/>
  <c r="E401" i="7"/>
  <c r="E402" i="7"/>
  <c r="E403" i="7"/>
  <c r="E404" i="7"/>
  <c r="E405" i="7"/>
  <c r="E406" i="7"/>
  <c r="E407" i="7"/>
  <c r="E408" i="7"/>
  <c r="E409" i="7"/>
  <c r="E410" i="7"/>
  <c r="E411" i="7"/>
  <c r="E412" i="7"/>
  <c r="E413" i="7"/>
  <c r="E414" i="7"/>
  <c r="E415" i="7"/>
  <c r="E416" i="7"/>
  <c r="E417" i="7"/>
  <c r="E418" i="7"/>
  <c r="E419" i="7"/>
  <c r="E420" i="7"/>
  <c r="E421" i="7"/>
  <c r="E423" i="7"/>
  <c r="E424" i="7"/>
  <c r="E517" i="7"/>
  <c r="J517" i="7" s="1"/>
  <c r="E425" i="7"/>
  <c r="E426" i="7"/>
  <c r="E427" i="7"/>
  <c r="E428" i="7"/>
  <c r="E429"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5" i="7"/>
  <c r="E476" i="7"/>
  <c r="E477" i="7"/>
  <c r="E479" i="7"/>
  <c r="E480" i="7"/>
  <c r="E481" i="7"/>
  <c r="E482" i="7"/>
  <c r="E483" i="7"/>
  <c r="E672" i="7"/>
  <c r="J672" i="7" s="1"/>
  <c r="E484" i="7"/>
  <c r="E485" i="7"/>
  <c r="E178" i="7"/>
  <c r="J178" i="7" s="1"/>
  <c r="E486" i="7"/>
  <c r="E487" i="7"/>
  <c r="E488" i="7"/>
  <c r="E489" i="7"/>
  <c r="E490" i="7"/>
  <c r="E491" i="7"/>
  <c r="E492" i="7"/>
  <c r="E493" i="7"/>
  <c r="E494" i="7"/>
  <c r="E495" i="7"/>
  <c r="E496" i="7"/>
  <c r="E497" i="7"/>
  <c r="E498" i="7"/>
  <c r="E499" i="7"/>
  <c r="E500" i="7"/>
  <c r="E501" i="7"/>
  <c r="E503" i="7"/>
  <c r="E504" i="7"/>
  <c r="E505" i="7"/>
  <c r="E506" i="7"/>
  <c r="E507" i="7"/>
  <c r="E508" i="7"/>
  <c r="E509" i="7"/>
  <c r="E510" i="7"/>
  <c r="E511" i="7"/>
  <c r="E512" i="7"/>
  <c r="E514" i="7"/>
  <c r="E515" i="7"/>
  <c r="E516" i="7"/>
  <c r="E518" i="7"/>
  <c r="E519" i="7"/>
  <c r="E520" i="7"/>
  <c r="E521" i="7"/>
  <c r="E522" i="7"/>
  <c r="E523" i="7"/>
  <c r="E524" i="7"/>
  <c r="E525" i="7"/>
  <c r="E526" i="7"/>
  <c r="E527" i="7"/>
  <c r="E528" i="7"/>
  <c r="E529" i="7"/>
  <c r="E530" i="7"/>
  <c r="E531" i="7"/>
  <c r="E532" i="7"/>
  <c r="E533" i="7"/>
  <c r="E534"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199" i="7"/>
  <c r="J199" i="7" s="1"/>
  <c r="E260" i="7"/>
  <c r="J260" i="7" s="1"/>
  <c r="E187" i="7"/>
  <c r="J187" i="7" s="1"/>
  <c r="E1002" i="7"/>
  <c r="J1002" i="7" s="1"/>
  <c r="E333" i="7"/>
  <c r="J333" i="7" s="1"/>
  <c r="E825" i="7"/>
  <c r="J825" i="7" s="1"/>
  <c r="E763" i="7"/>
  <c r="J763" i="7" s="1"/>
  <c r="E565" i="7"/>
  <c r="E566" i="7"/>
  <c r="E567" i="7"/>
  <c r="E568" i="7"/>
  <c r="E569" i="7"/>
  <c r="E570" i="7"/>
  <c r="E571" i="7"/>
  <c r="E572" i="7"/>
  <c r="E573" i="7"/>
  <c r="E574" i="7"/>
  <c r="E575" i="7"/>
  <c r="E576" i="7"/>
  <c r="E577" i="7"/>
  <c r="E578" i="7"/>
  <c r="E579" i="7"/>
  <c r="E580" i="7"/>
  <c r="E581" i="7"/>
  <c r="E582" i="7"/>
  <c r="E583" i="7"/>
  <c r="E584" i="7"/>
  <c r="E585" i="7"/>
  <c r="E586" i="7"/>
  <c r="E587" i="7"/>
  <c r="E589" i="7"/>
  <c r="E590" i="7"/>
  <c r="E591" i="7"/>
  <c r="E592" i="7"/>
  <c r="E593" i="7"/>
  <c r="E594" i="7"/>
  <c r="E595" i="7"/>
  <c r="E596" i="7"/>
  <c r="E597" i="7"/>
  <c r="E598" i="7"/>
  <c r="E599" i="7"/>
  <c r="E600" i="7"/>
  <c r="E601" i="7"/>
  <c r="E97" i="7"/>
  <c r="J97" i="7" s="1"/>
  <c r="E290" i="7"/>
  <c r="J290" i="7" s="1"/>
  <c r="E385" i="7"/>
  <c r="J385" i="7" s="1"/>
  <c r="E602" i="7"/>
  <c r="E603" i="7"/>
  <c r="E604" i="7"/>
  <c r="E605" i="7"/>
  <c r="E606" i="7"/>
  <c r="E607" i="7"/>
  <c r="E608" i="7"/>
  <c r="E609" i="7"/>
  <c r="E610" i="7"/>
  <c r="E611" i="7"/>
  <c r="E612" i="7"/>
  <c r="E613" i="7"/>
  <c r="E614" i="7"/>
  <c r="E615" i="7"/>
  <c r="E616" i="7"/>
  <c r="E617" i="7"/>
  <c r="E618" i="7"/>
  <c r="E619" i="7"/>
  <c r="E620" i="7"/>
  <c r="E621" i="7"/>
  <c r="E622" i="7"/>
  <c r="E52" i="7"/>
  <c r="J52" i="7" s="1"/>
  <c r="E623" i="7"/>
  <c r="E624" i="7"/>
  <c r="E625" i="7"/>
  <c r="E626" i="7"/>
  <c r="E627" i="7"/>
  <c r="E293" i="7"/>
  <c r="J293" i="7" s="1"/>
  <c r="E690" i="7"/>
  <c r="J690" i="7" s="1"/>
  <c r="E628" i="7"/>
  <c r="E629" i="7"/>
  <c r="E630" i="7"/>
  <c r="E631" i="7"/>
  <c r="E632" i="7"/>
  <c r="E633" i="7"/>
  <c r="E634" i="7"/>
  <c r="E635" i="7"/>
  <c r="E636" i="7"/>
  <c r="E637" i="7"/>
  <c r="E638" i="7"/>
  <c r="E639" i="7"/>
  <c r="E640" i="7"/>
  <c r="E641" i="7"/>
  <c r="E643" i="7"/>
  <c r="E644" i="7"/>
  <c r="E645" i="7"/>
  <c r="E646" i="7"/>
  <c r="E647" i="7"/>
  <c r="E648" i="7"/>
  <c r="E649" i="7"/>
  <c r="E650" i="7"/>
  <c r="E651" i="7"/>
  <c r="E652" i="7"/>
  <c r="E653" i="7"/>
  <c r="E654" i="7"/>
  <c r="E655" i="7"/>
  <c r="E656" i="7"/>
  <c r="E657" i="7"/>
  <c r="E658" i="7"/>
  <c r="E659" i="7"/>
  <c r="E660" i="7"/>
  <c r="E661" i="7"/>
  <c r="E662" i="7"/>
  <c r="E663" i="7"/>
  <c r="E664" i="7"/>
  <c r="E665" i="7"/>
  <c r="E162" i="7"/>
  <c r="J162" i="7" s="1"/>
  <c r="E535" i="7"/>
  <c r="J535" i="7" s="1"/>
  <c r="E513" i="7"/>
  <c r="J513" i="7" s="1"/>
  <c r="E666" i="7"/>
  <c r="E667" i="7"/>
  <c r="E668" i="7"/>
  <c r="E669" i="7"/>
  <c r="E670" i="7"/>
  <c r="E671" i="7"/>
  <c r="E673" i="7"/>
  <c r="E674" i="7"/>
  <c r="E675" i="7"/>
  <c r="E676" i="7"/>
  <c r="E677" i="7"/>
  <c r="E678" i="7"/>
  <c r="E679" i="7"/>
  <c r="E680" i="7"/>
  <c r="E681" i="7"/>
  <c r="E682" i="7"/>
  <c r="E684" i="7"/>
  <c r="E685" i="7"/>
  <c r="E687" i="7"/>
  <c r="E688" i="7"/>
  <c r="E328" i="7"/>
  <c r="J328" i="7" s="1"/>
  <c r="E213" i="7"/>
  <c r="J213" i="7" s="1"/>
  <c r="E689" i="7"/>
  <c r="E691" i="7"/>
  <c r="E692" i="7"/>
  <c r="E694" i="7"/>
  <c r="E695" i="7"/>
  <c r="E696" i="7"/>
  <c r="E697" i="7"/>
  <c r="E698" i="7"/>
  <c r="E699" i="7"/>
  <c r="E701" i="7"/>
  <c r="E702" i="7"/>
  <c r="E703" i="7"/>
  <c r="E704" i="7"/>
  <c r="E705" i="7"/>
  <c r="E706" i="7"/>
  <c r="E707" i="7"/>
  <c r="E708" i="7"/>
  <c r="E709" i="7"/>
  <c r="E710" i="7"/>
  <c r="E711" i="7"/>
  <c r="E712" i="7"/>
  <c r="E713" i="7"/>
  <c r="E714" i="7"/>
  <c r="E715" i="7"/>
  <c r="E716" i="7"/>
  <c r="E717" i="7"/>
  <c r="E718" i="7"/>
  <c r="E719" i="7"/>
  <c r="E720" i="7"/>
  <c r="E721" i="7"/>
  <c r="E722" i="7"/>
  <c r="E723" i="7"/>
  <c r="E724" i="7"/>
  <c r="E726" i="7"/>
  <c r="E791" i="7"/>
  <c r="J791" i="7" s="1"/>
  <c r="E536" i="7"/>
  <c r="J536" i="7" s="1"/>
  <c r="E478" i="7"/>
  <c r="J478" i="7" s="1"/>
  <c r="E727" i="7"/>
  <c r="E728" i="7"/>
  <c r="E729" i="7"/>
  <c r="E730" i="7"/>
  <c r="E731" i="7"/>
  <c r="E732" i="7"/>
  <c r="E733" i="7"/>
  <c r="E734" i="7"/>
  <c r="E735" i="7"/>
  <c r="E736" i="7"/>
  <c r="E737" i="7"/>
  <c r="E738" i="7"/>
  <c r="E739" i="7"/>
  <c r="E740" i="7"/>
  <c r="E741" i="7"/>
  <c r="E742" i="7"/>
  <c r="E743" i="7"/>
  <c r="E744" i="7"/>
  <c r="E745" i="7"/>
  <c r="E746" i="7"/>
  <c r="E747" i="7"/>
  <c r="E748" i="7"/>
  <c r="E749" i="7"/>
  <c r="E750" i="7"/>
  <c r="E422" i="7"/>
  <c r="J422" i="7" s="1"/>
  <c r="E956" i="7"/>
  <c r="J956" i="7" s="1"/>
  <c r="E751" i="7"/>
  <c r="E752" i="7"/>
  <c r="E753" i="7"/>
  <c r="E754" i="7"/>
  <c r="E755" i="7"/>
  <c r="E756" i="7"/>
  <c r="E757" i="7"/>
  <c r="E758" i="7"/>
  <c r="E759" i="7"/>
  <c r="E760" i="7"/>
  <c r="E761" i="7"/>
  <c r="E764" i="7"/>
  <c r="E765" i="7"/>
  <c r="E766" i="7"/>
  <c r="E767" i="7"/>
  <c r="E768" i="7"/>
  <c r="E769" i="7"/>
  <c r="E770" i="7"/>
  <c r="E771" i="7"/>
  <c r="E772" i="7"/>
  <c r="E774" i="7"/>
  <c r="E775" i="7"/>
  <c r="E776" i="7"/>
  <c r="E777" i="7"/>
  <c r="E778" i="7"/>
  <c r="E779" i="7"/>
  <c r="E780" i="7"/>
  <c r="E781" i="7"/>
  <c r="E782" i="7"/>
  <c r="E783" i="7"/>
  <c r="E784" i="7"/>
  <c r="E785" i="7"/>
  <c r="E786" i="7"/>
  <c r="E787" i="7"/>
  <c r="E474" i="7"/>
  <c r="J474" i="7" s="1"/>
  <c r="E773" i="7"/>
  <c r="J773" i="7" s="1"/>
  <c r="E788" i="7"/>
  <c r="E789" i="7"/>
  <c r="E129" i="7"/>
  <c r="J129" i="7" s="1"/>
  <c r="E790" i="7"/>
  <c r="E792" i="7"/>
  <c r="E793" i="7"/>
  <c r="E794" i="7"/>
  <c r="E795" i="7"/>
  <c r="E796" i="7"/>
  <c r="E797" i="7"/>
  <c r="E798" i="7"/>
  <c r="E799" i="7"/>
  <c r="E800" i="7"/>
  <c r="E801" i="7"/>
  <c r="E802" i="7"/>
  <c r="E803" i="7"/>
  <c r="E804" i="7"/>
  <c r="E805" i="7"/>
  <c r="E806" i="7"/>
  <c r="E807" i="7"/>
  <c r="E808" i="7"/>
  <c r="E809" i="7"/>
  <c r="E811" i="7"/>
  <c r="E812" i="7"/>
  <c r="E813" i="7"/>
  <c r="E814" i="7"/>
  <c r="E815" i="7"/>
  <c r="E81" i="7"/>
  <c r="J81" i="7" s="1"/>
  <c r="E831" i="7"/>
  <c r="J831" i="7" s="1"/>
  <c r="E816" i="7"/>
  <c r="E817" i="7"/>
  <c r="E818" i="7"/>
  <c r="E819" i="7"/>
  <c r="E820" i="7"/>
  <c r="E821" i="7"/>
  <c r="E822" i="7"/>
  <c r="E823" i="7"/>
  <c r="E826" i="7"/>
  <c r="E827" i="7"/>
  <c r="E828" i="7"/>
  <c r="E829" i="7"/>
  <c r="E830" i="7"/>
  <c r="E832" i="7"/>
  <c r="E833" i="7"/>
  <c r="E834" i="7"/>
  <c r="E835" i="7"/>
  <c r="E836" i="7"/>
  <c r="E837" i="7"/>
  <c r="E838" i="7"/>
  <c r="E839" i="7"/>
  <c r="E840" i="7"/>
  <c r="E841" i="7"/>
  <c r="E842" i="7"/>
  <c r="E843" i="7"/>
  <c r="E844" i="7"/>
  <c r="E845" i="7"/>
  <c r="E846" i="7"/>
  <c r="E847" i="7"/>
  <c r="E848" i="7"/>
  <c r="E849" i="7"/>
  <c r="E850" i="7"/>
  <c r="E851" i="7"/>
  <c r="E852" i="7"/>
  <c r="E642" i="7"/>
  <c r="J642" i="7" s="1"/>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173" i="7"/>
  <c r="J173" i="7" s="1"/>
  <c r="E725" i="7"/>
  <c r="J725" i="7" s="1"/>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240" i="7"/>
  <c r="J240" i="7" s="1"/>
  <c r="E915" i="7"/>
  <c r="E916" i="7"/>
  <c r="E246" i="7"/>
  <c r="J246" i="7" s="1"/>
  <c r="E363" i="7"/>
  <c r="J363" i="7" s="1"/>
  <c r="E917" i="7"/>
  <c r="E918" i="7"/>
  <c r="E919" i="7"/>
  <c r="E920" i="7"/>
  <c r="E921" i="7"/>
  <c r="E922" i="7"/>
  <c r="E923" i="7"/>
  <c r="E924" i="7"/>
  <c r="E925" i="7"/>
  <c r="E926" i="7"/>
  <c r="E927" i="7"/>
  <c r="E928" i="7"/>
  <c r="E929" i="7"/>
  <c r="E930" i="7"/>
  <c r="E931" i="7"/>
  <c r="E932" i="7"/>
  <c r="E933" i="7"/>
  <c r="E934" i="7"/>
  <c r="E935" i="7"/>
  <c r="E936" i="7"/>
  <c r="E937" i="7"/>
  <c r="E938" i="7"/>
  <c r="E939" i="7"/>
  <c r="E940" i="7"/>
  <c r="E63" i="7"/>
  <c r="J63" i="7" s="1"/>
  <c r="E693" i="7"/>
  <c r="J693" i="7" s="1"/>
  <c r="K693" i="7" s="1"/>
  <c r="E941" i="7"/>
  <c r="E942" i="7"/>
  <c r="E943" i="7"/>
  <c r="E944" i="7"/>
  <c r="E945" i="7"/>
  <c r="E946" i="7"/>
  <c r="E947" i="7"/>
  <c r="E948" i="7"/>
  <c r="E949" i="7"/>
  <c r="E950" i="7"/>
  <c r="E951" i="7"/>
  <c r="E952" i="7"/>
  <c r="E953" i="7"/>
  <c r="E954" i="7"/>
  <c r="E955" i="7"/>
  <c r="E957" i="7"/>
  <c r="E958" i="7"/>
  <c r="E959" i="7"/>
  <c r="E960" i="7"/>
  <c r="E961" i="7"/>
  <c r="E962" i="7"/>
  <c r="E963" i="7"/>
  <c r="E964" i="7"/>
  <c r="E965" i="7"/>
  <c r="E966" i="7"/>
  <c r="E967" i="7"/>
  <c r="E968" i="7"/>
  <c r="E969" i="7"/>
  <c r="E970" i="7"/>
  <c r="E971" i="7"/>
  <c r="E973" i="7"/>
  <c r="E974" i="7"/>
  <c r="E975" i="7"/>
  <c r="E686" i="7"/>
  <c r="J686" i="7" s="1"/>
  <c r="K686" i="7" s="1"/>
  <c r="E976" i="7"/>
  <c r="E977" i="7"/>
  <c r="E978" i="7"/>
  <c r="E979" i="7"/>
  <c r="E980" i="7"/>
  <c r="E981" i="7"/>
  <c r="E982" i="7"/>
  <c r="E983" i="7"/>
  <c r="E984" i="7"/>
  <c r="E985" i="7"/>
  <c r="E986" i="7"/>
  <c r="E988" i="7"/>
  <c r="E989" i="7"/>
  <c r="E990" i="7"/>
  <c r="E991" i="7"/>
  <c r="E992" i="7"/>
  <c r="E993" i="7"/>
  <c r="E994" i="7"/>
  <c r="E995" i="7"/>
  <c r="E996" i="7"/>
  <c r="E997" i="7"/>
  <c r="E998" i="7"/>
  <c r="E999" i="7"/>
  <c r="E1000" i="7"/>
  <c r="E1003" i="7"/>
  <c r="E1004" i="7"/>
  <c r="E1005" i="7"/>
  <c r="E1006" i="7"/>
  <c r="E1007" i="7"/>
  <c r="E1008" i="7"/>
  <c r="E1009" i="7"/>
  <c r="E1010" i="7"/>
  <c r="E1012" i="7"/>
  <c r="E1013" i="7"/>
  <c r="E1014" i="7"/>
  <c r="E1015" i="7"/>
  <c r="E1016" i="7"/>
  <c r="E588" i="7"/>
  <c r="J588" i="7" s="1"/>
  <c r="E76" i="7"/>
  <c r="J76" i="7" s="1"/>
  <c r="E1017" i="7"/>
  <c r="E1018" i="7"/>
  <c r="E1019" i="7"/>
  <c r="E1020" i="7"/>
  <c r="E502" i="7"/>
  <c r="J502" i="7" s="1"/>
  <c r="E1021" i="7"/>
  <c r="E1022" i="7"/>
  <c r="E1023" i="7"/>
  <c r="E1024" i="7"/>
  <c r="E1025" i="7"/>
  <c r="E1026" i="7"/>
  <c r="E1027" i="7"/>
  <c r="E1028" i="7"/>
  <c r="E1029" i="7"/>
  <c r="E1030" i="7"/>
  <c r="E1031" i="7"/>
  <c r="E1032" i="7"/>
  <c r="E1033" i="7"/>
  <c r="E1034" i="7"/>
  <c r="E1035" i="7"/>
  <c r="E1036" i="7"/>
  <c r="E1037" i="7"/>
  <c r="E6" i="7"/>
  <c r="J559" i="18"/>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3" i="18"/>
  <c r="L553" i="18"/>
  <c r="M553" i="18"/>
  <c r="N553" i="18"/>
  <c r="K554" i="18"/>
  <c r="L554" i="18"/>
  <c r="M554" i="18"/>
  <c r="N554" i="18"/>
  <c r="K555" i="18"/>
  <c r="L555" i="18"/>
  <c r="M555" i="18"/>
  <c r="N555" i="18"/>
  <c r="K556" i="18"/>
  <c r="L556" i="18"/>
  <c r="M556" i="18"/>
  <c r="N556" i="18"/>
  <c r="K557" i="18"/>
  <c r="L557" i="18"/>
  <c r="M557" i="18"/>
  <c r="N557" i="18"/>
  <c r="K558" i="18"/>
  <c r="L558" i="18"/>
  <c r="M558" i="18"/>
  <c r="N558" i="18"/>
  <c r="K559" i="18"/>
  <c r="L559" i="18"/>
  <c r="M559" i="18"/>
  <c r="N559"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35" i="18"/>
  <c r="J536" i="18"/>
  <c r="J537" i="18"/>
  <c r="J538" i="18"/>
  <c r="J539" i="18"/>
  <c r="J540" i="18"/>
  <c r="J541" i="18"/>
  <c r="J542" i="18"/>
  <c r="J543" i="18"/>
  <c r="J544" i="18"/>
  <c r="J545" i="18"/>
  <c r="J546" i="18"/>
  <c r="J547" i="18"/>
  <c r="J548" i="18"/>
  <c r="J549" i="18"/>
  <c r="J550" i="18"/>
  <c r="J551" i="18"/>
  <c r="J552" i="18"/>
  <c r="J553" i="18"/>
  <c r="J554" i="18"/>
  <c r="J555" i="18"/>
  <c r="J556" i="18"/>
  <c r="J557" i="18"/>
  <c r="J558" i="18"/>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AF675" i="4"/>
  <c r="AG675" i="4" s="1"/>
  <c r="AF674" i="4"/>
  <c r="AG674" i="4" s="1"/>
  <c r="AF673" i="4"/>
  <c r="AG673" i="4" s="1"/>
  <c r="Z675" i="4"/>
  <c r="AA675" i="4" s="1"/>
  <c r="Z674" i="4"/>
  <c r="AA674" i="4" s="1"/>
  <c r="Z673" i="4"/>
  <c r="AA673" i="4" s="1"/>
  <c r="R674" i="4"/>
  <c r="T674" i="4"/>
  <c r="U674" i="4" s="1"/>
  <c r="R675" i="4"/>
  <c r="T675" i="4"/>
  <c r="U675" i="4" s="1"/>
  <c r="Q676" i="4"/>
  <c r="R676" i="4"/>
  <c r="T676" i="4"/>
  <c r="BE676" i="4" s="1"/>
  <c r="Z676" i="4"/>
  <c r="AA676" i="4" s="1"/>
  <c r="AF676" i="4"/>
  <c r="AG676" i="4" s="1"/>
  <c r="AK676" i="4"/>
  <c r="AP676" i="4"/>
  <c r="AU676" i="4"/>
  <c r="Q677" i="4"/>
  <c r="R677" i="4"/>
  <c r="T677" i="4"/>
  <c r="U677" i="4" s="1"/>
  <c r="Z677" i="4"/>
  <c r="AA677" i="4" s="1"/>
  <c r="AF677" i="4"/>
  <c r="AG677" i="4" s="1"/>
  <c r="AK677" i="4"/>
  <c r="AP677" i="4"/>
  <c r="AU677" i="4"/>
  <c r="Q678" i="4"/>
  <c r="R678" i="4"/>
  <c r="T678" i="4"/>
  <c r="U678" i="4" s="1"/>
  <c r="Z678" i="4"/>
  <c r="AA678" i="4" s="1"/>
  <c r="AF678" i="4"/>
  <c r="AG678" i="4" s="1"/>
  <c r="AK678" i="4"/>
  <c r="AP678" i="4"/>
  <c r="AU678" i="4"/>
  <c r="K1024" i="7"/>
  <c r="L1024" i="7"/>
  <c r="K1025" i="7"/>
  <c r="L1025" i="7"/>
  <c r="K1026" i="7"/>
  <c r="L1026" i="7"/>
  <c r="K1027" i="7"/>
  <c r="L1027" i="7"/>
  <c r="K1028" i="7"/>
  <c r="L1028" i="7"/>
  <c r="K1029" i="7"/>
  <c r="L1029" i="7"/>
  <c r="K1030" i="7"/>
  <c r="L1030" i="7"/>
  <c r="K1031" i="7"/>
  <c r="L1031" i="7"/>
  <c r="K1032" i="7"/>
  <c r="L1032" i="7"/>
  <c r="K1033" i="7"/>
  <c r="L1033" i="7"/>
  <c r="K1034" i="7"/>
  <c r="L1034" i="7"/>
  <c r="K1035" i="7"/>
  <c r="L1035" i="7"/>
  <c r="K1036" i="7"/>
  <c r="L1036" i="7"/>
  <c r="K1037" i="7"/>
  <c r="L1037" i="7"/>
  <c r="F7" i="7"/>
  <c r="G7" i="7"/>
  <c r="H7" i="7"/>
  <c r="I7" i="7"/>
  <c r="F972" i="7"/>
  <c r="G972" i="7"/>
  <c r="H972" i="7"/>
  <c r="I972" i="7"/>
  <c r="F8" i="7"/>
  <c r="G8" i="7"/>
  <c r="H8" i="7"/>
  <c r="I8" i="7"/>
  <c r="F10" i="7"/>
  <c r="G10" i="7"/>
  <c r="H10" i="7"/>
  <c r="I10" i="7"/>
  <c r="F987" i="7"/>
  <c r="G987" i="7"/>
  <c r="H987" i="7"/>
  <c r="I987" i="7"/>
  <c r="F700" i="7"/>
  <c r="G700" i="7"/>
  <c r="H700" i="7"/>
  <c r="I700" i="7"/>
  <c r="F84" i="7"/>
  <c r="G84" i="7"/>
  <c r="H84" i="7"/>
  <c r="I84" i="7"/>
  <c r="F11" i="7"/>
  <c r="G11" i="7"/>
  <c r="H11" i="7"/>
  <c r="I11" i="7"/>
  <c r="F12" i="7"/>
  <c r="G12" i="7"/>
  <c r="H12" i="7"/>
  <c r="I12" i="7"/>
  <c r="F13" i="7"/>
  <c r="G13" i="7"/>
  <c r="H13" i="7"/>
  <c r="I13" i="7"/>
  <c r="F198" i="7"/>
  <c r="G198" i="7"/>
  <c r="H198" i="7"/>
  <c r="I198" i="7"/>
  <c r="F93" i="7"/>
  <c r="G93" i="7"/>
  <c r="H93" i="7"/>
  <c r="I93" i="7"/>
  <c r="F14" i="7"/>
  <c r="G14" i="7"/>
  <c r="H14" i="7"/>
  <c r="I14" i="7"/>
  <c r="F15" i="7"/>
  <c r="G15" i="7"/>
  <c r="H15" i="7"/>
  <c r="I15" i="7"/>
  <c r="F16" i="7"/>
  <c r="G16" i="7"/>
  <c r="H16" i="7"/>
  <c r="I16" i="7"/>
  <c r="F17" i="7"/>
  <c r="G17" i="7"/>
  <c r="H17" i="7"/>
  <c r="I17" i="7"/>
  <c r="F18" i="7"/>
  <c r="G18" i="7"/>
  <c r="H18" i="7"/>
  <c r="I18" i="7"/>
  <c r="F19" i="7"/>
  <c r="G19" i="7"/>
  <c r="H19" i="7"/>
  <c r="I19" i="7"/>
  <c r="F20" i="7"/>
  <c r="G20" i="7"/>
  <c r="H20" i="7"/>
  <c r="I20" i="7"/>
  <c r="F259" i="7"/>
  <c r="G259" i="7"/>
  <c r="H259" i="7"/>
  <c r="I259" i="7"/>
  <c r="F186" i="7"/>
  <c r="G186" i="7"/>
  <c r="H186" i="7"/>
  <c r="I186" i="7"/>
  <c r="F810" i="7"/>
  <c r="G810" i="7"/>
  <c r="H810" i="7"/>
  <c r="I810" i="7"/>
  <c r="F21" i="7"/>
  <c r="G21" i="7"/>
  <c r="H21" i="7"/>
  <c r="I21" i="7"/>
  <c r="F22" i="7"/>
  <c r="G22" i="7"/>
  <c r="H22" i="7"/>
  <c r="I22" i="7"/>
  <c r="F23" i="7"/>
  <c r="G23" i="7"/>
  <c r="H23" i="7"/>
  <c r="I23" i="7"/>
  <c r="F24" i="7"/>
  <c r="G24" i="7"/>
  <c r="H24" i="7"/>
  <c r="I24" i="7"/>
  <c r="F762" i="7"/>
  <c r="G762" i="7"/>
  <c r="H762" i="7"/>
  <c r="I762" i="7"/>
  <c r="F1001" i="7"/>
  <c r="G1001" i="7"/>
  <c r="H1001" i="7"/>
  <c r="I1001" i="7"/>
  <c r="F45" i="7"/>
  <c r="G45" i="7"/>
  <c r="H45" i="7"/>
  <c r="I45" i="7"/>
  <c r="F25" i="7"/>
  <c r="G25" i="7"/>
  <c r="H25" i="7"/>
  <c r="I25" i="7"/>
  <c r="F26" i="7"/>
  <c r="G26" i="7"/>
  <c r="H26" i="7"/>
  <c r="I26" i="7"/>
  <c r="F27" i="7"/>
  <c r="G27" i="7"/>
  <c r="H27" i="7"/>
  <c r="I27" i="7"/>
  <c r="F28" i="7"/>
  <c r="G28" i="7"/>
  <c r="H28" i="7"/>
  <c r="I28" i="7"/>
  <c r="F29" i="7"/>
  <c r="G29" i="7"/>
  <c r="H29" i="7"/>
  <c r="I29" i="7"/>
  <c r="F30" i="7"/>
  <c r="G30" i="7"/>
  <c r="H30" i="7"/>
  <c r="I30" i="7"/>
  <c r="F152" i="7"/>
  <c r="G152" i="7"/>
  <c r="H152" i="7"/>
  <c r="I152" i="7"/>
  <c r="F31" i="7"/>
  <c r="G31" i="7"/>
  <c r="H31" i="7"/>
  <c r="AU674" i="4" s="1"/>
  <c r="I31" i="7"/>
  <c r="F32" i="7"/>
  <c r="G32" i="7"/>
  <c r="H32" i="7"/>
  <c r="I32" i="7"/>
  <c r="F33" i="7"/>
  <c r="G33" i="7"/>
  <c r="H33" i="7"/>
  <c r="I33" i="7"/>
  <c r="F34" i="7"/>
  <c r="G34" i="7"/>
  <c r="H34" i="7"/>
  <c r="I34" i="7"/>
  <c r="F35" i="7"/>
  <c r="G35" i="7"/>
  <c r="H35" i="7"/>
  <c r="I35" i="7"/>
  <c r="F36" i="7"/>
  <c r="G36" i="7"/>
  <c r="H36" i="7"/>
  <c r="I36" i="7"/>
  <c r="F37" i="7"/>
  <c r="G37" i="7"/>
  <c r="H37" i="7"/>
  <c r="I37" i="7"/>
  <c r="F38" i="7"/>
  <c r="G38" i="7"/>
  <c r="H38" i="7"/>
  <c r="I38" i="7"/>
  <c r="F39" i="7"/>
  <c r="G39" i="7"/>
  <c r="H39" i="7"/>
  <c r="I39" i="7"/>
  <c r="F40" i="7"/>
  <c r="G40" i="7"/>
  <c r="H40" i="7"/>
  <c r="I40" i="7"/>
  <c r="F41" i="7"/>
  <c r="G41" i="7"/>
  <c r="H41" i="7"/>
  <c r="I41" i="7"/>
  <c r="F42" i="7"/>
  <c r="G42" i="7"/>
  <c r="H42" i="7"/>
  <c r="I42" i="7"/>
  <c r="F43" i="7"/>
  <c r="G43" i="7"/>
  <c r="H43" i="7"/>
  <c r="I43" i="7"/>
  <c r="F44" i="7"/>
  <c r="G44" i="7"/>
  <c r="H44" i="7"/>
  <c r="I44" i="7"/>
  <c r="F46" i="7"/>
  <c r="G46" i="7"/>
  <c r="H46" i="7"/>
  <c r="I46" i="7"/>
  <c r="F47" i="7"/>
  <c r="G47" i="7"/>
  <c r="H47" i="7"/>
  <c r="I47" i="7"/>
  <c r="F48" i="7"/>
  <c r="G48" i="7"/>
  <c r="H48" i="7"/>
  <c r="I48" i="7"/>
  <c r="F49" i="7"/>
  <c r="G49" i="7"/>
  <c r="H49" i="7"/>
  <c r="I49" i="7"/>
  <c r="F50" i="7"/>
  <c r="G50" i="7"/>
  <c r="H50" i="7"/>
  <c r="I50" i="7"/>
  <c r="F51" i="7"/>
  <c r="G51" i="7"/>
  <c r="H51" i="7"/>
  <c r="I51" i="7"/>
  <c r="F53" i="7"/>
  <c r="G53" i="7"/>
  <c r="H53" i="7"/>
  <c r="I53" i="7"/>
  <c r="F54" i="7"/>
  <c r="G54" i="7"/>
  <c r="H54" i="7"/>
  <c r="I54" i="7"/>
  <c r="F55" i="7"/>
  <c r="G55" i="7"/>
  <c r="H55" i="7"/>
  <c r="I55" i="7"/>
  <c r="F56" i="7"/>
  <c r="G56" i="7"/>
  <c r="H56" i="7"/>
  <c r="I56" i="7"/>
  <c r="F57" i="7"/>
  <c r="G57" i="7"/>
  <c r="H57" i="7"/>
  <c r="I57" i="7"/>
  <c r="F58" i="7"/>
  <c r="G58" i="7"/>
  <c r="H58" i="7"/>
  <c r="I58" i="7"/>
  <c r="F59" i="7"/>
  <c r="G59" i="7"/>
  <c r="H59" i="7"/>
  <c r="I59" i="7"/>
  <c r="F60" i="7"/>
  <c r="G60" i="7"/>
  <c r="H60" i="7"/>
  <c r="I60" i="7"/>
  <c r="F61" i="7"/>
  <c r="G61" i="7"/>
  <c r="H61" i="7"/>
  <c r="I61" i="7"/>
  <c r="F62" i="7"/>
  <c r="G62" i="7"/>
  <c r="H62" i="7"/>
  <c r="I62" i="7"/>
  <c r="F64" i="7"/>
  <c r="G64" i="7"/>
  <c r="H64" i="7"/>
  <c r="I64" i="7"/>
  <c r="F65" i="7"/>
  <c r="G65" i="7"/>
  <c r="H65" i="7"/>
  <c r="I65" i="7"/>
  <c r="F66" i="7"/>
  <c r="G66" i="7"/>
  <c r="H66" i="7"/>
  <c r="I66" i="7"/>
  <c r="F67" i="7"/>
  <c r="G67" i="7"/>
  <c r="H67" i="7"/>
  <c r="I67" i="7"/>
  <c r="F68" i="7"/>
  <c r="G68" i="7"/>
  <c r="H68" i="7"/>
  <c r="I68" i="7"/>
  <c r="F69" i="7"/>
  <c r="G69" i="7"/>
  <c r="H69" i="7"/>
  <c r="I69" i="7"/>
  <c r="F70" i="7"/>
  <c r="G70" i="7"/>
  <c r="H70" i="7"/>
  <c r="I70" i="7"/>
  <c r="F71" i="7"/>
  <c r="G71" i="7"/>
  <c r="H71" i="7"/>
  <c r="I71" i="7"/>
  <c r="F72" i="7"/>
  <c r="G72" i="7"/>
  <c r="H72" i="7"/>
  <c r="I72" i="7"/>
  <c r="F73" i="7"/>
  <c r="G73" i="7"/>
  <c r="H73" i="7"/>
  <c r="I73" i="7"/>
  <c r="F74" i="7"/>
  <c r="G74" i="7"/>
  <c r="H74" i="7"/>
  <c r="I74" i="7"/>
  <c r="F75" i="7"/>
  <c r="G75" i="7"/>
  <c r="H75" i="7"/>
  <c r="I75" i="7"/>
  <c r="F77" i="7"/>
  <c r="G77" i="7"/>
  <c r="H77" i="7"/>
  <c r="I77" i="7"/>
  <c r="F78" i="7"/>
  <c r="G78" i="7"/>
  <c r="H78" i="7"/>
  <c r="I78" i="7"/>
  <c r="F79" i="7"/>
  <c r="G79" i="7"/>
  <c r="H79" i="7"/>
  <c r="I79" i="7"/>
  <c r="F80" i="7"/>
  <c r="G80" i="7"/>
  <c r="H80" i="7"/>
  <c r="I80" i="7"/>
  <c r="F82" i="7"/>
  <c r="G82" i="7"/>
  <c r="H82" i="7"/>
  <c r="I82" i="7"/>
  <c r="F83" i="7"/>
  <c r="G83" i="7"/>
  <c r="H83" i="7"/>
  <c r="I83" i="7"/>
  <c r="F85" i="7"/>
  <c r="G85" i="7"/>
  <c r="H85" i="7"/>
  <c r="I85" i="7"/>
  <c r="F86" i="7"/>
  <c r="G86" i="7"/>
  <c r="H86" i="7"/>
  <c r="I86" i="7"/>
  <c r="F87" i="7"/>
  <c r="G87" i="7"/>
  <c r="H87" i="7"/>
  <c r="I87" i="7"/>
  <c r="F88" i="7"/>
  <c r="G88" i="7"/>
  <c r="H88" i="7"/>
  <c r="I88" i="7"/>
  <c r="F89" i="7"/>
  <c r="G89" i="7"/>
  <c r="H89" i="7"/>
  <c r="I89" i="7"/>
  <c r="F90" i="7"/>
  <c r="G90" i="7"/>
  <c r="H90" i="7"/>
  <c r="I90" i="7"/>
  <c r="F91" i="7"/>
  <c r="G91" i="7"/>
  <c r="H91" i="7"/>
  <c r="I91" i="7"/>
  <c r="F92" i="7"/>
  <c r="G92" i="7"/>
  <c r="H92" i="7"/>
  <c r="I92" i="7"/>
  <c r="F94" i="7"/>
  <c r="G94" i="7"/>
  <c r="H94" i="7"/>
  <c r="I94" i="7"/>
  <c r="F95" i="7"/>
  <c r="G95" i="7"/>
  <c r="H95" i="7"/>
  <c r="I95" i="7"/>
  <c r="F96" i="7"/>
  <c r="G96" i="7"/>
  <c r="H96" i="7"/>
  <c r="I96" i="7"/>
  <c r="F98" i="7"/>
  <c r="G98" i="7"/>
  <c r="H98" i="7"/>
  <c r="I98" i="7"/>
  <c r="F99" i="7"/>
  <c r="G99" i="7"/>
  <c r="H99" i="7"/>
  <c r="I99" i="7"/>
  <c r="F100" i="7"/>
  <c r="G100" i="7"/>
  <c r="H100" i="7"/>
  <c r="I100" i="7"/>
  <c r="F101" i="7"/>
  <c r="G101" i="7"/>
  <c r="H101" i="7"/>
  <c r="I101" i="7"/>
  <c r="F102" i="7"/>
  <c r="G102" i="7"/>
  <c r="H102" i="7"/>
  <c r="I102" i="7"/>
  <c r="F103" i="7"/>
  <c r="G103" i="7"/>
  <c r="H103" i="7"/>
  <c r="I103" i="7"/>
  <c r="F104" i="7"/>
  <c r="G104" i="7"/>
  <c r="H104" i="7"/>
  <c r="I104" i="7"/>
  <c r="F105" i="7"/>
  <c r="G105" i="7"/>
  <c r="H105" i="7"/>
  <c r="I105" i="7"/>
  <c r="F106" i="7"/>
  <c r="G106" i="7"/>
  <c r="H106" i="7"/>
  <c r="I106" i="7"/>
  <c r="F107" i="7"/>
  <c r="G107" i="7"/>
  <c r="H107" i="7"/>
  <c r="I107" i="7"/>
  <c r="F108" i="7"/>
  <c r="G108" i="7"/>
  <c r="H108" i="7"/>
  <c r="I108" i="7"/>
  <c r="F109" i="7"/>
  <c r="G109" i="7"/>
  <c r="H109" i="7"/>
  <c r="I109" i="7"/>
  <c r="F110" i="7"/>
  <c r="G110" i="7"/>
  <c r="H110" i="7"/>
  <c r="I110" i="7"/>
  <c r="F111" i="7"/>
  <c r="G111" i="7"/>
  <c r="H111" i="7"/>
  <c r="I111" i="7"/>
  <c r="F112" i="7"/>
  <c r="G112" i="7"/>
  <c r="H112" i="7"/>
  <c r="I112" i="7"/>
  <c r="F332" i="7"/>
  <c r="G332" i="7"/>
  <c r="H332" i="7"/>
  <c r="I332" i="7"/>
  <c r="F113" i="7"/>
  <c r="G113" i="7"/>
  <c r="H113" i="7"/>
  <c r="I113" i="7"/>
  <c r="F114" i="7"/>
  <c r="G114" i="7"/>
  <c r="H114" i="7"/>
  <c r="I114" i="7"/>
  <c r="F115" i="7"/>
  <c r="G115" i="7"/>
  <c r="H115" i="7"/>
  <c r="I115" i="7"/>
  <c r="F116" i="7"/>
  <c r="G116" i="7"/>
  <c r="H116" i="7"/>
  <c r="I116" i="7"/>
  <c r="F117" i="7"/>
  <c r="G117" i="7"/>
  <c r="H117" i="7"/>
  <c r="I117" i="7"/>
  <c r="F118" i="7"/>
  <c r="G118" i="7"/>
  <c r="H118" i="7"/>
  <c r="I118" i="7"/>
  <c r="F119" i="7"/>
  <c r="G119" i="7"/>
  <c r="H119" i="7"/>
  <c r="I119" i="7"/>
  <c r="F120" i="7"/>
  <c r="G120" i="7"/>
  <c r="H120" i="7"/>
  <c r="I120" i="7"/>
  <c r="F121" i="7"/>
  <c r="G121" i="7"/>
  <c r="H121" i="7"/>
  <c r="I121" i="7"/>
  <c r="F122" i="7"/>
  <c r="G122" i="7"/>
  <c r="H122" i="7"/>
  <c r="I122" i="7"/>
  <c r="F123" i="7"/>
  <c r="G123" i="7"/>
  <c r="H123" i="7"/>
  <c r="I123" i="7"/>
  <c r="F124" i="7"/>
  <c r="G124" i="7"/>
  <c r="H124" i="7"/>
  <c r="I124" i="7"/>
  <c r="F125" i="7"/>
  <c r="G125" i="7"/>
  <c r="H125" i="7"/>
  <c r="I125" i="7"/>
  <c r="F126" i="7"/>
  <c r="G126" i="7"/>
  <c r="H126" i="7"/>
  <c r="I126" i="7"/>
  <c r="F127" i="7"/>
  <c r="G127" i="7"/>
  <c r="H127" i="7"/>
  <c r="I127" i="7"/>
  <c r="F128" i="7"/>
  <c r="G128" i="7"/>
  <c r="H128" i="7"/>
  <c r="I128" i="7"/>
  <c r="F130" i="7"/>
  <c r="G130" i="7"/>
  <c r="H130" i="7"/>
  <c r="I130" i="7"/>
  <c r="F131" i="7"/>
  <c r="G131" i="7"/>
  <c r="H131" i="7"/>
  <c r="I131" i="7"/>
  <c r="F132" i="7"/>
  <c r="G132" i="7"/>
  <c r="H132" i="7"/>
  <c r="I132" i="7"/>
  <c r="F133" i="7"/>
  <c r="G133" i="7"/>
  <c r="H133" i="7"/>
  <c r="I133" i="7"/>
  <c r="F134" i="7"/>
  <c r="G134" i="7"/>
  <c r="H134" i="7"/>
  <c r="I134" i="7"/>
  <c r="F135" i="7"/>
  <c r="G135" i="7"/>
  <c r="H135" i="7"/>
  <c r="I135" i="7"/>
  <c r="F136" i="7"/>
  <c r="G136" i="7"/>
  <c r="H136" i="7"/>
  <c r="I136" i="7"/>
  <c r="F137" i="7"/>
  <c r="G137" i="7"/>
  <c r="H137" i="7"/>
  <c r="I137" i="7"/>
  <c r="F138" i="7"/>
  <c r="G138" i="7"/>
  <c r="H138" i="7"/>
  <c r="I138" i="7"/>
  <c r="F139" i="7"/>
  <c r="G139" i="7"/>
  <c r="H139" i="7"/>
  <c r="I139" i="7"/>
  <c r="F140" i="7"/>
  <c r="G140" i="7"/>
  <c r="H140" i="7"/>
  <c r="I140" i="7"/>
  <c r="F141" i="7"/>
  <c r="G141" i="7"/>
  <c r="H141" i="7"/>
  <c r="I141" i="7"/>
  <c r="F142" i="7"/>
  <c r="G142" i="7"/>
  <c r="H142" i="7"/>
  <c r="I142" i="7"/>
  <c r="F143" i="7"/>
  <c r="G143" i="7"/>
  <c r="H143" i="7"/>
  <c r="I143" i="7"/>
  <c r="F144" i="7"/>
  <c r="G144" i="7"/>
  <c r="H144" i="7"/>
  <c r="I144" i="7"/>
  <c r="F145" i="7"/>
  <c r="G145" i="7"/>
  <c r="H145" i="7"/>
  <c r="I145" i="7"/>
  <c r="F146" i="7"/>
  <c r="G146" i="7"/>
  <c r="H146" i="7"/>
  <c r="I146" i="7"/>
  <c r="F147" i="7"/>
  <c r="G147" i="7"/>
  <c r="H147" i="7"/>
  <c r="I147" i="7"/>
  <c r="F148" i="7"/>
  <c r="G148" i="7"/>
  <c r="H148" i="7"/>
  <c r="I148" i="7"/>
  <c r="F149" i="7"/>
  <c r="G149" i="7"/>
  <c r="H149" i="7"/>
  <c r="I149" i="7"/>
  <c r="F150" i="7"/>
  <c r="G150" i="7"/>
  <c r="H150" i="7"/>
  <c r="I150" i="7"/>
  <c r="F151" i="7"/>
  <c r="G151" i="7"/>
  <c r="H151" i="7"/>
  <c r="I151" i="7"/>
  <c r="F154" i="7"/>
  <c r="G154" i="7"/>
  <c r="H154" i="7"/>
  <c r="I154" i="7"/>
  <c r="F155" i="7"/>
  <c r="G155" i="7"/>
  <c r="H155" i="7"/>
  <c r="I155" i="7"/>
  <c r="F156" i="7"/>
  <c r="G156" i="7"/>
  <c r="H156" i="7"/>
  <c r="I156" i="7"/>
  <c r="F157" i="7"/>
  <c r="G157" i="7"/>
  <c r="H157" i="7"/>
  <c r="I157" i="7"/>
  <c r="F158" i="7"/>
  <c r="G158" i="7"/>
  <c r="H158" i="7"/>
  <c r="I158" i="7"/>
  <c r="F159" i="7"/>
  <c r="G159" i="7"/>
  <c r="H159" i="7"/>
  <c r="I159" i="7"/>
  <c r="F160" i="7"/>
  <c r="G160" i="7"/>
  <c r="H160" i="7"/>
  <c r="I160" i="7"/>
  <c r="F161" i="7"/>
  <c r="G161" i="7"/>
  <c r="H161" i="7"/>
  <c r="I161" i="7"/>
  <c r="F163" i="7"/>
  <c r="G163" i="7"/>
  <c r="H163" i="7"/>
  <c r="I163" i="7"/>
  <c r="F164" i="7"/>
  <c r="G164" i="7"/>
  <c r="H164" i="7"/>
  <c r="I164" i="7"/>
  <c r="F165" i="7"/>
  <c r="G165" i="7"/>
  <c r="H165" i="7"/>
  <c r="I165" i="7"/>
  <c r="F166" i="7"/>
  <c r="G166" i="7"/>
  <c r="H166" i="7"/>
  <c r="I166" i="7"/>
  <c r="F167" i="7"/>
  <c r="G167" i="7"/>
  <c r="H167" i="7"/>
  <c r="I167" i="7"/>
  <c r="F168" i="7"/>
  <c r="G168" i="7"/>
  <c r="H168" i="7"/>
  <c r="I168" i="7"/>
  <c r="F169" i="7"/>
  <c r="G169" i="7"/>
  <c r="H169" i="7"/>
  <c r="I169" i="7"/>
  <c r="F170" i="7"/>
  <c r="G170" i="7"/>
  <c r="H170" i="7"/>
  <c r="I170" i="7"/>
  <c r="F171" i="7"/>
  <c r="G171" i="7"/>
  <c r="H171" i="7"/>
  <c r="I171" i="7"/>
  <c r="F172" i="7"/>
  <c r="G172" i="7"/>
  <c r="H172" i="7"/>
  <c r="I172" i="7"/>
  <c r="F174" i="7"/>
  <c r="G174" i="7"/>
  <c r="H174" i="7"/>
  <c r="I174" i="7"/>
  <c r="F175" i="7"/>
  <c r="G175" i="7"/>
  <c r="H175" i="7"/>
  <c r="I175" i="7"/>
  <c r="F176" i="7"/>
  <c r="G176" i="7"/>
  <c r="H176" i="7"/>
  <c r="I176" i="7"/>
  <c r="F177" i="7"/>
  <c r="G177" i="7"/>
  <c r="H177" i="7"/>
  <c r="I177" i="7"/>
  <c r="F179" i="7"/>
  <c r="G179" i="7"/>
  <c r="H179" i="7"/>
  <c r="I179" i="7"/>
  <c r="F180" i="7"/>
  <c r="G180" i="7"/>
  <c r="H180" i="7"/>
  <c r="I180" i="7"/>
  <c r="F181" i="7"/>
  <c r="G181" i="7"/>
  <c r="H181" i="7"/>
  <c r="I181" i="7"/>
  <c r="F182" i="7"/>
  <c r="G182" i="7"/>
  <c r="H182" i="7"/>
  <c r="I182" i="7"/>
  <c r="F183" i="7"/>
  <c r="G183" i="7"/>
  <c r="H183" i="7"/>
  <c r="I183" i="7"/>
  <c r="F824" i="7"/>
  <c r="G824" i="7"/>
  <c r="H824" i="7"/>
  <c r="I824" i="7"/>
  <c r="F184" i="7"/>
  <c r="G184" i="7"/>
  <c r="H184" i="7"/>
  <c r="I184" i="7"/>
  <c r="F185" i="7"/>
  <c r="G185" i="7"/>
  <c r="H185" i="7"/>
  <c r="I185" i="7"/>
  <c r="F188" i="7"/>
  <c r="G188" i="7"/>
  <c r="H188" i="7"/>
  <c r="I188" i="7"/>
  <c r="F189" i="7"/>
  <c r="G189" i="7"/>
  <c r="H189" i="7"/>
  <c r="I189" i="7"/>
  <c r="F190" i="7"/>
  <c r="G190" i="7"/>
  <c r="H190" i="7"/>
  <c r="I190" i="7"/>
  <c r="F191" i="7"/>
  <c r="G191" i="7"/>
  <c r="H191" i="7"/>
  <c r="I191" i="7"/>
  <c r="F192" i="7"/>
  <c r="G192" i="7"/>
  <c r="H192" i="7"/>
  <c r="I192" i="7"/>
  <c r="F193" i="7"/>
  <c r="G193" i="7"/>
  <c r="H193" i="7"/>
  <c r="I193" i="7"/>
  <c r="F194" i="7"/>
  <c r="G194" i="7"/>
  <c r="H194" i="7"/>
  <c r="I194" i="7"/>
  <c r="F195" i="7"/>
  <c r="G195" i="7"/>
  <c r="H195" i="7"/>
  <c r="I195" i="7"/>
  <c r="F196" i="7"/>
  <c r="G196" i="7"/>
  <c r="H196" i="7"/>
  <c r="I196" i="7"/>
  <c r="F197" i="7"/>
  <c r="G197" i="7"/>
  <c r="H197" i="7"/>
  <c r="I197" i="7"/>
  <c r="F200" i="7"/>
  <c r="G200" i="7"/>
  <c r="H200" i="7"/>
  <c r="I200" i="7"/>
  <c r="F201" i="7"/>
  <c r="G201" i="7"/>
  <c r="H201" i="7"/>
  <c r="I201" i="7"/>
  <c r="F202" i="7"/>
  <c r="G202" i="7"/>
  <c r="H202" i="7"/>
  <c r="I202" i="7"/>
  <c r="F203" i="7"/>
  <c r="G203" i="7"/>
  <c r="H203" i="7"/>
  <c r="I203" i="7"/>
  <c r="F204" i="7"/>
  <c r="G204" i="7"/>
  <c r="H204" i="7"/>
  <c r="I204" i="7"/>
  <c r="F205" i="7"/>
  <c r="G205" i="7"/>
  <c r="H205" i="7"/>
  <c r="I205" i="7"/>
  <c r="F206" i="7"/>
  <c r="G206" i="7"/>
  <c r="H206" i="7"/>
  <c r="I206" i="7"/>
  <c r="F207" i="7"/>
  <c r="G207" i="7"/>
  <c r="H207" i="7"/>
  <c r="I207" i="7"/>
  <c r="F208" i="7"/>
  <c r="G208" i="7"/>
  <c r="H208" i="7"/>
  <c r="I208" i="7"/>
  <c r="F209" i="7"/>
  <c r="G209" i="7"/>
  <c r="H209" i="7"/>
  <c r="I209" i="7"/>
  <c r="F210" i="7"/>
  <c r="G210" i="7"/>
  <c r="H210" i="7"/>
  <c r="I210" i="7"/>
  <c r="F211" i="7"/>
  <c r="G211" i="7"/>
  <c r="H211" i="7"/>
  <c r="I211" i="7"/>
  <c r="F212" i="7"/>
  <c r="G212" i="7"/>
  <c r="H212" i="7"/>
  <c r="I212" i="7"/>
  <c r="F214" i="7"/>
  <c r="G214" i="7"/>
  <c r="H214" i="7"/>
  <c r="I214" i="7"/>
  <c r="F215" i="7"/>
  <c r="G215" i="7"/>
  <c r="H215" i="7"/>
  <c r="I215" i="7"/>
  <c r="F216" i="7"/>
  <c r="G216" i="7"/>
  <c r="H216" i="7"/>
  <c r="I216" i="7"/>
  <c r="F218" i="7"/>
  <c r="G218" i="7"/>
  <c r="H218" i="7"/>
  <c r="I218" i="7"/>
  <c r="F219" i="7"/>
  <c r="G219" i="7"/>
  <c r="H219" i="7"/>
  <c r="I219" i="7"/>
  <c r="F220" i="7"/>
  <c r="G220" i="7"/>
  <c r="H220" i="7"/>
  <c r="I220" i="7"/>
  <c r="F221" i="7"/>
  <c r="G221" i="7"/>
  <c r="H221" i="7"/>
  <c r="I221" i="7"/>
  <c r="F222" i="7"/>
  <c r="G222" i="7"/>
  <c r="H222" i="7"/>
  <c r="I222" i="7"/>
  <c r="F223" i="7"/>
  <c r="G223" i="7"/>
  <c r="H223" i="7"/>
  <c r="I223" i="7"/>
  <c r="F224" i="7"/>
  <c r="G224" i="7"/>
  <c r="H224" i="7"/>
  <c r="I224" i="7"/>
  <c r="F225" i="7"/>
  <c r="G225" i="7"/>
  <c r="H225" i="7"/>
  <c r="I225" i="7"/>
  <c r="F226" i="7"/>
  <c r="G226" i="7"/>
  <c r="H226" i="7"/>
  <c r="I226" i="7"/>
  <c r="F227" i="7"/>
  <c r="G227" i="7"/>
  <c r="H227" i="7"/>
  <c r="I227" i="7"/>
  <c r="F228" i="7"/>
  <c r="G228" i="7"/>
  <c r="H228" i="7"/>
  <c r="I228" i="7"/>
  <c r="F229" i="7"/>
  <c r="G229" i="7"/>
  <c r="H229" i="7"/>
  <c r="I229" i="7"/>
  <c r="F230" i="7"/>
  <c r="G230" i="7"/>
  <c r="H230" i="7"/>
  <c r="I230" i="7"/>
  <c r="F231" i="7"/>
  <c r="G231" i="7"/>
  <c r="H231" i="7"/>
  <c r="I231" i="7"/>
  <c r="F232" i="7"/>
  <c r="G232" i="7"/>
  <c r="H232" i="7"/>
  <c r="I232" i="7"/>
  <c r="F233" i="7"/>
  <c r="G233" i="7"/>
  <c r="H233" i="7"/>
  <c r="I233" i="7"/>
  <c r="F234" i="7"/>
  <c r="G234" i="7"/>
  <c r="H234" i="7"/>
  <c r="I234" i="7"/>
  <c r="F235" i="7"/>
  <c r="G235" i="7"/>
  <c r="H235" i="7"/>
  <c r="I235" i="7"/>
  <c r="F236" i="7"/>
  <c r="G236" i="7"/>
  <c r="H236" i="7"/>
  <c r="I236" i="7"/>
  <c r="F237" i="7"/>
  <c r="G237" i="7"/>
  <c r="H237" i="7"/>
  <c r="I237" i="7"/>
  <c r="F238" i="7"/>
  <c r="G238" i="7"/>
  <c r="H238" i="7"/>
  <c r="I238" i="7"/>
  <c r="F239" i="7"/>
  <c r="G239" i="7"/>
  <c r="H239" i="7"/>
  <c r="I239" i="7"/>
  <c r="F241" i="7"/>
  <c r="G241" i="7"/>
  <c r="H241" i="7"/>
  <c r="I241" i="7"/>
  <c r="F242" i="7"/>
  <c r="G242" i="7"/>
  <c r="H242" i="7"/>
  <c r="I242" i="7"/>
  <c r="F243" i="7"/>
  <c r="G243" i="7"/>
  <c r="H243" i="7"/>
  <c r="I243" i="7"/>
  <c r="F244" i="7"/>
  <c r="G244" i="7"/>
  <c r="H244" i="7"/>
  <c r="I244" i="7"/>
  <c r="F245" i="7"/>
  <c r="G245" i="7"/>
  <c r="H245" i="7"/>
  <c r="I245" i="7"/>
  <c r="F247" i="7"/>
  <c r="G247" i="7"/>
  <c r="H247" i="7"/>
  <c r="I247" i="7"/>
  <c r="F248" i="7"/>
  <c r="G248" i="7"/>
  <c r="H248" i="7"/>
  <c r="I248" i="7"/>
  <c r="F217" i="7"/>
  <c r="G217" i="7"/>
  <c r="H217" i="7"/>
  <c r="I217" i="7"/>
  <c r="F249" i="7"/>
  <c r="G249" i="7"/>
  <c r="H249" i="7"/>
  <c r="I249" i="7"/>
  <c r="F250" i="7"/>
  <c r="G250" i="7"/>
  <c r="H250" i="7"/>
  <c r="I250" i="7"/>
  <c r="F251" i="7"/>
  <c r="G251" i="7"/>
  <c r="H251" i="7"/>
  <c r="I251" i="7"/>
  <c r="F252" i="7"/>
  <c r="G252" i="7"/>
  <c r="H252" i="7"/>
  <c r="I252" i="7"/>
  <c r="F253" i="7"/>
  <c r="G253" i="7"/>
  <c r="H253" i="7"/>
  <c r="I253" i="7"/>
  <c r="F254" i="7"/>
  <c r="G254" i="7"/>
  <c r="H254" i="7"/>
  <c r="I254" i="7"/>
  <c r="F255" i="7"/>
  <c r="G255" i="7"/>
  <c r="H255" i="7"/>
  <c r="I255" i="7"/>
  <c r="F256" i="7"/>
  <c r="G256" i="7"/>
  <c r="H256" i="7"/>
  <c r="I256" i="7"/>
  <c r="F257" i="7"/>
  <c r="G257" i="7"/>
  <c r="H257" i="7"/>
  <c r="I257" i="7"/>
  <c r="F258" i="7"/>
  <c r="G258" i="7"/>
  <c r="H258" i="7"/>
  <c r="I258" i="7"/>
  <c r="F261" i="7"/>
  <c r="G261" i="7"/>
  <c r="H261" i="7"/>
  <c r="I261" i="7"/>
  <c r="F262" i="7"/>
  <c r="G262" i="7"/>
  <c r="H262" i="7"/>
  <c r="I262" i="7"/>
  <c r="F263" i="7"/>
  <c r="G263" i="7"/>
  <c r="H263" i="7"/>
  <c r="I263" i="7"/>
  <c r="F264" i="7"/>
  <c r="G264" i="7"/>
  <c r="H264" i="7"/>
  <c r="I264" i="7"/>
  <c r="F265" i="7"/>
  <c r="G265" i="7"/>
  <c r="H265" i="7"/>
  <c r="I265" i="7"/>
  <c r="F266" i="7"/>
  <c r="G266" i="7"/>
  <c r="H266" i="7"/>
  <c r="I266" i="7"/>
  <c r="F267" i="7"/>
  <c r="G267" i="7"/>
  <c r="H267" i="7"/>
  <c r="I267" i="7"/>
  <c r="F268" i="7"/>
  <c r="G268" i="7"/>
  <c r="H268" i="7"/>
  <c r="I268" i="7"/>
  <c r="F269" i="7"/>
  <c r="G269" i="7"/>
  <c r="H269" i="7"/>
  <c r="I269" i="7"/>
  <c r="F270" i="7"/>
  <c r="G270" i="7"/>
  <c r="H270" i="7"/>
  <c r="I270" i="7"/>
  <c r="F271" i="7"/>
  <c r="G271" i="7"/>
  <c r="H271" i="7"/>
  <c r="I271" i="7"/>
  <c r="F272" i="7"/>
  <c r="G272" i="7"/>
  <c r="H272" i="7"/>
  <c r="I272" i="7"/>
  <c r="F273" i="7"/>
  <c r="G273" i="7"/>
  <c r="H273" i="7"/>
  <c r="I273" i="7"/>
  <c r="F274" i="7"/>
  <c r="G274" i="7"/>
  <c r="H274" i="7"/>
  <c r="I274" i="7"/>
  <c r="F275" i="7"/>
  <c r="G275" i="7"/>
  <c r="H275" i="7"/>
  <c r="I275" i="7"/>
  <c r="F276" i="7"/>
  <c r="G276" i="7"/>
  <c r="H276" i="7"/>
  <c r="I276" i="7"/>
  <c r="F277" i="7"/>
  <c r="G277" i="7"/>
  <c r="H277" i="7"/>
  <c r="I277" i="7"/>
  <c r="F278" i="7"/>
  <c r="G278" i="7"/>
  <c r="H278" i="7"/>
  <c r="I278" i="7"/>
  <c r="F279" i="7"/>
  <c r="G279" i="7"/>
  <c r="H279" i="7"/>
  <c r="I279" i="7"/>
  <c r="F280" i="7"/>
  <c r="G280" i="7"/>
  <c r="H280" i="7"/>
  <c r="I280" i="7"/>
  <c r="F281" i="7"/>
  <c r="G281" i="7"/>
  <c r="H281" i="7"/>
  <c r="I281" i="7"/>
  <c r="F282" i="7"/>
  <c r="G282" i="7"/>
  <c r="H282" i="7"/>
  <c r="I282" i="7"/>
  <c r="F283" i="7"/>
  <c r="G283" i="7"/>
  <c r="H283" i="7"/>
  <c r="I283" i="7"/>
  <c r="F284" i="7"/>
  <c r="G284" i="7"/>
  <c r="H284" i="7"/>
  <c r="I284" i="7"/>
  <c r="F285" i="7"/>
  <c r="G285" i="7"/>
  <c r="H285" i="7"/>
  <c r="I285" i="7"/>
  <c r="F286" i="7"/>
  <c r="G286" i="7"/>
  <c r="H286" i="7"/>
  <c r="I286" i="7"/>
  <c r="F287" i="7"/>
  <c r="G287" i="7"/>
  <c r="H287" i="7"/>
  <c r="I287" i="7"/>
  <c r="F288" i="7"/>
  <c r="G288" i="7"/>
  <c r="H288" i="7"/>
  <c r="I288" i="7"/>
  <c r="F289" i="7"/>
  <c r="G289" i="7"/>
  <c r="H289" i="7"/>
  <c r="I289" i="7"/>
  <c r="F291" i="7"/>
  <c r="G291" i="7"/>
  <c r="H291" i="7"/>
  <c r="I291" i="7"/>
  <c r="F292" i="7"/>
  <c r="G292" i="7"/>
  <c r="H292" i="7"/>
  <c r="I292" i="7"/>
  <c r="F294" i="7"/>
  <c r="G294" i="7"/>
  <c r="H294" i="7"/>
  <c r="I294" i="7"/>
  <c r="F295" i="7"/>
  <c r="G295" i="7"/>
  <c r="H295" i="7"/>
  <c r="I295" i="7"/>
  <c r="F296" i="7"/>
  <c r="G296" i="7"/>
  <c r="H296" i="7"/>
  <c r="I296" i="7"/>
  <c r="F297" i="7"/>
  <c r="G297" i="7"/>
  <c r="H297" i="7"/>
  <c r="I297" i="7"/>
  <c r="F298" i="7"/>
  <c r="G298" i="7"/>
  <c r="H298" i="7"/>
  <c r="I298" i="7"/>
  <c r="F299" i="7"/>
  <c r="G299" i="7"/>
  <c r="H299" i="7"/>
  <c r="I299" i="7"/>
  <c r="F300" i="7"/>
  <c r="G300" i="7"/>
  <c r="H300" i="7"/>
  <c r="I300" i="7"/>
  <c r="F301" i="7"/>
  <c r="G301" i="7"/>
  <c r="H301" i="7"/>
  <c r="I301" i="7"/>
  <c r="F302" i="7"/>
  <c r="G302" i="7"/>
  <c r="H302" i="7"/>
  <c r="I302" i="7"/>
  <c r="F303" i="7"/>
  <c r="G303" i="7"/>
  <c r="H303" i="7"/>
  <c r="I303" i="7"/>
  <c r="F304" i="7"/>
  <c r="G304" i="7"/>
  <c r="H304" i="7"/>
  <c r="I304" i="7"/>
  <c r="F305" i="7"/>
  <c r="G305" i="7"/>
  <c r="H305" i="7"/>
  <c r="I305" i="7"/>
  <c r="F306" i="7"/>
  <c r="G306" i="7"/>
  <c r="H306" i="7"/>
  <c r="I306" i="7"/>
  <c r="F307" i="7"/>
  <c r="G307" i="7"/>
  <c r="H307" i="7"/>
  <c r="I307" i="7"/>
  <c r="F308" i="7"/>
  <c r="G308" i="7"/>
  <c r="H308" i="7"/>
  <c r="I308" i="7"/>
  <c r="F309" i="7"/>
  <c r="G309" i="7"/>
  <c r="H309" i="7"/>
  <c r="I309" i="7"/>
  <c r="F310" i="7"/>
  <c r="G310" i="7"/>
  <c r="H310" i="7"/>
  <c r="I310" i="7"/>
  <c r="F311" i="7"/>
  <c r="G311" i="7"/>
  <c r="H311" i="7"/>
  <c r="I311" i="7"/>
  <c r="F312" i="7"/>
  <c r="G312" i="7"/>
  <c r="H312" i="7"/>
  <c r="I312" i="7"/>
  <c r="F313" i="7"/>
  <c r="G313" i="7"/>
  <c r="H313" i="7"/>
  <c r="I313" i="7"/>
  <c r="F314" i="7"/>
  <c r="G314" i="7"/>
  <c r="H314" i="7"/>
  <c r="I314" i="7"/>
  <c r="F315" i="7"/>
  <c r="G315" i="7"/>
  <c r="H315" i="7"/>
  <c r="I315" i="7"/>
  <c r="F316" i="7"/>
  <c r="G316" i="7"/>
  <c r="H316" i="7"/>
  <c r="I316" i="7"/>
  <c r="F317" i="7"/>
  <c r="G317" i="7"/>
  <c r="H317" i="7"/>
  <c r="I317" i="7"/>
  <c r="F318" i="7"/>
  <c r="G318" i="7"/>
  <c r="H318" i="7"/>
  <c r="I318" i="7"/>
  <c r="F319" i="7"/>
  <c r="G319" i="7"/>
  <c r="H319" i="7"/>
  <c r="I319" i="7"/>
  <c r="F320" i="7"/>
  <c r="G320" i="7"/>
  <c r="H320" i="7"/>
  <c r="I320" i="7"/>
  <c r="F321" i="7"/>
  <c r="G321" i="7"/>
  <c r="H321" i="7"/>
  <c r="I321" i="7"/>
  <c r="F322" i="7"/>
  <c r="G322" i="7"/>
  <c r="H322" i="7"/>
  <c r="I322" i="7"/>
  <c r="F323" i="7"/>
  <c r="G323" i="7"/>
  <c r="H323" i="7"/>
  <c r="I323" i="7"/>
  <c r="F324" i="7"/>
  <c r="G324" i="7"/>
  <c r="H324" i="7"/>
  <c r="I324" i="7"/>
  <c r="F325" i="7"/>
  <c r="G325" i="7"/>
  <c r="H325" i="7"/>
  <c r="I325" i="7"/>
  <c r="F326" i="7"/>
  <c r="G326" i="7"/>
  <c r="H326" i="7"/>
  <c r="I326" i="7"/>
  <c r="F327" i="7"/>
  <c r="G327" i="7"/>
  <c r="H327" i="7"/>
  <c r="I327" i="7"/>
  <c r="F329" i="7"/>
  <c r="G329" i="7"/>
  <c r="H329" i="7"/>
  <c r="I329" i="7"/>
  <c r="F330" i="7"/>
  <c r="G330" i="7"/>
  <c r="H330" i="7"/>
  <c r="I330" i="7"/>
  <c r="F331" i="7"/>
  <c r="G331" i="7"/>
  <c r="H331" i="7"/>
  <c r="I331" i="7"/>
  <c r="F334" i="7"/>
  <c r="G334" i="7"/>
  <c r="H334" i="7"/>
  <c r="I334" i="7"/>
  <c r="F335" i="7"/>
  <c r="G335" i="7"/>
  <c r="H335" i="7"/>
  <c r="I335" i="7"/>
  <c r="F336" i="7"/>
  <c r="G336" i="7"/>
  <c r="H336" i="7"/>
  <c r="I336" i="7"/>
  <c r="F337" i="7"/>
  <c r="G337" i="7"/>
  <c r="H337" i="7"/>
  <c r="I337" i="7"/>
  <c r="F338" i="7"/>
  <c r="G338" i="7"/>
  <c r="H338" i="7"/>
  <c r="I338" i="7"/>
  <c r="F339" i="7"/>
  <c r="G339" i="7"/>
  <c r="H339" i="7"/>
  <c r="I339" i="7"/>
  <c r="F340" i="7"/>
  <c r="G340" i="7"/>
  <c r="H340" i="7"/>
  <c r="I340" i="7"/>
  <c r="F341" i="7"/>
  <c r="G341" i="7"/>
  <c r="H341" i="7"/>
  <c r="I341" i="7"/>
  <c r="F342" i="7"/>
  <c r="G342" i="7"/>
  <c r="H342" i="7"/>
  <c r="I342" i="7"/>
  <c r="F343" i="7"/>
  <c r="G343" i="7"/>
  <c r="H343" i="7"/>
  <c r="I343" i="7"/>
  <c r="F344" i="7"/>
  <c r="G344" i="7"/>
  <c r="H344" i="7"/>
  <c r="I344" i="7"/>
  <c r="F345" i="7"/>
  <c r="G345" i="7"/>
  <c r="H345" i="7"/>
  <c r="I345" i="7"/>
  <c r="F346" i="7"/>
  <c r="G346" i="7"/>
  <c r="H346" i="7"/>
  <c r="I346" i="7"/>
  <c r="F347" i="7"/>
  <c r="G347" i="7"/>
  <c r="H347" i="7"/>
  <c r="I347" i="7"/>
  <c r="F348" i="7"/>
  <c r="G348" i="7"/>
  <c r="H348" i="7"/>
  <c r="I348" i="7"/>
  <c r="F349" i="7"/>
  <c r="G349" i="7"/>
  <c r="H349" i="7"/>
  <c r="I349" i="7"/>
  <c r="F350" i="7"/>
  <c r="G350" i="7"/>
  <c r="H350" i="7"/>
  <c r="I350" i="7"/>
  <c r="F351" i="7"/>
  <c r="G351" i="7"/>
  <c r="H351" i="7"/>
  <c r="I351" i="7"/>
  <c r="F352" i="7"/>
  <c r="G352" i="7"/>
  <c r="H352" i="7"/>
  <c r="I352" i="7"/>
  <c r="F353" i="7"/>
  <c r="G353" i="7"/>
  <c r="H353" i="7"/>
  <c r="I353" i="7"/>
  <c r="F354" i="7"/>
  <c r="G354" i="7"/>
  <c r="H354" i="7"/>
  <c r="I354" i="7"/>
  <c r="F355" i="7"/>
  <c r="G355" i="7"/>
  <c r="H355" i="7"/>
  <c r="I355" i="7"/>
  <c r="F356" i="7"/>
  <c r="G356" i="7"/>
  <c r="H356" i="7"/>
  <c r="I356" i="7"/>
  <c r="F357" i="7"/>
  <c r="G357" i="7"/>
  <c r="H357" i="7"/>
  <c r="I357" i="7"/>
  <c r="F358" i="7"/>
  <c r="G358" i="7"/>
  <c r="H358" i="7"/>
  <c r="I358" i="7"/>
  <c r="F359" i="7"/>
  <c r="G359" i="7"/>
  <c r="H359" i="7"/>
  <c r="I359" i="7"/>
  <c r="F360" i="7"/>
  <c r="G360" i="7"/>
  <c r="H360" i="7"/>
  <c r="I360" i="7"/>
  <c r="F361" i="7"/>
  <c r="G361" i="7"/>
  <c r="H361" i="7"/>
  <c r="I361" i="7"/>
  <c r="F362" i="7"/>
  <c r="G362" i="7"/>
  <c r="H362" i="7"/>
  <c r="I362" i="7"/>
  <c r="F364" i="7"/>
  <c r="G364" i="7"/>
  <c r="H364" i="7"/>
  <c r="I364" i="7"/>
  <c r="F365" i="7"/>
  <c r="G365" i="7"/>
  <c r="H365" i="7"/>
  <c r="I365" i="7"/>
  <c r="F366" i="7"/>
  <c r="G366" i="7"/>
  <c r="H366" i="7"/>
  <c r="I366" i="7"/>
  <c r="F367" i="7"/>
  <c r="G367" i="7"/>
  <c r="H367" i="7"/>
  <c r="I367" i="7"/>
  <c r="F368" i="7"/>
  <c r="G368" i="7"/>
  <c r="H368" i="7"/>
  <c r="I368" i="7"/>
  <c r="F369" i="7"/>
  <c r="G369" i="7"/>
  <c r="H369" i="7"/>
  <c r="I369" i="7"/>
  <c r="F370" i="7"/>
  <c r="G370" i="7"/>
  <c r="H370" i="7"/>
  <c r="I370" i="7"/>
  <c r="F371" i="7"/>
  <c r="G371" i="7"/>
  <c r="H371" i="7"/>
  <c r="I371" i="7"/>
  <c r="F372" i="7"/>
  <c r="G372" i="7"/>
  <c r="H372" i="7"/>
  <c r="I372" i="7"/>
  <c r="F373" i="7"/>
  <c r="G373" i="7"/>
  <c r="H373" i="7"/>
  <c r="I373" i="7"/>
  <c r="F374" i="7"/>
  <c r="G374" i="7"/>
  <c r="H374" i="7"/>
  <c r="I374" i="7"/>
  <c r="F375" i="7"/>
  <c r="G375" i="7"/>
  <c r="H375" i="7"/>
  <c r="I375" i="7"/>
  <c r="F376" i="7"/>
  <c r="G376" i="7"/>
  <c r="H376" i="7"/>
  <c r="I376" i="7"/>
  <c r="F377" i="7"/>
  <c r="G377" i="7"/>
  <c r="H377" i="7"/>
  <c r="I377" i="7"/>
  <c r="F378" i="7"/>
  <c r="G378" i="7"/>
  <c r="H378" i="7"/>
  <c r="I378" i="7"/>
  <c r="F379" i="7"/>
  <c r="G379" i="7"/>
  <c r="H379" i="7"/>
  <c r="I379" i="7"/>
  <c r="F380" i="7"/>
  <c r="G380" i="7"/>
  <c r="H380" i="7"/>
  <c r="I380" i="7"/>
  <c r="F381" i="7"/>
  <c r="G381" i="7"/>
  <c r="H381" i="7"/>
  <c r="I381" i="7"/>
  <c r="F382" i="7"/>
  <c r="G382" i="7"/>
  <c r="H382" i="7"/>
  <c r="I382" i="7"/>
  <c r="F383" i="7"/>
  <c r="G383" i="7"/>
  <c r="H383" i="7"/>
  <c r="I383" i="7"/>
  <c r="F384" i="7"/>
  <c r="G384" i="7"/>
  <c r="H384" i="7"/>
  <c r="I384" i="7"/>
  <c r="F386" i="7"/>
  <c r="G386" i="7"/>
  <c r="H386" i="7"/>
  <c r="I386" i="7"/>
  <c r="F387" i="7"/>
  <c r="G387" i="7"/>
  <c r="H387" i="7"/>
  <c r="I387" i="7"/>
  <c r="F388" i="7"/>
  <c r="G388" i="7"/>
  <c r="H388" i="7"/>
  <c r="I388" i="7"/>
  <c r="F399" i="7"/>
  <c r="G399" i="7"/>
  <c r="H399" i="7"/>
  <c r="I399" i="7"/>
  <c r="F389" i="7"/>
  <c r="G389" i="7"/>
  <c r="H389" i="7"/>
  <c r="I389" i="7"/>
  <c r="F9" i="7"/>
  <c r="G9" i="7"/>
  <c r="H9" i="7"/>
  <c r="I9" i="7"/>
  <c r="F683" i="7"/>
  <c r="G683" i="7"/>
  <c r="H683" i="7"/>
  <c r="I683" i="7"/>
  <c r="F390" i="7"/>
  <c r="G390" i="7"/>
  <c r="H390" i="7"/>
  <c r="I390" i="7"/>
  <c r="F391" i="7"/>
  <c r="G391" i="7"/>
  <c r="H391" i="7"/>
  <c r="I391" i="7"/>
  <c r="F392" i="7"/>
  <c r="G392" i="7"/>
  <c r="H392" i="7"/>
  <c r="I392" i="7"/>
  <c r="F393" i="7"/>
  <c r="G393" i="7"/>
  <c r="H393" i="7"/>
  <c r="I393" i="7"/>
  <c r="F394" i="7"/>
  <c r="G394" i="7"/>
  <c r="H394" i="7"/>
  <c r="I394" i="7"/>
  <c r="F395" i="7"/>
  <c r="G395" i="7"/>
  <c r="H395" i="7"/>
  <c r="I395" i="7"/>
  <c r="F396" i="7"/>
  <c r="G396" i="7"/>
  <c r="H396" i="7"/>
  <c r="I396" i="7"/>
  <c r="F430" i="7"/>
  <c r="G430" i="7"/>
  <c r="H430" i="7"/>
  <c r="I430" i="7"/>
  <c r="F153" i="7"/>
  <c r="G153" i="7"/>
  <c r="H153" i="7"/>
  <c r="I153" i="7"/>
  <c r="F397" i="7"/>
  <c r="G397" i="7"/>
  <c r="H397" i="7"/>
  <c r="I397" i="7"/>
  <c r="F1011" i="7"/>
  <c r="G1011" i="7"/>
  <c r="H1011" i="7"/>
  <c r="I1011" i="7"/>
  <c r="F398" i="7"/>
  <c r="G398" i="7"/>
  <c r="H398" i="7"/>
  <c r="I398" i="7"/>
  <c r="F400" i="7"/>
  <c r="G400" i="7"/>
  <c r="H400" i="7"/>
  <c r="I400" i="7"/>
  <c r="F401" i="7"/>
  <c r="G401" i="7"/>
  <c r="H401" i="7"/>
  <c r="I401" i="7"/>
  <c r="F402" i="7"/>
  <c r="G402" i="7"/>
  <c r="H402" i="7"/>
  <c r="I402" i="7"/>
  <c r="F403" i="7"/>
  <c r="G403" i="7"/>
  <c r="H403" i="7"/>
  <c r="I403" i="7"/>
  <c r="F404" i="7"/>
  <c r="G404" i="7"/>
  <c r="H404" i="7"/>
  <c r="I404" i="7"/>
  <c r="F405" i="7"/>
  <c r="G405" i="7"/>
  <c r="H405" i="7"/>
  <c r="I405" i="7"/>
  <c r="F406" i="7"/>
  <c r="G406" i="7"/>
  <c r="H406" i="7"/>
  <c r="I406" i="7"/>
  <c r="F407" i="7"/>
  <c r="G407" i="7"/>
  <c r="H407" i="7"/>
  <c r="I407" i="7"/>
  <c r="F408" i="7"/>
  <c r="G408" i="7"/>
  <c r="H408" i="7"/>
  <c r="I408" i="7"/>
  <c r="F409" i="7"/>
  <c r="G409" i="7"/>
  <c r="H409" i="7"/>
  <c r="I409" i="7"/>
  <c r="F410" i="7"/>
  <c r="G410" i="7"/>
  <c r="H410" i="7"/>
  <c r="I410" i="7"/>
  <c r="F411" i="7"/>
  <c r="G411" i="7"/>
  <c r="H411" i="7"/>
  <c r="I411" i="7"/>
  <c r="F412" i="7"/>
  <c r="G412" i="7"/>
  <c r="H412" i="7"/>
  <c r="I412" i="7"/>
  <c r="F413" i="7"/>
  <c r="G413" i="7"/>
  <c r="H413" i="7"/>
  <c r="I413" i="7"/>
  <c r="F414" i="7"/>
  <c r="G414" i="7"/>
  <c r="H414" i="7"/>
  <c r="I414" i="7"/>
  <c r="F415" i="7"/>
  <c r="G415" i="7"/>
  <c r="H415" i="7"/>
  <c r="I415" i="7"/>
  <c r="F416" i="7"/>
  <c r="G416" i="7"/>
  <c r="H416" i="7"/>
  <c r="I416" i="7"/>
  <c r="F417" i="7"/>
  <c r="G417" i="7"/>
  <c r="H417" i="7"/>
  <c r="I417" i="7"/>
  <c r="F418" i="7"/>
  <c r="G418" i="7"/>
  <c r="H418" i="7"/>
  <c r="I418" i="7"/>
  <c r="F419" i="7"/>
  <c r="G419" i="7"/>
  <c r="H419" i="7"/>
  <c r="I419" i="7"/>
  <c r="F420" i="7"/>
  <c r="G420" i="7"/>
  <c r="H420" i="7"/>
  <c r="I420" i="7"/>
  <c r="F421" i="7"/>
  <c r="G421" i="7"/>
  <c r="H421" i="7"/>
  <c r="I421" i="7"/>
  <c r="F423" i="7"/>
  <c r="G423" i="7"/>
  <c r="H423" i="7"/>
  <c r="I423" i="7"/>
  <c r="F424" i="7"/>
  <c r="G424" i="7"/>
  <c r="H424" i="7"/>
  <c r="I424" i="7"/>
  <c r="F517" i="7"/>
  <c r="G517" i="7"/>
  <c r="H517" i="7"/>
  <c r="I517" i="7"/>
  <c r="F425" i="7"/>
  <c r="G425" i="7"/>
  <c r="H425" i="7"/>
  <c r="I425" i="7"/>
  <c r="F426" i="7"/>
  <c r="G426" i="7"/>
  <c r="H426" i="7"/>
  <c r="I426" i="7"/>
  <c r="F427" i="7"/>
  <c r="G427" i="7"/>
  <c r="H427" i="7"/>
  <c r="I427" i="7"/>
  <c r="F428" i="7"/>
  <c r="G428" i="7"/>
  <c r="H428" i="7"/>
  <c r="I428" i="7"/>
  <c r="F429" i="7"/>
  <c r="G429" i="7"/>
  <c r="H429" i="7"/>
  <c r="I429" i="7"/>
  <c r="F431" i="7"/>
  <c r="G431" i="7"/>
  <c r="H431" i="7"/>
  <c r="I431" i="7"/>
  <c r="F432" i="7"/>
  <c r="G432" i="7"/>
  <c r="H432" i="7"/>
  <c r="I432" i="7"/>
  <c r="F433" i="7"/>
  <c r="G433" i="7"/>
  <c r="H433" i="7"/>
  <c r="I433" i="7"/>
  <c r="F434" i="7"/>
  <c r="G434" i="7"/>
  <c r="H434" i="7"/>
  <c r="I434" i="7"/>
  <c r="F435" i="7"/>
  <c r="G435" i="7"/>
  <c r="H435" i="7"/>
  <c r="I435" i="7"/>
  <c r="F436" i="7"/>
  <c r="G436" i="7"/>
  <c r="H436" i="7"/>
  <c r="I436" i="7"/>
  <c r="F437" i="7"/>
  <c r="G437" i="7"/>
  <c r="H437" i="7"/>
  <c r="I437" i="7"/>
  <c r="F438" i="7"/>
  <c r="G438" i="7"/>
  <c r="H438" i="7"/>
  <c r="I438" i="7"/>
  <c r="F439" i="7"/>
  <c r="G439" i="7"/>
  <c r="H439" i="7"/>
  <c r="I439" i="7"/>
  <c r="F440" i="7"/>
  <c r="G440" i="7"/>
  <c r="H440" i="7"/>
  <c r="I440" i="7"/>
  <c r="F441" i="7"/>
  <c r="G441" i="7"/>
  <c r="H441" i="7"/>
  <c r="I441" i="7"/>
  <c r="F442" i="7"/>
  <c r="G442" i="7"/>
  <c r="H442" i="7"/>
  <c r="I442" i="7"/>
  <c r="F443" i="7"/>
  <c r="G443" i="7"/>
  <c r="H443" i="7"/>
  <c r="I443" i="7"/>
  <c r="F444" i="7"/>
  <c r="G444" i="7"/>
  <c r="H444" i="7"/>
  <c r="I444" i="7"/>
  <c r="F445" i="7"/>
  <c r="G445" i="7"/>
  <c r="H445" i="7"/>
  <c r="I445" i="7"/>
  <c r="F446" i="7"/>
  <c r="G446" i="7"/>
  <c r="H446" i="7"/>
  <c r="I446" i="7"/>
  <c r="F447" i="7"/>
  <c r="G447" i="7"/>
  <c r="H447" i="7"/>
  <c r="I447" i="7"/>
  <c r="F448" i="7"/>
  <c r="G448" i="7"/>
  <c r="H448" i="7"/>
  <c r="I448" i="7"/>
  <c r="F449" i="7"/>
  <c r="G449" i="7"/>
  <c r="H449" i="7"/>
  <c r="I449" i="7"/>
  <c r="F450" i="7"/>
  <c r="G450" i="7"/>
  <c r="H450" i="7"/>
  <c r="I450" i="7"/>
  <c r="F451" i="7"/>
  <c r="G451" i="7"/>
  <c r="H451" i="7"/>
  <c r="I451" i="7"/>
  <c r="F452" i="7"/>
  <c r="G452" i="7"/>
  <c r="H452" i="7"/>
  <c r="I452" i="7"/>
  <c r="F453" i="7"/>
  <c r="G453" i="7"/>
  <c r="H453" i="7"/>
  <c r="I453" i="7"/>
  <c r="F454" i="7"/>
  <c r="G454" i="7"/>
  <c r="H454" i="7"/>
  <c r="I454" i="7"/>
  <c r="F455" i="7"/>
  <c r="G455" i="7"/>
  <c r="H455" i="7"/>
  <c r="I455" i="7"/>
  <c r="F456" i="7"/>
  <c r="G456" i="7"/>
  <c r="H456" i="7"/>
  <c r="I456" i="7"/>
  <c r="F457" i="7"/>
  <c r="G457" i="7"/>
  <c r="H457" i="7"/>
  <c r="I457" i="7"/>
  <c r="F458" i="7"/>
  <c r="G458" i="7"/>
  <c r="H458" i="7"/>
  <c r="I458" i="7"/>
  <c r="F459" i="7"/>
  <c r="G459" i="7"/>
  <c r="H459" i="7"/>
  <c r="I459" i="7"/>
  <c r="F460" i="7"/>
  <c r="G460" i="7"/>
  <c r="H460" i="7"/>
  <c r="I460" i="7"/>
  <c r="F461" i="7"/>
  <c r="G461" i="7"/>
  <c r="H461" i="7"/>
  <c r="I461" i="7"/>
  <c r="F462" i="7"/>
  <c r="G462" i="7"/>
  <c r="H462" i="7"/>
  <c r="I462" i="7"/>
  <c r="F463" i="7"/>
  <c r="G463" i="7"/>
  <c r="H463" i="7"/>
  <c r="I463" i="7"/>
  <c r="F464" i="7"/>
  <c r="G464" i="7"/>
  <c r="H464" i="7"/>
  <c r="I464" i="7"/>
  <c r="F465" i="7"/>
  <c r="G465" i="7"/>
  <c r="H465" i="7"/>
  <c r="I465" i="7"/>
  <c r="F466" i="7"/>
  <c r="G466" i="7"/>
  <c r="H466" i="7"/>
  <c r="I466" i="7"/>
  <c r="F467" i="7"/>
  <c r="G467" i="7"/>
  <c r="H467" i="7"/>
  <c r="I467" i="7"/>
  <c r="F468" i="7"/>
  <c r="G468" i="7"/>
  <c r="H468" i="7"/>
  <c r="I468" i="7"/>
  <c r="F469" i="7"/>
  <c r="G469" i="7"/>
  <c r="H469" i="7"/>
  <c r="I469" i="7"/>
  <c r="F470" i="7"/>
  <c r="G470" i="7"/>
  <c r="H470" i="7"/>
  <c r="I470" i="7"/>
  <c r="F471" i="7"/>
  <c r="G471" i="7"/>
  <c r="H471" i="7"/>
  <c r="I471" i="7"/>
  <c r="F472" i="7"/>
  <c r="G472" i="7"/>
  <c r="H472" i="7"/>
  <c r="I472" i="7"/>
  <c r="F473" i="7"/>
  <c r="G473" i="7"/>
  <c r="H473" i="7"/>
  <c r="I473" i="7"/>
  <c r="F475" i="7"/>
  <c r="G475" i="7"/>
  <c r="H475" i="7"/>
  <c r="I475" i="7"/>
  <c r="F476" i="7"/>
  <c r="G476" i="7"/>
  <c r="H476" i="7"/>
  <c r="I476" i="7"/>
  <c r="F477" i="7"/>
  <c r="G477" i="7"/>
  <c r="H477" i="7"/>
  <c r="I477" i="7"/>
  <c r="F479" i="7"/>
  <c r="G479" i="7"/>
  <c r="H479" i="7"/>
  <c r="I479" i="7"/>
  <c r="F480" i="7"/>
  <c r="G480" i="7"/>
  <c r="H480" i="7"/>
  <c r="I480" i="7"/>
  <c r="F481" i="7"/>
  <c r="G481" i="7"/>
  <c r="H481" i="7"/>
  <c r="I481" i="7"/>
  <c r="F482" i="7"/>
  <c r="G482" i="7"/>
  <c r="H482" i="7"/>
  <c r="I482" i="7"/>
  <c r="F483" i="7"/>
  <c r="G483" i="7"/>
  <c r="H483" i="7"/>
  <c r="I483" i="7"/>
  <c r="F672" i="7"/>
  <c r="G672" i="7"/>
  <c r="H672" i="7"/>
  <c r="I672" i="7"/>
  <c r="F484" i="7"/>
  <c r="G484" i="7"/>
  <c r="H484" i="7"/>
  <c r="I484" i="7"/>
  <c r="F485" i="7"/>
  <c r="G485" i="7"/>
  <c r="H485" i="7"/>
  <c r="I485" i="7"/>
  <c r="F178" i="7"/>
  <c r="G178" i="7"/>
  <c r="H178" i="7"/>
  <c r="I178"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3" i="7"/>
  <c r="G503" i="7"/>
  <c r="H503" i="7"/>
  <c r="I503" i="7"/>
  <c r="F504" i="7"/>
  <c r="G504" i="7"/>
  <c r="H504" i="7"/>
  <c r="I504" i="7"/>
  <c r="F505" i="7"/>
  <c r="G505" i="7"/>
  <c r="H505" i="7"/>
  <c r="I505" i="7"/>
  <c r="F506" i="7"/>
  <c r="G506" i="7"/>
  <c r="H506" i="7"/>
  <c r="I506" i="7"/>
  <c r="F507" i="7"/>
  <c r="G507" i="7"/>
  <c r="H507" i="7"/>
  <c r="I507" i="7"/>
  <c r="F508" i="7"/>
  <c r="G508" i="7"/>
  <c r="H508" i="7"/>
  <c r="I508" i="7"/>
  <c r="F509" i="7"/>
  <c r="G509" i="7"/>
  <c r="H509" i="7"/>
  <c r="I509" i="7"/>
  <c r="F510" i="7"/>
  <c r="G510" i="7"/>
  <c r="H510" i="7"/>
  <c r="I510" i="7"/>
  <c r="F511" i="7"/>
  <c r="G511" i="7"/>
  <c r="H511" i="7"/>
  <c r="I511" i="7"/>
  <c r="F512" i="7"/>
  <c r="G512" i="7"/>
  <c r="H512" i="7"/>
  <c r="I512" i="7"/>
  <c r="F514" i="7"/>
  <c r="G514" i="7"/>
  <c r="H514" i="7"/>
  <c r="I514" i="7"/>
  <c r="F515" i="7"/>
  <c r="G515" i="7"/>
  <c r="H515" i="7"/>
  <c r="I515" i="7"/>
  <c r="F516" i="7"/>
  <c r="G516" i="7"/>
  <c r="H516" i="7"/>
  <c r="I516" i="7"/>
  <c r="F518" i="7"/>
  <c r="G518" i="7"/>
  <c r="H518" i="7"/>
  <c r="I518" i="7"/>
  <c r="F519" i="7"/>
  <c r="G519" i="7"/>
  <c r="H519" i="7"/>
  <c r="I519" i="7"/>
  <c r="F520" i="7"/>
  <c r="G520" i="7"/>
  <c r="H520" i="7"/>
  <c r="I520" i="7"/>
  <c r="F521" i="7"/>
  <c r="G521" i="7"/>
  <c r="H521" i="7"/>
  <c r="I521" i="7"/>
  <c r="F522" i="7"/>
  <c r="G522" i="7"/>
  <c r="H522" i="7"/>
  <c r="I522" i="7"/>
  <c r="F523" i="7"/>
  <c r="G523" i="7"/>
  <c r="H523" i="7"/>
  <c r="I523" i="7"/>
  <c r="F524" i="7"/>
  <c r="G524" i="7"/>
  <c r="H524" i="7"/>
  <c r="I524" i="7"/>
  <c r="F525" i="7"/>
  <c r="G525" i="7"/>
  <c r="H525" i="7"/>
  <c r="I525" i="7"/>
  <c r="F526" i="7"/>
  <c r="G526" i="7"/>
  <c r="H526" i="7"/>
  <c r="I526" i="7"/>
  <c r="F527" i="7"/>
  <c r="G527" i="7"/>
  <c r="H527" i="7"/>
  <c r="I527" i="7"/>
  <c r="F528" i="7"/>
  <c r="G528" i="7"/>
  <c r="H528" i="7"/>
  <c r="I528" i="7"/>
  <c r="F529" i="7"/>
  <c r="G529" i="7"/>
  <c r="H529" i="7"/>
  <c r="I529" i="7"/>
  <c r="F530" i="7"/>
  <c r="G530" i="7"/>
  <c r="H530" i="7"/>
  <c r="I530" i="7"/>
  <c r="F531" i="7"/>
  <c r="G531" i="7"/>
  <c r="H531" i="7"/>
  <c r="I531" i="7"/>
  <c r="F532" i="7"/>
  <c r="G532" i="7"/>
  <c r="H532" i="7"/>
  <c r="I532" i="7"/>
  <c r="F533" i="7"/>
  <c r="G533" i="7"/>
  <c r="H533" i="7"/>
  <c r="I533" i="7"/>
  <c r="F534" i="7"/>
  <c r="G534" i="7"/>
  <c r="H534" i="7"/>
  <c r="I534" i="7"/>
  <c r="F537" i="7"/>
  <c r="G537" i="7"/>
  <c r="H537" i="7"/>
  <c r="I537" i="7"/>
  <c r="F538" i="7"/>
  <c r="G538" i="7"/>
  <c r="H538" i="7"/>
  <c r="I538" i="7"/>
  <c r="F539" i="7"/>
  <c r="G539" i="7"/>
  <c r="H539" i="7"/>
  <c r="I539" i="7"/>
  <c r="F540" i="7"/>
  <c r="G540" i="7"/>
  <c r="H540" i="7"/>
  <c r="I540" i="7"/>
  <c r="F541" i="7"/>
  <c r="G541" i="7"/>
  <c r="H541" i="7"/>
  <c r="I541" i="7"/>
  <c r="F542" i="7"/>
  <c r="G542" i="7"/>
  <c r="H542" i="7"/>
  <c r="I542" i="7"/>
  <c r="F543" i="7"/>
  <c r="G543" i="7"/>
  <c r="H543" i="7"/>
  <c r="I543" i="7"/>
  <c r="F544" i="7"/>
  <c r="G544" i="7"/>
  <c r="H544" i="7"/>
  <c r="I544" i="7"/>
  <c r="F545" i="7"/>
  <c r="G545" i="7"/>
  <c r="H545" i="7"/>
  <c r="I545" i="7"/>
  <c r="F546" i="7"/>
  <c r="G546" i="7"/>
  <c r="H546" i="7"/>
  <c r="I546" i="7"/>
  <c r="F547" i="7"/>
  <c r="G547" i="7"/>
  <c r="H547" i="7"/>
  <c r="I547" i="7"/>
  <c r="F548" i="7"/>
  <c r="G548" i="7"/>
  <c r="H548" i="7"/>
  <c r="I548" i="7"/>
  <c r="F549" i="7"/>
  <c r="G549" i="7"/>
  <c r="H549" i="7"/>
  <c r="I549" i="7"/>
  <c r="F550" i="7"/>
  <c r="G550" i="7"/>
  <c r="H550" i="7"/>
  <c r="I550" i="7"/>
  <c r="F551" i="7"/>
  <c r="G551" i="7"/>
  <c r="H551" i="7"/>
  <c r="I551" i="7"/>
  <c r="F552" i="7"/>
  <c r="G552" i="7"/>
  <c r="H552" i="7"/>
  <c r="I552" i="7"/>
  <c r="F553" i="7"/>
  <c r="G553" i="7"/>
  <c r="H553" i="7"/>
  <c r="I553" i="7"/>
  <c r="F554" i="7"/>
  <c r="G554" i="7"/>
  <c r="H554" i="7"/>
  <c r="I554" i="7"/>
  <c r="F555" i="7"/>
  <c r="G555" i="7"/>
  <c r="H555" i="7"/>
  <c r="I555" i="7"/>
  <c r="F556" i="7"/>
  <c r="G556" i="7"/>
  <c r="H556" i="7"/>
  <c r="I556" i="7"/>
  <c r="F557" i="7"/>
  <c r="G557" i="7"/>
  <c r="H557" i="7"/>
  <c r="I557" i="7"/>
  <c r="F558" i="7"/>
  <c r="G558" i="7"/>
  <c r="H558" i="7"/>
  <c r="I558" i="7"/>
  <c r="F559" i="7"/>
  <c r="G559" i="7"/>
  <c r="H559" i="7"/>
  <c r="I559" i="7"/>
  <c r="F560" i="7"/>
  <c r="G560" i="7"/>
  <c r="H560" i="7"/>
  <c r="I560" i="7"/>
  <c r="F561" i="7"/>
  <c r="G561" i="7"/>
  <c r="H561" i="7"/>
  <c r="I561" i="7"/>
  <c r="F562" i="7"/>
  <c r="G562" i="7"/>
  <c r="H562" i="7"/>
  <c r="I562" i="7"/>
  <c r="F563" i="7"/>
  <c r="G563" i="7"/>
  <c r="H563" i="7"/>
  <c r="I563" i="7"/>
  <c r="F564" i="7"/>
  <c r="G564" i="7"/>
  <c r="H564" i="7"/>
  <c r="I564" i="7"/>
  <c r="F199" i="7"/>
  <c r="G199" i="7"/>
  <c r="H199" i="7"/>
  <c r="I199" i="7"/>
  <c r="F260" i="7"/>
  <c r="G260" i="7"/>
  <c r="H260" i="7"/>
  <c r="I260" i="7"/>
  <c r="F187" i="7"/>
  <c r="G187" i="7"/>
  <c r="H187" i="7"/>
  <c r="I187" i="7"/>
  <c r="F1002" i="7"/>
  <c r="G1002" i="7"/>
  <c r="H1002" i="7"/>
  <c r="I1002" i="7"/>
  <c r="F333" i="7"/>
  <c r="G333" i="7"/>
  <c r="H333" i="7"/>
  <c r="I333" i="7"/>
  <c r="F825" i="7"/>
  <c r="G825" i="7"/>
  <c r="H825" i="7"/>
  <c r="I825" i="7"/>
  <c r="F763" i="7"/>
  <c r="G763" i="7"/>
  <c r="H763" i="7"/>
  <c r="I763" i="7"/>
  <c r="F565" i="7"/>
  <c r="G565" i="7"/>
  <c r="H565" i="7"/>
  <c r="I565" i="7"/>
  <c r="F566" i="7"/>
  <c r="G566" i="7"/>
  <c r="H566" i="7"/>
  <c r="I566" i="7"/>
  <c r="F567" i="7"/>
  <c r="G567" i="7"/>
  <c r="H567" i="7"/>
  <c r="I567" i="7"/>
  <c r="F568" i="7"/>
  <c r="G568" i="7"/>
  <c r="H568" i="7"/>
  <c r="I568" i="7"/>
  <c r="F569" i="7"/>
  <c r="G569" i="7"/>
  <c r="H569" i="7"/>
  <c r="I569" i="7"/>
  <c r="F570" i="7"/>
  <c r="G570" i="7"/>
  <c r="H570" i="7"/>
  <c r="I570" i="7"/>
  <c r="F571" i="7"/>
  <c r="G571" i="7"/>
  <c r="H571" i="7"/>
  <c r="I571" i="7"/>
  <c r="F572" i="7"/>
  <c r="G572" i="7"/>
  <c r="H572" i="7"/>
  <c r="I572" i="7"/>
  <c r="F573" i="7"/>
  <c r="G573" i="7"/>
  <c r="H573" i="7"/>
  <c r="I573" i="7"/>
  <c r="F574" i="7"/>
  <c r="G574" i="7"/>
  <c r="H574" i="7"/>
  <c r="I574" i="7"/>
  <c r="F575" i="7"/>
  <c r="G575" i="7"/>
  <c r="H575" i="7"/>
  <c r="I575" i="7"/>
  <c r="F576" i="7"/>
  <c r="G576" i="7"/>
  <c r="H576" i="7"/>
  <c r="I576" i="7"/>
  <c r="F577" i="7"/>
  <c r="G577" i="7"/>
  <c r="H577" i="7"/>
  <c r="I577" i="7"/>
  <c r="F578" i="7"/>
  <c r="G578" i="7"/>
  <c r="H578" i="7"/>
  <c r="I578" i="7"/>
  <c r="F579" i="7"/>
  <c r="G579" i="7"/>
  <c r="H579" i="7"/>
  <c r="I579" i="7"/>
  <c r="F580" i="7"/>
  <c r="G580" i="7"/>
  <c r="H580" i="7"/>
  <c r="I580" i="7"/>
  <c r="F581" i="7"/>
  <c r="G581" i="7"/>
  <c r="H581" i="7"/>
  <c r="I581" i="7"/>
  <c r="F582" i="7"/>
  <c r="G582" i="7"/>
  <c r="H582" i="7"/>
  <c r="I582" i="7"/>
  <c r="F583" i="7"/>
  <c r="G583" i="7"/>
  <c r="H583" i="7"/>
  <c r="I583" i="7"/>
  <c r="F584" i="7"/>
  <c r="G584" i="7"/>
  <c r="H584" i="7"/>
  <c r="I584" i="7"/>
  <c r="F585" i="7"/>
  <c r="G585" i="7"/>
  <c r="H585" i="7"/>
  <c r="I585" i="7"/>
  <c r="F586" i="7"/>
  <c r="G586" i="7"/>
  <c r="H586" i="7"/>
  <c r="I586" i="7"/>
  <c r="F587" i="7"/>
  <c r="G587" i="7"/>
  <c r="H587" i="7"/>
  <c r="I587" i="7"/>
  <c r="F589" i="7"/>
  <c r="G589" i="7"/>
  <c r="H589" i="7"/>
  <c r="I589" i="7"/>
  <c r="F590" i="7"/>
  <c r="G590" i="7"/>
  <c r="H590" i="7"/>
  <c r="I590" i="7"/>
  <c r="F591" i="7"/>
  <c r="G591" i="7"/>
  <c r="H591" i="7"/>
  <c r="I591" i="7"/>
  <c r="F592" i="7"/>
  <c r="G592" i="7"/>
  <c r="H592" i="7"/>
  <c r="I592" i="7"/>
  <c r="F593" i="7"/>
  <c r="G593" i="7"/>
  <c r="H593" i="7"/>
  <c r="I593" i="7"/>
  <c r="F594" i="7"/>
  <c r="G594" i="7"/>
  <c r="H594" i="7"/>
  <c r="I594" i="7"/>
  <c r="F595" i="7"/>
  <c r="G595" i="7"/>
  <c r="H595" i="7"/>
  <c r="I595" i="7"/>
  <c r="F596" i="7"/>
  <c r="G596" i="7"/>
  <c r="H596" i="7"/>
  <c r="I596" i="7"/>
  <c r="F597" i="7"/>
  <c r="G597" i="7"/>
  <c r="H597" i="7"/>
  <c r="I597" i="7"/>
  <c r="F598" i="7"/>
  <c r="G598" i="7"/>
  <c r="H598" i="7"/>
  <c r="I598" i="7"/>
  <c r="F599" i="7"/>
  <c r="G599" i="7"/>
  <c r="H599" i="7"/>
  <c r="I599" i="7"/>
  <c r="F600" i="7"/>
  <c r="G600" i="7"/>
  <c r="H600" i="7"/>
  <c r="I600" i="7"/>
  <c r="F601" i="7"/>
  <c r="G601" i="7"/>
  <c r="H601" i="7"/>
  <c r="I601" i="7"/>
  <c r="F97" i="7"/>
  <c r="G97" i="7"/>
  <c r="H97" i="7"/>
  <c r="I97" i="7"/>
  <c r="F290" i="7"/>
  <c r="G290" i="7"/>
  <c r="H290" i="7"/>
  <c r="I290" i="7"/>
  <c r="F385" i="7"/>
  <c r="G385" i="7"/>
  <c r="H385" i="7"/>
  <c r="I385" i="7"/>
  <c r="F602" i="7"/>
  <c r="G602" i="7"/>
  <c r="H602" i="7"/>
  <c r="I602" i="7"/>
  <c r="F603" i="7"/>
  <c r="G603" i="7"/>
  <c r="H603" i="7"/>
  <c r="I603" i="7"/>
  <c r="F604" i="7"/>
  <c r="G604" i="7"/>
  <c r="H604" i="7"/>
  <c r="I604" i="7"/>
  <c r="F605" i="7"/>
  <c r="G605" i="7"/>
  <c r="H605" i="7"/>
  <c r="I605" i="7"/>
  <c r="F606" i="7"/>
  <c r="G606" i="7"/>
  <c r="H606" i="7"/>
  <c r="I606" i="7"/>
  <c r="F607" i="7"/>
  <c r="G607" i="7"/>
  <c r="H607" i="7"/>
  <c r="I607" i="7"/>
  <c r="F608" i="7"/>
  <c r="G608" i="7"/>
  <c r="H608" i="7"/>
  <c r="I608" i="7"/>
  <c r="F609" i="7"/>
  <c r="G609" i="7"/>
  <c r="H609" i="7"/>
  <c r="I609" i="7"/>
  <c r="F610" i="7"/>
  <c r="G610" i="7"/>
  <c r="H610" i="7"/>
  <c r="I610" i="7"/>
  <c r="F611" i="7"/>
  <c r="G611" i="7"/>
  <c r="H611" i="7"/>
  <c r="I611" i="7"/>
  <c r="F612" i="7"/>
  <c r="G612" i="7"/>
  <c r="H612" i="7"/>
  <c r="I612" i="7"/>
  <c r="F613" i="7"/>
  <c r="G613" i="7"/>
  <c r="H613" i="7"/>
  <c r="I613" i="7"/>
  <c r="F614" i="7"/>
  <c r="G614" i="7"/>
  <c r="H614" i="7"/>
  <c r="I614" i="7"/>
  <c r="F615" i="7"/>
  <c r="G615" i="7"/>
  <c r="H615" i="7"/>
  <c r="I615" i="7"/>
  <c r="F616" i="7"/>
  <c r="G616" i="7"/>
  <c r="H616" i="7"/>
  <c r="I616" i="7"/>
  <c r="F617" i="7"/>
  <c r="G617" i="7"/>
  <c r="H617" i="7"/>
  <c r="I617" i="7"/>
  <c r="F618" i="7"/>
  <c r="G618" i="7"/>
  <c r="H618" i="7"/>
  <c r="I618" i="7"/>
  <c r="F619" i="7"/>
  <c r="G619" i="7"/>
  <c r="H619" i="7"/>
  <c r="I619" i="7"/>
  <c r="F620" i="7"/>
  <c r="G620" i="7"/>
  <c r="H620" i="7"/>
  <c r="I620" i="7"/>
  <c r="F621" i="7"/>
  <c r="G621" i="7"/>
  <c r="H621" i="7"/>
  <c r="I621" i="7"/>
  <c r="F622" i="7"/>
  <c r="G622" i="7"/>
  <c r="H622" i="7"/>
  <c r="I622" i="7"/>
  <c r="F52" i="7"/>
  <c r="G52" i="7"/>
  <c r="H52" i="7"/>
  <c r="I52" i="7"/>
  <c r="F623" i="7"/>
  <c r="G623" i="7"/>
  <c r="H623" i="7"/>
  <c r="I623" i="7"/>
  <c r="F624" i="7"/>
  <c r="G624" i="7"/>
  <c r="H624" i="7"/>
  <c r="I624" i="7"/>
  <c r="F625" i="7"/>
  <c r="G625" i="7"/>
  <c r="H625" i="7"/>
  <c r="I625" i="7"/>
  <c r="F626" i="7"/>
  <c r="G626" i="7"/>
  <c r="H626" i="7"/>
  <c r="I626" i="7"/>
  <c r="F627" i="7"/>
  <c r="G627" i="7"/>
  <c r="H627" i="7"/>
  <c r="I627" i="7"/>
  <c r="F293" i="7"/>
  <c r="G293" i="7"/>
  <c r="H293" i="7"/>
  <c r="I293" i="7"/>
  <c r="F690" i="7"/>
  <c r="G690" i="7"/>
  <c r="H690" i="7"/>
  <c r="I690" i="7"/>
  <c r="F628" i="7"/>
  <c r="G628" i="7"/>
  <c r="H628" i="7"/>
  <c r="I628" i="7"/>
  <c r="F629" i="7"/>
  <c r="G629" i="7"/>
  <c r="H629" i="7"/>
  <c r="I629" i="7"/>
  <c r="F630" i="7"/>
  <c r="G630" i="7"/>
  <c r="H630" i="7"/>
  <c r="I630" i="7"/>
  <c r="F631" i="7"/>
  <c r="G631" i="7"/>
  <c r="H631" i="7"/>
  <c r="I631" i="7"/>
  <c r="F632" i="7"/>
  <c r="G632" i="7"/>
  <c r="H632" i="7"/>
  <c r="I632" i="7"/>
  <c r="F633" i="7"/>
  <c r="G633" i="7"/>
  <c r="H633" i="7"/>
  <c r="I633" i="7"/>
  <c r="F634" i="7"/>
  <c r="G634" i="7"/>
  <c r="H634" i="7"/>
  <c r="I634" i="7"/>
  <c r="F635" i="7"/>
  <c r="G635" i="7"/>
  <c r="H635" i="7"/>
  <c r="I635" i="7"/>
  <c r="F636" i="7"/>
  <c r="G636" i="7"/>
  <c r="H636" i="7"/>
  <c r="I636" i="7"/>
  <c r="F637" i="7"/>
  <c r="G637" i="7"/>
  <c r="H637" i="7"/>
  <c r="I637" i="7"/>
  <c r="F638" i="7"/>
  <c r="G638" i="7"/>
  <c r="H638" i="7"/>
  <c r="I638" i="7"/>
  <c r="F639" i="7"/>
  <c r="G639" i="7"/>
  <c r="H639" i="7"/>
  <c r="I639" i="7"/>
  <c r="F640" i="7"/>
  <c r="G640" i="7"/>
  <c r="H640" i="7"/>
  <c r="I640" i="7"/>
  <c r="F641" i="7"/>
  <c r="G641" i="7"/>
  <c r="H641" i="7"/>
  <c r="I641" i="7"/>
  <c r="F643" i="7"/>
  <c r="G643" i="7"/>
  <c r="H643" i="7"/>
  <c r="I643" i="7"/>
  <c r="F644" i="7"/>
  <c r="G644" i="7"/>
  <c r="H644" i="7"/>
  <c r="I644" i="7"/>
  <c r="F645" i="7"/>
  <c r="G645" i="7"/>
  <c r="H645" i="7"/>
  <c r="I645" i="7"/>
  <c r="F646" i="7"/>
  <c r="G646" i="7"/>
  <c r="H646" i="7"/>
  <c r="I646" i="7"/>
  <c r="F647" i="7"/>
  <c r="G647" i="7"/>
  <c r="H647" i="7"/>
  <c r="I647" i="7"/>
  <c r="F648" i="7"/>
  <c r="G648" i="7"/>
  <c r="H648" i="7"/>
  <c r="I648" i="7"/>
  <c r="F649" i="7"/>
  <c r="G649" i="7"/>
  <c r="H649" i="7"/>
  <c r="I649" i="7"/>
  <c r="F650" i="7"/>
  <c r="G650" i="7"/>
  <c r="H650" i="7"/>
  <c r="I650" i="7"/>
  <c r="F651" i="7"/>
  <c r="G651" i="7"/>
  <c r="H651" i="7"/>
  <c r="I651" i="7"/>
  <c r="F652" i="7"/>
  <c r="G652" i="7"/>
  <c r="H652" i="7"/>
  <c r="I652" i="7"/>
  <c r="F653" i="7"/>
  <c r="G653" i="7"/>
  <c r="H653" i="7"/>
  <c r="I653" i="7"/>
  <c r="F654" i="7"/>
  <c r="G654" i="7"/>
  <c r="H654" i="7"/>
  <c r="I654" i="7"/>
  <c r="F655" i="7"/>
  <c r="G655" i="7"/>
  <c r="H655" i="7"/>
  <c r="I655" i="7"/>
  <c r="F656" i="7"/>
  <c r="G656" i="7"/>
  <c r="H656" i="7"/>
  <c r="I656" i="7"/>
  <c r="F657" i="7"/>
  <c r="G657" i="7"/>
  <c r="H657" i="7"/>
  <c r="I657" i="7"/>
  <c r="F658" i="7"/>
  <c r="G658" i="7"/>
  <c r="H658" i="7"/>
  <c r="I658" i="7"/>
  <c r="F659" i="7"/>
  <c r="G659" i="7"/>
  <c r="H659" i="7"/>
  <c r="I659" i="7"/>
  <c r="F660" i="7"/>
  <c r="G660" i="7"/>
  <c r="H660" i="7"/>
  <c r="I660" i="7"/>
  <c r="F661" i="7"/>
  <c r="G661" i="7"/>
  <c r="H661" i="7"/>
  <c r="I661" i="7"/>
  <c r="F662" i="7"/>
  <c r="G662" i="7"/>
  <c r="H662" i="7"/>
  <c r="I662" i="7"/>
  <c r="F663" i="7"/>
  <c r="G663" i="7"/>
  <c r="H663" i="7"/>
  <c r="I663" i="7"/>
  <c r="F664" i="7"/>
  <c r="G664" i="7"/>
  <c r="H664" i="7"/>
  <c r="I664" i="7"/>
  <c r="F665" i="7"/>
  <c r="G665" i="7"/>
  <c r="H665" i="7"/>
  <c r="I665" i="7"/>
  <c r="F162" i="7"/>
  <c r="G162" i="7"/>
  <c r="H162" i="7"/>
  <c r="I162" i="7"/>
  <c r="F535" i="7"/>
  <c r="G535" i="7"/>
  <c r="H535" i="7"/>
  <c r="I535" i="7"/>
  <c r="F513" i="7"/>
  <c r="G513" i="7"/>
  <c r="H513" i="7"/>
  <c r="I513" i="7"/>
  <c r="F666" i="7"/>
  <c r="G666" i="7"/>
  <c r="H666" i="7"/>
  <c r="I666" i="7"/>
  <c r="F667" i="7"/>
  <c r="G667" i="7"/>
  <c r="H667" i="7"/>
  <c r="I667" i="7"/>
  <c r="F668" i="7"/>
  <c r="G668" i="7"/>
  <c r="H668" i="7"/>
  <c r="I668" i="7"/>
  <c r="F669" i="7"/>
  <c r="G669" i="7"/>
  <c r="H669" i="7"/>
  <c r="I669" i="7"/>
  <c r="F670" i="7"/>
  <c r="G670" i="7"/>
  <c r="H670" i="7"/>
  <c r="I670" i="7"/>
  <c r="F671" i="7"/>
  <c r="G671" i="7"/>
  <c r="H671" i="7"/>
  <c r="I671" i="7"/>
  <c r="F673" i="7"/>
  <c r="G673" i="7"/>
  <c r="H673" i="7"/>
  <c r="I673" i="7"/>
  <c r="F674" i="7"/>
  <c r="G674" i="7"/>
  <c r="H674" i="7"/>
  <c r="I674" i="7"/>
  <c r="F675" i="7"/>
  <c r="G675" i="7"/>
  <c r="H675" i="7"/>
  <c r="I675" i="7"/>
  <c r="F676" i="7"/>
  <c r="G676" i="7"/>
  <c r="H676" i="7"/>
  <c r="I676" i="7"/>
  <c r="F677" i="7"/>
  <c r="G677" i="7"/>
  <c r="H677" i="7"/>
  <c r="I677" i="7"/>
  <c r="F678" i="7"/>
  <c r="G678" i="7"/>
  <c r="H678" i="7"/>
  <c r="I678" i="7"/>
  <c r="F679" i="7"/>
  <c r="G679" i="7"/>
  <c r="H679" i="7"/>
  <c r="I679" i="7"/>
  <c r="F680" i="7"/>
  <c r="G680" i="7"/>
  <c r="H680" i="7"/>
  <c r="I680" i="7"/>
  <c r="F681" i="7"/>
  <c r="G681" i="7"/>
  <c r="H681" i="7"/>
  <c r="I681" i="7"/>
  <c r="F682" i="7"/>
  <c r="G682" i="7"/>
  <c r="H682" i="7"/>
  <c r="I682" i="7"/>
  <c r="F684" i="7"/>
  <c r="G684" i="7"/>
  <c r="H684" i="7"/>
  <c r="I684" i="7"/>
  <c r="F685" i="7"/>
  <c r="G685" i="7"/>
  <c r="H685" i="7"/>
  <c r="I685" i="7"/>
  <c r="F687" i="7"/>
  <c r="G687" i="7"/>
  <c r="H687" i="7"/>
  <c r="I687" i="7"/>
  <c r="F688" i="7"/>
  <c r="G688" i="7"/>
  <c r="H688" i="7"/>
  <c r="I688" i="7"/>
  <c r="F328" i="7"/>
  <c r="G328" i="7"/>
  <c r="H328" i="7"/>
  <c r="I328" i="7"/>
  <c r="F213" i="7"/>
  <c r="G213" i="7"/>
  <c r="H213" i="7"/>
  <c r="I213" i="7"/>
  <c r="F689" i="7"/>
  <c r="G689" i="7"/>
  <c r="H689" i="7"/>
  <c r="I689" i="7"/>
  <c r="F691" i="7"/>
  <c r="G691" i="7"/>
  <c r="H691" i="7"/>
  <c r="I691" i="7"/>
  <c r="F692" i="7"/>
  <c r="G692" i="7"/>
  <c r="H692" i="7"/>
  <c r="I692" i="7"/>
  <c r="F694" i="7"/>
  <c r="G694" i="7"/>
  <c r="H694" i="7"/>
  <c r="I694" i="7"/>
  <c r="F695" i="7"/>
  <c r="G695" i="7"/>
  <c r="H695" i="7"/>
  <c r="I695" i="7"/>
  <c r="F696" i="7"/>
  <c r="G696" i="7"/>
  <c r="H696" i="7"/>
  <c r="I696" i="7"/>
  <c r="F697" i="7"/>
  <c r="G697" i="7"/>
  <c r="H697" i="7"/>
  <c r="I697" i="7"/>
  <c r="F698" i="7"/>
  <c r="G698" i="7"/>
  <c r="H698" i="7"/>
  <c r="I698" i="7"/>
  <c r="F699" i="7"/>
  <c r="G699" i="7"/>
  <c r="H699" i="7"/>
  <c r="I699" i="7"/>
  <c r="F701" i="7"/>
  <c r="G701" i="7"/>
  <c r="H701" i="7"/>
  <c r="I701" i="7"/>
  <c r="F702" i="7"/>
  <c r="G702" i="7"/>
  <c r="H702" i="7"/>
  <c r="I702" i="7"/>
  <c r="F703" i="7"/>
  <c r="G703" i="7"/>
  <c r="H703" i="7"/>
  <c r="I703" i="7"/>
  <c r="F704" i="7"/>
  <c r="G704" i="7"/>
  <c r="H704" i="7"/>
  <c r="I704" i="7"/>
  <c r="F705" i="7"/>
  <c r="G705" i="7"/>
  <c r="H705" i="7"/>
  <c r="I705" i="7"/>
  <c r="F706" i="7"/>
  <c r="G706" i="7"/>
  <c r="H706" i="7"/>
  <c r="I706" i="7"/>
  <c r="F707" i="7"/>
  <c r="G707" i="7"/>
  <c r="H707" i="7"/>
  <c r="I707" i="7"/>
  <c r="F708" i="7"/>
  <c r="G708" i="7"/>
  <c r="H708" i="7"/>
  <c r="I708" i="7"/>
  <c r="F709" i="7"/>
  <c r="G709" i="7"/>
  <c r="H709" i="7"/>
  <c r="I709" i="7"/>
  <c r="F710" i="7"/>
  <c r="G710" i="7"/>
  <c r="H710" i="7"/>
  <c r="I710" i="7"/>
  <c r="F711" i="7"/>
  <c r="G711" i="7"/>
  <c r="H711" i="7"/>
  <c r="I711" i="7"/>
  <c r="F712" i="7"/>
  <c r="G712" i="7"/>
  <c r="H712" i="7"/>
  <c r="I712" i="7"/>
  <c r="F713" i="7"/>
  <c r="G713" i="7"/>
  <c r="H713" i="7"/>
  <c r="I713" i="7"/>
  <c r="F714" i="7"/>
  <c r="G714" i="7"/>
  <c r="H714" i="7"/>
  <c r="I714" i="7"/>
  <c r="F715" i="7"/>
  <c r="G715" i="7"/>
  <c r="H715" i="7"/>
  <c r="I715" i="7"/>
  <c r="F716" i="7"/>
  <c r="G716" i="7"/>
  <c r="H716" i="7"/>
  <c r="I716" i="7"/>
  <c r="F717" i="7"/>
  <c r="G717" i="7"/>
  <c r="H717" i="7"/>
  <c r="I717" i="7"/>
  <c r="F718" i="7"/>
  <c r="G718" i="7"/>
  <c r="H718" i="7"/>
  <c r="I718" i="7"/>
  <c r="F719" i="7"/>
  <c r="G719" i="7"/>
  <c r="H719" i="7"/>
  <c r="I719" i="7"/>
  <c r="F720" i="7"/>
  <c r="G720" i="7"/>
  <c r="H720" i="7"/>
  <c r="I720" i="7"/>
  <c r="F721" i="7"/>
  <c r="G721" i="7"/>
  <c r="H721" i="7"/>
  <c r="I721" i="7"/>
  <c r="F722" i="7"/>
  <c r="G722" i="7"/>
  <c r="H722" i="7"/>
  <c r="I722" i="7"/>
  <c r="F723" i="7"/>
  <c r="G723" i="7"/>
  <c r="H723" i="7"/>
  <c r="I723" i="7"/>
  <c r="F724" i="7"/>
  <c r="G724" i="7"/>
  <c r="H724" i="7"/>
  <c r="I724" i="7"/>
  <c r="F726" i="7"/>
  <c r="G726" i="7"/>
  <c r="H726" i="7"/>
  <c r="I726" i="7"/>
  <c r="F791" i="7"/>
  <c r="G791" i="7"/>
  <c r="H791" i="7"/>
  <c r="I791" i="7"/>
  <c r="F536" i="7"/>
  <c r="G536" i="7"/>
  <c r="H536" i="7"/>
  <c r="I536" i="7"/>
  <c r="F478" i="7"/>
  <c r="G478" i="7"/>
  <c r="H478" i="7"/>
  <c r="I478" i="7"/>
  <c r="F727" i="7"/>
  <c r="G727" i="7"/>
  <c r="H727" i="7"/>
  <c r="I727" i="7"/>
  <c r="F728" i="7"/>
  <c r="G728" i="7"/>
  <c r="H728" i="7"/>
  <c r="I728" i="7"/>
  <c r="F729" i="7"/>
  <c r="G729" i="7"/>
  <c r="H729" i="7"/>
  <c r="I729" i="7"/>
  <c r="F730" i="7"/>
  <c r="G730" i="7"/>
  <c r="H730" i="7"/>
  <c r="I730" i="7"/>
  <c r="F731" i="7"/>
  <c r="G731" i="7"/>
  <c r="H731" i="7"/>
  <c r="I731" i="7"/>
  <c r="F732" i="7"/>
  <c r="G732" i="7"/>
  <c r="H732" i="7"/>
  <c r="I732" i="7"/>
  <c r="F733" i="7"/>
  <c r="G733" i="7"/>
  <c r="H733" i="7"/>
  <c r="I733" i="7"/>
  <c r="F734" i="7"/>
  <c r="G734" i="7"/>
  <c r="H734" i="7"/>
  <c r="I734" i="7"/>
  <c r="F735" i="7"/>
  <c r="G735" i="7"/>
  <c r="H735" i="7"/>
  <c r="I735" i="7"/>
  <c r="F736" i="7"/>
  <c r="G736" i="7"/>
  <c r="H736" i="7"/>
  <c r="I736" i="7"/>
  <c r="F737" i="7"/>
  <c r="G737" i="7"/>
  <c r="H737" i="7"/>
  <c r="I737" i="7"/>
  <c r="F738" i="7"/>
  <c r="G738" i="7"/>
  <c r="H738" i="7"/>
  <c r="I738" i="7"/>
  <c r="F739" i="7"/>
  <c r="G739" i="7"/>
  <c r="H739" i="7"/>
  <c r="I739" i="7"/>
  <c r="F740" i="7"/>
  <c r="G740" i="7"/>
  <c r="H740" i="7"/>
  <c r="I740" i="7"/>
  <c r="F741" i="7"/>
  <c r="G741" i="7"/>
  <c r="H741" i="7"/>
  <c r="I741" i="7"/>
  <c r="F742" i="7"/>
  <c r="G742" i="7"/>
  <c r="H742" i="7"/>
  <c r="I742" i="7"/>
  <c r="F743" i="7"/>
  <c r="G743" i="7"/>
  <c r="H743" i="7"/>
  <c r="I743" i="7"/>
  <c r="F744" i="7"/>
  <c r="G744" i="7"/>
  <c r="H744" i="7"/>
  <c r="I744" i="7"/>
  <c r="F745" i="7"/>
  <c r="G745" i="7"/>
  <c r="H745" i="7"/>
  <c r="I745" i="7"/>
  <c r="F746" i="7"/>
  <c r="G746" i="7"/>
  <c r="H746" i="7"/>
  <c r="I746" i="7"/>
  <c r="F747" i="7"/>
  <c r="G747" i="7"/>
  <c r="H747" i="7"/>
  <c r="I747" i="7"/>
  <c r="F748" i="7"/>
  <c r="G748" i="7"/>
  <c r="H748" i="7"/>
  <c r="I748" i="7"/>
  <c r="F749" i="7"/>
  <c r="G749" i="7"/>
  <c r="H749" i="7"/>
  <c r="I749" i="7"/>
  <c r="F750" i="7"/>
  <c r="G750" i="7"/>
  <c r="H750" i="7"/>
  <c r="I750" i="7"/>
  <c r="F422" i="7"/>
  <c r="G422" i="7"/>
  <c r="H422" i="7"/>
  <c r="I422" i="7"/>
  <c r="F956" i="7"/>
  <c r="G956" i="7"/>
  <c r="H956" i="7"/>
  <c r="I956" i="7"/>
  <c r="F751" i="7"/>
  <c r="G751" i="7"/>
  <c r="H751" i="7"/>
  <c r="I751" i="7"/>
  <c r="F752" i="7"/>
  <c r="G752" i="7"/>
  <c r="H752" i="7"/>
  <c r="I752" i="7"/>
  <c r="F753" i="7"/>
  <c r="G753" i="7"/>
  <c r="H753" i="7"/>
  <c r="I753" i="7"/>
  <c r="F754" i="7"/>
  <c r="G754" i="7"/>
  <c r="H754" i="7"/>
  <c r="I754" i="7"/>
  <c r="F755" i="7"/>
  <c r="G755" i="7"/>
  <c r="H755" i="7"/>
  <c r="I755" i="7"/>
  <c r="F756" i="7"/>
  <c r="G756" i="7"/>
  <c r="H756" i="7"/>
  <c r="I756" i="7"/>
  <c r="F757" i="7"/>
  <c r="G757" i="7"/>
  <c r="H757" i="7"/>
  <c r="I757" i="7"/>
  <c r="F758" i="7"/>
  <c r="G758" i="7"/>
  <c r="H758" i="7"/>
  <c r="I758" i="7"/>
  <c r="F759" i="7"/>
  <c r="G759" i="7"/>
  <c r="H759" i="7"/>
  <c r="I759" i="7"/>
  <c r="F760" i="7"/>
  <c r="G760" i="7"/>
  <c r="H760" i="7"/>
  <c r="I760" i="7"/>
  <c r="F761" i="7"/>
  <c r="G761" i="7"/>
  <c r="H761" i="7"/>
  <c r="I761" i="7"/>
  <c r="F764" i="7"/>
  <c r="G764" i="7"/>
  <c r="H764" i="7"/>
  <c r="I764" i="7"/>
  <c r="F765" i="7"/>
  <c r="G765" i="7"/>
  <c r="H765" i="7"/>
  <c r="I765" i="7"/>
  <c r="F766" i="7"/>
  <c r="G766" i="7"/>
  <c r="H766" i="7"/>
  <c r="I766" i="7"/>
  <c r="F767" i="7"/>
  <c r="G767" i="7"/>
  <c r="H767" i="7"/>
  <c r="I767" i="7"/>
  <c r="F768" i="7"/>
  <c r="G768" i="7"/>
  <c r="H768" i="7"/>
  <c r="I768" i="7"/>
  <c r="F769" i="7"/>
  <c r="G769" i="7"/>
  <c r="H769" i="7"/>
  <c r="I769" i="7"/>
  <c r="F770" i="7"/>
  <c r="G770" i="7"/>
  <c r="H770" i="7"/>
  <c r="I770" i="7"/>
  <c r="F771" i="7"/>
  <c r="G771" i="7"/>
  <c r="H771" i="7"/>
  <c r="I771" i="7"/>
  <c r="F772" i="7"/>
  <c r="G772" i="7"/>
  <c r="H772" i="7"/>
  <c r="I772" i="7"/>
  <c r="F774" i="7"/>
  <c r="G774" i="7"/>
  <c r="H774" i="7"/>
  <c r="I774" i="7"/>
  <c r="F775" i="7"/>
  <c r="G775" i="7"/>
  <c r="H775" i="7"/>
  <c r="I775" i="7"/>
  <c r="F776" i="7"/>
  <c r="G776" i="7"/>
  <c r="H776" i="7"/>
  <c r="I776" i="7"/>
  <c r="F777" i="7"/>
  <c r="G777" i="7"/>
  <c r="H777" i="7"/>
  <c r="I777" i="7"/>
  <c r="F778" i="7"/>
  <c r="G778" i="7"/>
  <c r="H778" i="7"/>
  <c r="I778" i="7"/>
  <c r="F779" i="7"/>
  <c r="G779" i="7"/>
  <c r="H779" i="7"/>
  <c r="I779" i="7"/>
  <c r="F780" i="7"/>
  <c r="G780" i="7"/>
  <c r="H780" i="7"/>
  <c r="I780" i="7"/>
  <c r="F781" i="7"/>
  <c r="G781" i="7"/>
  <c r="H781" i="7"/>
  <c r="I781" i="7"/>
  <c r="F782" i="7"/>
  <c r="G782" i="7"/>
  <c r="H782" i="7"/>
  <c r="I782" i="7"/>
  <c r="F783" i="7"/>
  <c r="G783" i="7"/>
  <c r="H783" i="7"/>
  <c r="I783" i="7"/>
  <c r="F784" i="7"/>
  <c r="G784" i="7"/>
  <c r="H784" i="7"/>
  <c r="I784" i="7"/>
  <c r="F785" i="7"/>
  <c r="G785" i="7"/>
  <c r="H785" i="7"/>
  <c r="I785" i="7"/>
  <c r="F786" i="7"/>
  <c r="G786" i="7"/>
  <c r="H786" i="7"/>
  <c r="I786" i="7"/>
  <c r="F787" i="7"/>
  <c r="G787" i="7"/>
  <c r="H787" i="7"/>
  <c r="I787" i="7"/>
  <c r="F474" i="7"/>
  <c r="G474" i="7"/>
  <c r="H474" i="7"/>
  <c r="I474" i="7"/>
  <c r="F773" i="7"/>
  <c r="G773" i="7"/>
  <c r="H773" i="7"/>
  <c r="I773" i="7"/>
  <c r="F788" i="7"/>
  <c r="G788" i="7"/>
  <c r="H788" i="7"/>
  <c r="I788" i="7"/>
  <c r="F789" i="7"/>
  <c r="G789" i="7"/>
  <c r="H789" i="7"/>
  <c r="I789" i="7"/>
  <c r="F129" i="7"/>
  <c r="G129" i="7"/>
  <c r="H129" i="7"/>
  <c r="I129" i="7"/>
  <c r="F790" i="7"/>
  <c r="G790" i="7"/>
  <c r="H790" i="7"/>
  <c r="I790" i="7"/>
  <c r="F792" i="7"/>
  <c r="G792" i="7"/>
  <c r="H792" i="7"/>
  <c r="I792" i="7"/>
  <c r="F793" i="7"/>
  <c r="G793" i="7"/>
  <c r="H793" i="7"/>
  <c r="I793" i="7"/>
  <c r="F794" i="7"/>
  <c r="G794" i="7"/>
  <c r="H794" i="7"/>
  <c r="I794" i="7"/>
  <c r="F795" i="7"/>
  <c r="G795" i="7"/>
  <c r="H795" i="7"/>
  <c r="I795" i="7"/>
  <c r="F796" i="7"/>
  <c r="G796" i="7"/>
  <c r="H796" i="7"/>
  <c r="I796" i="7"/>
  <c r="F797" i="7"/>
  <c r="G797" i="7"/>
  <c r="H797" i="7"/>
  <c r="I797" i="7"/>
  <c r="F798" i="7"/>
  <c r="G798" i="7"/>
  <c r="H798" i="7"/>
  <c r="I798" i="7"/>
  <c r="F799" i="7"/>
  <c r="G799" i="7"/>
  <c r="H799" i="7"/>
  <c r="I799" i="7"/>
  <c r="F800" i="7"/>
  <c r="G800" i="7"/>
  <c r="H800" i="7"/>
  <c r="I800" i="7"/>
  <c r="F801" i="7"/>
  <c r="G801" i="7"/>
  <c r="H801" i="7"/>
  <c r="I801" i="7"/>
  <c r="F802" i="7"/>
  <c r="G802" i="7"/>
  <c r="H802" i="7"/>
  <c r="I802" i="7"/>
  <c r="F803" i="7"/>
  <c r="G803" i="7"/>
  <c r="H803" i="7"/>
  <c r="I803" i="7"/>
  <c r="F804" i="7"/>
  <c r="G804" i="7"/>
  <c r="H804" i="7"/>
  <c r="I804" i="7"/>
  <c r="F805" i="7"/>
  <c r="G805" i="7"/>
  <c r="H805" i="7"/>
  <c r="I805" i="7"/>
  <c r="F806" i="7"/>
  <c r="G806" i="7"/>
  <c r="H806" i="7"/>
  <c r="I806" i="7"/>
  <c r="F807" i="7"/>
  <c r="G807" i="7"/>
  <c r="H807" i="7"/>
  <c r="I807" i="7"/>
  <c r="F808" i="7"/>
  <c r="G808" i="7"/>
  <c r="H808" i="7"/>
  <c r="I808" i="7"/>
  <c r="F809" i="7"/>
  <c r="G809" i="7"/>
  <c r="H809" i="7"/>
  <c r="I809" i="7"/>
  <c r="F811" i="7"/>
  <c r="G811" i="7"/>
  <c r="H811" i="7"/>
  <c r="I811" i="7"/>
  <c r="F812" i="7"/>
  <c r="G812" i="7"/>
  <c r="H812" i="7"/>
  <c r="I812" i="7"/>
  <c r="F813" i="7"/>
  <c r="G813" i="7"/>
  <c r="H813" i="7"/>
  <c r="I813" i="7"/>
  <c r="F814" i="7"/>
  <c r="G814" i="7"/>
  <c r="H814" i="7"/>
  <c r="I814" i="7"/>
  <c r="F815" i="7"/>
  <c r="G815" i="7"/>
  <c r="H815" i="7"/>
  <c r="I815" i="7"/>
  <c r="F81" i="7"/>
  <c r="G81" i="7"/>
  <c r="H81" i="7"/>
  <c r="I81" i="7"/>
  <c r="F831" i="7"/>
  <c r="G831" i="7"/>
  <c r="H831" i="7"/>
  <c r="I831" i="7"/>
  <c r="F816" i="7"/>
  <c r="G816" i="7"/>
  <c r="H816" i="7"/>
  <c r="I816" i="7"/>
  <c r="F817" i="7"/>
  <c r="G817" i="7"/>
  <c r="H817" i="7"/>
  <c r="I817" i="7"/>
  <c r="F818" i="7"/>
  <c r="G818" i="7"/>
  <c r="H818" i="7"/>
  <c r="I818" i="7"/>
  <c r="F819" i="7"/>
  <c r="G819" i="7"/>
  <c r="H819" i="7"/>
  <c r="I819" i="7"/>
  <c r="F820" i="7"/>
  <c r="G820" i="7"/>
  <c r="H820" i="7"/>
  <c r="I820" i="7"/>
  <c r="F821" i="7"/>
  <c r="G821" i="7"/>
  <c r="H821" i="7"/>
  <c r="I821" i="7"/>
  <c r="F822" i="7"/>
  <c r="G822" i="7"/>
  <c r="H822" i="7"/>
  <c r="I822" i="7"/>
  <c r="F823" i="7"/>
  <c r="G823" i="7"/>
  <c r="H823" i="7"/>
  <c r="I823" i="7"/>
  <c r="F826" i="7"/>
  <c r="G826" i="7"/>
  <c r="H826" i="7"/>
  <c r="I826" i="7"/>
  <c r="F827" i="7"/>
  <c r="G827" i="7"/>
  <c r="H827" i="7"/>
  <c r="I827" i="7"/>
  <c r="F828" i="7"/>
  <c r="G828" i="7"/>
  <c r="H828" i="7"/>
  <c r="I828" i="7"/>
  <c r="F829" i="7"/>
  <c r="G829" i="7"/>
  <c r="H829" i="7"/>
  <c r="I829" i="7"/>
  <c r="F830" i="7"/>
  <c r="G830" i="7"/>
  <c r="H830" i="7"/>
  <c r="I830" i="7"/>
  <c r="F832" i="7"/>
  <c r="G832" i="7"/>
  <c r="H832" i="7"/>
  <c r="I832" i="7"/>
  <c r="F833" i="7"/>
  <c r="G833" i="7"/>
  <c r="H833" i="7"/>
  <c r="I833" i="7"/>
  <c r="F834" i="7"/>
  <c r="G834" i="7"/>
  <c r="H834" i="7"/>
  <c r="I834" i="7"/>
  <c r="F835" i="7"/>
  <c r="G835" i="7"/>
  <c r="H835" i="7"/>
  <c r="I835" i="7"/>
  <c r="F836" i="7"/>
  <c r="G836" i="7"/>
  <c r="H836" i="7"/>
  <c r="I836" i="7"/>
  <c r="F837" i="7"/>
  <c r="G837" i="7"/>
  <c r="H837" i="7"/>
  <c r="I837" i="7"/>
  <c r="F838" i="7"/>
  <c r="G838" i="7"/>
  <c r="H838" i="7"/>
  <c r="I838" i="7"/>
  <c r="F839" i="7"/>
  <c r="G839" i="7"/>
  <c r="H839" i="7"/>
  <c r="I839" i="7"/>
  <c r="F840" i="7"/>
  <c r="G840" i="7"/>
  <c r="H840" i="7"/>
  <c r="I840" i="7"/>
  <c r="F841" i="7"/>
  <c r="G841" i="7"/>
  <c r="H841" i="7"/>
  <c r="I841" i="7"/>
  <c r="F842" i="7"/>
  <c r="G842" i="7"/>
  <c r="H842" i="7"/>
  <c r="I842" i="7"/>
  <c r="F843" i="7"/>
  <c r="G843" i="7"/>
  <c r="H843" i="7"/>
  <c r="I843" i="7"/>
  <c r="F844" i="7"/>
  <c r="G844" i="7"/>
  <c r="H844" i="7"/>
  <c r="I844" i="7"/>
  <c r="F845" i="7"/>
  <c r="G845" i="7"/>
  <c r="H845" i="7"/>
  <c r="I845" i="7"/>
  <c r="F846" i="7"/>
  <c r="G846" i="7"/>
  <c r="H846" i="7"/>
  <c r="I846" i="7"/>
  <c r="F847" i="7"/>
  <c r="G847" i="7"/>
  <c r="H847" i="7"/>
  <c r="I847" i="7"/>
  <c r="F848" i="7"/>
  <c r="G848" i="7"/>
  <c r="H848" i="7"/>
  <c r="I848" i="7"/>
  <c r="F849" i="7"/>
  <c r="G849" i="7"/>
  <c r="H849" i="7"/>
  <c r="I849" i="7"/>
  <c r="F850" i="7"/>
  <c r="G850" i="7"/>
  <c r="H850" i="7"/>
  <c r="I850" i="7"/>
  <c r="F851" i="7"/>
  <c r="G851" i="7"/>
  <c r="H851" i="7"/>
  <c r="I851" i="7"/>
  <c r="F852" i="7"/>
  <c r="G852" i="7"/>
  <c r="H852" i="7"/>
  <c r="I852" i="7"/>
  <c r="F642" i="7"/>
  <c r="G642" i="7"/>
  <c r="H642" i="7"/>
  <c r="I642" i="7"/>
  <c r="F853" i="7"/>
  <c r="G853" i="7"/>
  <c r="H853" i="7"/>
  <c r="I853" i="7"/>
  <c r="F854" i="7"/>
  <c r="G854" i="7"/>
  <c r="H854" i="7"/>
  <c r="I854" i="7"/>
  <c r="F855" i="7"/>
  <c r="G855" i="7"/>
  <c r="H855" i="7"/>
  <c r="I855" i="7"/>
  <c r="F856" i="7"/>
  <c r="G856" i="7"/>
  <c r="H856" i="7"/>
  <c r="I856" i="7"/>
  <c r="F857" i="7"/>
  <c r="G857" i="7"/>
  <c r="H857" i="7"/>
  <c r="I857" i="7"/>
  <c r="F858" i="7"/>
  <c r="G858" i="7"/>
  <c r="H858" i="7"/>
  <c r="I858" i="7"/>
  <c r="F859" i="7"/>
  <c r="G859" i="7"/>
  <c r="H859" i="7"/>
  <c r="I859" i="7"/>
  <c r="F860" i="7"/>
  <c r="G860" i="7"/>
  <c r="H860" i="7"/>
  <c r="I860" i="7"/>
  <c r="F861" i="7"/>
  <c r="G861" i="7"/>
  <c r="H861" i="7"/>
  <c r="I861" i="7"/>
  <c r="F862" i="7"/>
  <c r="G862" i="7"/>
  <c r="H862" i="7"/>
  <c r="I862" i="7"/>
  <c r="F863" i="7"/>
  <c r="G863" i="7"/>
  <c r="H863" i="7"/>
  <c r="I863" i="7"/>
  <c r="F864" i="7"/>
  <c r="G864" i="7"/>
  <c r="H864" i="7"/>
  <c r="I864" i="7"/>
  <c r="F865" i="7"/>
  <c r="G865" i="7"/>
  <c r="H865" i="7"/>
  <c r="I865" i="7"/>
  <c r="F866" i="7"/>
  <c r="G866" i="7"/>
  <c r="H866" i="7"/>
  <c r="I866" i="7"/>
  <c r="F867" i="7"/>
  <c r="G867" i="7"/>
  <c r="H867" i="7"/>
  <c r="I867" i="7"/>
  <c r="F868" i="7"/>
  <c r="G868" i="7"/>
  <c r="H868" i="7"/>
  <c r="I868" i="7"/>
  <c r="F869" i="7"/>
  <c r="G869" i="7"/>
  <c r="H869" i="7"/>
  <c r="I869" i="7"/>
  <c r="F870" i="7"/>
  <c r="G870" i="7"/>
  <c r="H870" i="7"/>
  <c r="I870" i="7"/>
  <c r="F871" i="7"/>
  <c r="G871" i="7"/>
  <c r="H871" i="7"/>
  <c r="I871" i="7"/>
  <c r="F872" i="7"/>
  <c r="G872" i="7"/>
  <c r="H872" i="7"/>
  <c r="I872" i="7"/>
  <c r="F873" i="7"/>
  <c r="G873" i="7"/>
  <c r="H873" i="7"/>
  <c r="I873" i="7"/>
  <c r="F874" i="7"/>
  <c r="G874" i="7"/>
  <c r="H874" i="7"/>
  <c r="I874" i="7"/>
  <c r="F875" i="7"/>
  <c r="G875" i="7"/>
  <c r="H875" i="7"/>
  <c r="I875" i="7"/>
  <c r="F876" i="7"/>
  <c r="G876" i="7"/>
  <c r="H876" i="7"/>
  <c r="I876" i="7"/>
  <c r="F877" i="7"/>
  <c r="G877" i="7"/>
  <c r="H877" i="7"/>
  <c r="I877" i="7"/>
  <c r="F878" i="7"/>
  <c r="G878" i="7"/>
  <c r="H878" i="7"/>
  <c r="I878" i="7"/>
  <c r="F879" i="7"/>
  <c r="G879" i="7"/>
  <c r="H879" i="7"/>
  <c r="I879" i="7"/>
  <c r="F880" i="7"/>
  <c r="G880" i="7"/>
  <c r="H880" i="7"/>
  <c r="I880" i="7"/>
  <c r="F881" i="7"/>
  <c r="G881" i="7"/>
  <c r="H881" i="7"/>
  <c r="I881" i="7"/>
  <c r="F173" i="7"/>
  <c r="G173" i="7"/>
  <c r="H173" i="7"/>
  <c r="I173" i="7"/>
  <c r="F725" i="7"/>
  <c r="G725" i="7"/>
  <c r="H725" i="7"/>
  <c r="I725" i="7"/>
  <c r="F882" i="7"/>
  <c r="G882" i="7"/>
  <c r="H882" i="7"/>
  <c r="I882" i="7"/>
  <c r="F883" i="7"/>
  <c r="G883" i="7"/>
  <c r="H883" i="7"/>
  <c r="I883" i="7"/>
  <c r="F884" i="7"/>
  <c r="G884" i="7"/>
  <c r="H884" i="7"/>
  <c r="I884" i="7"/>
  <c r="F885" i="7"/>
  <c r="G885" i="7"/>
  <c r="H885" i="7"/>
  <c r="I885" i="7"/>
  <c r="F886" i="7"/>
  <c r="G886" i="7"/>
  <c r="H886" i="7"/>
  <c r="I886" i="7"/>
  <c r="F887" i="7"/>
  <c r="G887" i="7"/>
  <c r="H887" i="7"/>
  <c r="I887" i="7"/>
  <c r="F888" i="7"/>
  <c r="G888" i="7"/>
  <c r="H888" i="7"/>
  <c r="I888" i="7"/>
  <c r="F889" i="7"/>
  <c r="G889" i="7"/>
  <c r="H889" i="7"/>
  <c r="I889" i="7"/>
  <c r="F890" i="7"/>
  <c r="G890" i="7"/>
  <c r="H890" i="7"/>
  <c r="I890" i="7"/>
  <c r="F891" i="7"/>
  <c r="G891" i="7"/>
  <c r="H891" i="7"/>
  <c r="I891" i="7"/>
  <c r="F892" i="7"/>
  <c r="G892" i="7"/>
  <c r="H892" i="7"/>
  <c r="I892" i="7"/>
  <c r="F893" i="7"/>
  <c r="G893" i="7"/>
  <c r="H893" i="7"/>
  <c r="I893" i="7"/>
  <c r="F894" i="7"/>
  <c r="G894" i="7"/>
  <c r="H894" i="7"/>
  <c r="I894" i="7"/>
  <c r="F895" i="7"/>
  <c r="G895" i="7"/>
  <c r="H895" i="7"/>
  <c r="I895" i="7"/>
  <c r="F896" i="7"/>
  <c r="G896" i="7"/>
  <c r="H896" i="7"/>
  <c r="I896" i="7"/>
  <c r="F897" i="7"/>
  <c r="G897" i="7"/>
  <c r="H897" i="7"/>
  <c r="I897" i="7"/>
  <c r="F898" i="7"/>
  <c r="G898" i="7"/>
  <c r="H898" i="7"/>
  <c r="I898" i="7"/>
  <c r="F899" i="7"/>
  <c r="G899" i="7"/>
  <c r="H899" i="7"/>
  <c r="I899" i="7"/>
  <c r="F900" i="7"/>
  <c r="G900" i="7"/>
  <c r="H900" i="7"/>
  <c r="I900" i="7"/>
  <c r="F901" i="7"/>
  <c r="G901" i="7"/>
  <c r="H901" i="7"/>
  <c r="I901" i="7"/>
  <c r="F902" i="7"/>
  <c r="G902" i="7"/>
  <c r="H902" i="7"/>
  <c r="I902" i="7"/>
  <c r="F903" i="7"/>
  <c r="G903" i="7"/>
  <c r="H903" i="7"/>
  <c r="I903" i="7"/>
  <c r="F904" i="7"/>
  <c r="G904" i="7"/>
  <c r="H904" i="7"/>
  <c r="I904" i="7"/>
  <c r="F905" i="7"/>
  <c r="G905" i="7"/>
  <c r="H905" i="7"/>
  <c r="I905" i="7"/>
  <c r="F906" i="7"/>
  <c r="G906" i="7"/>
  <c r="H906" i="7"/>
  <c r="I906" i="7"/>
  <c r="F907" i="7"/>
  <c r="G907" i="7"/>
  <c r="H907" i="7"/>
  <c r="I907" i="7"/>
  <c r="F908" i="7"/>
  <c r="G908" i="7"/>
  <c r="H908" i="7"/>
  <c r="I908" i="7"/>
  <c r="F909" i="7"/>
  <c r="G909" i="7"/>
  <c r="H909" i="7"/>
  <c r="I909" i="7"/>
  <c r="F910" i="7"/>
  <c r="G910" i="7"/>
  <c r="H910" i="7"/>
  <c r="I910" i="7"/>
  <c r="F911" i="7"/>
  <c r="G911" i="7"/>
  <c r="H911" i="7"/>
  <c r="I911" i="7"/>
  <c r="F912" i="7"/>
  <c r="G912" i="7"/>
  <c r="H912" i="7"/>
  <c r="I912" i="7"/>
  <c r="F913" i="7"/>
  <c r="G913" i="7"/>
  <c r="H913" i="7"/>
  <c r="I913" i="7"/>
  <c r="F914" i="7"/>
  <c r="G914" i="7"/>
  <c r="H914" i="7"/>
  <c r="I914" i="7"/>
  <c r="F240" i="7"/>
  <c r="G240" i="7"/>
  <c r="H240" i="7"/>
  <c r="I240" i="7"/>
  <c r="F915" i="7"/>
  <c r="G915" i="7"/>
  <c r="H915" i="7"/>
  <c r="I915" i="7"/>
  <c r="F916" i="7"/>
  <c r="G916" i="7"/>
  <c r="H916" i="7"/>
  <c r="I916" i="7"/>
  <c r="F246" i="7"/>
  <c r="G246" i="7"/>
  <c r="H246" i="7"/>
  <c r="I246" i="7"/>
  <c r="F363" i="7"/>
  <c r="G363" i="7"/>
  <c r="H363" i="7"/>
  <c r="I363" i="7"/>
  <c r="F917" i="7"/>
  <c r="G917" i="7"/>
  <c r="H917" i="7"/>
  <c r="I917" i="7"/>
  <c r="F918" i="7"/>
  <c r="G918" i="7"/>
  <c r="H918" i="7"/>
  <c r="I918" i="7"/>
  <c r="F919" i="7"/>
  <c r="G919" i="7"/>
  <c r="H919" i="7"/>
  <c r="I919" i="7"/>
  <c r="F920" i="7"/>
  <c r="G920" i="7"/>
  <c r="H920" i="7"/>
  <c r="I920" i="7"/>
  <c r="F921" i="7"/>
  <c r="G921" i="7"/>
  <c r="H921" i="7"/>
  <c r="I921" i="7"/>
  <c r="F922" i="7"/>
  <c r="G922" i="7"/>
  <c r="H922" i="7"/>
  <c r="I922" i="7"/>
  <c r="F923" i="7"/>
  <c r="G923" i="7"/>
  <c r="H923" i="7"/>
  <c r="I923" i="7"/>
  <c r="F924" i="7"/>
  <c r="G924" i="7"/>
  <c r="H924" i="7"/>
  <c r="I924" i="7"/>
  <c r="F925" i="7"/>
  <c r="G925" i="7"/>
  <c r="H925" i="7"/>
  <c r="I925" i="7"/>
  <c r="F926" i="7"/>
  <c r="G926" i="7"/>
  <c r="H926" i="7"/>
  <c r="I926" i="7"/>
  <c r="F927" i="7"/>
  <c r="G927" i="7"/>
  <c r="H927" i="7"/>
  <c r="I927" i="7"/>
  <c r="F928" i="7"/>
  <c r="G928" i="7"/>
  <c r="H928" i="7"/>
  <c r="I928" i="7"/>
  <c r="F929" i="7"/>
  <c r="G929" i="7"/>
  <c r="H929" i="7"/>
  <c r="I929" i="7"/>
  <c r="F930" i="7"/>
  <c r="G930" i="7"/>
  <c r="H930" i="7"/>
  <c r="I930" i="7"/>
  <c r="F931" i="7"/>
  <c r="G931" i="7"/>
  <c r="H931" i="7"/>
  <c r="I931" i="7"/>
  <c r="F932" i="7"/>
  <c r="G932" i="7"/>
  <c r="H932" i="7"/>
  <c r="I932" i="7"/>
  <c r="F933" i="7"/>
  <c r="G933" i="7"/>
  <c r="H933" i="7"/>
  <c r="I933" i="7"/>
  <c r="F934" i="7"/>
  <c r="G934" i="7"/>
  <c r="H934" i="7"/>
  <c r="I934" i="7"/>
  <c r="F935" i="7"/>
  <c r="G935" i="7"/>
  <c r="H935" i="7"/>
  <c r="I935" i="7"/>
  <c r="F936" i="7"/>
  <c r="G936" i="7"/>
  <c r="H936" i="7"/>
  <c r="I936" i="7"/>
  <c r="F937" i="7"/>
  <c r="G937" i="7"/>
  <c r="H937" i="7"/>
  <c r="I937" i="7"/>
  <c r="F938" i="7"/>
  <c r="G938" i="7"/>
  <c r="H938" i="7"/>
  <c r="I938" i="7"/>
  <c r="F939" i="7"/>
  <c r="G939" i="7"/>
  <c r="H939" i="7"/>
  <c r="I939" i="7"/>
  <c r="F940" i="7"/>
  <c r="G940" i="7"/>
  <c r="H940" i="7"/>
  <c r="I940" i="7"/>
  <c r="F63" i="7"/>
  <c r="G63" i="7"/>
  <c r="H63" i="7"/>
  <c r="I63" i="7"/>
  <c r="F693" i="7"/>
  <c r="G693" i="7"/>
  <c r="H693" i="7"/>
  <c r="I693" i="7"/>
  <c r="F941" i="7"/>
  <c r="G941" i="7"/>
  <c r="H941" i="7"/>
  <c r="I941" i="7"/>
  <c r="F942" i="7"/>
  <c r="G942" i="7"/>
  <c r="H942" i="7"/>
  <c r="I942" i="7"/>
  <c r="F943" i="7"/>
  <c r="G943" i="7"/>
  <c r="H943" i="7"/>
  <c r="I943" i="7"/>
  <c r="F944" i="7"/>
  <c r="G944" i="7"/>
  <c r="H944" i="7"/>
  <c r="I944" i="7"/>
  <c r="F945" i="7"/>
  <c r="G945" i="7"/>
  <c r="H945" i="7"/>
  <c r="I945" i="7"/>
  <c r="F946" i="7"/>
  <c r="G946" i="7"/>
  <c r="H946" i="7"/>
  <c r="I946" i="7"/>
  <c r="F947" i="7"/>
  <c r="G947" i="7"/>
  <c r="H947" i="7"/>
  <c r="I947" i="7"/>
  <c r="F948" i="7"/>
  <c r="G948" i="7"/>
  <c r="H948" i="7"/>
  <c r="I948" i="7"/>
  <c r="F949" i="7"/>
  <c r="G949" i="7"/>
  <c r="H949" i="7"/>
  <c r="I949" i="7"/>
  <c r="F950" i="7"/>
  <c r="G950" i="7"/>
  <c r="H950" i="7"/>
  <c r="I950" i="7"/>
  <c r="F951" i="7"/>
  <c r="G951" i="7"/>
  <c r="H951" i="7"/>
  <c r="I951" i="7"/>
  <c r="F952" i="7"/>
  <c r="G952" i="7"/>
  <c r="H952" i="7"/>
  <c r="I952" i="7"/>
  <c r="F953" i="7"/>
  <c r="G953" i="7"/>
  <c r="H953" i="7"/>
  <c r="I953" i="7"/>
  <c r="F954" i="7"/>
  <c r="G954" i="7"/>
  <c r="H954" i="7"/>
  <c r="I954" i="7"/>
  <c r="F955" i="7"/>
  <c r="G955" i="7"/>
  <c r="H955" i="7"/>
  <c r="I955" i="7"/>
  <c r="F957" i="7"/>
  <c r="G957" i="7"/>
  <c r="H957" i="7"/>
  <c r="I957" i="7"/>
  <c r="F958" i="7"/>
  <c r="G958" i="7"/>
  <c r="H958" i="7"/>
  <c r="I958" i="7"/>
  <c r="F959" i="7"/>
  <c r="G959" i="7"/>
  <c r="H959" i="7"/>
  <c r="I959" i="7"/>
  <c r="F960" i="7"/>
  <c r="G960" i="7"/>
  <c r="H960" i="7"/>
  <c r="I960" i="7"/>
  <c r="F961" i="7"/>
  <c r="G961" i="7"/>
  <c r="H961" i="7"/>
  <c r="I961" i="7"/>
  <c r="F962" i="7"/>
  <c r="G962" i="7"/>
  <c r="H962" i="7"/>
  <c r="I962" i="7"/>
  <c r="F963" i="7"/>
  <c r="G963" i="7"/>
  <c r="H963" i="7"/>
  <c r="I963" i="7"/>
  <c r="F964" i="7"/>
  <c r="G964" i="7"/>
  <c r="H964" i="7"/>
  <c r="I964" i="7"/>
  <c r="F965" i="7"/>
  <c r="G965" i="7"/>
  <c r="H965" i="7"/>
  <c r="I965" i="7"/>
  <c r="F966" i="7"/>
  <c r="G966" i="7"/>
  <c r="H966" i="7"/>
  <c r="I966" i="7"/>
  <c r="F967" i="7"/>
  <c r="G967" i="7"/>
  <c r="H967" i="7"/>
  <c r="I967" i="7"/>
  <c r="F968" i="7"/>
  <c r="G968" i="7"/>
  <c r="H968" i="7"/>
  <c r="I968" i="7"/>
  <c r="F969" i="7"/>
  <c r="G969" i="7"/>
  <c r="H969" i="7"/>
  <c r="I969" i="7"/>
  <c r="F970" i="7"/>
  <c r="G970" i="7"/>
  <c r="H970" i="7"/>
  <c r="I970" i="7"/>
  <c r="F971" i="7"/>
  <c r="G971" i="7"/>
  <c r="H971" i="7"/>
  <c r="I971" i="7"/>
  <c r="F973" i="7"/>
  <c r="G973" i="7"/>
  <c r="H973" i="7"/>
  <c r="I973" i="7"/>
  <c r="F974" i="7"/>
  <c r="G974" i="7"/>
  <c r="H974" i="7"/>
  <c r="I974" i="7"/>
  <c r="F975" i="7"/>
  <c r="G975" i="7"/>
  <c r="H975" i="7"/>
  <c r="I975" i="7"/>
  <c r="F686" i="7"/>
  <c r="G686" i="7"/>
  <c r="H686" i="7"/>
  <c r="I686" i="7"/>
  <c r="F976" i="7"/>
  <c r="G976" i="7"/>
  <c r="H976" i="7"/>
  <c r="I976" i="7"/>
  <c r="F977" i="7"/>
  <c r="G977" i="7"/>
  <c r="H977" i="7"/>
  <c r="I977" i="7"/>
  <c r="F978" i="7"/>
  <c r="G978" i="7"/>
  <c r="H978" i="7"/>
  <c r="I978" i="7"/>
  <c r="F979" i="7"/>
  <c r="G979" i="7"/>
  <c r="H979" i="7"/>
  <c r="I979" i="7"/>
  <c r="F980" i="7"/>
  <c r="G980" i="7"/>
  <c r="H980" i="7"/>
  <c r="I980" i="7"/>
  <c r="F981" i="7"/>
  <c r="G981" i="7"/>
  <c r="H981" i="7"/>
  <c r="I981" i="7"/>
  <c r="F982" i="7"/>
  <c r="G982" i="7"/>
  <c r="H982" i="7"/>
  <c r="I982" i="7"/>
  <c r="F983" i="7"/>
  <c r="G983" i="7"/>
  <c r="H983" i="7"/>
  <c r="I983" i="7"/>
  <c r="F984" i="7"/>
  <c r="G984" i="7"/>
  <c r="H984" i="7"/>
  <c r="I984" i="7"/>
  <c r="F985" i="7"/>
  <c r="G985" i="7"/>
  <c r="H985" i="7"/>
  <c r="I985" i="7"/>
  <c r="F986" i="7"/>
  <c r="G986" i="7"/>
  <c r="H986" i="7"/>
  <c r="I986" i="7"/>
  <c r="F988" i="7"/>
  <c r="G988" i="7"/>
  <c r="H988" i="7"/>
  <c r="AP649" i="4" s="1"/>
  <c r="I988" i="7"/>
  <c r="F989" i="7"/>
  <c r="G989" i="7"/>
  <c r="H989" i="7"/>
  <c r="I989" i="7"/>
  <c r="F990" i="7"/>
  <c r="G990" i="7"/>
  <c r="H990" i="7"/>
  <c r="I990" i="7"/>
  <c r="F991" i="7"/>
  <c r="G991" i="7"/>
  <c r="H991" i="7"/>
  <c r="I991" i="7"/>
  <c r="F992" i="7"/>
  <c r="G992" i="7"/>
  <c r="H992" i="7"/>
  <c r="I992" i="7"/>
  <c r="F993" i="7"/>
  <c r="G993" i="7"/>
  <c r="H993" i="7"/>
  <c r="I993" i="7"/>
  <c r="F994" i="7"/>
  <c r="G994" i="7"/>
  <c r="H994" i="7"/>
  <c r="I994" i="7"/>
  <c r="F995" i="7"/>
  <c r="G995" i="7"/>
  <c r="H995" i="7"/>
  <c r="I995" i="7"/>
  <c r="F996" i="7"/>
  <c r="G996" i="7"/>
  <c r="H996" i="7"/>
  <c r="I996" i="7"/>
  <c r="F997" i="7"/>
  <c r="G997" i="7"/>
  <c r="H997" i="7"/>
  <c r="I997" i="7"/>
  <c r="F998" i="7"/>
  <c r="G998" i="7"/>
  <c r="H998" i="7"/>
  <c r="I998" i="7"/>
  <c r="F999" i="7"/>
  <c r="G999" i="7"/>
  <c r="H999" i="7"/>
  <c r="I999" i="7"/>
  <c r="F1000" i="7"/>
  <c r="G1000" i="7"/>
  <c r="H1000" i="7"/>
  <c r="I1000" i="7"/>
  <c r="F1003" i="7"/>
  <c r="G1003" i="7"/>
  <c r="H1003" i="7"/>
  <c r="I1003" i="7"/>
  <c r="F1004" i="7"/>
  <c r="G1004" i="7"/>
  <c r="H1004" i="7"/>
  <c r="I1004" i="7"/>
  <c r="F1005" i="7"/>
  <c r="G1005" i="7"/>
  <c r="H1005" i="7"/>
  <c r="I1005" i="7"/>
  <c r="F1006" i="7"/>
  <c r="G1006" i="7"/>
  <c r="H1006" i="7"/>
  <c r="I1006" i="7"/>
  <c r="F1007" i="7"/>
  <c r="G1007" i="7"/>
  <c r="H1007" i="7"/>
  <c r="I1007" i="7"/>
  <c r="F1008" i="7"/>
  <c r="G1008" i="7"/>
  <c r="H1008" i="7"/>
  <c r="I1008" i="7"/>
  <c r="F1009" i="7"/>
  <c r="G1009" i="7"/>
  <c r="H1009" i="7"/>
  <c r="I1009" i="7"/>
  <c r="F1010" i="7"/>
  <c r="G1010" i="7"/>
  <c r="H1010" i="7"/>
  <c r="I1010" i="7"/>
  <c r="F1012" i="7"/>
  <c r="G1012" i="7"/>
  <c r="H1012" i="7"/>
  <c r="I1012" i="7"/>
  <c r="F1013" i="7"/>
  <c r="G1013" i="7"/>
  <c r="H1013" i="7"/>
  <c r="I1013" i="7"/>
  <c r="F1014" i="7"/>
  <c r="G1014" i="7"/>
  <c r="H1014" i="7"/>
  <c r="AU650" i="4" s="1"/>
  <c r="I1014" i="7"/>
  <c r="F1015" i="7"/>
  <c r="G1015" i="7"/>
  <c r="H1015" i="7"/>
  <c r="AK651" i="4" s="1"/>
  <c r="I1015" i="7"/>
  <c r="F1016" i="7"/>
  <c r="G1016" i="7"/>
  <c r="H1016" i="7"/>
  <c r="I1016" i="7"/>
  <c r="F588" i="7"/>
  <c r="G588" i="7"/>
  <c r="H588" i="7"/>
  <c r="I588" i="7"/>
  <c r="F76" i="7"/>
  <c r="G76" i="7"/>
  <c r="H76" i="7"/>
  <c r="I76" i="7"/>
  <c r="F1017" i="7"/>
  <c r="G1017" i="7"/>
  <c r="H1017" i="7"/>
  <c r="I1017" i="7"/>
  <c r="F1018" i="7"/>
  <c r="G1018" i="7"/>
  <c r="H1018" i="7"/>
  <c r="I1018" i="7"/>
  <c r="F1019" i="7"/>
  <c r="G1019" i="7"/>
  <c r="H1019" i="7"/>
  <c r="I1019" i="7"/>
  <c r="F1020" i="7"/>
  <c r="G1020" i="7"/>
  <c r="H1020" i="7"/>
  <c r="I1020" i="7"/>
  <c r="F502" i="7"/>
  <c r="G502" i="7"/>
  <c r="H502" i="7"/>
  <c r="D131" i="5" s="1"/>
  <c r="E131" i="5" s="1"/>
  <c r="I502" i="7"/>
  <c r="F1021" i="7"/>
  <c r="G1021" i="7"/>
  <c r="H1021" i="7"/>
  <c r="I1021" i="7"/>
  <c r="F1022" i="7"/>
  <c r="G1022" i="7"/>
  <c r="H1022" i="7"/>
  <c r="I1022" i="7"/>
  <c r="F1023" i="7"/>
  <c r="G1023" i="7"/>
  <c r="H1023" i="7"/>
  <c r="I1023" i="7"/>
  <c r="F1024" i="7"/>
  <c r="G1024" i="7"/>
  <c r="H1024" i="7"/>
  <c r="I1024" i="7"/>
  <c r="F1025" i="7"/>
  <c r="G1025" i="7"/>
  <c r="H1025" i="7"/>
  <c r="I1025" i="7"/>
  <c r="F1026" i="7"/>
  <c r="G1026" i="7"/>
  <c r="H1026" i="7"/>
  <c r="I1026" i="7"/>
  <c r="F1027" i="7"/>
  <c r="G1027" i="7"/>
  <c r="H1027" i="7"/>
  <c r="I1027" i="7"/>
  <c r="F1028" i="7"/>
  <c r="G1028" i="7"/>
  <c r="H1028" i="7"/>
  <c r="I1028" i="7"/>
  <c r="F1029" i="7"/>
  <c r="G1029" i="7"/>
  <c r="H1029" i="7"/>
  <c r="I1029" i="7"/>
  <c r="F1030" i="7"/>
  <c r="G1030" i="7"/>
  <c r="H1030" i="7"/>
  <c r="I1030" i="7"/>
  <c r="F1031" i="7"/>
  <c r="G1031" i="7"/>
  <c r="H1031" i="7"/>
  <c r="I1031" i="7"/>
  <c r="F1032" i="7"/>
  <c r="G1032" i="7"/>
  <c r="H1032" i="7"/>
  <c r="I1032" i="7"/>
  <c r="F1033" i="7"/>
  <c r="G1033" i="7"/>
  <c r="H1033" i="7"/>
  <c r="I1033" i="7"/>
  <c r="F1034" i="7"/>
  <c r="G1034" i="7"/>
  <c r="H1034" i="7"/>
  <c r="I1034" i="7"/>
  <c r="F1035" i="7"/>
  <c r="G1035" i="7"/>
  <c r="H1035" i="7"/>
  <c r="I1035" i="7"/>
  <c r="F1036" i="7"/>
  <c r="G1036" i="7"/>
  <c r="H1036" i="7"/>
  <c r="I1036" i="7"/>
  <c r="F1037" i="7"/>
  <c r="G1037" i="7"/>
  <c r="H1037" i="7"/>
  <c r="I1037" i="7"/>
  <c r="B690" i="15"/>
  <c r="C690" i="15"/>
  <c r="B691" i="15"/>
  <c r="C691" i="15"/>
  <c r="B692" i="15"/>
  <c r="C692" i="15"/>
  <c r="B693" i="15"/>
  <c r="C693" i="15"/>
  <c r="B694" i="15"/>
  <c r="C694" i="15"/>
  <c r="B695" i="15"/>
  <c r="C695" i="15"/>
  <c r="D678" i="4"/>
  <c r="D677" i="4"/>
  <c r="D676" i="4"/>
  <c r="D675" i="4"/>
  <c r="D674" i="4"/>
  <c r="D673" i="4"/>
  <c r="F20" i="9"/>
  <c r="F23" i="9"/>
  <c r="F25" i="9"/>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8" i="9"/>
  <c r="F15" i="9"/>
  <c r="F21" i="9"/>
  <c r="F22" i="9"/>
  <c r="F24" i="9"/>
  <c r="F31" i="9"/>
  <c r="F16" i="9"/>
  <c r="F17" i="9"/>
  <c r="F19"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AK666" i="4"/>
  <c r="AP666" i="4"/>
  <c r="AU666" i="4"/>
  <c r="R667" i="4"/>
  <c r="T667" i="4"/>
  <c r="U667" i="4" s="1"/>
  <c r="AK667" i="4"/>
  <c r="AP667" i="4"/>
  <c r="AU667" i="4"/>
  <c r="R668" i="4"/>
  <c r="T668" i="4"/>
  <c r="U668" i="4" s="1"/>
  <c r="AK668" i="4"/>
  <c r="AP668" i="4"/>
  <c r="AU668" i="4"/>
  <c r="R669" i="4"/>
  <c r="T669" i="4"/>
  <c r="U669" i="4" s="1"/>
  <c r="AK669" i="4"/>
  <c r="AP669" i="4"/>
  <c r="AU669" i="4"/>
  <c r="R670" i="4"/>
  <c r="T670" i="4"/>
  <c r="U670" i="4" s="1"/>
  <c r="AK670" i="4"/>
  <c r="AP670" i="4"/>
  <c r="AU670" i="4"/>
  <c r="R671" i="4"/>
  <c r="T671" i="4"/>
  <c r="U671" i="4" s="1"/>
  <c r="AK671" i="4"/>
  <c r="AP671" i="4"/>
  <c r="AU671" i="4"/>
  <c r="R672" i="4"/>
  <c r="T672" i="4"/>
  <c r="U672" i="4" s="1"/>
  <c r="AK672" i="4"/>
  <c r="AP672" i="4"/>
  <c r="AU672" i="4"/>
  <c r="R673" i="4"/>
  <c r="J24" i="20"/>
  <c r="I23" i="20"/>
  <c r="H23" i="20"/>
  <c r="G23" i="20"/>
  <c r="J23" i="20"/>
  <c r="J3" i="20"/>
  <c r="D3" i="20"/>
  <c r="G4" i="20"/>
  <c r="H4" i="20"/>
  <c r="I4" i="20"/>
  <c r="C4" i="20"/>
  <c r="J4" i="20" s="1"/>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I131" i="5"/>
  <c r="J131" i="5"/>
  <c r="K982" i="7"/>
  <c r="K981" i="7"/>
  <c r="K980" i="7"/>
  <c r="K941" i="7"/>
  <c r="K942" i="7"/>
  <c r="K943" i="7"/>
  <c r="K944" i="7"/>
  <c r="K945" i="7"/>
  <c r="K946" i="7"/>
  <c r="K947" i="7"/>
  <c r="K948" i="7"/>
  <c r="K949" i="7"/>
  <c r="K950" i="7"/>
  <c r="K951" i="7"/>
  <c r="K952" i="7"/>
  <c r="K953" i="7"/>
  <c r="K954" i="7"/>
  <c r="K955" i="7"/>
  <c r="K957" i="7"/>
  <c r="K958" i="7"/>
  <c r="K959" i="7"/>
  <c r="K960" i="7"/>
  <c r="K961" i="7"/>
  <c r="K962" i="7"/>
  <c r="K963" i="7"/>
  <c r="K964" i="7"/>
  <c r="K965" i="7"/>
  <c r="K966" i="7"/>
  <c r="K967" i="7"/>
  <c r="K968" i="7"/>
  <c r="K969" i="7"/>
  <c r="K970" i="7"/>
  <c r="K971" i="7"/>
  <c r="K973" i="7"/>
  <c r="K974" i="7"/>
  <c r="K975" i="7"/>
  <c r="K976" i="7"/>
  <c r="K977" i="7"/>
  <c r="K978" i="7"/>
  <c r="K979" i="7"/>
  <c r="K983" i="7"/>
  <c r="K984" i="7"/>
  <c r="K985" i="7"/>
  <c r="K986" i="7"/>
  <c r="K988" i="7"/>
  <c r="K989" i="7"/>
  <c r="K990" i="7"/>
  <c r="K991" i="7"/>
  <c r="K992" i="7"/>
  <c r="K993" i="7"/>
  <c r="K994" i="7"/>
  <c r="K995" i="7"/>
  <c r="K996" i="7"/>
  <c r="K997" i="7"/>
  <c r="K998" i="7"/>
  <c r="K999" i="7"/>
  <c r="K1000" i="7"/>
  <c r="K1003" i="7"/>
  <c r="K1004" i="7"/>
  <c r="K1005" i="7"/>
  <c r="K1006" i="7"/>
  <c r="K1007" i="7"/>
  <c r="K1008" i="7"/>
  <c r="K1009" i="7"/>
  <c r="K1010" i="7"/>
  <c r="K1012" i="7"/>
  <c r="K1013" i="7"/>
  <c r="K1014" i="7"/>
  <c r="K1015" i="7"/>
  <c r="K1016" i="7"/>
  <c r="K1017" i="7"/>
  <c r="K1018" i="7"/>
  <c r="K1019" i="7"/>
  <c r="K1020" i="7"/>
  <c r="K1021" i="7"/>
  <c r="K1022" i="7"/>
  <c r="K1023" i="7"/>
  <c r="L982" i="7"/>
  <c r="L983" i="7"/>
  <c r="L984" i="7"/>
  <c r="L985" i="7"/>
  <c r="AK653" i="4"/>
  <c r="L986" i="7"/>
  <c r="L988" i="7"/>
  <c r="L989" i="7"/>
  <c r="L990" i="7"/>
  <c r="L991" i="7"/>
  <c r="L992" i="7"/>
  <c r="L993" i="7"/>
  <c r="L994" i="7"/>
  <c r="L995" i="7"/>
  <c r="L996" i="7"/>
  <c r="L997" i="7"/>
  <c r="L998" i="7"/>
  <c r="L999" i="7"/>
  <c r="L1000" i="7"/>
  <c r="L1003" i="7"/>
  <c r="L1004" i="7"/>
  <c r="L1005" i="7"/>
  <c r="L1006" i="7"/>
  <c r="L1007" i="7"/>
  <c r="L1008" i="7"/>
  <c r="L1009" i="7"/>
  <c r="L1010" i="7"/>
  <c r="L1012" i="7"/>
  <c r="L1013" i="7"/>
  <c r="L1014" i="7"/>
  <c r="L1015" i="7"/>
  <c r="L1016" i="7"/>
  <c r="L1017" i="7"/>
  <c r="L1018" i="7"/>
  <c r="L1019" i="7"/>
  <c r="L1020" i="7"/>
  <c r="L1021" i="7"/>
  <c r="L1022" i="7"/>
  <c r="L1023" i="7"/>
  <c r="K135" i="7"/>
  <c r="D663" i="4"/>
  <c r="D652" i="4"/>
  <c r="T652" i="4"/>
  <c r="U652" i="4" s="1"/>
  <c r="AF652" i="4"/>
  <c r="AG652" i="4" s="1"/>
  <c r="AU652" i="4"/>
  <c r="D653" i="4"/>
  <c r="T653" i="4"/>
  <c r="U653" i="4" s="1"/>
  <c r="AF653" i="4"/>
  <c r="AG653" i="4" s="1"/>
  <c r="D654" i="4"/>
  <c r="T654" i="4"/>
  <c r="BE654" i="4" s="1"/>
  <c r="AU654" i="4"/>
  <c r="R665" i="4"/>
  <c r="Z665" i="4"/>
  <c r="AA665" i="4" s="1"/>
  <c r="AF665" i="4"/>
  <c r="AG665" i="4" s="1"/>
  <c r="AK665" i="4"/>
  <c r="AP665" i="4"/>
  <c r="AU665" i="4"/>
  <c r="R664" i="4"/>
  <c r="Z664" i="4"/>
  <c r="AA664" i="4" s="1"/>
  <c r="AF664" i="4"/>
  <c r="AG664" i="4" s="1"/>
  <c r="AK664" i="4"/>
  <c r="AP664" i="4"/>
  <c r="AU664" i="4"/>
  <c r="R662" i="4"/>
  <c r="Z662" i="4"/>
  <c r="AA662" i="4" s="1"/>
  <c r="AF662" i="4"/>
  <c r="AG662" i="4" s="1"/>
  <c r="AK662" i="4"/>
  <c r="AP662" i="4"/>
  <c r="AU662" i="4"/>
  <c r="D665" i="4"/>
  <c r="D664" i="4"/>
  <c r="D662" i="4"/>
  <c r="AK649" i="4"/>
  <c r="AK650" i="4"/>
  <c r="AK656" i="4"/>
  <c r="AK655" i="4"/>
  <c r="AK657" i="4"/>
  <c r="AK658" i="4"/>
  <c r="AK659" i="4"/>
  <c r="AK661" i="4"/>
  <c r="AK660" i="4"/>
  <c r="D649" i="4"/>
  <c r="D650" i="4"/>
  <c r="D651" i="4"/>
  <c r="D656" i="4"/>
  <c r="T656" i="4"/>
  <c r="U656" i="4" s="1"/>
  <c r="AP656" i="4"/>
  <c r="AU656" i="4"/>
  <c r="D655" i="4"/>
  <c r="T655" i="4"/>
  <c r="BE655" i="4" s="1"/>
  <c r="AP655" i="4"/>
  <c r="AU655" i="4"/>
  <c r="D657" i="4"/>
  <c r="T657" i="4"/>
  <c r="BE657" i="4" s="1"/>
  <c r="AP657" i="4"/>
  <c r="AU657" i="4"/>
  <c r="D658" i="4"/>
  <c r="R658" i="4"/>
  <c r="AF658" i="4"/>
  <c r="AG658" i="4" s="1"/>
  <c r="AP658" i="4"/>
  <c r="AU658" i="4"/>
  <c r="D659" i="4"/>
  <c r="R659" i="4"/>
  <c r="Z659" i="4"/>
  <c r="AA659" i="4" s="1"/>
  <c r="AF659" i="4"/>
  <c r="AG659" i="4" s="1"/>
  <c r="AP659" i="4"/>
  <c r="AU659" i="4"/>
  <c r="D661" i="4"/>
  <c r="R661" i="4"/>
  <c r="Z661" i="4"/>
  <c r="AA661" i="4" s="1"/>
  <c r="AF661" i="4"/>
  <c r="AG661" i="4" s="1"/>
  <c r="AP661" i="4"/>
  <c r="AU661" i="4"/>
  <c r="D660" i="4"/>
  <c r="R660" i="4"/>
  <c r="Z660" i="4"/>
  <c r="AA660" i="4" s="1"/>
  <c r="AF660" i="4"/>
  <c r="AG660" i="4" s="1"/>
  <c r="AP660" i="4"/>
  <c r="AU660" i="4"/>
  <c r="BH3" i="4"/>
  <c r="I89" i="20"/>
  <c r="H89" i="20"/>
  <c r="G89" i="20"/>
  <c r="I88" i="20"/>
  <c r="H88" i="20"/>
  <c r="G88" i="20"/>
  <c r="Q658" i="4" l="1"/>
  <c r="BF658" i="4" s="1"/>
  <c r="AP650" i="4"/>
  <c r="Q662" i="4"/>
  <c r="BF662" i="4" s="1"/>
  <c r="L502" i="7"/>
  <c r="K502" i="7"/>
  <c r="K588" i="7"/>
  <c r="L588" i="7"/>
  <c r="K76" i="7"/>
  <c r="L76" i="7"/>
  <c r="Q664" i="4"/>
  <c r="BF664" i="4" s="1"/>
  <c r="Q673" i="4"/>
  <c r="T673" i="4" s="1"/>
  <c r="U673" i="4" s="1"/>
  <c r="Q675" i="4"/>
  <c r="Q661" i="4"/>
  <c r="BF661" i="4" s="1"/>
  <c r="AU675" i="4"/>
  <c r="Q674" i="4"/>
  <c r="Q659" i="4"/>
  <c r="BF659" i="4" s="1"/>
  <c r="AK673" i="4"/>
  <c r="AU649" i="4"/>
  <c r="AK674" i="4"/>
  <c r="Q660" i="4"/>
  <c r="BF660" i="4" s="1"/>
  <c r="AK675" i="4"/>
  <c r="AP673" i="4"/>
  <c r="AP674" i="4"/>
  <c r="Q665" i="4"/>
  <c r="BF665" i="4" s="1"/>
  <c r="AP675" i="4"/>
  <c r="AU673" i="4"/>
  <c r="BF678" i="4"/>
  <c r="BF676" i="4"/>
  <c r="BI674" i="4"/>
  <c r="BE670" i="4"/>
  <c r="BI677" i="4"/>
  <c r="BF677" i="4"/>
  <c r="BE675" i="4"/>
  <c r="BE667" i="4"/>
  <c r="BI678" i="4"/>
  <c r="BI676" i="4"/>
  <c r="BI663" i="4"/>
  <c r="BI675" i="4"/>
  <c r="BI659" i="4"/>
  <c r="BE666" i="4"/>
  <c r="BI662" i="4"/>
  <c r="BE669" i="4"/>
  <c r="BI665" i="4"/>
  <c r="BE653" i="4"/>
  <c r="BE672" i="4"/>
  <c r="BE656" i="4"/>
  <c r="BE678" i="4"/>
  <c r="BI658" i="4"/>
  <c r="BI661" i="4"/>
  <c r="BE668" i="4"/>
  <c r="BI664" i="4"/>
  <c r="BE652" i="4"/>
  <c r="BE671" i="4"/>
  <c r="BE674" i="4"/>
  <c r="BE677" i="4"/>
  <c r="BI673" i="4"/>
  <c r="BI660" i="4"/>
  <c r="U676" i="4"/>
  <c r="Q663" i="4"/>
  <c r="BF663" i="4" s="1"/>
  <c r="AP651" i="4"/>
  <c r="AU651" i="4"/>
  <c r="F131" i="5"/>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K636" i="7"/>
  <c r="L636" i="7"/>
  <c r="K637" i="7"/>
  <c r="L637" i="7"/>
  <c r="K638" i="7"/>
  <c r="L638" i="7"/>
  <c r="K639" i="7"/>
  <c r="L639" i="7"/>
  <c r="T612" i="4"/>
  <c r="BE612" i="4" s="1"/>
  <c r="T646" i="4"/>
  <c r="BE646" i="4" s="1"/>
  <c r="T647" i="4"/>
  <c r="BE647" i="4" s="1"/>
  <c r="T648" i="4"/>
  <c r="BE648" i="4" s="1"/>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K631" i="7"/>
  <c r="L631" i="7"/>
  <c r="K632" i="7"/>
  <c r="L632" i="7"/>
  <c r="K633" i="7"/>
  <c r="L633" i="7"/>
  <c r="K634" i="7"/>
  <c r="L634" i="7"/>
  <c r="K635" i="7"/>
  <c r="L635" i="7"/>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K603" i="7"/>
  <c r="L603" i="7"/>
  <c r="K604" i="7"/>
  <c r="L604" i="7"/>
  <c r="K605" i="7"/>
  <c r="L605" i="7"/>
  <c r="K606" i="7"/>
  <c r="L606" i="7"/>
  <c r="K607" i="7"/>
  <c r="L607" i="7"/>
  <c r="K608" i="7"/>
  <c r="L608" i="7"/>
  <c r="K609" i="7"/>
  <c r="L609" i="7"/>
  <c r="K659" i="7"/>
  <c r="L659" i="7"/>
  <c r="K610" i="7"/>
  <c r="L610" i="7"/>
  <c r="K611" i="7"/>
  <c r="L611" i="7"/>
  <c r="K612" i="7"/>
  <c r="L612" i="7"/>
  <c r="K613" i="7"/>
  <c r="L613" i="7"/>
  <c r="K614" i="7"/>
  <c r="L614" i="7"/>
  <c r="K615" i="7"/>
  <c r="L615" i="7"/>
  <c r="K616" i="7"/>
  <c r="L616" i="7"/>
  <c r="K617" i="7"/>
  <c r="L617" i="7"/>
  <c r="K618" i="7"/>
  <c r="L618" i="7"/>
  <c r="K619" i="7"/>
  <c r="L619" i="7"/>
  <c r="K620" i="7"/>
  <c r="L620" i="7"/>
  <c r="K621" i="7"/>
  <c r="L621" i="7"/>
  <c r="K622" i="7"/>
  <c r="L622" i="7"/>
  <c r="K652" i="7"/>
  <c r="L652" i="7"/>
  <c r="K644" i="7"/>
  <c r="L644" i="7"/>
  <c r="K643" i="7"/>
  <c r="L643" i="7"/>
  <c r="K52" i="7"/>
  <c r="L52" i="7"/>
  <c r="K623" i="7"/>
  <c r="L623" i="7"/>
  <c r="K624" i="7"/>
  <c r="L624" i="7"/>
  <c r="K625" i="7"/>
  <c r="L625" i="7"/>
  <c r="K626" i="7"/>
  <c r="L626" i="7"/>
  <c r="K627" i="7"/>
  <c r="L627" i="7"/>
  <c r="K293" i="7"/>
  <c r="L293" i="7"/>
  <c r="K690" i="7"/>
  <c r="L690" i="7"/>
  <c r="K628" i="7"/>
  <c r="L628" i="7"/>
  <c r="K629" i="7"/>
  <c r="L629" i="7"/>
  <c r="K630" i="7"/>
  <c r="L630" i="7"/>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290" i="7"/>
  <c r="L662" i="7"/>
  <c r="L385" i="7"/>
  <c r="L660" i="7"/>
  <c r="L602" i="7"/>
  <c r="K290" i="7"/>
  <c r="K662" i="7"/>
  <c r="K385" i="7"/>
  <c r="K660" i="7"/>
  <c r="K602" i="7"/>
  <c r="K598" i="7"/>
  <c r="L598" i="7"/>
  <c r="K599" i="7"/>
  <c r="L599" i="7"/>
  <c r="K600" i="7"/>
  <c r="L600" i="7"/>
  <c r="K601" i="7"/>
  <c r="L601" i="7"/>
  <c r="K97" i="7"/>
  <c r="L97" i="7"/>
  <c r="E9" i="5"/>
  <c r="E124" i="5"/>
  <c r="E102" i="5"/>
  <c r="E126" i="5"/>
  <c r="D609" i="4"/>
  <c r="D608" i="4"/>
  <c r="D607" i="4"/>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K575" i="7"/>
  <c r="L575" i="7"/>
  <c r="K582" i="7"/>
  <c r="L582" i="7"/>
  <c r="K583" i="7"/>
  <c r="L583" i="7"/>
  <c r="K584" i="7"/>
  <c r="L584" i="7"/>
  <c r="K585" i="7"/>
  <c r="L585" i="7"/>
  <c r="K586" i="7"/>
  <c r="L586" i="7"/>
  <c r="K587" i="7"/>
  <c r="L587" i="7"/>
  <c r="K589" i="7"/>
  <c r="L589" i="7"/>
  <c r="K590" i="7"/>
  <c r="L590" i="7"/>
  <c r="K591" i="7"/>
  <c r="L591" i="7"/>
  <c r="K592" i="7"/>
  <c r="L592" i="7"/>
  <c r="K593" i="7"/>
  <c r="L593" i="7"/>
  <c r="K594" i="7"/>
  <c r="L594" i="7"/>
  <c r="K595" i="7"/>
  <c r="L595" i="7"/>
  <c r="K596" i="7"/>
  <c r="L596" i="7"/>
  <c r="K597" i="7"/>
  <c r="L597"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554" i="7"/>
  <c r="L554" i="7"/>
  <c r="K556" i="7"/>
  <c r="L556" i="7"/>
  <c r="K557" i="7"/>
  <c r="L557" i="7"/>
  <c r="K558" i="7"/>
  <c r="L558" i="7"/>
  <c r="K560" i="7"/>
  <c r="L560" i="7"/>
  <c r="K561" i="7"/>
  <c r="L561" i="7"/>
  <c r="K562" i="7"/>
  <c r="L562" i="7"/>
  <c r="K563" i="7"/>
  <c r="L563" i="7"/>
  <c r="K564" i="7"/>
  <c r="L564" i="7"/>
  <c r="K199" i="7"/>
  <c r="L199" i="7"/>
  <c r="K260" i="7"/>
  <c r="L260" i="7"/>
  <c r="K187" i="7"/>
  <c r="L187" i="7"/>
  <c r="K1002" i="7"/>
  <c r="L1002" i="7"/>
  <c r="K333" i="7"/>
  <c r="L333" i="7"/>
  <c r="K825" i="7"/>
  <c r="L825" i="7"/>
  <c r="K763" i="7"/>
  <c r="L763" i="7"/>
  <c r="K565" i="7"/>
  <c r="L565" i="7"/>
  <c r="K566" i="7"/>
  <c r="L566" i="7"/>
  <c r="K567" i="7"/>
  <c r="L567" i="7"/>
  <c r="K568" i="7"/>
  <c r="L568" i="7"/>
  <c r="K569" i="7"/>
  <c r="L569" i="7"/>
  <c r="K570" i="7"/>
  <c r="L570" i="7"/>
  <c r="K573" i="7"/>
  <c r="L573" i="7"/>
  <c r="K578" i="7"/>
  <c r="L578" i="7"/>
  <c r="K579" i="7"/>
  <c r="L579" i="7"/>
  <c r="K580" i="7"/>
  <c r="L580" i="7"/>
  <c r="K581" i="7"/>
  <c r="L581" i="7"/>
  <c r="K576" i="7"/>
  <c r="L576" i="7"/>
  <c r="K577" i="7"/>
  <c r="L577"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K559" i="7"/>
  <c r="L559" i="7"/>
  <c r="I80" i="20"/>
  <c r="H80" i="20"/>
  <c r="G80" i="20"/>
  <c r="J80" i="20" s="1"/>
  <c r="G81" i="20"/>
  <c r="J81" i="20" s="1"/>
  <c r="H81" i="20"/>
  <c r="I81" i="20"/>
  <c r="I37" i="20"/>
  <c r="H37" i="20"/>
  <c r="G37" i="20"/>
  <c r="C37" i="20"/>
  <c r="AD422" i="4"/>
  <c r="AD421" i="4"/>
  <c r="AD420" i="4"/>
  <c r="AC422" i="4"/>
  <c r="AC421" i="4"/>
  <c r="BH421" i="4" s="1"/>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F673" i="4" l="1"/>
  <c r="BE673" i="4"/>
  <c r="BF675" i="4"/>
  <c r="BF674" i="4"/>
  <c r="BH420" i="4"/>
  <c r="BH422" i="4"/>
  <c r="BI630" i="4"/>
  <c r="BI199" i="4"/>
  <c r="BI161" i="4"/>
  <c r="BI589" i="4"/>
  <c r="BI198" i="4"/>
  <c r="BI107" i="4"/>
  <c r="BI91" i="4"/>
  <c r="BI34" i="4"/>
  <c r="BI541" i="4"/>
  <c r="BI587" i="4"/>
  <c r="BI540" i="4"/>
  <c r="BI524" i="4"/>
  <c r="BI281" i="4"/>
  <c r="BI172" i="4"/>
  <c r="BI156" i="4"/>
  <c r="BI71" i="4"/>
  <c r="BI607" i="4"/>
  <c r="BI628" i="4"/>
  <c r="BI197" i="4"/>
  <c r="BI106" i="4"/>
  <c r="BI90" i="4"/>
  <c r="BI74" i="4"/>
  <c r="BI32" i="4"/>
  <c r="BI9" i="4"/>
  <c r="BI588" i="4"/>
  <c r="BF280" i="4"/>
  <c r="BF281" i="4"/>
  <c r="BI542" i="4"/>
  <c r="BI196" i="4"/>
  <c r="BI49" i="4"/>
  <c r="BF279" i="4"/>
  <c r="BI525" i="4"/>
  <c r="BI282" i="4"/>
  <c r="BI173" i="4"/>
  <c r="BI157" i="4"/>
  <c r="BF173" i="4"/>
  <c r="BI648" i="4"/>
  <c r="BF172" i="4"/>
  <c r="BI558" i="4"/>
  <c r="BI523" i="4"/>
  <c r="BI369" i="4"/>
  <c r="BI280" i="4"/>
  <c r="BI171" i="4"/>
  <c r="BI86" i="4"/>
  <c r="BI23" i="4"/>
  <c r="BF171" i="4"/>
  <c r="BI557" i="4"/>
  <c r="BI422" i="4"/>
  <c r="BI368" i="4"/>
  <c r="BI279" i="4"/>
  <c r="BI211" i="4"/>
  <c r="BI170" i="4"/>
  <c r="BI154" i="4"/>
  <c r="BI69" i="4"/>
  <c r="BI45" i="4"/>
  <c r="BI629" i="4"/>
  <c r="BI647" i="4"/>
  <c r="BI421" i="4"/>
  <c r="BI367" i="4"/>
  <c r="BI329" i="4"/>
  <c r="BI210" i="4"/>
  <c r="BI169" i="4"/>
  <c r="BI153" i="4"/>
  <c r="BI420" i="4"/>
  <c r="BI366" i="4"/>
  <c r="BI328" i="4"/>
  <c r="BI209" i="4"/>
  <c r="BI168" i="4"/>
  <c r="BI152" i="4"/>
  <c r="BI83" i="4"/>
  <c r="BI67" i="4"/>
  <c r="BI554" i="4"/>
  <c r="BI365" i="4"/>
  <c r="BI208" i="4"/>
  <c r="BI167" i="4"/>
  <c r="BI114" i="4"/>
  <c r="BI82" i="4"/>
  <c r="BI66" i="4"/>
  <c r="BI646" i="4"/>
  <c r="BI553" i="4"/>
  <c r="BI364" i="4"/>
  <c r="BI113" i="4"/>
  <c r="BI65" i="4"/>
  <c r="BI41" i="4"/>
  <c r="BI552" i="4"/>
  <c r="BI165" i="4"/>
  <c r="BI112" i="4"/>
  <c r="BI559" i="4"/>
  <c r="BI164" i="4"/>
  <c r="BI111" i="4"/>
  <c r="BI95" i="4"/>
  <c r="BI79" i="4"/>
  <c r="BI58" i="4"/>
  <c r="BF329" i="4"/>
  <c r="BI201" i="4"/>
  <c r="BI110" i="4"/>
  <c r="BF328" i="4"/>
  <c r="BI287" i="4"/>
  <c r="BI200" i="4"/>
  <c r="BI109" i="4"/>
  <c r="BI93" i="4"/>
  <c r="BI77" i="4"/>
  <c r="BF287" i="4"/>
  <c r="BI108" i="4"/>
  <c r="BF282" i="4"/>
  <c r="AP652" i="4"/>
  <c r="G131" i="5"/>
  <c r="K131" i="5"/>
  <c r="U629" i="4"/>
  <c r="Q612" i="4"/>
  <c r="U576" i="4"/>
  <c r="U648" i="4"/>
  <c r="U647" i="4"/>
  <c r="U646" i="4"/>
  <c r="U612"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G83" i="20" l="1"/>
  <c r="H83" i="20"/>
  <c r="I83" i="20"/>
  <c r="G82" i="20"/>
  <c r="H82" i="20"/>
  <c r="I82" i="20"/>
  <c r="D3" i="4"/>
  <c r="D4" i="4"/>
  <c r="C560" i="15"/>
  <c r="B552" i="15"/>
  <c r="C552" i="15"/>
  <c r="C544" i="15"/>
  <c r="E31" i="5"/>
  <c r="F31" i="5"/>
  <c r="E114" i="5"/>
  <c r="F114" i="5"/>
  <c r="E105" i="5"/>
  <c r="F105" i="5"/>
  <c r="E116" i="5"/>
  <c r="F116" i="5"/>
  <c r="K535" i="7"/>
  <c r="L535" i="7"/>
  <c r="K547" i="7"/>
  <c r="L547" i="7"/>
  <c r="K552" i="7"/>
  <c r="L552" i="7"/>
  <c r="K553" i="7"/>
  <c r="L553" i="7"/>
  <c r="K555" i="7"/>
  <c r="L555" i="7"/>
  <c r="K574" i="7"/>
  <c r="L57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527" i="7"/>
  <c r="L527" i="7"/>
  <c r="K528" i="7"/>
  <c r="L528" i="7"/>
  <c r="K529" i="7"/>
  <c r="L529" i="7"/>
  <c r="K530" i="7"/>
  <c r="L530" i="7"/>
  <c r="K531" i="7"/>
  <c r="L531" i="7"/>
  <c r="K532" i="7"/>
  <c r="L532" i="7"/>
  <c r="K533" i="7"/>
  <c r="L533" i="7"/>
  <c r="K534" i="7"/>
  <c r="L534" i="7"/>
  <c r="K537" i="7"/>
  <c r="L537" i="7"/>
  <c r="K538" i="7"/>
  <c r="L538" i="7"/>
  <c r="K539" i="7"/>
  <c r="L539" i="7"/>
  <c r="K540" i="7"/>
  <c r="L540" i="7"/>
  <c r="K541" i="7"/>
  <c r="L541" i="7"/>
  <c r="K542" i="7"/>
  <c r="L542" i="7"/>
  <c r="K543" i="7"/>
  <c r="L543" i="7"/>
  <c r="K544" i="7"/>
  <c r="L544" i="7"/>
  <c r="K545" i="7"/>
  <c r="L545" i="7"/>
  <c r="K546" i="7"/>
  <c r="L546" i="7"/>
  <c r="K548" i="7"/>
  <c r="L548" i="7"/>
  <c r="K551" i="7"/>
  <c r="L551" i="7"/>
  <c r="K571" i="7"/>
  <c r="L571" i="7"/>
  <c r="K572" i="7"/>
  <c r="L572" i="7"/>
  <c r="D551" i="4"/>
  <c r="D550" i="4"/>
  <c r="D549" i="4"/>
  <c r="D539" i="4"/>
  <c r="D538" i="4"/>
  <c r="D537" i="4"/>
  <c r="D536" i="4"/>
  <c r="D535" i="4"/>
  <c r="D534" i="4"/>
  <c r="L5" i="7"/>
  <c r="L640" i="7"/>
  <c r="L641" i="7"/>
  <c r="L6" i="7"/>
  <c r="L7" i="7"/>
  <c r="L645" i="7"/>
  <c r="L646" i="7"/>
  <c r="L647" i="7"/>
  <c r="L648" i="7"/>
  <c r="L649" i="7"/>
  <c r="L650" i="7"/>
  <c r="L651" i="7"/>
  <c r="L972" i="7"/>
  <c r="L653" i="7"/>
  <c r="L654" i="7"/>
  <c r="L655" i="7"/>
  <c r="L656" i="7"/>
  <c r="L657" i="7"/>
  <c r="L658" i="7"/>
  <c r="L8" i="7"/>
  <c r="L10" i="7"/>
  <c r="L661" i="7"/>
  <c r="L987" i="7"/>
  <c r="L663" i="7"/>
  <c r="L664" i="7"/>
  <c r="L665" i="7"/>
  <c r="L162" i="7"/>
  <c r="L700" i="7"/>
  <c r="L513" i="7"/>
  <c r="L666" i="7"/>
  <c r="L667" i="7"/>
  <c r="L84" i="7"/>
  <c r="L668" i="7"/>
  <c r="L669" i="7"/>
  <c r="L11" i="7"/>
  <c r="L671" i="7"/>
  <c r="L673" i="7"/>
  <c r="L674" i="7"/>
  <c r="L675" i="7"/>
  <c r="L676" i="7"/>
  <c r="L677" i="7"/>
  <c r="L678" i="7"/>
  <c r="L679" i="7"/>
  <c r="L680" i="7"/>
  <c r="L681" i="7"/>
  <c r="L682" i="7"/>
  <c r="L684" i="7"/>
  <c r="L685" i="7"/>
  <c r="L687" i="7"/>
  <c r="L688" i="7"/>
  <c r="L12" i="7"/>
  <c r="L13" i="7"/>
  <c r="L689" i="7"/>
  <c r="L691" i="7"/>
  <c r="L692" i="7"/>
  <c r="L198" i="7"/>
  <c r="L93" i="7"/>
  <c r="L695" i="7"/>
  <c r="L696" i="7"/>
  <c r="L697" i="7"/>
  <c r="L698" i="7"/>
  <c r="L699" i="7"/>
  <c r="L701" i="7"/>
  <c r="L702" i="7"/>
  <c r="L703" i="7"/>
  <c r="L704" i="7"/>
  <c r="L705" i="7"/>
  <c r="L706" i="7"/>
  <c r="L707" i="7"/>
  <c r="L708" i="7"/>
  <c r="L709" i="7"/>
  <c r="L710" i="7"/>
  <c r="L711" i="7"/>
  <c r="L712" i="7"/>
  <c r="L713" i="7"/>
  <c r="L714" i="7"/>
  <c r="L715" i="7"/>
  <c r="L716" i="7"/>
  <c r="L717" i="7"/>
  <c r="L718" i="7"/>
  <c r="L719" i="7"/>
  <c r="L14" i="7"/>
  <c r="L721" i="7"/>
  <c r="L722" i="7"/>
  <c r="L723" i="7"/>
  <c r="L724" i="7"/>
  <c r="L726" i="7"/>
  <c r="L791" i="7"/>
  <c r="L536" i="7"/>
  <c r="L15" i="7"/>
  <c r="L727" i="7"/>
  <c r="L16" i="7"/>
  <c r="L17" i="7"/>
  <c r="L729" i="7"/>
  <c r="L730" i="7"/>
  <c r="L18" i="7"/>
  <c r="L731" i="7"/>
  <c r="L732" i="7"/>
  <c r="L733" i="7"/>
  <c r="L734" i="7"/>
  <c r="L735" i="7"/>
  <c r="L736" i="7"/>
  <c r="L737" i="7"/>
  <c r="L738" i="7"/>
  <c r="L19" i="7"/>
  <c r="L740" i="7"/>
  <c r="L741" i="7"/>
  <c r="L742" i="7"/>
  <c r="L743" i="7"/>
  <c r="L744" i="7"/>
  <c r="L745" i="7"/>
  <c r="L20" i="7"/>
  <c r="L747" i="7"/>
  <c r="L259" i="7"/>
  <c r="L749" i="7"/>
  <c r="L750" i="7"/>
  <c r="L422" i="7"/>
  <c r="L186" i="7"/>
  <c r="L810" i="7"/>
  <c r="L21" i="7"/>
  <c r="L752" i="7"/>
  <c r="L22" i="7"/>
  <c r="L23" i="7"/>
  <c r="L754" i="7"/>
  <c r="L24" i="7"/>
  <c r="L756" i="7"/>
  <c r="L762" i="7"/>
  <c r="L758" i="7"/>
  <c r="L1001" i="7"/>
  <c r="L760" i="7"/>
  <c r="L45" i="7"/>
  <c r="L764" i="7"/>
  <c r="L765" i="7"/>
  <c r="L766" i="7"/>
  <c r="L767" i="7"/>
  <c r="L768" i="7"/>
  <c r="L769" i="7"/>
  <c r="L770" i="7"/>
  <c r="L771" i="7"/>
  <c r="L772" i="7"/>
  <c r="L774" i="7"/>
  <c r="L25" i="7"/>
  <c r="L776" i="7"/>
  <c r="L777" i="7"/>
  <c r="L26" i="7"/>
  <c r="L779" i="7"/>
  <c r="L780" i="7"/>
  <c r="L781" i="7"/>
  <c r="L27" i="7"/>
  <c r="L783" i="7"/>
  <c r="L28" i="7"/>
  <c r="L29" i="7"/>
  <c r="L786" i="7"/>
  <c r="L787" i="7"/>
  <c r="L474" i="7"/>
  <c r="L30" i="7"/>
  <c r="L773" i="7"/>
  <c r="L152" i="7"/>
  <c r="L789" i="7"/>
  <c r="L129" i="7"/>
  <c r="L31" i="7"/>
  <c r="L792" i="7"/>
  <c r="L793" i="7"/>
  <c r="L794" i="7"/>
  <c r="L795" i="7"/>
  <c r="L796" i="7"/>
  <c r="L32" i="7"/>
  <c r="L33" i="7"/>
  <c r="L34" i="7"/>
  <c r="L35" i="7"/>
  <c r="L36" i="7"/>
  <c r="L37" i="7"/>
  <c r="L38" i="7"/>
  <c r="L804" i="7"/>
  <c r="L805" i="7"/>
  <c r="L806" i="7"/>
  <c r="L807" i="7"/>
  <c r="L808" i="7"/>
  <c r="L39" i="7"/>
  <c r="L40" i="7"/>
  <c r="L41" i="7"/>
  <c r="L813" i="7"/>
  <c r="L42" i="7"/>
  <c r="L815" i="7"/>
  <c r="L81" i="7"/>
  <c r="L43" i="7"/>
  <c r="L44" i="7"/>
  <c r="L46" i="7"/>
  <c r="L816" i="7"/>
  <c r="L817" i="7"/>
  <c r="L47" i="7"/>
  <c r="L48" i="7"/>
  <c r="L49" i="7"/>
  <c r="L50" i="7"/>
  <c r="L51" i="7"/>
  <c r="L53" i="7"/>
  <c r="L54" i="7"/>
  <c r="L55" i="7"/>
  <c r="L828" i="7"/>
  <c r="L829" i="7"/>
  <c r="L56" i="7"/>
  <c r="L57" i="7"/>
  <c r="L58" i="7"/>
  <c r="L834" i="7"/>
  <c r="L835" i="7"/>
  <c r="L59" i="7"/>
  <c r="L60" i="7"/>
  <c r="L61" i="7"/>
  <c r="L839" i="7"/>
  <c r="L62" i="7"/>
  <c r="L64" i="7"/>
  <c r="L65" i="7"/>
  <c r="L66" i="7"/>
  <c r="L67" i="7"/>
  <c r="L68" i="7"/>
  <c r="L69" i="7"/>
  <c r="L70" i="7"/>
  <c r="L71" i="7"/>
  <c r="L849" i="7"/>
  <c r="L72" i="7"/>
  <c r="L73" i="7"/>
  <c r="L74" i="7"/>
  <c r="L642" i="7"/>
  <c r="L75" i="7"/>
  <c r="L77" i="7"/>
  <c r="L78" i="7"/>
  <c r="L79" i="7"/>
  <c r="L80" i="7"/>
  <c r="L82" i="7"/>
  <c r="L857" i="7"/>
  <c r="L83" i="7"/>
  <c r="L85" i="7"/>
  <c r="L86" i="7"/>
  <c r="L87" i="7"/>
  <c r="L88" i="7"/>
  <c r="L89" i="7"/>
  <c r="L90" i="7"/>
  <c r="L91" i="7"/>
  <c r="L92" i="7"/>
  <c r="L94" i="7"/>
  <c r="L95" i="7"/>
  <c r="L96" i="7"/>
  <c r="L98" i="7"/>
  <c r="L99" i="7"/>
  <c r="L100" i="7"/>
  <c r="L101" i="7"/>
  <c r="L102" i="7"/>
  <c r="L103" i="7"/>
  <c r="L104" i="7"/>
  <c r="L105" i="7"/>
  <c r="L106" i="7"/>
  <c r="L107" i="7"/>
  <c r="L108" i="7"/>
  <c r="L109" i="7"/>
  <c r="L880" i="7"/>
  <c r="L881" i="7"/>
  <c r="L173" i="7"/>
  <c r="L110" i="7"/>
  <c r="L111" i="7"/>
  <c r="L112" i="7"/>
  <c r="L882" i="7"/>
  <c r="L332" i="7"/>
  <c r="L113" i="7"/>
  <c r="L884" i="7"/>
  <c r="L114" i="7"/>
  <c r="L115" i="7"/>
  <c r="L116" i="7"/>
  <c r="L117" i="7"/>
  <c r="L118" i="7"/>
  <c r="L890" i="7"/>
  <c r="L891" i="7"/>
  <c r="L892" i="7"/>
  <c r="L893" i="7"/>
  <c r="L119" i="7"/>
  <c r="L895" i="7"/>
  <c r="L896" i="7"/>
  <c r="L897" i="7"/>
  <c r="L898" i="7"/>
  <c r="L899" i="7"/>
  <c r="L900" i="7"/>
  <c r="L901" i="7"/>
  <c r="L120" i="7"/>
  <c r="L903" i="7"/>
  <c r="L121" i="7"/>
  <c r="L122" i="7"/>
  <c r="L123" i="7"/>
  <c r="L124" i="7"/>
  <c r="L125" i="7"/>
  <c r="L126" i="7"/>
  <c r="L127" i="7"/>
  <c r="L128" i="7"/>
  <c r="L130" i="7"/>
  <c r="L131" i="7"/>
  <c r="L132" i="7"/>
  <c r="L133" i="7"/>
  <c r="L134" i="7"/>
  <c r="L135" i="7"/>
  <c r="L136" i="7"/>
  <c r="L137" i="7"/>
  <c r="L138" i="7"/>
  <c r="L139" i="7"/>
  <c r="L140" i="7"/>
  <c r="L141" i="7"/>
  <c r="L142" i="7"/>
  <c r="L143" i="7"/>
  <c r="L144" i="7"/>
  <c r="L145" i="7"/>
  <c r="L146" i="7"/>
  <c r="L147" i="7"/>
  <c r="L148" i="7"/>
  <c r="L149" i="7"/>
  <c r="L150" i="7"/>
  <c r="L151" i="7"/>
  <c r="L154" i="7"/>
  <c r="L155" i="7"/>
  <c r="L246" i="7"/>
  <c r="L156" i="7"/>
  <c r="L917" i="7"/>
  <c r="L918" i="7"/>
  <c r="L919" i="7"/>
  <c r="L920" i="7"/>
  <c r="L157" i="7"/>
  <c r="L158" i="7"/>
  <c r="L923" i="7"/>
  <c r="L924" i="7"/>
  <c r="L925" i="7"/>
  <c r="L926" i="7"/>
  <c r="L927" i="7"/>
  <c r="L159" i="7"/>
  <c r="L160" i="7"/>
  <c r="L930" i="7"/>
  <c r="L931" i="7"/>
  <c r="L932" i="7"/>
  <c r="L933" i="7"/>
  <c r="L161" i="7"/>
  <c r="L163" i="7"/>
  <c r="L164" i="7"/>
  <c r="L165" i="7"/>
  <c r="L166" i="7"/>
  <c r="L167" i="7"/>
  <c r="L168" i="7"/>
  <c r="L169" i="7"/>
  <c r="L170" i="7"/>
  <c r="L171" i="7"/>
  <c r="L172" i="7"/>
  <c r="L174" i="7"/>
  <c r="L175" i="7"/>
  <c r="L176" i="7"/>
  <c r="L944" i="7"/>
  <c r="L177" i="7"/>
  <c r="L179" i="7"/>
  <c r="L180" i="7"/>
  <c r="L181" i="7"/>
  <c r="L182" i="7"/>
  <c r="L183" i="7"/>
  <c r="L824" i="7"/>
  <c r="L184" i="7"/>
  <c r="L185" i="7"/>
  <c r="L188" i="7"/>
  <c r="L955" i="7"/>
  <c r="L189" i="7"/>
  <c r="L190" i="7"/>
  <c r="L191" i="7"/>
  <c r="L192" i="7"/>
  <c r="L193" i="7"/>
  <c r="L194" i="7"/>
  <c r="L963" i="7"/>
  <c r="L195" i="7"/>
  <c r="L196" i="7"/>
  <c r="L197" i="7"/>
  <c r="L200" i="7"/>
  <c r="L201" i="7"/>
  <c r="L202" i="7"/>
  <c r="L203" i="7"/>
  <c r="L204" i="7"/>
  <c r="L205" i="7"/>
  <c r="L206" i="7"/>
  <c r="L207" i="7"/>
  <c r="L208" i="7"/>
  <c r="L209" i="7"/>
  <c r="L210" i="7"/>
  <c r="L211" i="7"/>
  <c r="L212" i="7"/>
  <c r="L214" i="7"/>
  <c r="L215" i="7"/>
  <c r="L216" i="7"/>
  <c r="L218" i="7"/>
  <c r="L219" i="7"/>
  <c r="L220" i="7"/>
  <c r="L221" i="7"/>
  <c r="L222" i="7"/>
  <c r="L223" i="7"/>
  <c r="L224" i="7"/>
  <c r="L225" i="7"/>
  <c r="L226" i="7"/>
  <c r="L227" i="7"/>
  <c r="L228" i="7"/>
  <c r="L229" i="7"/>
  <c r="L230" i="7"/>
  <c r="L231" i="7"/>
  <c r="L232" i="7"/>
  <c r="L233" i="7"/>
  <c r="L234" i="7"/>
  <c r="L235" i="7"/>
  <c r="L236" i="7"/>
  <c r="L237" i="7"/>
  <c r="L238" i="7"/>
  <c r="L239" i="7"/>
  <c r="L241" i="7"/>
  <c r="L242" i="7"/>
  <c r="L243" i="7"/>
  <c r="L244" i="7"/>
  <c r="L245" i="7"/>
  <c r="L247" i="7"/>
  <c r="L248" i="7"/>
  <c r="L217" i="7"/>
  <c r="L249" i="7"/>
  <c r="L250" i="7"/>
  <c r="L251" i="7"/>
  <c r="L252" i="7"/>
  <c r="L253" i="7"/>
  <c r="L254" i="7"/>
  <c r="L255" i="7"/>
  <c r="L256" i="7"/>
  <c r="L257" i="7"/>
  <c r="L258"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1" i="7"/>
  <c r="L292" i="7"/>
  <c r="L294" i="7"/>
  <c r="L295" i="7"/>
  <c r="L296" i="7"/>
  <c r="L297" i="7"/>
  <c r="L298" i="7"/>
  <c r="L299" i="7"/>
  <c r="L300" i="7"/>
  <c r="L301" i="7"/>
  <c r="L302" i="7"/>
  <c r="L303" i="7"/>
  <c r="L304" i="7"/>
  <c r="L305" i="7"/>
  <c r="L306" i="7"/>
  <c r="L307" i="7"/>
  <c r="L308" i="7"/>
  <c r="L309" i="7"/>
  <c r="L310" i="7"/>
  <c r="L311" i="7"/>
  <c r="L312" i="7"/>
  <c r="L981" i="7"/>
  <c r="L980" i="7"/>
  <c r="L979" i="7"/>
  <c r="L313" i="7"/>
  <c r="L314" i="7"/>
  <c r="L315" i="7"/>
  <c r="L978" i="7"/>
  <c r="L316" i="7"/>
  <c r="L317" i="7"/>
  <c r="L318" i="7"/>
  <c r="L319" i="7"/>
  <c r="L320" i="7"/>
  <c r="L321" i="7"/>
  <c r="L322" i="7"/>
  <c r="L977" i="7"/>
  <c r="L323" i="7"/>
  <c r="L976" i="7"/>
  <c r="L324" i="7"/>
  <c r="L686" i="7"/>
  <c r="L325" i="7"/>
  <c r="L326" i="7"/>
  <c r="L327" i="7"/>
  <c r="L329" i="7"/>
  <c r="L330" i="7"/>
  <c r="L331" i="7"/>
  <c r="L334" i="7"/>
  <c r="L335" i="7"/>
  <c r="L336" i="7"/>
  <c r="L975" i="7"/>
  <c r="L337" i="7"/>
  <c r="L338" i="7"/>
  <c r="L339" i="7"/>
  <c r="L340" i="7"/>
  <c r="L341" i="7"/>
  <c r="L342" i="7"/>
  <c r="L343" i="7"/>
  <c r="L344" i="7"/>
  <c r="L345" i="7"/>
  <c r="L346" i="7"/>
  <c r="L347" i="7"/>
  <c r="L348" i="7"/>
  <c r="L974" i="7"/>
  <c r="L973" i="7"/>
  <c r="L349" i="7"/>
  <c r="L350" i="7"/>
  <c r="L351" i="7"/>
  <c r="L971" i="7"/>
  <c r="L352" i="7"/>
  <c r="L353" i="7"/>
  <c r="L354" i="7"/>
  <c r="L355" i="7"/>
  <c r="L356" i="7"/>
  <c r="L357" i="7"/>
  <c r="L358" i="7"/>
  <c r="L359" i="7"/>
  <c r="L360" i="7"/>
  <c r="L361" i="7"/>
  <c r="L362" i="7"/>
  <c r="L364" i="7"/>
  <c r="L365" i="7"/>
  <c r="L366" i="7"/>
  <c r="L970" i="7"/>
  <c r="L367" i="7"/>
  <c r="L368" i="7"/>
  <c r="L369" i="7"/>
  <c r="L370" i="7"/>
  <c r="L371" i="7"/>
  <c r="L372" i="7"/>
  <c r="L373" i="7"/>
  <c r="L374" i="7"/>
  <c r="L375" i="7"/>
  <c r="L376" i="7"/>
  <c r="L377" i="7"/>
  <c r="L378" i="7"/>
  <c r="L379" i="7"/>
  <c r="L969" i="7"/>
  <c r="L380" i="7"/>
  <c r="L381" i="7"/>
  <c r="L382" i="7"/>
  <c r="L383" i="7"/>
  <c r="L968" i="7"/>
  <c r="L967" i="7"/>
  <c r="L966" i="7"/>
  <c r="L965" i="7"/>
  <c r="L964" i="7"/>
  <c r="L962" i="7"/>
  <c r="L961" i="7"/>
  <c r="L960" i="7"/>
  <c r="L959" i="7"/>
  <c r="L958" i="7"/>
  <c r="L957" i="7"/>
  <c r="L954" i="7"/>
  <c r="L953" i="7"/>
  <c r="L952" i="7"/>
  <c r="L951" i="7"/>
  <c r="L950" i="7"/>
  <c r="L949" i="7"/>
  <c r="L948" i="7"/>
  <c r="L947" i="7"/>
  <c r="L946" i="7"/>
  <c r="L945" i="7"/>
  <c r="L943" i="7"/>
  <c r="L942" i="7"/>
  <c r="L941" i="7"/>
  <c r="L693" i="7"/>
  <c r="L63" i="7"/>
  <c r="L384" i="7"/>
  <c r="L940" i="7"/>
  <c r="L939" i="7"/>
  <c r="L938" i="7"/>
  <c r="L386" i="7"/>
  <c r="L937" i="7"/>
  <c r="L936" i="7"/>
  <c r="L387" i="7"/>
  <c r="L388" i="7"/>
  <c r="L399" i="7"/>
  <c r="L389" i="7"/>
  <c r="L9" i="7"/>
  <c r="L683" i="7"/>
  <c r="L390" i="7"/>
  <c r="L391" i="7"/>
  <c r="L392" i="7"/>
  <c r="L935" i="7"/>
  <c r="L934" i="7"/>
  <c r="L929" i="7"/>
  <c r="L928" i="7"/>
  <c r="L922" i="7"/>
  <c r="L393" i="7"/>
  <c r="L921" i="7"/>
  <c r="L363" i="7"/>
  <c r="L916" i="7"/>
  <c r="L915" i="7"/>
  <c r="L240" i="7"/>
  <c r="L914" i="7"/>
  <c r="L913" i="7"/>
  <c r="L912" i="7"/>
  <c r="L911" i="7"/>
  <c r="L910" i="7"/>
  <c r="L909" i="7"/>
  <c r="L908" i="7"/>
  <c r="L907" i="7"/>
  <c r="L906" i="7"/>
  <c r="L905" i="7"/>
  <c r="L904" i="7"/>
  <c r="L902" i="7"/>
  <c r="L894" i="7"/>
  <c r="L889" i="7"/>
  <c r="L888" i="7"/>
  <c r="L887" i="7"/>
  <c r="L886" i="7"/>
  <c r="L885" i="7"/>
  <c r="L883" i="7"/>
  <c r="L725" i="7"/>
  <c r="L879" i="7"/>
  <c r="L394" i="7"/>
  <c r="L395" i="7"/>
  <c r="L396" i="7"/>
  <c r="L878" i="7"/>
  <c r="L877" i="7"/>
  <c r="L430" i="7"/>
  <c r="L876" i="7"/>
  <c r="L875" i="7"/>
  <c r="L153" i="7"/>
  <c r="L874" i="7"/>
  <c r="L873" i="7"/>
  <c r="L872" i="7"/>
  <c r="L397" i="7"/>
  <c r="L1011" i="7"/>
  <c r="L871" i="7"/>
  <c r="L398" i="7"/>
  <c r="L400" i="7"/>
  <c r="L401" i="7"/>
  <c r="L402" i="7"/>
  <c r="L403" i="7"/>
  <c r="L870" i="7"/>
  <c r="L404" i="7"/>
  <c r="L405" i="7"/>
  <c r="L406" i="7"/>
  <c r="L407" i="7"/>
  <c r="L408" i="7"/>
  <c r="L409" i="7"/>
  <c r="L410" i="7"/>
  <c r="L411" i="7"/>
  <c r="L412" i="7"/>
  <c r="L413" i="7"/>
  <c r="L414" i="7"/>
  <c r="L415" i="7"/>
  <c r="L869" i="7"/>
  <c r="L416" i="7"/>
  <c r="L417" i="7"/>
  <c r="L418" i="7"/>
  <c r="L868" i="7"/>
  <c r="L867" i="7"/>
  <c r="L419" i="7"/>
  <c r="L866" i="7"/>
  <c r="L865" i="7"/>
  <c r="L864" i="7"/>
  <c r="L420" i="7"/>
  <c r="L863" i="7"/>
  <c r="L862" i="7"/>
  <c r="L861" i="7"/>
  <c r="L421" i="7"/>
  <c r="L423" i="7"/>
  <c r="L424" i="7"/>
  <c r="L517" i="7"/>
  <c r="L860" i="7"/>
  <c r="L859" i="7"/>
  <c r="L858" i="7"/>
  <c r="L856" i="7"/>
  <c r="L855" i="7"/>
  <c r="L854" i="7"/>
  <c r="L853" i="7"/>
  <c r="L852" i="7"/>
  <c r="L851" i="7"/>
  <c r="L850" i="7"/>
  <c r="L848" i="7"/>
  <c r="L847" i="7"/>
  <c r="L846" i="7"/>
  <c r="L845" i="7"/>
  <c r="L844" i="7"/>
  <c r="L843" i="7"/>
  <c r="L842" i="7"/>
  <c r="L841" i="7"/>
  <c r="L425" i="7"/>
  <c r="L426" i="7"/>
  <c r="L427" i="7"/>
  <c r="L428" i="7"/>
  <c r="L429" i="7"/>
  <c r="L431" i="7"/>
  <c r="L432" i="7"/>
  <c r="L433" i="7"/>
  <c r="L434" i="7"/>
  <c r="L435" i="7"/>
  <c r="L436" i="7"/>
  <c r="L437" i="7"/>
  <c r="L438" i="7"/>
  <c r="L439" i="7"/>
  <c r="L440" i="7"/>
  <c r="L441" i="7"/>
  <c r="L442" i="7"/>
  <c r="L840" i="7"/>
  <c r="L443" i="7"/>
  <c r="L444" i="7"/>
  <c r="L445" i="7"/>
  <c r="L446" i="7"/>
  <c r="L447" i="7"/>
  <c r="L838" i="7"/>
  <c r="L448" i="7"/>
  <c r="L449" i="7"/>
  <c r="L450" i="7"/>
  <c r="L837" i="7"/>
  <c r="L451" i="7"/>
  <c r="L452" i="7"/>
  <c r="L836" i="7"/>
  <c r="L833" i="7"/>
  <c r="L832" i="7"/>
  <c r="L830" i="7"/>
  <c r="L827" i="7"/>
  <c r="L453" i="7"/>
  <c r="L826" i="7"/>
  <c r="L823" i="7"/>
  <c r="L822" i="7"/>
  <c r="L821" i="7"/>
  <c r="L820" i="7"/>
  <c r="L819" i="7"/>
  <c r="L818" i="7"/>
  <c r="L831" i="7"/>
  <c r="L814" i="7"/>
  <c r="L812" i="7"/>
  <c r="L811" i="7"/>
  <c r="L809" i="7"/>
  <c r="L803" i="7"/>
  <c r="L802" i="7"/>
  <c r="L801" i="7"/>
  <c r="L800" i="7"/>
  <c r="L799" i="7"/>
  <c r="L798" i="7"/>
  <c r="L797" i="7"/>
  <c r="L790" i="7"/>
  <c r="L788" i="7"/>
  <c r="L785" i="7"/>
  <c r="L784" i="7"/>
  <c r="L782" i="7"/>
  <c r="L778" i="7"/>
  <c r="L775" i="7"/>
  <c r="L761" i="7"/>
  <c r="L454" i="7"/>
  <c r="L455" i="7"/>
  <c r="L456" i="7"/>
  <c r="L457" i="7"/>
  <c r="L759" i="7"/>
  <c r="L757" i="7"/>
  <c r="L458" i="7"/>
  <c r="L459" i="7"/>
  <c r="L460" i="7"/>
  <c r="L461" i="7"/>
  <c r="L462" i="7"/>
  <c r="L463" i="7"/>
  <c r="L464" i="7"/>
  <c r="L465" i="7"/>
  <c r="L755" i="7"/>
  <c r="L466" i="7"/>
  <c r="L467" i="7"/>
  <c r="L468" i="7"/>
  <c r="L469" i="7"/>
  <c r="L470" i="7"/>
  <c r="L471" i="7"/>
  <c r="L472" i="7"/>
  <c r="L753" i="7"/>
  <c r="L473" i="7"/>
  <c r="L475" i="7"/>
  <c r="L476" i="7"/>
  <c r="L477" i="7"/>
  <c r="L751" i="7"/>
  <c r="L479" i="7"/>
  <c r="L480" i="7"/>
  <c r="L956" i="7"/>
  <c r="L748" i="7"/>
  <c r="L746" i="7"/>
  <c r="L481" i="7"/>
  <c r="L482" i="7"/>
  <c r="L483" i="7"/>
  <c r="L672" i="7"/>
  <c r="L484" i="7"/>
  <c r="L739" i="7"/>
  <c r="L728" i="7"/>
  <c r="L485" i="7"/>
  <c r="L178" i="7"/>
  <c r="L478" i="7"/>
  <c r="L720" i="7"/>
  <c r="L486" i="7"/>
  <c r="L487" i="7"/>
  <c r="L488" i="7"/>
  <c r="L489" i="7"/>
  <c r="L490" i="7"/>
  <c r="L491" i="7"/>
  <c r="L492" i="7"/>
  <c r="L493" i="7"/>
  <c r="L494" i="7"/>
  <c r="L495" i="7"/>
  <c r="L496" i="7"/>
  <c r="L497" i="7"/>
  <c r="L498" i="7"/>
  <c r="L499" i="7"/>
  <c r="L500" i="7"/>
  <c r="L501" i="7"/>
  <c r="L503" i="7"/>
  <c r="L504" i="7"/>
  <c r="L505" i="7"/>
  <c r="L506" i="7"/>
  <c r="L507" i="7"/>
  <c r="L508" i="7"/>
  <c r="L509" i="7"/>
  <c r="L510" i="7"/>
  <c r="L511" i="7"/>
  <c r="L512" i="7"/>
  <c r="L514" i="7"/>
  <c r="L515" i="7"/>
  <c r="L516" i="7"/>
  <c r="L518" i="7"/>
  <c r="L519" i="7"/>
  <c r="L520" i="7"/>
  <c r="L694" i="7"/>
  <c r="L213" i="7"/>
  <c r="L328" i="7"/>
  <c r="L670" i="7"/>
  <c r="L521" i="7"/>
  <c r="L522" i="7"/>
  <c r="L523" i="7"/>
  <c r="L524" i="7"/>
  <c r="L525" i="7"/>
  <c r="L526" i="7"/>
  <c r="L549" i="7"/>
  <c r="K907" i="7"/>
  <c r="K906" i="7"/>
  <c r="K905" i="7"/>
  <c r="K904" i="7"/>
  <c r="AK441" i="4"/>
  <c r="K902" i="7"/>
  <c r="K894" i="7"/>
  <c r="K889" i="7"/>
  <c r="K888" i="7"/>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K388" i="7"/>
  <c r="K728" i="7"/>
  <c r="K399" i="7"/>
  <c r="K389" i="7"/>
  <c r="K683" i="7"/>
  <c r="K390" i="7"/>
  <c r="K391" i="7"/>
  <c r="K392" i="7"/>
  <c r="K935" i="7"/>
  <c r="K934" i="7"/>
  <c r="K929" i="7"/>
  <c r="K928" i="7"/>
  <c r="K922" i="7"/>
  <c r="K393" i="7"/>
  <c r="K501" i="7"/>
  <c r="K504" i="7"/>
  <c r="K505" i="7"/>
  <c r="K921" i="7"/>
  <c r="K363" i="7"/>
  <c r="K916" i="7"/>
  <c r="K915" i="7"/>
  <c r="K240" i="7"/>
  <c r="K914" i="7"/>
  <c r="D100" i="20"/>
  <c r="J100" i="20" s="1"/>
  <c r="K913" i="7"/>
  <c r="K912" i="7"/>
  <c r="K911" i="7"/>
  <c r="K910" i="7"/>
  <c r="K909" i="7"/>
  <c r="K908" i="7"/>
  <c r="E108" i="5"/>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Z670" i="4" l="1"/>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R652" i="4"/>
  <c r="R653" i="4"/>
  <c r="R650" i="4"/>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BF318" i="4" l="1"/>
  <c r="BF300" i="4"/>
  <c r="BI667" i="4"/>
  <c r="BI26" i="4"/>
  <c r="BF302" i="4"/>
  <c r="BF299" i="4"/>
  <c r="BF315" i="4"/>
  <c r="BI590" i="4"/>
  <c r="BI614" i="4"/>
  <c r="BI573" i="4"/>
  <c r="BI585" i="4"/>
  <c r="BI592" i="4"/>
  <c r="BI613" i="4"/>
  <c r="BI672" i="4"/>
  <c r="BI610" i="4"/>
  <c r="BI612" i="4"/>
  <c r="BI596" i="4"/>
  <c r="BI560" i="4"/>
  <c r="BI577" i="4"/>
  <c r="BI22" i="4"/>
  <c r="BI618" i="4"/>
  <c r="BI643" i="4"/>
  <c r="BF312" i="4"/>
  <c r="BF301" i="4"/>
  <c r="BF298" i="4"/>
  <c r="BF314" i="4"/>
  <c r="BF313" i="4"/>
  <c r="BI642" i="4"/>
  <c r="BI671" i="4"/>
  <c r="BF321" i="4"/>
  <c r="BI578" i="4"/>
  <c r="BI568" i="4"/>
  <c r="BI581" i="4"/>
  <c r="BI668" i="4"/>
  <c r="BF446" i="4"/>
  <c r="BI670" i="4"/>
  <c r="BF316" i="4"/>
  <c r="BF310" i="4"/>
  <c r="BF479" i="4"/>
  <c r="BI566" i="4"/>
  <c r="BI649" i="4"/>
  <c r="BF317" i="4"/>
  <c r="BF296" i="4"/>
  <c r="BI669" i="4"/>
  <c r="BF297" i="4"/>
  <c r="BF320" i="4"/>
  <c r="BI584" i="4"/>
  <c r="BI615" i="4"/>
  <c r="BI657" i="4"/>
  <c r="BI666" i="4"/>
  <c r="BF319" i="4"/>
  <c r="BI570" i="4"/>
  <c r="BI595" i="4"/>
  <c r="BI616" i="4"/>
  <c r="BF303" i="4"/>
  <c r="BI644" i="4"/>
  <c r="BI656" i="4"/>
  <c r="BI569" i="4"/>
  <c r="BI633" i="4"/>
  <c r="BI640" i="4"/>
  <c r="BI650" i="4"/>
  <c r="BI593" i="4"/>
  <c r="BI632" i="4"/>
  <c r="BI637" i="4"/>
  <c r="BI653" i="4"/>
  <c r="Q653" i="4"/>
  <c r="BF311" i="4"/>
  <c r="BI655" i="4"/>
  <c r="BI652" i="4"/>
  <c r="Q652" i="4"/>
  <c r="BI631" i="4"/>
  <c r="BI586" i="4"/>
  <c r="BI636" i="4"/>
  <c r="BI619" i="4"/>
  <c r="BI635" i="4"/>
  <c r="BI634" i="4"/>
  <c r="BI641" i="4"/>
  <c r="BI567" i="4"/>
  <c r="BI645" i="4"/>
  <c r="BI591" i="4"/>
  <c r="BI651" i="4"/>
  <c r="BI572" i="4"/>
  <c r="BI579" i="4"/>
  <c r="BI639" i="4"/>
  <c r="BI565" i="4"/>
  <c r="BI564" i="4"/>
  <c r="BI598" i="4"/>
  <c r="BI617" i="4"/>
  <c r="BI580" i="4"/>
  <c r="BI597" i="4"/>
  <c r="BI638" i="4"/>
  <c r="BI571" i="4"/>
  <c r="BI57" i="4"/>
  <c r="BI563" i="4"/>
  <c r="BI583" i="4"/>
  <c r="BI561" i="4"/>
  <c r="BI562" i="4"/>
  <c r="BI58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26" i="9"/>
  <c r="K940" i="7"/>
  <c r="K939" i="7"/>
  <c r="K938" i="7"/>
  <c r="K386" i="7"/>
  <c r="K937" i="7"/>
  <c r="K936" i="7"/>
  <c r="K387" i="7"/>
  <c r="AK309" i="4" l="1"/>
  <c r="AK307" i="4"/>
  <c r="AK308" i="4"/>
  <c r="E106" i="5"/>
  <c r="F13" i="5"/>
  <c r="F106" i="5"/>
  <c r="F121" i="5"/>
  <c r="I13" i="5"/>
  <c r="J13" i="5"/>
  <c r="I106" i="5"/>
  <c r="J106" i="5"/>
  <c r="I121" i="5"/>
  <c r="J121" i="5"/>
  <c r="D495" i="4"/>
  <c r="D496" i="4"/>
  <c r="D497" i="4"/>
  <c r="D503" i="4"/>
  <c r="AC503" i="4"/>
  <c r="AD503" i="4"/>
  <c r="D498" i="4"/>
  <c r="D499" i="4"/>
  <c r="D500" i="4"/>
  <c r="D504" i="4"/>
  <c r="AC504" i="4"/>
  <c r="BH504" i="4" s="1"/>
  <c r="AD504" i="4"/>
  <c r="BH503" i="4" l="1"/>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K384" i="7"/>
  <c r="K753"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BH472" i="4" s="1"/>
  <c r="AD472" i="4"/>
  <c r="I21" i="5"/>
  <c r="J21" i="5"/>
  <c r="I23" i="5"/>
  <c r="J23" i="5"/>
  <c r="I111" i="5"/>
  <c r="J111" i="5"/>
  <c r="I104" i="5"/>
  <c r="J104" i="5"/>
  <c r="K128" i="7"/>
  <c r="K379" i="7"/>
  <c r="K382" i="7"/>
  <c r="K383" i="7"/>
  <c r="K63" i="7"/>
  <c r="K471" i="7"/>
  <c r="BH473" i="4" l="1"/>
  <c r="AK619" i="4"/>
  <c r="AK617" i="4"/>
  <c r="AK618" i="4"/>
  <c r="Q601" i="4"/>
  <c r="BF601" i="4" s="1"/>
  <c r="D86" i="20"/>
  <c r="J86" i="20" s="1"/>
  <c r="Q600" i="4"/>
  <c r="BF600" i="4" s="1"/>
  <c r="Q599" i="4"/>
  <c r="BF599" i="4" s="1"/>
  <c r="Q602" i="4"/>
  <c r="BF602" i="4" s="1"/>
  <c r="AP610" i="4"/>
  <c r="D87" i="20"/>
  <c r="J87"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K398" i="7"/>
  <c r="K349" i="7"/>
  <c r="K350" i="7"/>
  <c r="K351" i="7"/>
  <c r="K352" i="7"/>
  <c r="K353" i="7"/>
  <c r="K354" i="7"/>
  <c r="K355" i="7"/>
  <c r="K356" i="7"/>
  <c r="K357" i="7"/>
  <c r="K358" i="7"/>
  <c r="K359" i="7"/>
  <c r="K360" i="7"/>
  <c r="K361" i="7"/>
  <c r="K362" i="7"/>
  <c r="K364" i="7"/>
  <c r="K365" i="7"/>
  <c r="K366" i="7"/>
  <c r="K367" i="7"/>
  <c r="K368" i="7"/>
  <c r="Q137" i="4"/>
  <c r="BF137" i="4" s="1"/>
  <c r="K369" i="7"/>
  <c r="Q145" i="4"/>
  <c r="BF145" i="4" s="1"/>
  <c r="K370" i="7"/>
  <c r="K377" i="7"/>
  <c r="K378" i="7"/>
  <c r="G108" i="5"/>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654" i="4"/>
  <c r="BI654" i="4" s="1"/>
  <c r="R33" i="4"/>
  <c r="BI33" i="4" s="1"/>
  <c r="R61" i="4"/>
  <c r="BI61" i="4" s="1"/>
  <c r="G106" i="5"/>
  <c r="G13" i="5"/>
  <c r="G121" i="5"/>
  <c r="D25" i="20"/>
  <c r="D90" i="20"/>
  <c r="D112" i="20"/>
  <c r="D11" i="20"/>
  <c r="D59" i="20"/>
  <c r="D17" i="20"/>
  <c r="D42"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K347" i="7"/>
  <c r="K348" i="7"/>
  <c r="Q138" i="4"/>
  <c r="BF138" i="4" s="1"/>
  <c r="K371" i="7"/>
  <c r="K372" i="7"/>
  <c r="K373" i="7"/>
  <c r="K374" i="7"/>
  <c r="K380" i="7"/>
  <c r="K381" i="7"/>
  <c r="Q335" i="4" l="1"/>
  <c r="BF335" i="4" s="1"/>
  <c r="Q576" i="4"/>
  <c r="BF576" i="4" s="1"/>
  <c r="Q333" i="4"/>
  <c r="BF333" i="4" s="1"/>
  <c r="AK522" i="4"/>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K326" i="7"/>
  <c r="K327" i="7"/>
  <c r="K329" i="7"/>
  <c r="K330" i="7"/>
  <c r="K331" i="7"/>
  <c r="K334" i="7"/>
  <c r="K335" i="7"/>
  <c r="K340" i="7"/>
  <c r="K341" i="7"/>
  <c r="K342" i="7"/>
  <c r="K343" i="7"/>
  <c r="K344" i="7"/>
  <c r="K345" i="7"/>
  <c r="K346" i="7"/>
  <c r="K376" i="7"/>
  <c r="K375" i="7"/>
  <c r="AD329" i="4" l="1"/>
  <c r="AD328" i="4"/>
  <c r="AD287" i="4"/>
  <c r="AD220" i="4"/>
  <c r="AC329" i="4"/>
  <c r="BH329" i="4" s="1"/>
  <c r="AC328" i="4"/>
  <c r="BH328" i="4" s="1"/>
  <c r="AC287" i="4"/>
  <c r="BH287" i="4" s="1"/>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50" i="7"/>
  <c r="K886" i="7"/>
  <c r="K640" i="7"/>
  <c r="K641" i="7"/>
  <c r="K725" i="7"/>
  <c r="K879" i="7"/>
  <c r="K394" i="7"/>
  <c r="K395" i="7"/>
  <c r="K396" i="7"/>
  <c r="K878" i="7"/>
  <c r="K877" i="7"/>
  <c r="K6" i="7"/>
  <c r="K876" i="7"/>
  <c r="K875" i="7"/>
  <c r="K153" i="7"/>
  <c r="K874" i="7"/>
  <c r="K873" i="7"/>
  <c r="K872" i="7"/>
  <c r="K7" i="7"/>
  <c r="K645" i="7"/>
  <c r="K871" i="7"/>
  <c r="K646" i="7"/>
  <c r="K400" i="7"/>
  <c r="K401" i="7"/>
  <c r="K402" i="7"/>
  <c r="K403" i="7"/>
  <c r="K647" i="7"/>
  <c r="K404" i="7"/>
  <c r="K405" i="7"/>
  <c r="K406" i="7"/>
  <c r="K648" i="7"/>
  <c r="K407" i="7"/>
  <c r="K408" i="7"/>
  <c r="K649" i="7"/>
  <c r="K410" i="7"/>
  <c r="K411" i="7"/>
  <c r="K412" i="7"/>
  <c r="K413" i="7"/>
  <c r="K414" i="7"/>
  <c r="K415" i="7"/>
  <c r="K869" i="7"/>
  <c r="K416" i="7"/>
  <c r="K417" i="7"/>
  <c r="K418" i="7"/>
  <c r="K868" i="7"/>
  <c r="K867" i="7"/>
  <c r="K419" i="7"/>
  <c r="K866" i="7"/>
  <c r="K865" i="7"/>
  <c r="K650" i="7"/>
  <c r="K651" i="7"/>
  <c r="K863" i="7"/>
  <c r="K862" i="7"/>
  <c r="K861" i="7"/>
  <c r="K972" i="7"/>
  <c r="K653" i="7"/>
  <c r="K423" i="7"/>
  <c r="K424" i="7"/>
  <c r="K517" i="7"/>
  <c r="K860" i="7"/>
  <c r="K859" i="7"/>
  <c r="K858" i="7"/>
  <c r="K856" i="7"/>
  <c r="K855" i="7"/>
  <c r="K854" i="7"/>
  <c r="K853" i="7"/>
  <c r="K852" i="7"/>
  <c r="K851" i="7"/>
  <c r="K850" i="7"/>
  <c r="K848" i="7"/>
  <c r="K847" i="7"/>
  <c r="K846" i="7"/>
  <c r="K845" i="7"/>
  <c r="K844" i="7"/>
  <c r="K843" i="7"/>
  <c r="K842" i="7"/>
  <c r="K841" i="7"/>
  <c r="K425" i="7"/>
  <c r="K426" i="7"/>
  <c r="K427" i="7"/>
  <c r="K654" i="7"/>
  <c r="K429" i="7"/>
  <c r="K431" i="7"/>
  <c r="K432" i="7"/>
  <c r="K433" i="7"/>
  <c r="K434" i="7"/>
  <c r="K435" i="7"/>
  <c r="K436" i="7"/>
  <c r="K655" i="7"/>
  <c r="K438" i="7"/>
  <c r="K656" i="7"/>
  <c r="K657" i="7"/>
  <c r="K440" i="7"/>
  <c r="K441" i="7"/>
  <c r="K658" i="7"/>
  <c r="K442" i="7"/>
  <c r="K840" i="7"/>
  <c r="K443" i="7"/>
  <c r="K444" i="7"/>
  <c r="K445" i="7"/>
  <c r="K446" i="7"/>
  <c r="K447" i="7"/>
  <c r="K838" i="7"/>
  <c r="K8" i="7"/>
  <c r="K449" i="7"/>
  <c r="K450" i="7"/>
  <c r="K837" i="7"/>
  <c r="K451" i="7"/>
  <c r="K452" i="7"/>
  <c r="K836" i="7"/>
  <c r="K10" i="7"/>
  <c r="K832" i="7"/>
  <c r="K661" i="7"/>
  <c r="K827" i="7"/>
  <c r="K453" i="7"/>
  <c r="K826" i="7"/>
  <c r="K987" i="7"/>
  <c r="K663" i="7"/>
  <c r="K664" i="7"/>
  <c r="K821" i="7"/>
  <c r="K665" i="7"/>
  <c r="K162" i="7"/>
  <c r="K819" i="7"/>
  <c r="K700" i="7"/>
  <c r="K831" i="7"/>
  <c r="K513" i="7"/>
  <c r="K812" i="7"/>
  <c r="K666" i="7"/>
  <c r="K809" i="7"/>
  <c r="K667" i="7"/>
  <c r="K802" i="7"/>
  <c r="K801" i="7"/>
  <c r="K800" i="7"/>
  <c r="K799" i="7"/>
  <c r="K798" i="7"/>
  <c r="K797" i="7"/>
  <c r="K790" i="7"/>
  <c r="K788" i="7"/>
  <c r="K785" i="7"/>
  <c r="K784" i="7"/>
  <c r="K84" i="7"/>
  <c r="K778" i="7"/>
  <c r="K775" i="7"/>
  <c r="K668" i="7"/>
  <c r="K454" i="7"/>
  <c r="K455" i="7"/>
  <c r="K456" i="7"/>
  <c r="K669" i="7"/>
  <c r="K759" i="7"/>
  <c r="K11" i="7"/>
  <c r="K671" i="7"/>
  <c r="K459" i="7"/>
  <c r="K460" i="7"/>
  <c r="K461" i="7"/>
  <c r="K462" i="7"/>
  <c r="K673" i="7"/>
  <c r="K464" i="7"/>
  <c r="K465" i="7"/>
  <c r="K674" i="7"/>
  <c r="K466" i="7"/>
  <c r="K467" i="7"/>
  <c r="K468" i="7"/>
  <c r="K469" i="7"/>
  <c r="K470" i="7"/>
  <c r="K675" i="7"/>
  <c r="K676" i="7"/>
  <c r="K677" i="7"/>
  <c r="K678" i="7"/>
  <c r="K679" i="7"/>
  <c r="K680" i="7"/>
  <c r="K681" i="7"/>
  <c r="K751" i="7"/>
  <c r="K479" i="7"/>
  <c r="K480" i="7"/>
  <c r="K956" i="7"/>
  <c r="K748" i="7"/>
  <c r="K682" i="7"/>
  <c r="K684" i="7"/>
  <c r="K685" i="7"/>
  <c r="K483" i="7"/>
  <c r="K687" i="7"/>
  <c r="K484" i="7"/>
  <c r="K739" i="7"/>
  <c r="K688" i="7"/>
  <c r="K12" i="7"/>
  <c r="K13" i="7"/>
  <c r="K485" i="7"/>
  <c r="K178" i="7"/>
  <c r="K689" i="7"/>
  <c r="K691" i="7"/>
  <c r="K692" i="7"/>
  <c r="K198" i="7"/>
  <c r="K93" i="7"/>
  <c r="K695" i="7"/>
  <c r="K696" i="7"/>
  <c r="K697" i="7"/>
  <c r="K492" i="7"/>
  <c r="K493" i="7"/>
  <c r="K698" i="7"/>
  <c r="K699" i="7"/>
  <c r="K701" i="7"/>
  <c r="K497" i="7"/>
  <c r="K498" i="7"/>
  <c r="K702" i="7"/>
  <c r="K703" i="7"/>
  <c r="K704" i="7"/>
  <c r="K503" i="7"/>
  <c r="K705" i="7"/>
  <c r="K706" i="7"/>
  <c r="K707" i="7"/>
  <c r="K708" i="7"/>
  <c r="K709" i="7"/>
  <c r="K710" i="7"/>
  <c r="K711" i="7"/>
  <c r="K712" i="7"/>
  <c r="K713" i="7"/>
  <c r="K514" i="7"/>
  <c r="K714" i="7"/>
  <c r="K715" i="7"/>
  <c r="K716" i="7"/>
  <c r="K519" i="7"/>
  <c r="K717" i="7"/>
  <c r="K718" i="7"/>
  <c r="K719" i="7"/>
  <c r="K14" i="7"/>
  <c r="K721" i="7"/>
  <c r="K722" i="7"/>
  <c r="K670" i="7"/>
  <c r="K723" i="7"/>
  <c r="K724" i="7"/>
  <c r="K726" i="7"/>
  <c r="K791" i="7"/>
  <c r="K536" i="7"/>
  <c r="K15" i="7"/>
  <c r="K727" i="7"/>
  <c r="K16" i="7"/>
  <c r="K17" i="7"/>
  <c r="K729" i="7"/>
  <c r="K730" i="7"/>
  <c r="K18" i="7"/>
  <c r="K731" i="7"/>
  <c r="K732" i="7"/>
  <c r="K733" i="7"/>
  <c r="K734" i="7"/>
  <c r="K735" i="7"/>
  <c r="K736" i="7"/>
  <c r="K737" i="7"/>
  <c r="K738" i="7"/>
  <c r="K19" i="7"/>
  <c r="K740" i="7"/>
  <c r="K741" i="7"/>
  <c r="K742" i="7"/>
  <c r="K743" i="7"/>
  <c r="K744" i="7"/>
  <c r="K745" i="7"/>
  <c r="K549" i="7"/>
  <c r="K20" i="7"/>
  <c r="K747" i="7"/>
  <c r="K259" i="7"/>
  <c r="K749" i="7"/>
  <c r="K750" i="7"/>
  <c r="K422" i="7"/>
  <c r="K186" i="7"/>
  <c r="K810" i="7"/>
  <c r="K21" i="7"/>
  <c r="K752" i="7"/>
  <c r="K22" i="7"/>
  <c r="K23" i="7"/>
  <c r="K754" i="7"/>
  <c r="K24" i="7"/>
  <c r="K756" i="7"/>
  <c r="K762" i="7"/>
  <c r="K758" i="7"/>
  <c r="K1001" i="7"/>
  <c r="K760" i="7"/>
  <c r="K45" i="7"/>
  <c r="K764" i="7"/>
  <c r="K765" i="7"/>
  <c r="K766" i="7"/>
  <c r="K767" i="7"/>
  <c r="K768" i="7"/>
  <c r="K769" i="7"/>
  <c r="K770" i="7"/>
  <c r="K771" i="7"/>
  <c r="K772" i="7"/>
  <c r="K774" i="7"/>
  <c r="K25" i="7"/>
  <c r="K776" i="7"/>
  <c r="K777" i="7"/>
  <c r="K26" i="7"/>
  <c r="K779" i="7"/>
  <c r="K781" i="7"/>
  <c r="K27" i="7"/>
  <c r="K783" i="7"/>
  <c r="K28" i="7"/>
  <c r="K29" i="7"/>
  <c r="K786" i="7"/>
  <c r="K787" i="7"/>
  <c r="K474" i="7"/>
  <c r="K30" i="7"/>
  <c r="K773" i="7"/>
  <c r="K152" i="7"/>
  <c r="K789" i="7"/>
  <c r="K129" i="7"/>
  <c r="K31" i="7"/>
  <c r="K792" i="7"/>
  <c r="K793" i="7"/>
  <c r="K794" i="7"/>
  <c r="K795" i="7"/>
  <c r="K796" i="7"/>
  <c r="K32" i="7"/>
  <c r="K33" i="7"/>
  <c r="K34" i="7"/>
  <c r="K35" i="7"/>
  <c r="K36" i="7"/>
  <c r="K37" i="7"/>
  <c r="K38" i="7"/>
  <c r="K805" i="7"/>
  <c r="K806" i="7"/>
  <c r="K807" i="7"/>
  <c r="K808" i="7"/>
  <c r="K39" i="7"/>
  <c r="K40" i="7"/>
  <c r="K41" i="7"/>
  <c r="K813" i="7"/>
  <c r="K42" i="7"/>
  <c r="K815" i="7"/>
  <c r="K81" i="7"/>
  <c r="K43" i="7"/>
  <c r="K44" i="7"/>
  <c r="K46" i="7"/>
  <c r="K816" i="7"/>
  <c r="K817" i="7"/>
  <c r="K47" i="7"/>
  <c r="K48" i="7"/>
  <c r="K49" i="7"/>
  <c r="K50" i="7"/>
  <c r="K51" i="7"/>
  <c r="K53" i="7"/>
  <c r="K54" i="7"/>
  <c r="K55" i="7"/>
  <c r="K828" i="7"/>
  <c r="K829" i="7"/>
  <c r="K56" i="7"/>
  <c r="K57" i="7"/>
  <c r="K58" i="7"/>
  <c r="K834" i="7"/>
  <c r="K835" i="7"/>
  <c r="K59" i="7"/>
  <c r="K60" i="7"/>
  <c r="K61" i="7"/>
  <c r="K839" i="7"/>
  <c r="K62" i="7"/>
  <c r="K64" i="7"/>
  <c r="K65" i="7"/>
  <c r="K66" i="7"/>
  <c r="K67" i="7"/>
  <c r="K68" i="7"/>
  <c r="K69" i="7"/>
  <c r="K70" i="7"/>
  <c r="K71" i="7"/>
  <c r="K849" i="7"/>
  <c r="K72" i="7"/>
  <c r="K73" i="7"/>
  <c r="K74" i="7"/>
  <c r="K642" i="7"/>
  <c r="K75" i="7"/>
  <c r="K77" i="7"/>
  <c r="K78" i="7"/>
  <c r="K79" i="7"/>
  <c r="K80" i="7"/>
  <c r="K82" i="7"/>
  <c r="K857" i="7"/>
  <c r="K83" i="7"/>
  <c r="K85" i="7"/>
  <c r="K86" i="7"/>
  <c r="K87" i="7"/>
  <c r="K88" i="7"/>
  <c r="K89" i="7"/>
  <c r="K90" i="7"/>
  <c r="K91" i="7"/>
  <c r="K92" i="7"/>
  <c r="K94" i="7"/>
  <c r="K95" i="7"/>
  <c r="K96" i="7"/>
  <c r="K98" i="7"/>
  <c r="K99" i="7"/>
  <c r="K100" i="7"/>
  <c r="K101" i="7"/>
  <c r="K102" i="7"/>
  <c r="K103" i="7"/>
  <c r="K104" i="7"/>
  <c r="K105" i="7"/>
  <c r="K106" i="7"/>
  <c r="K107" i="7"/>
  <c r="K108" i="7"/>
  <c r="K109" i="7"/>
  <c r="K880" i="7"/>
  <c r="K881" i="7"/>
  <c r="K173" i="7"/>
  <c r="K110" i="7"/>
  <c r="K111" i="7"/>
  <c r="K112" i="7"/>
  <c r="K882" i="7"/>
  <c r="K332" i="7"/>
  <c r="K113" i="7"/>
  <c r="K884" i="7"/>
  <c r="K114" i="7"/>
  <c r="K115" i="7"/>
  <c r="K116" i="7"/>
  <c r="K117" i="7"/>
  <c r="K118" i="7"/>
  <c r="K890" i="7"/>
  <c r="K891" i="7"/>
  <c r="K892" i="7"/>
  <c r="K893" i="7"/>
  <c r="K119" i="7"/>
  <c r="K895" i="7"/>
  <c r="K896" i="7"/>
  <c r="K897" i="7"/>
  <c r="K898" i="7"/>
  <c r="K899" i="7"/>
  <c r="K900" i="7"/>
  <c r="K901" i="7"/>
  <c r="K120" i="7"/>
  <c r="K903" i="7"/>
  <c r="K121" i="7"/>
  <c r="K122" i="7"/>
  <c r="K123" i="7"/>
  <c r="K124" i="7"/>
  <c r="K125" i="7"/>
  <c r="K126" i="7"/>
  <c r="K127" i="7"/>
  <c r="K130" i="7"/>
  <c r="K131" i="7"/>
  <c r="K132" i="7"/>
  <c r="K133" i="7"/>
  <c r="K134" i="7"/>
  <c r="K136" i="7"/>
  <c r="K137" i="7"/>
  <c r="K138" i="7"/>
  <c r="K139" i="7"/>
  <c r="K140" i="7"/>
  <c r="K141" i="7"/>
  <c r="K142" i="7"/>
  <c r="K143" i="7"/>
  <c r="K144" i="7"/>
  <c r="K145" i="7"/>
  <c r="K146" i="7"/>
  <c r="K147" i="7"/>
  <c r="K148" i="7"/>
  <c r="K149" i="7"/>
  <c r="K150" i="7"/>
  <c r="K151" i="7"/>
  <c r="K154" i="7"/>
  <c r="K155" i="7"/>
  <c r="K246" i="7"/>
  <c r="K156" i="7"/>
  <c r="K917" i="7"/>
  <c r="K918" i="7"/>
  <c r="K919" i="7"/>
  <c r="K920" i="7"/>
  <c r="K157" i="7"/>
  <c r="K158" i="7"/>
  <c r="K923" i="7"/>
  <c r="K924" i="7"/>
  <c r="K925" i="7"/>
  <c r="K926" i="7"/>
  <c r="K927" i="7"/>
  <c r="K159" i="7"/>
  <c r="K160" i="7"/>
  <c r="K930" i="7"/>
  <c r="K931" i="7"/>
  <c r="K932" i="7"/>
  <c r="K933" i="7"/>
  <c r="K161" i="7"/>
  <c r="K163" i="7"/>
  <c r="K164" i="7"/>
  <c r="K165" i="7"/>
  <c r="K166" i="7"/>
  <c r="K167" i="7"/>
  <c r="K168" i="7"/>
  <c r="K169" i="7"/>
  <c r="K170" i="7"/>
  <c r="K171" i="7"/>
  <c r="K172" i="7"/>
  <c r="K174" i="7"/>
  <c r="K175" i="7"/>
  <c r="K176" i="7"/>
  <c r="K177" i="7"/>
  <c r="K179" i="7"/>
  <c r="K180" i="7"/>
  <c r="K181" i="7"/>
  <c r="K182" i="7"/>
  <c r="K183" i="7"/>
  <c r="K824" i="7"/>
  <c r="K184" i="7"/>
  <c r="K185" i="7"/>
  <c r="K188" i="7"/>
  <c r="K189" i="7"/>
  <c r="K190" i="7"/>
  <c r="K191" i="7"/>
  <c r="K192" i="7"/>
  <c r="K193" i="7"/>
  <c r="K194" i="7"/>
  <c r="K195" i="7"/>
  <c r="K196" i="7"/>
  <c r="K197" i="7"/>
  <c r="K200" i="7"/>
  <c r="K201" i="7"/>
  <c r="K202" i="7"/>
  <c r="K203" i="7"/>
  <c r="K204" i="7"/>
  <c r="K205" i="7"/>
  <c r="K206" i="7"/>
  <c r="K207" i="7"/>
  <c r="K208" i="7"/>
  <c r="K209" i="7"/>
  <c r="K210" i="7"/>
  <c r="K211" i="7"/>
  <c r="K212" i="7"/>
  <c r="K214" i="7"/>
  <c r="K215" i="7"/>
  <c r="K216" i="7"/>
  <c r="K218" i="7"/>
  <c r="K219" i="7"/>
  <c r="K220" i="7"/>
  <c r="K221" i="7"/>
  <c r="K222" i="7"/>
  <c r="K223" i="7"/>
  <c r="K224" i="7"/>
  <c r="K225" i="7"/>
  <c r="K226" i="7"/>
  <c r="K227" i="7"/>
  <c r="K228" i="7"/>
  <c r="K229" i="7"/>
  <c r="K230" i="7"/>
  <c r="K231" i="7"/>
  <c r="K232" i="7"/>
  <c r="K233" i="7"/>
  <c r="K234" i="7"/>
  <c r="K524" i="7"/>
  <c r="K235" i="7"/>
  <c r="K523" i="7"/>
  <c r="K522" i="7"/>
  <c r="K521" i="7"/>
  <c r="K236" i="7"/>
  <c r="K237" i="7"/>
  <c r="K238" i="7"/>
  <c r="K239" i="7"/>
  <c r="K328" i="7"/>
  <c r="K526" i="7"/>
  <c r="K213" i="7"/>
  <c r="K694" i="7"/>
  <c r="K520" i="7"/>
  <c r="K550" i="7"/>
  <c r="K518" i="7"/>
  <c r="K516" i="7"/>
  <c r="K515" i="7"/>
  <c r="K512" i="7"/>
  <c r="K511" i="7"/>
  <c r="K510" i="7"/>
  <c r="K509" i="7"/>
  <c r="K508" i="7"/>
  <c r="K507" i="7"/>
  <c r="K506" i="7"/>
  <c r="K525" i="7"/>
  <c r="K885" i="7"/>
  <c r="K241" i="7"/>
  <c r="K242" i="7"/>
  <c r="K243" i="7"/>
  <c r="K244" i="7"/>
  <c r="K245" i="7"/>
  <c r="K247" i="7"/>
  <c r="K248" i="7"/>
  <c r="K217" i="7"/>
  <c r="K249" i="7"/>
  <c r="K250" i="7"/>
  <c r="K251" i="7"/>
  <c r="K252" i="7"/>
  <c r="K253" i="7"/>
  <c r="K254" i="7"/>
  <c r="K255" i="7"/>
  <c r="K883" i="7"/>
  <c r="K256" i="7"/>
  <c r="K257" i="7"/>
  <c r="K258" i="7"/>
  <c r="K261" i="7"/>
  <c r="K262" i="7"/>
  <c r="K500" i="7"/>
  <c r="K263" i="7"/>
  <c r="K264" i="7"/>
  <c r="K265" i="7"/>
  <c r="K499" i="7"/>
  <c r="K266" i="7"/>
  <c r="K267" i="7"/>
  <c r="K496" i="7"/>
  <c r="K495" i="7"/>
  <c r="K494" i="7"/>
  <c r="K491" i="7"/>
  <c r="K490" i="7"/>
  <c r="K268" i="7"/>
  <c r="K489" i="7"/>
  <c r="K488" i="7"/>
  <c r="K487" i="7"/>
  <c r="K486" i="7"/>
  <c r="K720" i="7"/>
  <c r="K478" i="7"/>
  <c r="K430" i="7"/>
  <c r="K672" i="7"/>
  <c r="K482" i="7"/>
  <c r="K481" i="7"/>
  <c r="K746" i="7"/>
  <c r="K477" i="7"/>
  <c r="K476" i="7"/>
  <c r="K475" i="7"/>
  <c r="K473" i="7"/>
  <c r="K397" i="7"/>
  <c r="K472" i="7"/>
  <c r="K1011" i="7"/>
  <c r="K755" i="7"/>
  <c r="K463" i="7"/>
  <c r="K458" i="7"/>
  <c r="K757" i="7"/>
  <c r="K457" i="7"/>
  <c r="K761" i="7"/>
  <c r="K782" i="7"/>
  <c r="K803" i="7"/>
  <c r="K811" i="7"/>
  <c r="K269" i="7"/>
  <c r="K270" i="7"/>
  <c r="K271" i="7"/>
  <c r="K272" i="7"/>
  <c r="K814" i="7"/>
  <c r="K818" i="7"/>
  <c r="K273" i="7"/>
  <c r="K274" i="7"/>
  <c r="K275" i="7"/>
  <c r="K276" i="7"/>
  <c r="K277" i="7"/>
  <c r="K278" i="7"/>
  <c r="K279" i="7"/>
  <c r="K280" i="7"/>
  <c r="K820" i="7"/>
  <c r="K281" i="7"/>
  <c r="K282" i="7"/>
  <c r="K283" i="7"/>
  <c r="K284" i="7"/>
  <c r="K285" i="7"/>
  <c r="K286" i="7"/>
  <c r="K287" i="7"/>
  <c r="K822" i="7"/>
  <c r="K288" i="7"/>
  <c r="K289" i="7"/>
  <c r="K291" i="7"/>
  <c r="K292" i="7"/>
  <c r="K823" i="7"/>
  <c r="K294" i="7"/>
  <c r="K295" i="7"/>
  <c r="K830" i="7"/>
  <c r="K833" i="7"/>
  <c r="K448" i="7"/>
  <c r="K296" i="7"/>
  <c r="K297" i="7"/>
  <c r="K298" i="7"/>
  <c r="K299" i="7"/>
  <c r="K300" i="7"/>
  <c r="K439" i="7"/>
  <c r="K437" i="7"/>
  <c r="K301" i="7"/>
  <c r="K302" i="7"/>
  <c r="K428" i="7"/>
  <c r="K421" i="7"/>
  <c r="K303" i="7"/>
  <c r="K304" i="7"/>
  <c r="K305" i="7"/>
  <c r="K306" i="7"/>
  <c r="K307" i="7"/>
  <c r="K308" i="7"/>
  <c r="K309" i="7"/>
  <c r="K310" i="7"/>
  <c r="K311" i="7"/>
  <c r="K312" i="7"/>
  <c r="K313" i="7"/>
  <c r="K314" i="7"/>
  <c r="K315" i="7"/>
  <c r="K316" i="7"/>
  <c r="K317" i="7"/>
  <c r="K318" i="7"/>
  <c r="K319" i="7"/>
  <c r="K320" i="7"/>
  <c r="K321" i="7"/>
  <c r="K322" i="7"/>
  <c r="K323" i="7"/>
  <c r="K420" i="7"/>
  <c r="K864" i="7"/>
  <c r="K409" i="7"/>
  <c r="K870" i="7"/>
  <c r="K325" i="7"/>
  <c r="K336" i="7"/>
  <c r="K337" i="7"/>
  <c r="K338" i="7"/>
  <c r="K339" i="7"/>
  <c r="K780" i="7"/>
  <c r="K324" i="7"/>
  <c r="K887" i="7"/>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6"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6" i="7" l="1"/>
  <c r="I6" i="7"/>
  <c r="Q536" i="4"/>
  <c r="BF536" i="4" s="1"/>
  <c r="AP522" i="4"/>
  <c r="AK652" i="4"/>
  <c r="BF652" i="4" s="1"/>
  <c r="AP593" i="4"/>
  <c r="AU653" i="4"/>
  <c r="BF653" i="4" s="1"/>
  <c r="AP654" i="4"/>
  <c r="D92" i="20"/>
  <c r="J92" i="20" s="1"/>
  <c r="D94" i="20"/>
  <c r="J94" i="20" s="1"/>
  <c r="Q141" i="4"/>
  <c r="BF141" i="4" s="1"/>
  <c r="Q140" i="4"/>
  <c r="BF140" i="4" s="1"/>
  <c r="Q654" i="4"/>
  <c r="D64" i="20"/>
  <c r="J64" i="20" s="1"/>
  <c r="D65" i="20"/>
  <c r="J65" i="20" s="1"/>
  <c r="D95" i="20"/>
  <c r="J95" i="20" s="1"/>
  <c r="J30" i="20"/>
  <c r="Q334" i="4"/>
  <c r="BF334" i="4" s="1"/>
  <c r="D96" i="20"/>
  <c r="J96" i="20" s="1"/>
  <c r="D66" i="20"/>
  <c r="J66" i="20" s="1"/>
  <c r="D67" i="20"/>
  <c r="J67" i="20" s="1"/>
  <c r="J31" i="20"/>
  <c r="D88" i="20"/>
  <c r="J88" i="20" s="1"/>
  <c r="D89" i="20"/>
  <c r="J89" i="20" s="1"/>
  <c r="D98" i="20"/>
  <c r="J98" i="20" s="1"/>
  <c r="F6" i="7"/>
  <c r="D23" i="20" l="1"/>
  <c r="AK654" i="4"/>
  <c r="BF654" i="4" s="1"/>
  <c r="D84" i="20"/>
  <c r="J84"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BF123" i="4" s="1"/>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109" i="4" l="1"/>
  <c r="BF94" i="4"/>
  <c r="BF100" i="4"/>
  <c r="BF159" i="4"/>
  <c r="BF47" i="4"/>
  <c r="BF10" i="4"/>
  <c r="BF23" i="4"/>
  <c r="BF99" i="4"/>
  <c r="BF6" i="4"/>
  <c r="BF122" i="4"/>
  <c r="BF87" i="4"/>
  <c r="BF112" i="4"/>
  <c r="BF239" i="4"/>
  <c r="BF29" i="4"/>
  <c r="BF72" i="4"/>
  <c r="BF429" i="4"/>
  <c r="BF332" i="4"/>
  <c r="BF31" i="4"/>
  <c r="BF591" i="4"/>
  <c r="BF565" i="4"/>
  <c r="BF41" i="4"/>
  <c r="BF90" i="4"/>
  <c r="BF506" i="4"/>
  <c r="BF111" i="4"/>
  <c r="BF331" i="4"/>
  <c r="BF353" i="4"/>
  <c r="BF389" i="4"/>
  <c r="BF50" i="4"/>
  <c r="BF428" i="4"/>
  <c r="BF594" i="4"/>
  <c r="BF607" i="4"/>
  <c r="BF474" i="4"/>
  <c r="BF505" i="4"/>
  <c r="BF540" i="4"/>
  <c r="BF646" i="4"/>
  <c r="BF507" i="4"/>
  <c r="BF240" i="4"/>
  <c r="BF589" i="4"/>
  <c r="BF243" i="4"/>
  <c r="BF275" i="4"/>
  <c r="BF593" i="4"/>
  <c r="BF577" i="4"/>
  <c r="BF618" i="4"/>
  <c r="BF590" i="4"/>
  <c r="BF79" i="4"/>
  <c r="BF367" i="4"/>
  <c r="BF617" i="4"/>
  <c r="BF179" i="4"/>
  <c r="BF364" i="4"/>
  <c r="BF96" i="4"/>
  <c r="BF81" i="4"/>
  <c r="BF88" i="4"/>
  <c r="BF369" i="4"/>
  <c r="BF330" i="4"/>
  <c r="BF152" i="4"/>
  <c r="T152" i="4"/>
  <c r="BF611" i="4"/>
  <c r="BF476" i="4"/>
  <c r="BF564" i="4"/>
  <c r="BF445" i="4"/>
  <c r="BF95" i="4"/>
  <c r="BF67" i="4"/>
  <c r="BF457" i="4"/>
  <c r="BF563" i="4"/>
  <c r="BF542" i="4"/>
  <c r="BF201" i="4"/>
  <c r="BF98" i="4"/>
  <c r="BF83" i="4"/>
  <c r="BF113" i="4"/>
  <c r="BF97" i="4"/>
  <c r="BF354" i="4"/>
  <c r="BF89" i="4"/>
  <c r="BF93" i="4"/>
  <c r="BF196" i="4"/>
  <c r="BF86" i="4"/>
  <c r="BF552" i="4"/>
  <c r="BF458" i="4"/>
  <c r="BF191" i="4"/>
  <c r="BF102" i="4"/>
  <c r="BF40" i="4"/>
  <c r="BF587" i="4"/>
  <c r="BF190" i="4"/>
  <c r="BF39" i="4"/>
  <c r="BF274" i="4"/>
  <c r="BF200" i="4"/>
  <c r="BF352" i="4"/>
  <c r="BF366" i="4"/>
  <c r="BF110" i="4"/>
  <c r="BF554" i="4"/>
  <c r="BF501" i="4"/>
  <c r="BF427" i="4"/>
  <c r="BF246" i="4"/>
  <c r="BF51" i="4"/>
  <c r="BF273" i="4"/>
  <c r="BF578" i="4"/>
  <c r="BF648" i="4"/>
  <c r="BF237" i="4"/>
  <c r="BF245" i="4"/>
  <c r="BF575" i="4"/>
  <c r="BF549" i="4"/>
  <c r="BF647" i="4"/>
  <c r="BF32" i="4"/>
  <c r="BF387" i="4"/>
  <c r="BF107" i="4"/>
  <c r="BF541" i="4"/>
  <c r="BF177" i="4"/>
  <c r="BF241" i="4"/>
  <c r="BF619" i="4"/>
  <c r="BF250" i="4"/>
  <c r="BF244" i="4"/>
  <c r="BF52" i="4"/>
  <c r="BF242" i="4"/>
  <c r="BF519" i="4"/>
  <c r="BF612" i="4"/>
  <c r="BF14" i="4"/>
  <c r="BF116" i="4"/>
  <c r="BF34" i="4"/>
  <c r="BF247" i="4"/>
  <c r="BF4" i="4"/>
  <c r="BF128" i="4"/>
  <c r="BF82" i="4"/>
  <c r="BF9" i="4"/>
  <c r="BF609" i="4"/>
  <c r="BF406" i="4"/>
  <c r="BF5" i="4"/>
  <c r="BF595" i="4"/>
  <c r="BF15" i="4"/>
  <c r="BF80" i="4"/>
  <c r="BF199" i="4"/>
  <c r="BF91" i="4"/>
  <c r="BF108" i="4"/>
  <c r="BF71" i="4"/>
  <c r="BF441" i="4"/>
  <c r="BF205" i="4"/>
  <c r="BF407" i="4"/>
  <c r="BF11" i="4"/>
  <c r="BF480" i="4"/>
  <c r="BF521" i="4"/>
  <c r="BF126" i="4"/>
  <c r="BF408" i="4"/>
  <c r="BF248" i="4"/>
  <c r="BF238" i="4"/>
  <c r="BF365" i="4"/>
  <c r="BF49" i="4"/>
  <c r="BF58" i="4"/>
  <c r="BF588" i="4"/>
  <c r="BF502" i="4"/>
  <c r="BF207" i="4"/>
  <c r="BF459" i="4"/>
  <c r="BF38" i="4"/>
  <c r="BF475" i="4"/>
  <c r="BF550" i="4"/>
  <c r="BF520" i="4"/>
  <c r="BF610" i="4"/>
  <c r="BF388" i="4"/>
  <c r="BF65" i="4"/>
  <c r="BF127" i="4"/>
  <c r="BF443" i="4"/>
  <c r="BF42" i="4"/>
  <c r="BF106" i="4"/>
  <c r="BF608" i="4"/>
  <c r="BF114" i="4"/>
  <c r="BF68" i="4"/>
  <c r="BF206" i="4"/>
  <c r="BF48" i="4"/>
  <c r="BF481" i="4"/>
  <c r="BF574" i="4"/>
  <c r="BF592" i="4"/>
  <c r="BF613" i="4"/>
  <c r="BF368" i="4"/>
  <c r="BF185" i="4"/>
  <c r="BF197" i="4"/>
  <c r="BF46" i="4"/>
  <c r="BF76" i="4"/>
  <c r="BF18" i="4"/>
  <c r="BF101" i="4"/>
  <c r="BF249" i="4"/>
  <c r="BF75" i="4"/>
  <c r="BF119" i="4"/>
  <c r="BF45" i="4"/>
  <c r="BF198" i="4"/>
  <c r="BF553" i="4"/>
  <c r="BF20" i="4"/>
  <c r="BF44" i="4"/>
  <c r="BF482" i="4"/>
  <c r="T664" i="4"/>
  <c r="BE664" i="4" s="1"/>
  <c r="T663" i="4"/>
  <c r="BE663" i="4" s="1"/>
  <c r="T661" i="4"/>
  <c r="BE661" i="4" s="1"/>
  <c r="T658" i="4"/>
  <c r="BE658" i="4" s="1"/>
  <c r="T659" i="4"/>
  <c r="BE659" i="4" s="1"/>
  <c r="T665" i="4"/>
  <c r="BE665" i="4" s="1"/>
  <c r="T660" i="4"/>
  <c r="BE660" i="4" s="1"/>
  <c r="T662" i="4"/>
  <c r="BE662" i="4" s="1"/>
  <c r="T645" i="4"/>
  <c r="BE645" i="4" s="1"/>
  <c r="T641" i="4"/>
  <c r="BE641" i="4" s="1"/>
  <c r="T638" i="4"/>
  <c r="BE638" i="4" s="1"/>
  <c r="T639" i="4"/>
  <c r="BE639" i="4" s="1"/>
  <c r="T640" i="4"/>
  <c r="BE640" i="4" s="1"/>
  <c r="T643" i="4"/>
  <c r="BE643" i="4" s="1"/>
  <c r="T644" i="4"/>
  <c r="BE644" i="4" s="1"/>
  <c r="T642" i="4"/>
  <c r="BE642" i="4" s="1"/>
  <c r="T455" i="4"/>
  <c r="BE455" i="4" s="1"/>
  <c r="T235" i="4"/>
  <c r="BE235" i="4" s="1"/>
  <c r="T125" i="4"/>
  <c r="BE125" i="4" s="1"/>
  <c r="T162" i="4"/>
  <c r="BE162" i="4" s="1"/>
  <c r="T262" i="4"/>
  <c r="BE262" i="4" s="1"/>
  <c r="T341" i="4"/>
  <c r="BE341" i="4" s="1"/>
  <c r="T432" i="4"/>
  <c r="BE432" i="4" s="1"/>
  <c r="T454" i="4"/>
  <c r="BE454" i="4" s="1"/>
  <c r="T53" i="4"/>
  <c r="BE53" i="4" s="1"/>
  <c r="T105" i="4"/>
  <c r="BE105" i="4" s="1"/>
  <c r="T148" i="4"/>
  <c r="BE148" i="4" s="1"/>
  <c r="T158" i="4"/>
  <c r="BE158" i="4" s="1"/>
  <c r="T230" i="4"/>
  <c r="BE230" i="4" s="1"/>
  <c r="T342" i="4"/>
  <c r="BE342" i="4" s="1"/>
  <c r="T351" i="4"/>
  <c r="BE351" i="4" s="1"/>
  <c r="T456" i="4"/>
  <c r="BE456" i="4" s="1"/>
  <c r="T216" i="4"/>
  <c r="BE216" i="4" s="1"/>
  <c r="T266" i="4"/>
  <c r="BE266" i="4" s="1"/>
  <c r="T419" i="4"/>
  <c r="BE419" i="4" s="1"/>
  <c r="T120" i="4"/>
  <c r="BE120" i="4" s="1"/>
  <c r="T160" i="4"/>
  <c r="BE160" i="4" s="1"/>
  <c r="T85" i="4"/>
  <c r="BE85" i="4" s="1"/>
  <c r="T338" i="4"/>
  <c r="BE338" i="4" s="1"/>
  <c r="T433" i="4"/>
  <c r="BE433" i="4" s="1"/>
  <c r="T345" i="4"/>
  <c r="BE345" i="4" s="1"/>
  <c r="T472" i="4"/>
  <c r="BE472" i="4" s="1"/>
  <c r="T212" i="4"/>
  <c r="BE212" i="4" s="1"/>
  <c r="T236" i="4"/>
  <c r="BE236" i="4" s="1"/>
  <c r="T417" i="4"/>
  <c r="BE417" i="4" s="1"/>
  <c r="T117" i="4"/>
  <c r="BE117" i="4" s="1"/>
  <c r="T37" i="4"/>
  <c r="BE37" i="4" s="1"/>
  <c r="T233" i="4"/>
  <c r="BE233" i="4" s="1"/>
  <c r="T156" i="4"/>
  <c r="BE156" i="4" s="1"/>
  <c r="T340" i="4"/>
  <c r="BE340" i="4" s="1"/>
  <c r="T349" i="4"/>
  <c r="BE349" i="4" s="1"/>
  <c r="T118" i="4"/>
  <c r="BE118" i="4" s="1"/>
  <c r="T215" i="4"/>
  <c r="BE215" i="4" s="1"/>
  <c r="T73" i="4"/>
  <c r="BE73" i="4" s="1"/>
  <c r="T415" i="4"/>
  <c r="BE415" i="4" s="1"/>
  <c r="T115" i="4"/>
  <c r="BE115" i="4" s="1"/>
  <c r="T161" i="4"/>
  <c r="BE161" i="4" s="1"/>
  <c r="T19" i="4"/>
  <c r="BE19" i="4" s="1"/>
  <c r="T132" i="4"/>
  <c r="BE132" i="4" s="1"/>
  <c r="T167" i="4"/>
  <c r="BE167" i="4" s="1"/>
  <c r="T339" i="4"/>
  <c r="BE339" i="4" s="1"/>
  <c r="T231" i="4"/>
  <c r="BE231" i="4" s="1"/>
  <c r="T350" i="4"/>
  <c r="BE350" i="4" s="1"/>
  <c r="T121" i="4"/>
  <c r="BE121" i="4" s="1"/>
  <c r="T214" i="4"/>
  <c r="BE214" i="4" s="1"/>
  <c r="T416" i="4"/>
  <c r="BE416" i="4" s="1"/>
  <c r="T103" i="4"/>
  <c r="BE103" i="4" s="1"/>
  <c r="T139" i="4"/>
  <c r="BE139" i="4" s="1"/>
  <c r="T252" i="4"/>
  <c r="BE252" i="4" s="1"/>
  <c r="T264" i="4"/>
  <c r="BE264" i="4" s="1"/>
  <c r="T157" i="4"/>
  <c r="BE157" i="4" s="1"/>
  <c r="T337" i="4"/>
  <c r="BE337" i="4" s="1"/>
  <c r="T254" i="4"/>
  <c r="BE254" i="4" s="1"/>
  <c r="T124" i="4"/>
  <c r="BE124" i="4" s="1"/>
  <c r="T383" i="4"/>
  <c r="BE383" i="4" s="1"/>
  <c r="T134" i="4"/>
  <c r="BE134" i="4" s="1"/>
  <c r="T229" i="4"/>
  <c r="BE229" i="4" s="1"/>
  <c r="T165" i="4"/>
  <c r="BE165" i="4" s="1"/>
  <c r="T223" i="4"/>
  <c r="BE223" i="4" s="1"/>
  <c r="T263" i="4"/>
  <c r="BE263" i="4" s="1"/>
  <c r="T28" i="4"/>
  <c r="BE28" i="4" s="1"/>
  <c r="T13" i="4"/>
  <c r="BE13" i="4" s="1"/>
  <c r="T155" i="4"/>
  <c r="BE155" i="4" s="1"/>
  <c r="T343" i="4"/>
  <c r="BE343" i="4" s="1"/>
  <c r="T130" i="4"/>
  <c r="BE130" i="4" s="1"/>
  <c r="T146" i="4"/>
  <c r="BE146" i="4" s="1"/>
  <c r="T382" i="4"/>
  <c r="BE382" i="4" s="1"/>
  <c r="T228" i="4"/>
  <c r="BE228" i="4" s="1"/>
  <c r="T258" i="4"/>
  <c r="BE258" i="4" s="1"/>
  <c r="T164" i="4"/>
  <c r="BE164" i="4" s="1"/>
  <c r="T391" i="4"/>
  <c r="BE391" i="4" s="1"/>
  <c r="T92" i="4"/>
  <c r="BE92" i="4" s="1"/>
  <c r="T257" i="4"/>
  <c r="BE257" i="4" s="1"/>
  <c r="T265" i="4"/>
  <c r="BE265" i="4" s="1"/>
  <c r="T255" i="4"/>
  <c r="BE255" i="4" s="1"/>
  <c r="T336" i="4"/>
  <c r="BE336" i="4" s="1"/>
  <c r="T12" i="4"/>
  <c r="BE12" i="4" s="1"/>
  <c r="T218" i="4"/>
  <c r="BE218" i="4" s="1"/>
  <c r="T195" i="4"/>
  <c r="BE195" i="4" s="1"/>
  <c r="T418" i="4"/>
  <c r="BE418" i="4" s="1"/>
  <c r="T380" i="4"/>
  <c r="BE380" i="4" s="1"/>
  <c r="T133" i="4"/>
  <c r="BE133" i="4" s="1"/>
  <c r="T473" i="4"/>
  <c r="BE473" i="4" s="1"/>
  <c r="T348" i="4"/>
  <c r="BE348" i="4" s="1"/>
  <c r="T390" i="4"/>
  <c r="BE390" i="4" s="1"/>
  <c r="T78" i="4"/>
  <c r="BE78" i="4" s="1"/>
  <c r="T54" i="4"/>
  <c r="BE54" i="4" s="1"/>
  <c r="T163" i="4"/>
  <c r="BE163" i="4" s="1"/>
  <c r="T377" i="4"/>
  <c r="BE377" i="4" s="1"/>
  <c r="T225" i="4"/>
  <c r="BE225"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194" i="4"/>
  <c r="BE194" i="4" s="1"/>
  <c r="T413" i="4"/>
  <c r="BE413" i="4" s="1"/>
  <c r="T381" i="4"/>
  <c r="BE381" i="4" s="1"/>
  <c r="T135" i="4"/>
  <c r="BE135" i="4" s="1"/>
  <c r="T451" i="4"/>
  <c r="BE451" i="4" s="1"/>
  <c r="T347" i="4"/>
  <c r="BE347" i="4" s="1"/>
  <c r="T393" i="4"/>
  <c r="BE393" i="4" s="1"/>
  <c r="T224" i="4"/>
  <c r="BE224" i="4" s="1"/>
  <c r="T234" i="4"/>
  <c r="BE234" i="4" s="1"/>
  <c r="T226" i="4"/>
  <c r="BE226" i="4" s="1"/>
  <c r="T379" i="4"/>
  <c r="BE379" i="4" s="1"/>
  <c r="T434" i="4"/>
  <c r="BE434" i="4" s="1"/>
  <c r="T222" i="4"/>
  <c r="BE222" i="4" s="1"/>
  <c r="T35" i="4"/>
  <c r="BE35" i="4" s="1"/>
  <c r="T192" i="4"/>
  <c r="BE192" i="4" s="1"/>
  <c r="T412" i="4"/>
  <c r="BE412" i="4" s="1"/>
  <c r="T453" i="4"/>
  <c r="BE453" i="4" s="1"/>
  <c r="T344" i="4"/>
  <c r="BE344" i="4" s="1"/>
  <c r="T396" i="4"/>
  <c r="BE396" i="4" s="1"/>
  <c r="T256" i="4"/>
  <c r="BE256" i="4" s="1"/>
  <c r="T403" i="4"/>
  <c r="BE403" i="4" s="1"/>
  <c r="T378" i="4"/>
  <c r="BE378" i="4" s="1"/>
  <c r="T435" i="4"/>
  <c r="BE435" i="4" s="1"/>
  <c r="T193" i="4"/>
  <c r="BE193" i="4" s="1"/>
  <c r="T414" i="4"/>
  <c r="BE414" i="4" s="1"/>
  <c r="T147" i="4"/>
  <c r="BE147" i="4" s="1"/>
  <c r="T452" i="4"/>
  <c r="BE452" i="4" s="1"/>
  <c r="T346" i="4"/>
  <c r="BE346" i="4" s="1"/>
  <c r="T394" i="4"/>
  <c r="BE394" i="4" s="1"/>
  <c r="T221" i="4"/>
  <c r="BE221" i="4" s="1"/>
  <c r="T144" i="4"/>
  <c r="BE144" i="4" s="1"/>
  <c r="T399" i="4"/>
  <c r="BE399" i="4" s="1"/>
  <c r="T405" i="4"/>
  <c r="BE405" i="4" s="1"/>
  <c r="T376" i="4"/>
  <c r="BE376" i="4" s="1"/>
  <c r="T437" i="4"/>
  <c r="BE437" i="4" s="1"/>
  <c r="T227" i="4"/>
  <c r="BE227" i="4" s="1"/>
  <c r="T260" i="4"/>
  <c r="BE260" i="4" s="1"/>
  <c r="T119" i="4"/>
  <c r="BE119" i="4" s="1"/>
  <c r="T43" i="4"/>
  <c r="BE43" i="4" s="1"/>
  <c r="T59" i="4"/>
  <c r="BE59" i="4" s="1"/>
  <c r="T395" i="4"/>
  <c r="BE395" i="4" s="1"/>
  <c r="T251" i="4"/>
  <c r="BE251" i="4" s="1"/>
  <c r="T404" i="4"/>
  <c r="BE404" i="4" s="1"/>
  <c r="T402" i="4"/>
  <c r="BE402" i="4" s="1"/>
  <c r="T217" i="4"/>
  <c r="BE217" i="4" s="1"/>
  <c r="T438" i="4"/>
  <c r="BE438" i="4" s="1"/>
  <c r="T232" i="4"/>
  <c r="BE232" i="4" s="1"/>
  <c r="T259" i="4"/>
  <c r="BE259" i="4" s="1"/>
  <c r="T123" i="4"/>
  <c r="BE123" i="4" s="1"/>
  <c r="T253" i="4"/>
  <c r="BE253" i="4" s="1"/>
  <c r="T261" i="4"/>
  <c r="BE261" i="4" s="1"/>
  <c r="T397" i="4"/>
  <c r="BE397" i="4" s="1"/>
  <c r="T166" i="4"/>
  <c r="BE166" i="4" s="1"/>
  <c r="T398" i="4"/>
  <c r="BE398" i="4" s="1"/>
  <c r="T401" i="4"/>
  <c r="BE401" i="4" s="1"/>
  <c r="T213" i="4"/>
  <c r="BE213" i="4" s="1"/>
  <c r="T436" i="4"/>
  <c r="BE436" i="4" s="1"/>
  <c r="T104" i="4"/>
  <c r="BE104" i="4" s="1"/>
  <c r="T131" i="4"/>
  <c r="BE131" i="4" s="1"/>
  <c r="T3" i="4"/>
  <c r="T122" i="4"/>
  <c r="BE122" i="4" s="1"/>
  <c r="T17" i="4"/>
  <c r="BE17" i="4" s="1"/>
  <c r="T84" i="4"/>
  <c r="BE84" i="4" s="1"/>
  <c r="T392" i="4"/>
  <c r="BE392" i="4" s="1"/>
  <c r="T400" i="4"/>
  <c r="BE400" i="4" s="1"/>
  <c r="T219" i="4"/>
  <c r="BE219" i="4" s="1"/>
  <c r="T439" i="4"/>
  <c r="BE439" i="4" s="1"/>
  <c r="BF3" i="4"/>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5" i="7" a="1"/>
  <c r="E5" i="7" s="1"/>
  <c r="E3" i="5"/>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U662" i="4" l="1"/>
  <c r="U660" i="4"/>
  <c r="U665" i="4"/>
  <c r="U659" i="4"/>
  <c r="U658" i="4"/>
  <c r="U661" i="4"/>
  <c r="U663" i="4"/>
  <c r="U664" i="4"/>
  <c r="U641" i="4"/>
  <c r="U645" i="4"/>
  <c r="U642" i="4"/>
  <c r="U644" i="4"/>
  <c r="U643" i="4"/>
  <c r="U640" i="4"/>
  <c r="U639" i="4"/>
  <c r="U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T241" i="4" l="1"/>
  <c r="BE241" i="4" s="1"/>
  <c r="T209" i="4"/>
  <c r="BE209" i="4" s="1"/>
  <c r="T242" i="4"/>
  <c r="BE242" i="4" s="1"/>
  <c r="T5" i="4"/>
  <c r="BE5" i="4" s="1"/>
  <c r="T108" i="4"/>
  <c r="BE108" i="4" s="1"/>
  <c r="T368" i="4"/>
  <c r="BE368" i="4" s="1"/>
  <c r="T89" i="4"/>
  <c r="BE89" i="4" s="1"/>
  <c r="T42" i="4"/>
  <c r="BE42" i="4" s="1"/>
  <c r="T422" i="4"/>
  <c r="BE422" i="4" s="1"/>
  <c r="T36" i="4"/>
  <c r="BE36" i="4" s="1"/>
  <c r="T61" i="4"/>
  <c r="BE61" i="4" s="1"/>
  <c r="T107" i="4"/>
  <c r="BE107" i="4" s="1"/>
  <c r="T16" i="4"/>
  <c r="BE16" i="4" s="1"/>
  <c r="T466" i="4"/>
  <c r="BE466" i="4" s="1"/>
  <c r="T71" i="4"/>
  <c r="BE71" i="4" s="1"/>
  <c r="T365" i="4"/>
  <c r="BE365" i="4" s="1"/>
  <c r="T116" i="4"/>
  <c r="BE116" i="4" s="1"/>
  <c r="T109" i="4"/>
  <c r="BE109" i="4" s="1"/>
  <c r="T83" i="4"/>
  <c r="BE83" i="4" s="1"/>
  <c r="T237" i="4"/>
  <c r="BE237" i="4" s="1"/>
  <c r="T249" i="4"/>
  <c r="BE249" i="4" s="1"/>
  <c r="T66" i="4"/>
  <c r="BE66" i="4" s="1"/>
  <c r="T170" i="4"/>
  <c r="BE170" i="4" s="1"/>
  <c r="T154" i="4"/>
  <c r="BE154" i="4" s="1"/>
  <c r="T49" i="4"/>
  <c r="BE49" i="4" s="1"/>
  <c r="T268" i="4"/>
  <c r="BE268" i="4" s="1"/>
  <c r="T23" i="4"/>
  <c r="BE23" i="4" s="1"/>
  <c r="T80" i="4"/>
  <c r="BE80" i="4" s="1"/>
  <c r="T201" i="4"/>
  <c r="BE201" i="4" s="1"/>
  <c r="T366" i="4"/>
  <c r="BE366" i="4" s="1"/>
  <c r="T471" i="4"/>
  <c r="BE471" i="4" s="1"/>
  <c r="T243" i="4"/>
  <c r="BE243" i="4" s="1"/>
  <c r="T40" i="4"/>
  <c r="BE40" i="4" s="1"/>
  <c r="T58" i="4"/>
  <c r="BE58" i="4" s="1"/>
  <c r="T25" i="4"/>
  <c r="BE25" i="4" s="1"/>
  <c r="T169" i="4"/>
  <c r="BE169" i="4" s="1"/>
  <c r="T79" i="4"/>
  <c r="BE79" i="4" s="1"/>
  <c r="T113" i="4"/>
  <c r="BE113" i="4" s="1"/>
  <c r="T75" i="4"/>
  <c r="BE75" i="4" s="1"/>
  <c r="T110" i="4"/>
  <c r="BE110" i="4" s="1"/>
  <c r="T47" i="4"/>
  <c r="BE47" i="4" s="1"/>
  <c r="T168" i="4"/>
  <c r="BE168" i="4" s="1"/>
  <c r="T199" i="4"/>
  <c r="BE199" i="4" s="1"/>
  <c r="T31" i="4"/>
  <c r="BE31" i="4" s="1"/>
  <c r="T200" i="4"/>
  <c r="BE200" i="4" s="1"/>
  <c r="T240" i="4"/>
  <c r="BE240" i="4" s="1"/>
  <c r="T11" i="4"/>
  <c r="BE11" i="4" s="1"/>
  <c r="T10" i="4"/>
  <c r="BE10" i="4" s="1"/>
  <c r="T87" i="4"/>
  <c r="BE87" i="4" s="1"/>
  <c r="T39" i="4"/>
  <c r="BE39" i="4" s="1"/>
  <c r="T56" i="4"/>
  <c r="BE56" i="4" s="1"/>
  <c r="T27" i="4"/>
  <c r="BE27" i="4" s="1"/>
  <c r="T364" i="4"/>
  <c r="BE364" i="4" s="1"/>
  <c r="T57" i="4"/>
  <c r="BE57" i="4" s="1"/>
  <c r="T239" i="4"/>
  <c r="BE239" i="4" s="1"/>
  <c r="T29" i="4"/>
  <c r="BE29" i="4" s="1"/>
  <c r="T245" i="4"/>
  <c r="BE245" i="4" s="1"/>
  <c r="T271" i="4"/>
  <c r="BE271" i="4" s="1"/>
  <c r="T106" i="4"/>
  <c r="BE106" i="4" s="1"/>
  <c r="T247" i="4"/>
  <c r="BE247" i="4" s="1"/>
  <c r="T21" i="4"/>
  <c r="BE21" i="4" s="1"/>
  <c r="T467" i="4"/>
  <c r="BE467" i="4" s="1"/>
  <c r="T91" i="4"/>
  <c r="BE91" i="4" s="1"/>
  <c r="T14" i="4"/>
  <c r="BE14" i="4" s="1"/>
  <c r="T208" i="4"/>
  <c r="BE208" i="4" s="1"/>
  <c r="T38" i="4"/>
  <c r="BE38" i="4" s="1"/>
  <c r="T421" i="4"/>
  <c r="BE421" i="4" s="1"/>
  <c r="T159" i="4"/>
  <c r="BE159" i="4" s="1"/>
  <c r="T248" i="4"/>
  <c r="BE248" i="4" s="1"/>
  <c r="T93" i="4"/>
  <c r="BE93" i="4" s="1"/>
  <c r="T63" i="4"/>
  <c r="BE63" i="4" s="1"/>
  <c r="T246" i="4"/>
  <c r="BE246" i="4" s="1"/>
  <c r="T77" i="4"/>
  <c r="BE77" i="4" s="1"/>
  <c r="T96" i="4"/>
  <c r="BE96" i="4" s="1"/>
  <c r="T8" i="4"/>
  <c r="BE8" i="4" s="1"/>
  <c r="T244" i="4"/>
  <c r="BE244" i="4" s="1"/>
  <c r="T70" i="4"/>
  <c r="BE70" i="4" s="1"/>
  <c r="T114" i="4"/>
  <c r="BE114" i="4" s="1"/>
  <c r="T4" i="4"/>
  <c r="BE4" i="4" s="1"/>
  <c r="T196" i="4"/>
  <c r="BE196" i="4" s="1"/>
  <c r="T88" i="4"/>
  <c r="BE88" i="4" s="1"/>
  <c r="T41" i="4"/>
  <c r="BE41" i="4" s="1"/>
  <c r="T6" i="4"/>
  <c r="BE6" i="4" s="1"/>
  <c r="T111" i="4"/>
  <c r="BE111" i="4" s="1"/>
  <c r="T151" i="4"/>
  <c r="BE151" i="4" s="1"/>
  <c r="T211" i="4"/>
  <c r="BE211" i="4" s="1"/>
  <c r="T68" i="4"/>
  <c r="BE68" i="4" s="1"/>
  <c r="T95" i="4"/>
  <c r="BE95" i="4" s="1"/>
  <c r="T26" i="4"/>
  <c r="BE26" i="4" s="1"/>
  <c r="T69" i="4"/>
  <c r="BE69" i="4" s="1"/>
  <c r="T86" i="4"/>
  <c r="BE86" i="4" s="1"/>
  <c r="T33" i="4"/>
  <c r="BE33" i="4" s="1"/>
  <c r="T90" i="4"/>
  <c r="BE90" i="4" s="1"/>
  <c r="T468" i="4"/>
  <c r="BE468" i="4" s="1"/>
  <c r="T270" i="4"/>
  <c r="BE270" i="4" s="1"/>
  <c r="T65" i="4"/>
  <c r="BE65" i="4" s="1"/>
  <c r="T46" i="4"/>
  <c r="BE46" i="4" s="1"/>
  <c r="T81" i="4"/>
  <c r="BE81" i="4" s="1"/>
  <c r="T48" i="4"/>
  <c r="BE48" i="4" s="1"/>
  <c r="T45" i="4"/>
  <c r="BE45" i="4" s="1"/>
  <c r="T30" i="4"/>
  <c r="BE30" i="4" s="1"/>
  <c r="T67" i="4"/>
  <c r="BE67" i="4" s="1"/>
  <c r="T469" i="4"/>
  <c r="BE469" i="4" s="1"/>
  <c r="T94" i="4"/>
  <c r="BE94" i="4" s="1"/>
  <c r="BE152" i="4"/>
  <c r="T60" i="4"/>
  <c r="BE60" i="4" s="1"/>
  <c r="T50" i="4"/>
  <c r="BE50" i="4" s="1"/>
  <c r="T369" i="4"/>
  <c r="BE369" i="4" s="1"/>
  <c r="T210" i="4"/>
  <c r="BE210" i="4" s="1"/>
  <c r="T198" i="4"/>
  <c r="BE198" i="4" s="1"/>
  <c r="T272" i="4"/>
  <c r="BE272" i="4" s="1"/>
  <c r="T112" i="4"/>
  <c r="BE112" i="4" s="1"/>
  <c r="T74" i="4"/>
  <c r="BE74" i="4" s="1"/>
  <c r="T24" i="4"/>
  <c r="BE24" i="4" s="1"/>
  <c r="T51" i="4"/>
  <c r="BE51" i="4" s="1"/>
  <c r="T72" i="4"/>
  <c r="BE72" i="4" s="1"/>
  <c r="T32" i="4"/>
  <c r="BE32" i="4" s="1"/>
  <c r="T470" i="4"/>
  <c r="BE470" i="4" s="1"/>
  <c r="T34" i="4"/>
  <c r="BE34" i="4" s="1"/>
  <c r="T150" i="4"/>
  <c r="BE150" i="4" s="1"/>
  <c r="T20" i="4"/>
  <c r="BE20" i="4" s="1"/>
  <c r="T153" i="4"/>
  <c r="BE153" i="4" s="1"/>
  <c r="T238" i="4"/>
  <c r="BE238" i="4" s="1"/>
  <c r="T64" i="4"/>
  <c r="BE64" i="4" s="1"/>
  <c r="T269" i="4"/>
  <c r="BE269" i="4" s="1"/>
  <c r="T367" i="4"/>
  <c r="BE367" i="4" s="1"/>
  <c r="T7" i="4"/>
  <c r="BE7" i="4" s="1"/>
  <c r="T420" i="4"/>
  <c r="BE420" i="4" s="1"/>
  <c r="T82" i="4"/>
  <c r="BE82" i="4" s="1"/>
  <c r="T149" i="4"/>
  <c r="BE149" i="4" s="1"/>
  <c r="T18" i="4"/>
  <c r="BE18" i="4" s="1"/>
  <c r="T62" i="4"/>
  <c r="BE62" i="4" s="1"/>
  <c r="T197" i="4"/>
  <c r="BE197" i="4" s="1"/>
  <c r="T52" i="4"/>
  <c r="BE52" i="4" s="1"/>
  <c r="T76" i="4"/>
  <c r="BE76" i="4" s="1"/>
  <c r="T9" i="4"/>
  <c r="BE9" i="4" s="1"/>
  <c r="T250" i="4"/>
  <c r="BE250" i="4" s="1"/>
  <c r="T267" i="4"/>
  <c r="BE267" i="4" s="1"/>
  <c r="T44" i="4"/>
  <c r="BE44" i="4" s="1"/>
  <c r="T15" i="4"/>
  <c r="BE15" i="4" s="1"/>
  <c r="T55" i="4"/>
  <c r="BE55" i="4" s="1"/>
  <c r="T22" i="4"/>
  <c r="BE22" i="4" s="1"/>
  <c r="T649" i="4"/>
  <c r="BE649" i="4" s="1"/>
  <c r="T650" i="4"/>
  <c r="BE650" i="4" s="1"/>
  <c r="T651" i="4"/>
  <c r="BE651" i="4" s="1"/>
  <c r="T101" i="4"/>
  <c r="BE101" i="4" s="1"/>
  <c r="T172" i="4"/>
  <c r="BE172" i="4" s="1"/>
  <c r="T97" i="4"/>
  <c r="BE97" i="4" s="1"/>
  <c r="T102" i="4"/>
  <c r="BE102" i="4" s="1"/>
  <c r="T99" i="4"/>
  <c r="BE99" i="4" s="1"/>
  <c r="T173" i="4"/>
  <c r="BE173" i="4" s="1"/>
  <c r="T98" i="4"/>
  <c r="BE98" i="4" s="1"/>
  <c r="T171" i="4"/>
  <c r="BE171" i="4" s="1"/>
  <c r="T100" i="4"/>
  <c r="BE100" i="4" s="1"/>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F3" i="5"/>
  <c r="K3" i="5" s="1"/>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<sst xmlns="http://schemas.openxmlformats.org/spreadsheetml/2006/main" count="12925" uniqueCount="4071">
  <si>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</si>
  <si>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</si>
  <si>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</si>
  <si>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</si>
  <si>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</si>
  <si>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</si>
  <si>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</si>
  <si>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</si>
  <si>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</si>
  <si>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</si>
  <si>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</si>
  <si>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</si>
  <si>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</si>
  <si>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</si>
  <si>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</si>
  <si>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</si>
  <si>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</si>
  <si>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</si>
  <si>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</si>
  <si>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</si>
  <si>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</si>
  <si>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</si>
  <si>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</si>
  <si>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</si>
  <si>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</si>
  <si>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</si>
  <si>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</si>
  <si>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</si>
  <si>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</si>
  <si>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</si>
  <si>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</si>
  <si>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</si>
  <si>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</si>
  <si>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</si>
  <si>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</si>
  <si>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</si>
  <si>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</si>
  <si>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</si>
  <si>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</si>
  <si>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</si>
  <si>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</si>
  <si>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</si>
  <si>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</si>
  <si>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</si>
  <si>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</si>
  <si>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</si>
  <si>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</si>
  <si>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</si>
  <si>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</si>
  <si>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</si>
  <si>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</si>
  <si>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</si>
  <si>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</si>
  <si>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</si>
  <si>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</si>
  <si>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</si>
  <si>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</si>
  <si>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</si>
  <si>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</si>
  <si>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</si>
  <si>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</si>
  <si>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</si>
  <si>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</si>
  <si>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</si>
  <si>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</si>
  <si>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</si>
  <si>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</si>
  <si>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</si>
  <si>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</si>
  <si>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</si>
  <si>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</si>
  <si>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</si>
  <si>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</si>
  <si>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</si>
  <si>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</si>
  <si>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</si>
  <si>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</si>
  <si>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</si>
  <si>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</si>
  <si>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</si>
  <si>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</si>
  <si>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</si>
  <si>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</si>
  <si>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</si>
  <si>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</si>
  <si>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</si>
  <si>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</si>
  <si>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</si>
  <si>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</si>
  <si>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</si>
  <si>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</si>
  <si>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</si>
  <si>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</si>
  <si>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</si>
  <si>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</si>
  <si>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</si>
  <si>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</si>
  <si>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</si>
  <si>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</si>
  <si>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</si>
  <si>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</si>
  <si>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</si>
  <si>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</si>
  <si>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</si>
  <si>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</si>
  <si>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</si>
  <si>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</si>
  <si>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</si>
  <si>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</si>
  <si>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</si>
  <si>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</si>
  <si>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</si>
  <si>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</si>
  <si>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</si>
  <si>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</si>
  <si>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</si>
  <si>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</si>
  <si>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</si>
  <si>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</si>
  <si>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</si>
  <si>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</si>
  <si>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</si>
  <si>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</si>
  <si>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</si>
  <si>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</si>
  <si>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</si>
  <si>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</si>
  <si>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</si>
  <si>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</si>
  <si>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</si>
  <si>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</si>
  <si>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</si>
  <si>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</si>
  <si>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</si>
  <si>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</si>
  <si>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</si>
  <si>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</si>
  <si>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</si>
  <si>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</si>
  <si>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</si>
  <si>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</si>
  <si>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</si>
  <si>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</si>
  <si>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</si>
  <si>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</si>
  <si>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</si>
  <si>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</si>
  <si>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</si>
  <si>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</si>
  <si>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</si>
  <si>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</si>
  <si>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</si>
  <si>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</si>
  <si>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</si>
  <si>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</si>
  <si>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</si>
  <si>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</si>
  <si>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</si>
  <si>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</si>
  <si>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</si>
  <si>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</si>
  <si>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</si>
  <si>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</si>
  <si>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</si>
  <si>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</si>
  <si>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</si>
  <si>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</si>
  <si>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</si>
  <si>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</si>
  <si>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</si>
  <si>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</si>
  <si>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</si>
  <si>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</si>
  <si>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</si>
  <si>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</si>
  <si>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</si>
  <si>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</si>
  <si>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</si>
  <si>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</si>
  <si>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</si>
  <si>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</si>
  <si>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</si>
  <si>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</si>
  <si>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</si>
  <si>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</si>
  <si>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</si>
  <si>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</si>
  <si>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</si>
  <si>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</si>
  <si>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</si>
  <si>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</si>
  <si>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</si>
  <si>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</si>
  <si>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</si>
  <si>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</si>
  <si>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</si>
  <si>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</si>
  <si>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</si>
  <si>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</si>
  <si>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</si>
  <si>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</si>
  <si>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</si>
  <si>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</si>
  <si>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</si>
  <si>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</si>
  <si>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</si>
  <si>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</si>
  <si>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</si>
  <si>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</si>
  <si>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</si>
  <si>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</si>
  <si>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</si>
  <si>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</si>
  <si>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</si>
  <si>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</si>
  <si>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</si>
  <si>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</si>
  <si>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</si>
  <si>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</si>
  <si>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</si>
  <si>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</si>
  <si>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</si>
  <si>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</si>
  <si>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</si>
  <si>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</si>
  <si>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</si>
  <si>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</si>
  <si>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</si>
  <si>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</si>
  <si>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</si>
  <si>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</si>
  <si>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</si>
  <si>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</si>
  <si>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</si>
  <si>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</si>
  <si>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</si>
  <si>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</si>
  <si>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</si>
  <si>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</si>
  <si>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</si>
  <si>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</si>
  <si>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</si>
  <si>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</si>
  <si>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</si>
  <si>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</si>
  <si>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</si>
  <si>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</si>
  <si>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</si>
  <si>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</si>
  <si>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</si>
  <si>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</si>
  <si>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</si>
  <si>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</si>
  <si>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</si>
  <si>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</si>
  <si>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</si>
  <si>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</si>
  <si>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</si>
  <si>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</si>
  <si>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</si>
  <si>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</si>
  <si>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</si>
  <si>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</si>
  <si>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</si>
  <si>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</si>
  <si>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</si>
  <si>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</si>
  <si>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</si>
  <si>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</si>
  <si>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</si>
  <si>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</si>
  <si>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</si>
  <si>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</si>
  <si>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</si>
  <si>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</si>
  <si>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</si>
  <si>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</si>
  <si>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</si>
  <si>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</si>
  <si>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</si>
  <si>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</si>
  <si>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</si>
  <si>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</si>
  <si>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</si>
  <si>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</si>
  <si>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</si>
  <si>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</si>
  <si>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</si>
  <si>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</si>
  <si>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</si>
  <si>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</si>
  <si>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</si>
  <si>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</si>
  <si>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</si>
  <si>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</si>
  <si>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</si>
  <si>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</si>
  <si>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</si>
  <si>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</si>
  <si>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</si>
  <si>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</si>
  <si>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</si>
  <si>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</si>
  <si>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</si>
  <si>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</si>
  <si>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</si>
  <si>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</si>
  <si>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</si>
  <si>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</si>
  <si>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</si>
  <si>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</si>
  <si>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</si>
  <si>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</si>
  <si>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</si>
  <si>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</si>
  <si>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</si>
  <si>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</si>
  <si>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</si>
  <si>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</si>
  <si>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</si>
  <si>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</si>
  <si>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</si>
  <si>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</si>
  <si>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</si>
  <si>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</si>
  <si>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</si>
  <si>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</si>
  <si>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</si>
  <si>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</si>
  <si>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</si>
  <si>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</si>
  <si>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</si>
  <si>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</si>
  <si>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</si>
  <si>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</si>
  <si>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</si>
  <si>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</si>
  <si>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</si>
  <si>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</si>
  <si>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</si>
  <si>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</si>
  <si>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</si>
  <si>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</si>
  <si>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</si>
  <si>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</si>
  <si>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</si>
  <si>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</si>
  <si>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</si>
  <si>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</si>
  <si>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</si>
  <si>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</si>
  <si>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</si>
  <si>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</si>
  <si>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</si>
  <si>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</si>
  <si>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</si>
  <si>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</si>
  <si>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</si>
  <si>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</si>
  <si>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</si>
  <si>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</si>
  <si>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</si>
  <si>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</si>
  <si>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</si>
  <si>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</si>
  <si>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</si>
  <si>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</si>
  <si>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</si>
  <si>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</si>
  <si>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</si>
  <si>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</si>
  <si>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</si>
  <si>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</si>
  <si>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</si>
  <si>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</si>
  <si>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</si>
  <si>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</si>
  <si>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</si>
  <si>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</si>
  <si>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</si>
  <si>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</si>
  <si>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</si>
  <si>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</si>
  <si>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</si>
  <si>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</si>
  <si>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</si>
  <si>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</si>
  <si>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</si>
  <si>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</si>
  <si>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</si>
  <si>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</si>
  <si>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</si>
  <si>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</si>
  <si>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</si>
  <si>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</si>
  <si>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</si>
  <si>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</si>
  <si>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</si>
  <si>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</si>
  <si>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</si>
  <si>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</si>
  <si>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</si>
  <si>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</si>
  <si>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</si>
  <si>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</si>
  <si>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</si>
  <si>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</si>
  <si>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</si>
  <si>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</si>
  <si>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</si>
  <si>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</si>
  <si>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</si>
  <si>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</si>
  <si>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</si>
  <si>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</si>
  <si>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</si>
  <si>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</si>
  <si>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</si>
  <si>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</si>
  <si>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</si>
  <si>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</si>
  <si>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</si>
  <si>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</si>
  <si>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</si>
  <si>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</si>
  <si>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</si>
  <si>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</si>
  <si>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</si>
  <si>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</si>
  <si>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</si>
  <si>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</si>
  <si>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</si>
  <si>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</si>
  <si>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</si>
  <si>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</si>
  <si>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</si>
  <si>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</si>
  <si>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</si>
  <si>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</si>
  <si>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</si>
  <si>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</si>
  <si>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</si>
  <si>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</si>
  <si>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</si>
  <si>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</si>
  <si>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</si>
  <si>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</si>
  <si>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</si>
  <si>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</si>
  <si>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</si>
  <si>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</si>
  <si>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</si>
  <si>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</si>
  <si>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</si>
  <si>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</si>
  <si>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</si>
  <si>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</si>
  <si>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</si>
  <si>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</si>
  <si>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</si>
  <si>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</si>
  <si>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</si>
  <si>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</si>
  <si>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</si>
  <si>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</si>
  <si>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</si>
  <si>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</si>
  <si>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</si>
  <si>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</si>
  <si>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</si>
  <si>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</si>
  <si>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</si>
  <si>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</si>
  <si>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</si>
  <si>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</si>
  <si>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</si>
  <si>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</si>
  <si>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</si>
  <si>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</si>
  <si>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</si>
  <si>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</si>
  <si>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</si>
  <si>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</si>
  <si>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</si>
  <si>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</si>
  <si>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</si>
  <si>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</si>
  <si>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</si>
  <si>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</si>
  <si>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</si>
  <si>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</si>
  <si>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</si>
  <si>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</si>
  <si>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</si>
  <si>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</si>
  <si>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</si>
  <si>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</si>
  <si>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</si>
  <si>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</si>
  <si>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</si>
  <si>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</si>
  <si>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</si>
  <si>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</si>
  <si>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</si>
  <si>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</si>
  <si>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</si>
  <si>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</si>
  <si>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</si>
  <si>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</si>
  <si>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</si>
  <si>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</si>
  <si>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</si>
  <si>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</si>
  <si>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</si>
  <si>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</si>
  <si>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</si>
  <si>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</si>
  <si>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</si>
  <si>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</si>
  <si>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</si>
  <si>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</si>
  <si>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</si>
  <si>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</si>
  <si>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</si>
  <si>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</si>
  <si>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</si>
  <si>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</si>
  <si>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</si>
  <si>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</si>
  <si>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</si>
  <si>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</si>
  <si>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</si>
  <si>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</si>
  <si>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</si>
  <si>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</si>
  <si>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</si>
  <si>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</si>
  <si>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</si>
  <si>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</si>
  <si>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</si>
  <si>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</si>
  <si>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</si>
  <si>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</si>
  <si>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</si>
  <si>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</si>
  <si>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</si>
  <si>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</si>
  <si>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</si>
  <si>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</si>
  <si>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</si>
  <si>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</si>
  <si>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</si>
  <si>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</si>
  <si>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</si>
  <si>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</si>
  <si>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</si>
  <si>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</si>
  <si>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</si>
  <si>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</si>
  <si>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</si>
  <si>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</si>
  <si>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</si>
  <si>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</si>
  <si>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</si>
  <si>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</si>
  <si>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</si>
  <si>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</si>
  <si>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</si>
  <si>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</si>
  <si>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</si>
  <si>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</si>
  <si>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</si>
  <si>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</si>
  <si>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</si>
  <si>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</si>
  <si>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</si>
  <si>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</si>
  <si>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</si>
  <si>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</si>
  <si>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</si>
  <si>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</si>
  <si>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</si>
  <si>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</si>
  <si>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</si>
  <si>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</si>
  <si>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</si>
  <si>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</si>
  <si>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</si>
  <si>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</si>
  <si>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</si>
  <si>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</si>
  <si>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</si>
  <si>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</si>
  <si>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</si>
  <si>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</si>
  <si>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</si>
  <si>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</si>
  <si>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</si>
  <si>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</si>
  <si>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</si>
  <si>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</si>
  <si>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</si>
  <si>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</si>
  <si>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</si>
  <si>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</si>
  <si>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</si>
  <si>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</si>
  <si>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</si>
  <si>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</si>
  <si>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</si>
  <si>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</si>
  <si>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</si>
  <si>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</si>
  <si>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</si>
  <si>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</si>
  <si>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</si>
  <si>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</si>
  <si>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</si>
  <si>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</si>
  <si>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</si>
  <si>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</si>
  <si>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</si>
  <si>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</si>
  <si>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</si>
  <si>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</si>
  <si>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</si>
  <si>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</si>
  <si>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</si>
  <si>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</si>
  <si>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</si>
  <si>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</si>
  <si>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</si>
  <si>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</si>
  <si>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</si>
  <si>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</si>
  <si>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</si>
  <si>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</si>
  <si>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</si>
  <si>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</si>
  <si>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</si>
  <si>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</si>
  <si>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</si>
  <si>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</si>
  <si>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</si>
  <si>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</si>
  <si>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</si>
  <si>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</si>
  <si>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</si>
  <si>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</si>
  <si>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</si>
  <si>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</si>
  <si>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</si>
  <si>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</si>
  <si>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</si>
  <si>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</si>
  <si>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</si>
  <si>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</si>
  <si>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</si>
  <si>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</si>
  <si>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</si>
  <si>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</si>
  <si>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</si>
  <si>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</si>
  <si>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</si>
  <si>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</si>
  <si>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</si>
  <si>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</si>
  <si>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</si>
  <si>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</si>
  <si>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</si>
  <si>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</si>
  <si>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</si>
  <si>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</si>
  <si>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</si>
  <si>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</si>
  <si>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</si>
  <si>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</si>
  <si>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</si>
  <si>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</si>
  <si>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</si>
  <si>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</si>
  <si>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</si>
  <si>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</si>
  <si>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</si>
  <si>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</si>
  <si>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</si>
  <si>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</si>
  <si>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</si>
  <si>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</si>
  <si>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</si>
  <si>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</si>
  <si>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</si>
  <si>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</si>
  <si>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</si>
  <si>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</si>
  <si>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</si>
  <si>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</si>
  <si>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</si>
  <si>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</si>
  <si>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</si>
  <si>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</si>
  <si>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</si>
  <si>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</si>
  <si>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</si>
  <si>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</si>
  <si>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</si>
  <si>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</si>
  <si>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</si>
  <si>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</si>
  <si>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</si>
  <si>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</si>
  <si>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</si>
  <si>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</si>
  <si>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</si>
  <si>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</si>
  <si>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</si>
  <si>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</si>
  <si>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</si>
  <si>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</si>
  <si>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</si>
  <si>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</si>
  <si>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</si>
  <si>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</si>
  <si>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</si>
  <si>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</si>
  <si>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</si>
  <si>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</si>
  <si>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</si>
  <si>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</si>
  <si>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</si>
  <si>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</si>
  <si>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</si>
  <si>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</si>
  <si>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</si>
  <si>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</si>
  <si>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</si>
  <si>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</si>
  <si>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</si>
  <si>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</si>
  <si>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</si>
  <si>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</si>
  <si>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</si>
  <si>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</si>
  <si>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</si>
  <si>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</si>
  <si>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</si>
  <si>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</si>
  <si>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</si>
  <si>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</si>
  <si>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</si>
  <si>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</si>
  <si>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</si>
  <si>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</si>
  <si>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</si>
  <si>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</si>
  <si>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</si>
  <si>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</si>
  <si>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</si>
  <si>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</si>
  <si>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</si>
  <si>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</si>
  <si>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</si>
  <si>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</si>
  <si>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</si>
  <si>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</si>
  <si>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</si>
  <si>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</si>
  <si>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</si>
  <si>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</si>
  <si>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</si>
  <si>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</si>
  <si>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</si>
  <si>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</si>
  <si>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</si>
  <si>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</si>
  <si>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</si>
  <si>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</si>
  <si>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</si>
  <si>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</si>
  <si>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</si>
  <si>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</si>
  <si>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</si>
  <si>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</si>
  <si>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</si>
  <si>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</si>
  <si>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</si>
  <si>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</si>
  <si>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</si>
  <si>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</si>
  <si>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</si>
  <si>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</si>
  <si>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</si>
  <si>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</si>
  <si>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</si>
  <si>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</si>
  <si>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</si>
  <si>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</si>
  <si>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</si>
  <si>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</si>
  <si>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</si>
  <si>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</si>
  <si>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</si>
  <si>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</si>
  <si>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</si>
  <si>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</si>
  <si>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</si>
  <si>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</si>
  <si>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</si>
  <si>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</si>
  <si>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</si>
  <si>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</si>
  <si>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</si>
  <si>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</si>
  <si>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</si>
  <si>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</si>
  <si>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</si>
  <si>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</si>
  <si>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</si>
  <si>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</si>
  <si>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</si>
  <si>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</si>
  <si>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</si>
  <si>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</si>
  <si>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</si>
  <si>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</si>
  <si>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</si>
  <si>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</si>
  <si>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</si>
  <si>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</si>
  <si>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</si>
  <si>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</si>
  <si>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</si>
  <si>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</si>
  <si>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</si>
  <si>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</si>
  <si>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</si>
  <si>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</si>
  <si>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</si>
  <si>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</si>
  <si>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</si>
  <si>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</si>
  <si>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</si>
  <si>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</si>
  <si>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</si>
  <si>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</si>
  <si>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</si>
  <si>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</si>
  <si>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</si>
  <si>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</si>
  <si>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</si>
  <si>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</si>
  <si>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</si>
  <si>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</si>
  <si>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</si>
  <si>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</si>
  <si>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</si>
  <si>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</si>
  <si>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</si>
  <si>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</si>
  <si>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</si>
  <si>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</si>
  <si>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</si>
  <si>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</si>
  <si>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</si>
  <si>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</si>
  <si>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</si>
  <si>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</si>
  <si>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</si>
  <si>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</si>
  <si>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</si>
  <si>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</si>
  <si>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</si>
  <si>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</si>
  <si>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</si>
  <si>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</si>
  <si>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</si>
  <si>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</si>
  <si>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</si>
  <si>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</si>
  <si>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</si>
  <si>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</si>
  <si>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</si>
  <si>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</si>
  <si>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</si>
  <si>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</si>
  <si>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</si>
  <si>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</si>
  <si>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</si>
  <si>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</si>
  <si>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</si>
  <si>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</si>
  <si>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</si>
  <si>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</si>
  <si>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</si>
  <si>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</si>
  <si>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</si>
  <si>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</si>
  <si>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</si>
  <si>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</si>
  <si>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</si>
  <si>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</si>
  <si>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</si>
  <si>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</si>
  <si>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</si>
  <si>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</si>
  <si>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</si>
  <si>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</si>
  <si>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</si>
  <si>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</si>
  <si>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</si>
  <si>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</si>
  <si>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</si>
  <si>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</si>
  <si>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</si>
  <si>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</si>
  <si>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</si>
  <si>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</si>
  <si>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</si>
  <si>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</si>
  <si>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</si>
  <si>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</si>
  <si>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</si>
  <si>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</si>
  <si>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</si>
  <si>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</si>
  <si>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</si>
  <si>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</si>
  <si>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</si>
  <si>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</si>
  <si>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</si>
  <si>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</si>
  <si>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</si>
  <si>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</si>
  <si>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</si>
  <si>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</si>
  <si>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</si>
  <si>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</si>
  <si>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</si>
  <si>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</si>
  <si>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</si>
  <si>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</si>
  <si>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</si>
  <si>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</si>
  <si>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</si>
  <si>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</si>
  <si>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</si>
  <si>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</si>
  <si>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</si>
  <si>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</si>
  <si>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</si>
  <si>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</si>
  <si>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</si>
  <si>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</si>
  <si>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</si>
  <si>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</si>
  <si>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</si>
  <si>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</si>
  <si>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</si>
  <si>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</si>
  <si>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</si>
  <si>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</si>
  <si>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</si>
  <si>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</si>
  <si>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</si>
  <si>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</si>
  <si>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</si>
  <si>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</si>
  <si>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</si>
  <si>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</si>
  <si>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</si>
  <si>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</si>
  <si>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</si>
  <si>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</si>
  <si>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</si>
  <si>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</si>
  <si>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</si>
  <si>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</si>
  <si>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</si>
  <si>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</si>
  <si>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</si>
  <si>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</si>
  <si>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</si>
  <si>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</si>
  <si>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</si>
  <si>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</si>
  <si>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</si>
  <si>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</si>
  <si>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</si>
  <si>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</si>
  <si>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</si>
  <si>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</si>
  <si>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</si>
  <si>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</si>
  <si>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</si>
  <si>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</si>
  <si>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</si>
  <si>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</si>
  <si>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</si>
  <si>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</si>
  <si>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</si>
  <si>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</si>
  <si>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</si>
  <si>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</si>
  <si>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</si>
  <si>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</si>
  <si>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</si>
  <si>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</si>
  <si>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</si>
  <si>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</si>
  <si>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</si>
  <si>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</si>
  <si>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</si>
  <si>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</si>
  <si>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</si>
  <si>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</si>
  <si>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</si>
  <si>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</si>
  <si>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</si>
  <si>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</si>
  <si>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</si>
  <si>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</si>
  <si>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</si>
  <si>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</si>
  <si>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</si>
  <si>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</si>
  <si>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</si>
  <si>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</si>
  <si>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</si>
  <si>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</si>
  <si>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</si>
  <si>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</si>
  <si>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</si>
  <si>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</si>
  <si>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</si>
  <si>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</si>
  <si>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</si>
  <si>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</si>
  <si>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</si>
  <si>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</si>
  <si>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</si>
  <si>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</si>
  <si>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</si>
  <si>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</si>
  <si>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</si>
  <si>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</si>
  <si>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</si>
  <si>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</si>
  <si>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</si>
  <si>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</si>
  <si>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</si>
  <si>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</si>
  <si>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</si>
  <si>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</si>
  <si>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</si>
  <si>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</si>
  <si>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</si>
  <si>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</si>
  <si>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</si>
  <si>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</si>
  <si>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</si>
  <si>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</si>
  <si>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</si>
  <si>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</si>
  <si>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</si>
  <si>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</si>
  <si>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</si>
  <si>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</si>
  <si>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</si>
  <si>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</si>
  <si>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</si>
  <si>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</si>
  <si>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</si>
  <si>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</si>
  <si>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</si>
  <si>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</si>
  <si>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</si>
  <si>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</si>
  <si>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</si>
  <si>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</si>
  <si>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</si>
  <si>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</si>
  <si>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</si>
  <si>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</si>
  <si>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</si>
  <si>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</si>
  <si>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</si>
  <si>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</si>
  <si>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</si>
  <si>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</si>
  <si>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</si>
  <si>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</si>
  <si>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</si>
  <si>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</si>
  <si>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</si>
  <si>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</si>
  <si>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</si>
  <si>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</si>
  <si>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</si>
  <si>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</si>
  <si>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</si>
  <si>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</si>
  <si>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</si>
  <si>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</si>
  <si>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</si>
  <si>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</si>
  <si>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</si>
  <si>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</si>
  <si>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</si>
  <si>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</si>
  <si>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</si>
  <si>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</si>
  <si>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</si>
  <si>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</si>
  <si>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</si>
  <si>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</si>
  <si>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</si>
  <si>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</si>
  <si>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</si>
  <si>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</si>
  <si>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</si>
  <si>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</si>
  <si>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</si>
  <si>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</si>
  <si>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</si>
  <si>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</si>
  <si>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</si>
  <si>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</si>
  <si>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</si>
  <si>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</si>
  <si>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</si>
  <si>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</si>
  <si>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</si>
  <si>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</si>
  <si>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</si>
  <si>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</si>
  <si>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</si>
  <si>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</si>
  <si>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</si>
  <si>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</si>
  <si>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</si>
  <si>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</si>
  <si>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</si>
  <si>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</si>
  <si>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</si>
  <si>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</si>
  <si>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</si>
  <si>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</si>
  <si>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</si>
  <si>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</si>
  <si>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</si>
  <si>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</si>
  <si>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</si>
  <si>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</si>
  <si>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</si>
  <si>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</si>
  <si>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</si>
  <si>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</si>
  <si>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</si>
  <si>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</si>
  <si>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</si>
  <si>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</si>
  <si>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</si>
  <si>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</si>
  <si>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</si>
  <si>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</si>
  <si>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</si>
  <si>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</si>
  <si>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</si>
  <si>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</si>
  <si>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</si>
  <si>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</si>
  <si>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</si>
  <si>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</si>
  <si>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</si>
  <si>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</si>
  <si>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</si>
  <si>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</si>
  <si>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</si>
  <si>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</si>
  <si>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</si>
  <si>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</si>
  <si>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</si>
  <si>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</si>
  <si>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</si>
  <si>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</si>
  <si>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</si>
  <si>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</si>
  <si>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</si>
  <si>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</si>
  <si>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</si>
  <si>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</si>
  <si>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</si>
  <si>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</si>
  <si>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</si>
  <si>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</si>
  <si>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</si>
  <si>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</si>
  <si>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</si>
  <si>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</si>
  <si>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</si>
  <si>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</si>
  <si>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</si>
  <si>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</si>
  <si>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</si>
  <si>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</si>
  <si>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</si>
  <si>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</si>
  <si>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</si>
  <si>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</si>
  <si>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</si>
  <si>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</si>
  <si>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</si>
  <si>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</si>
  <si>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</si>
  <si>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</si>
  <si>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</si>
  <si>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</si>
  <si>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</si>
  <si>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</si>
  <si>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</si>
  <si>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</si>
  <si>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</si>
  <si>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</si>
  <si>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</si>
  <si>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</si>
  <si>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</si>
  <si>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</si>
  <si>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</si>
  <si>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</si>
  <si>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</si>
  <si>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</si>
  <si>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</si>
  <si>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</si>
  <si>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</si>
  <si>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</si>
  <si>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</si>
  <si>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</si>
  <si>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</si>
  <si>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</si>
  <si>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</si>
  <si>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</si>
  <si>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</si>
  <si>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</si>
  <si>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</si>
  <si>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</si>
  <si>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</si>
  <si>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</si>
  <si>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</si>
  <si>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</si>
  <si>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</si>
  <si>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</si>
  <si>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</si>
  <si>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</si>
  <si>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</si>
  <si>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</si>
  <si>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</si>
  <si>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</si>
  <si>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</si>
  <si>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</si>
  <si>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</si>
  <si>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</si>
  <si>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</si>
  <si>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</si>
  <si>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</si>
  <si>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</si>
  <si>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</si>
  <si>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</si>
  <si>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</si>
  <si>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</si>
  <si>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</si>
  <si>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</si>
  <si>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</si>
  <si>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</si>
  <si>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</si>
  <si>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</si>
  <si>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</si>
  <si>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</si>
  <si>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</si>
  <si>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</si>
  <si>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</si>
  <si>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</si>
  <si>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</si>
  <si>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</si>
  <si>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</si>
  <si>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</si>
  <si>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</si>
  <si>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</si>
  <si>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</si>
  <si>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</si>
  <si>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</si>
  <si>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</si>
  <si>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</si>
  <si>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</si>
  <si>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</si>
  <si>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</si>
  <si>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</si>
  <si>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</si>
  <si>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</si>
  <si>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</si>
  <si>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</si>
  <si>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</si>
  <si>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</si>
  <si>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</si>
  <si>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</si>
  <si>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</si>
  <si>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</si>
  <si>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</si>
  <si>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</si>
  <si>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</si>
  <si>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</si>
  <si>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</si>
  <si>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</si>
  <si>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</si>
  <si>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</si>
  <si>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</si>
  <si>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</si>
  <si>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</si>
  <si>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</si>
  <si>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</si>
  <si>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</si>
  <si>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</si>
  <si>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</si>
  <si>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</si>
  <si>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</si>
  <si>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</si>
  <si>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</si>
  <si>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</si>
  <si>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</si>
  <si>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</si>
  <si>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</si>
  <si>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</si>
  <si>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</si>
  <si>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</si>
  <si>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</si>
  <si>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</si>
  <si>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</si>
  <si>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</si>
  <si>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</si>
  <si>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</si>
  <si>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</si>
  <si>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</si>
  <si>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</si>
  <si>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</si>
  <si>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</si>
  <si>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</si>
  <si>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</si>
  <si>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</si>
  <si>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</si>
  <si>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</si>
  <si>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</si>
  <si>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</si>
  <si>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</si>
  <si>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</si>
  <si>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</si>
  <si>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</si>
  <si>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</si>
  <si>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</si>
  <si>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</si>
  <si>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</si>
  <si>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</si>
  <si>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</si>
  <si>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</si>
  <si>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</si>
  <si>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</si>
  <si>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</si>
  <si>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</si>
  <si>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</si>
  <si>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</si>
  <si>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</si>
  <si>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</si>
  <si>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</si>
  <si>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</si>
  <si>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</si>
  <si>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</si>
  <si>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</si>
  <si>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</si>
  <si>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</si>
  <si>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</si>
  <si>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</si>
  <si>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</si>
  <si>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</si>
  <si>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</si>
  <si>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</si>
  <si>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</si>
  <si>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</si>
  <si>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</si>
  <si>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</si>
  <si>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</si>
  <si>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</si>
  <si>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</si>
  <si>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</si>
  <si>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</si>
  <si>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</si>
  <si>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</si>
  <si>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</si>
  <si>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</si>
  <si>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</si>
  <si>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</si>
  <si>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</si>
  <si>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</si>
  <si>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</si>
  <si>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</si>
  <si>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</si>
  <si>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</si>
  <si>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</si>
  <si>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</si>
  <si>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</si>
  <si>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</si>
  <si>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</si>
  <si>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</si>
  <si>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</si>
  <si>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</si>
  <si>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</si>
  <si>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</si>
  <si>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</si>
  <si>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</si>
  <si>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</si>
  <si>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</si>
  <si>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</si>
  <si>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</si>
  <si>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</si>
  <si>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</si>
  <si>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</si>
  <si>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</si>
  <si>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</si>
  <si>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</si>
  <si>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</si>
  <si>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</si>
  <si>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</si>
  <si>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</si>
  <si>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</si>
  <si>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</si>
  <si>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</si>
  <si>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</si>
  <si>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</si>
  <si>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</si>
  <si>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</si>
  <si>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</si>
  <si>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</si>
  <si>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</si>
  <si>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</si>
  <si>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</si>
  <si>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</si>
  <si>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</si>
  <si>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</si>
  <si>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</si>
  <si>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</si>
  <si>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</si>
  <si>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</si>
  <si>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</si>
  <si>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</si>
  <si>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</si>
  <si>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</si>
  <si>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</si>
  <si>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</si>
  <si>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</si>
  <si>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</si>
  <si>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</si>
  <si>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</si>
  <si>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</si>
  <si>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</si>
  <si>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</si>
  <si>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</si>
  <si>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</si>
  <si>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</si>
  <si>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</si>
  <si>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</si>
  <si>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</si>
  <si>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</si>
  <si>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</si>
  <si>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</si>
  <si>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</si>
  <si>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</si>
  <si>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</si>
  <si>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</si>
  <si>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</si>
  <si>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</si>
  <si>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</si>
  <si>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</si>
  <si>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</si>
  <si>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</si>
  <si>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</si>
  <si>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</si>
  <si>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</si>
  <si>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</si>
  <si>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</si>
  <si>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</si>
  <si>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</si>
  <si>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</si>
  <si>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</si>
  <si>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</si>
  <si>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</si>
  <si>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</si>
  <si>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</si>
  <si>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</si>
  <si>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</si>
  <si>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</si>
  <si>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</si>
  <si>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</si>
  <si>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</si>
  <si>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</si>
  <si>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</si>
  <si>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</si>
  <si>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</si>
  <si>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</si>
  <si>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</si>
  <si>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</si>
  <si>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</si>
  <si>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</si>
  <si>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</si>
  <si>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</si>
  <si>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</si>
  <si>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</si>
  <si>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</si>
  <si>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</si>
  <si>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</si>
  <si>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</si>
  <si>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</si>
  <si>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</si>
  <si>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</si>
  <si>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</si>
  <si>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</si>
  <si>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</si>
  <si>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</si>
  <si>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</si>
  <si>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</si>
  <si>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</si>
  <si>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</si>
  <si>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</si>
  <si>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</si>
  <si>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</si>
  <si>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</si>
  <si>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</si>
  <si>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</si>
  <si>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</si>
  <si>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</si>
  <si>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</si>
  <si>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</si>
  <si>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</si>
  <si>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</si>
  <si>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</si>
  <si>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</si>
  <si>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</si>
  <si>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</si>
  <si>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</si>
  <si>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</si>
  <si>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</si>
  <si>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</si>
  <si>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</si>
  <si>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</si>
  <si>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</si>
  <si>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</si>
  <si>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</si>
  <si>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</si>
  <si>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</si>
  <si>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</si>
  <si>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</si>
  <si>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</si>
  <si>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</si>
  <si>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</si>
  <si>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</si>
  <si>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</si>
  <si>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</si>
  <si>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</si>
  <si>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</si>
  <si>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</si>
  <si>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</si>
  <si>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</si>
  <si>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</si>
  <si>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</si>
  <si>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</si>
  <si>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</si>
  <si>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</si>
  <si>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</si>
  <si>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</si>
  <si>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</si>
  <si>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</si>
  <si>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</si>
  <si>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</si>
  <si>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</si>
  <si>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</si>
  <si>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</si>
  <si>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</si>
  <si>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</si>
  <si>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</si>
  <si>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</si>
  <si>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</si>
  <si>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</si>
  <si>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</si>
  <si>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</si>
  <si>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</si>
  <si>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</si>
  <si>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</si>
  <si>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</si>
  <si>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</si>
  <si>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</si>
  <si>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</si>
  <si>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</si>
  <si>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</si>
  <si>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</si>
  <si>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</si>
  <si>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</si>
  <si>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</si>
  <si>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</si>
  <si>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</si>
  <si>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</si>
  <si>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</si>
  <si>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</si>
  <si>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</si>
  <si>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</si>
  <si>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</si>
  <si>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</si>
  <si>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</si>
  <si>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</si>
  <si>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</si>
  <si>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</si>
  <si>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</si>
  <si>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</si>
  <si>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</si>
  <si>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</si>
  <si>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</si>
  <si>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</si>
  <si>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</si>
  <si>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</si>
  <si>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</si>
  <si>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</si>
  <si>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</si>
  <si>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</si>
  <si>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</si>
  <si>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</si>
  <si>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</si>
  <si>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</si>
  <si>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</si>
  <si>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</si>
  <si>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</si>
  <si>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</si>
  <si>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</si>
  <si>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</si>
  <si>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</si>
  <si>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</si>
  <si>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</si>
  <si>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</si>
  <si>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</si>
  <si>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</si>
  <si>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</si>
  <si>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</si>
  <si>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</si>
  <si>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</si>
  <si>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</si>
  <si>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</si>
  <si>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</si>
  <si>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</si>
  <si>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</si>
  <si>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</si>
  <si>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</si>
  <si>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</si>
  <si>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</si>
  <si>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</si>
  <si>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</si>
  <si>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</si>
  <si>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</si>
  <si>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</si>
  <si>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</si>
  <si>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</si>
  <si>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</si>
  <si>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</si>
  <si>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</si>
  <si>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</si>
  <si>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</si>
  <si>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</si>
  <si>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</si>
  <si>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</si>
  <si>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</si>
  <si>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</si>
  <si>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</si>
  <si>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</si>
  <si>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</si>
  <si>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</si>
  <si>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</si>
  <si>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</si>
  <si>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</si>
  <si>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</si>
  <si>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</si>
  <si>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</si>
  <si>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</si>
  <si>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</si>
  <si>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</si>
  <si>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</si>
  <si>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</si>
  <si>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</si>
  <si>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</si>
  <si>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</si>
  <si>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</si>
  <si>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</si>
  <si>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</si>
  <si>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</si>
  <si>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</si>
  <si>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</si>
  <si>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</si>
  <si>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</si>
  <si>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</si>
  <si>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</si>
  <si>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</si>
  <si>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</si>
  <si>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</si>
  <si>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</si>
  <si>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</si>
  <si>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</si>
  <si>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</si>
  <si>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</si>
  <si>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</si>
  <si>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</si>
  <si>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</si>
  <si>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</si>
  <si>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</si>
  <si>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</si>
  <si>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</si>
  <si>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</si>
  <si>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</si>
  <si>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</si>
  <si>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</si>
  <si>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</si>
  <si>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</si>
  <si>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</si>
  <si>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</si>
  <si>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</si>
  <si>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</si>
  <si>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</si>
  <si>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</si>
  <si>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</si>
  <si>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</si>
  <si>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</si>
  <si>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</si>
  <si>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</si>
  <si>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</si>
  <si>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</si>
  <si>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</si>
  <si>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</si>
  <si>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</si>
  <si>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</si>
  <si>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</si>
  <si>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</si>
  <si>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</si>
  <si>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</si>
  <si>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</si>
  <si>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</si>
  <si>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</si>
  <si>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</si>
  <si>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</si>
  <si>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</si>
  <si>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</si>
  <si>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</si>
  <si>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</si>
  <si>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</si>
  <si>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</si>
  <si>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</si>
  <si>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</si>
  <si>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</si>
  <si>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</si>
  <si>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</si>
  <si>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</si>
  <si>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</si>
  <si>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</si>
  <si>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</si>
  <si>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</si>
  <si>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</si>
  <si>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</si>
  <si>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</si>
  <si>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</si>
  <si>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</si>
  <si>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</si>
  <si>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</si>
  <si>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</si>
  <si>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</si>
  <si>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</si>
  <si>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</si>
  <si>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</si>
  <si>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</si>
  <si>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</si>
  <si>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</si>
  <si>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</si>
  <si>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</si>
  <si>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</si>
  <si>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</si>
  <si>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</si>
  <si>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</si>
  <si>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</si>
  <si>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</si>
  <si>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</si>
  <si>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</si>
  <si>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</si>
  <si>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</si>
  <si>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</si>
  <si>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</si>
  <si>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</si>
  <si>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</si>
  <si>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</si>
  <si>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</si>
  <si>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</si>
  <si>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</si>
  <si>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</si>
  <si>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</si>
  <si>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</si>
  <si>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</si>
  <si>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</si>
  <si>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</si>
  <si>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</si>
  <si>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</si>
  <si>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</si>
  <si>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</si>
  <si>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</si>
  <si>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</si>
  <si>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</si>
  <si>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</si>
  <si>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</si>
  <si>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</si>
  <si>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</si>
  <si>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</si>
  <si>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</si>
  <si>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</si>
  <si>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</si>
  <si>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</si>
  <si>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</si>
  <si>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</si>
  <si>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</si>
  <si>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</si>
  <si>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</si>
  <si>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</si>
  <si>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</si>
  <si>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</si>
  <si>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</si>
  <si>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</si>
  <si>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</si>
  <si>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</si>
  <si>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</si>
  <si>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</si>
  <si>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</si>
  <si>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</si>
  <si>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</si>
  <si>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</si>
  <si>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</si>
  <si>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</si>
  <si>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</si>
  <si>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</si>
  <si>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</si>
  <si>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</si>
  <si>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</si>
  <si>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</si>
  <si>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</si>
  <si>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</si>
  <si>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</si>
  <si>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</si>
  <si>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</si>
  <si>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</si>
  <si>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</si>
  <si>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</si>
  <si>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</si>
  <si>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</si>
  <si>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</si>
  <si>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</si>
  <si>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</si>
  <si>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</si>
  <si>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</si>
  <si>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</si>
  <si>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</si>
  <si>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</si>
  <si>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</si>
  <si>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</si>
  <si>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</si>
  <si>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</si>
  <si>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</si>
  <si>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</si>
  <si>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</si>
  <si>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</si>
  <si>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</si>
  <si>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</si>
  <si>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</si>
  <si>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</si>
  <si>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</si>
  <si>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</si>
  <si>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</si>
  <si>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</si>
  <si>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</si>
  <si>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</si>
  <si>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</si>
  <si>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</si>
  <si>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</si>
  <si>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</si>
  <si>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</si>
  <si>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</si>
  <si>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</si>
  <si>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</si>
  <si>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</si>
  <si>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</si>
  <si>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</si>
  <si>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</si>
  <si>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</si>
  <si>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</si>
  <si>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</si>
  <si>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</si>
  <si>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</si>
  <si>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</si>
  <si>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</si>
  <si>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</si>
  <si>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</si>
  <si>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</si>
  <si>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</si>
  <si>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</si>
  <si>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</si>
  <si>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</si>
  <si>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</si>
  <si>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</si>
  <si>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</si>
  <si>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</si>
  <si>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</si>
  <si>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</si>
  <si>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</si>
  <si>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</si>
  <si>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</si>
  <si>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</si>
  <si>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</si>
  <si>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</si>
  <si>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</si>
  <si>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</si>
  <si>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</si>
  <si>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</si>
  <si>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</si>
  <si>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</si>
  <si>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</si>
  <si>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</si>
  <si>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</si>
  <si>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</si>
  <si>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</si>
  <si>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</si>
  <si>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</si>
  <si>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</si>
  <si>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</si>
  <si>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</si>
  <si>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</si>
  <si>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</si>
  <si>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</si>
  <si>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</si>
  <si>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</si>
  <si>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</si>
  <si>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</si>
  <si>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</si>
  <si>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</si>
  <si>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</si>
  <si>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</si>
  <si>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</si>
  <si>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</si>
  <si>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</si>
  <si>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</si>
  <si>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</si>
  <si>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</si>
  <si>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</si>
  <si>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</si>
  <si>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</si>
  <si>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</si>
  <si>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</si>
  <si>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</si>
  <si>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</si>
  <si>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</si>
  <si>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</si>
  <si>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</si>
  <si>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</si>
  <si>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</si>
  <si>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</si>
  <si>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</si>
  <si>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</si>
  <si>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</si>
  <si>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</si>
  <si>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</si>
  <si>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</si>
  <si>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</si>
  <si>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</si>
  <si>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</si>
  <si>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</si>
  <si>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</si>
  <si>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</si>
  <si>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</si>
  <si>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</si>
  <si>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</si>
  <si>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</si>
  <si>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</si>
  <si>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</si>
  <si>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</si>
  <si>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</si>
  <si>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</si>
  <si>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</si>
  <si>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</si>
  <si>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</si>
  <si>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</si>
  <si>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</si>
  <si>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</si>
  <si>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</si>
  <si>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</si>
  <si>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</si>
  <si>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</si>
  <si>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</si>
  <si>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</si>
  <si>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</si>
  <si>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</si>
  <si>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</si>
  <si>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</si>
  <si>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</si>
  <si>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</si>
  <si>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</si>
  <si>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</si>
  <si>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</si>
  <si>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</si>
  <si>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</si>
  <si>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</si>
  <si>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</si>
  <si>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</si>
  <si>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</si>
  <si>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</si>
  <si>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</si>
  <si>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</si>
  <si>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</si>
  <si>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</si>
  <si>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</si>
  <si>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</si>
  <si>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</si>
  <si>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</si>
  <si>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</si>
  <si>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</si>
  <si>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</si>
  <si>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</si>
  <si>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</si>
  <si>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</si>
  <si>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</si>
  <si>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</si>
  <si>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</si>
  <si>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</si>
  <si>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</si>
  <si>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</si>
  <si>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</si>
  <si>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</si>
  <si>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</si>
  <si>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</si>
  <si>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</si>
  <si>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</si>
  <si>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</si>
  <si>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</si>
  <si>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</si>
  <si>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</si>
  <si>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</si>
  <si>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</si>
  <si>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</si>
  <si>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</si>
  <si>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</si>
  <si>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</si>
  <si>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</si>
  <si>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</si>
  <si>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</si>
  <si>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</si>
  <si>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</si>
  <si>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</si>
  <si>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</si>
  <si>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</si>
  <si>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</si>
  <si>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</si>
  <si>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</si>
  <si>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</si>
  <si>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</si>
  <si>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</si>
  <si>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</si>
  <si>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</si>
  <si>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</si>
  <si>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</si>
  <si>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</si>
  <si>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</si>
  <si>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</si>
  <si>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</si>
  <si>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</si>
  <si>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</si>
  <si>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</si>
  <si>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</si>
  <si>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</si>
  <si>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</si>
  <si>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</si>
  <si>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</si>
  <si>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</si>
  <si>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</si>
  <si>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</si>
  <si>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</si>
  <si>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</si>
  <si>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</si>
  <si>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</si>
  <si>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</si>
  <si>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</si>
  <si>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</si>
  <si>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</si>
  <si>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</si>
  <si>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</si>
  <si>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</si>
  <si>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</si>
  <si>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</si>
  <si>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</si>
  <si>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</si>
  <si>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</si>
  <si>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</si>
  <si>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</si>
  <si>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</si>
  <si>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</si>
  <si>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</si>
  <si>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</si>
  <si>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</si>
  <si>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</si>
  <si>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</si>
  <si>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</si>
  <si>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</si>
  <si>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</si>
  <si>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</si>
  <si>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</si>
  <si>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</si>
  <si>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</si>
  <si>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</si>
  <si>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</si>
  <si>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</si>
  <si>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</si>
  <si>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</si>
  <si>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</si>
  <si>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</si>
  <si>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</si>
  <si>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</si>
  <si>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</si>
  <si>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</si>
  <si>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</si>
  <si>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</si>
  <si>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</si>
  <si>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</si>
  <si>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</si>
  <si>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</si>
  <si>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</si>
  <si>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</si>
  <si>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</si>
  <si>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</si>
  <si>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</si>
  <si>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</si>
  <si>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</si>
  <si>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</si>
  <si>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</si>
  <si>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</si>
  <si>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</si>
  <si>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</si>
  <si>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</si>
  <si>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</si>
  <si>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</si>
  <si>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</si>
  <si>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</si>
  <si>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</si>
  <si>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</si>
  <si>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</si>
  <si>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</si>
  <si>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</si>
  <si>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</si>
  <si>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</si>
  <si>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</si>
  <si>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</si>
  <si>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</si>
  <si>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</si>
  <si>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</si>
  <si>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</si>
  <si>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</si>
  <si>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</si>
  <si>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</si>
  <si>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</si>
  <si>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</si>
  <si>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</si>
  <si>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</si>
  <si>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</si>
  <si>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</si>
  <si>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</si>
  <si>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</si>
  <si>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</si>
  <si>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</si>
  <si>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</si>
  <si>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</si>
  <si>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</si>
  <si>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</si>
  <si>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</si>
  <si>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</si>
  <si>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</si>
  <si>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</si>
  <si>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</si>
  <si>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</si>
  <si>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</si>
  <si>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</si>
  <si>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</si>
  <si>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</si>
  <si>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</si>
  <si>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</si>
  <si>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</si>
  <si>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</si>
  <si>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</si>
  <si>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</si>
  <si>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</si>
  <si>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</si>
  <si>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</si>
  <si>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</si>
  <si>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</si>
  <si>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</si>
  <si>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</si>
  <si>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</si>
  <si>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</si>
  <si>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</si>
  <si>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</si>
  <si>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</si>
  <si>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</si>
  <si>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</si>
  <si>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</si>
  <si>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</si>
  <si>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</si>
  <si>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</si>
  <si>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</si>
  <si>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</si>
  <si>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</si>
  <si>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</si>
  <si>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</si>
  <si>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</si>
  <si>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</si>
  <si>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</si>
  <si>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</si>
  <si>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</si>
  <si>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</si>
  <si>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</si>
  <si>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</si>
  <si>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</si>
  <si>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</si>
  <si>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</si>
  <si>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</si>
  <si>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</si>
  <si>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</si>
  <si>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</si>
  <si>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</si>
  <si>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</si>
  <si>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</si>
  <si>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</si>
  <si>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</si>
  <si>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</si>
  <si>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</si>
  <si>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</si>
  <si>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</si>
  <si>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</si>
  <si>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</si>
  <si>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</si>
  <si>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</si>
  <si>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</si>
  <si>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</si>
  <si>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</si>
  <si>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</si>
  <si>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</si>
  <si>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</si>
  <si>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</si>
  <si>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</si>
  <si>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</si>
  <si>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</si>
  <si>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</si>
  <si>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</si>
  <si>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</si>
  <si>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</si>
  <si>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</si>
  <si>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</si>
  <si>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</si>
  <si>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</si>
  <si>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</si>
  <si>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</si>
  <si>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</si>
  <si>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</si>
  <si>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</si>
  <si>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</si>
  <si>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</si>
  <si>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</si>
  <si>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</si>
  <si>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</si>
  <si>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</si>
  <si>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</si>
  <si>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</si>
  <si>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</si>
  <si>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</si>
  <si>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</si>
  <si>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</si>
  <si>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</si>
  <si>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</si>
  <si>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</si>
  <si>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</si>
  <si>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</si>
  <si>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</si>
  <si>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</si>
  <si>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</si>
  <si>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</si>
  <si>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</si>
  <si>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</si>
  <si>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</si>
  <si>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</si>
  <si>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</si>
  <si>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</si>
  <si>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</si>
  <si>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</si>
  <si>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</si>
  <si>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</si>
  <si>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</si>
  <si>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</si>
  <si>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</si>
  <si>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</si>
  <si>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</si>
  <si>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</si>
  <si>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</si>
  <si>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</si>
  <si>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</si>
  <si>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</si>
  <si>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</si>
  <si>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</si>
  <si>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</si>
  <si>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</si>
  <si>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</si>
  <si>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</si>
  <si>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</si>
  <si>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</si>
  <si>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</si>
  <si>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</si>
  <si>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</si>
  <si>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</si>
  <si>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</si>
  <si>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</si>
  <si>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</si>
  <si>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</si>
  <si>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</si>
  <si>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</si>
  <si>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</si>
  <si>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</si>
  <si>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</si>
  <si>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</si>
  <si>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</si>
  <si>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</si>
  <si>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</si>
  <si>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</si>
  <si>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</si>
  <si>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</si>
  <si>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</si>
  <si>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</si>
  <si>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</si>
  <si>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</si>
  <si>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</si>
  <si>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</si>
  <si>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</si>
  <si>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</si>
  <si>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</si>
  <si>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</si>
  <si>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</si>
  <si>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</si>
  <si>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</si>
  <si>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</si>
  <si>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</si>
  <si>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</si>
  <si>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</si>
  <si>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</si>
  <si>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</si>
  <si>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</si>
  <si>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</si>
  <si>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</si>
  <si>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</si>
  <si>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</si>
  <si>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</si>
  <si>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</si>
  <si>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</si>
  <si>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</si>
  <si>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</si>
  <si>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</si>
  <si>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</si>
  <si>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</si>
  <si>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</si>
  <si>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</si>
  <si>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</si>
  <si>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</si>
  <si>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</si>
  <si>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</si>
  <si>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</si>
  <si>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</si>
  <si>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</si>
  <si>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</si>
  <si>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</si>
  <si>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</si>
  <si>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</si>
  <si>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</si>
  <si>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</si>
  <si>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</si>
  <si>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</si>
  <si>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</si>
  <si>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</si>
  <si>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</si>
  <si>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</si>
  <si>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</si>
  <si>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</si>
  <si>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</si>
  <si>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</si>
  <si>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</si>
  <si>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</si>
  <si>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</si>
  <si>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</si>
  <si>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</si>
  <si>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</si>
  <si>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</si>
  <si>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</si>
  <si>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</si>
  <si>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</si>
  <si>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</si>
  <si>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</si>
  <si>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</si>
  <si>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</si>
  <si>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</si>
  <si>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</si>
  <si>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</si>
  <si>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</si>
  <si>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</si>
  <si>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</si>
  <si>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</si>
  <si>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</si>
  <si>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</si>
  <si>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</si>
  <si>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</si>
  <si>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</si>
  <si>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</si>
  <si>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</si>
  <si>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</si>
  <si>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</si>
  <si>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</si>
  <si>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</si>
  <si>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</si>
  <si>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</si>
  <si>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</si>
  <si>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</si>
  <si>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</si>
  <si>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</si>
  <si>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</si>
  <si>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</si>
  <si>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</si>
  <si>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</si>
  <si>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</si>
  <si>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</si>
  <si>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</si>
  <si>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</si>
  <si>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</si>
  <si>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</si>
  <si>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</si>
  <si>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</si>
  <si>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</si>
  <si>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</si>
  <si>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</si>
  <si>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</si>
  <si>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</si>
  <si>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</si>
  <si>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</si>
  <si>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</si>
  <si>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</si>
  <si>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</si>
  <si>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</si>
  <si>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</si>
  <si>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</si>
  <si>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</si>
  <si>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</si>
  <si>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</si>
  <si>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</si>
  <si>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</si>
  <si>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</si>
  <si>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</si>
  <si>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</si>
  <si>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</si>
  <si>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</si>
  <si>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</si>
  <si>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</si>
  <si>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</si>
  <si>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</si>
  <si>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</si>
  <si>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</si>
  <si>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</si>
  <si>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</si>
  <si>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</si>
  <si>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</si>
  <si>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</si>
  <si>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</si>
  <si>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</si>
  <si>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</si>
  <si>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</si>
  <si>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</si>
  <si>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</si>
  <si>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</si>
  <si>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</si>
  <si>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</si>
  <si>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</si>
  <si>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</si>
  <si>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</si>
  <si>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</si>
  <si>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</si>
  <si>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</si>
  <si>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</si>
  <si>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</si>
  <si>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</si>
  <si>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</si>
  <si>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</si>
  <si>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</si>
  <si>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</si>
  <si>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</si>
  <si>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</si>
  <si>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</si>
  <si>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</si>
  <si>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</si>
  <si>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</si>
  <si>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</si>
  <si>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</si>
  <si>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</si>
  <si>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</si>
  <si>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</si>
  <si>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</si>
  <si>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</si>
  <si>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</si>
  <si>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</si>
  <si>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</si>
  <si>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</si>
  <si>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</si>
  <si>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</si>
  <si>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</si>
  <si>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</si>
  <si>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</si>
  <si>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</si>
  <si>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</si>
  <si>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</si>
  <si>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</si>
  <si>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</si>
  <si>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</si>
  <si>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</si>
  <si>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</si>
  <si>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</si>
  <si>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</si>
  <si>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</si>
  <si>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</si>
  <si>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</si>
  <si>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</si>
  <si>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</si>
  <si>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</si>
  <si>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</si>
  <si>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</si>
  <si>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</si>
  <si>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</si>
  <si>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</si>
  <si>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</si>
  <si>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</si>
  <si>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</si>
  <si>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</si>
  <si>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</si>
  <si>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</si>
  <si>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</si>
  <si>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</si>
  <si>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</si>
  <si>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</si>
  <si>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</si>
  <si>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</si>
  <si>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</si>
  <si>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</si>
  <si>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</si>
  <si>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</si>
  <si>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</si>
  <si>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</si>
  <si>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</si>
  <si>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</si>
  <si>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</si>
  <si>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</si>
  <si>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</si>
  <si>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</si>
  <si>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</si>
  <si>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</si>
  <si>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</si>
  <si>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</si>
  <si>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</si>
  <si>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</si>
  <si>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</si>
  <si>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</si>
  <si>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</si>
  <si>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</si>
  <si>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</si>
  <si>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</si>
  <si>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</si>
  <si>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</si>
  <si>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</si>
  <si>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</si>
  <si>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</si>
  <si>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</si>
  <si>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</si>
  <si>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</si>
  <si>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</si>
  <si>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</si>
  <si>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</si>
  <si>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</si>
  <si>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</si>
  <si>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</si>
  <si>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</si>
  <si>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</si>
  <si>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</si>
  <si>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</si>
  <si>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</si>
  <si>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</si>
  <si>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</si>
  <si>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</si>
  <si>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</si>
  <si>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</si>
  <si>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</si>
  <si>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</si>
  <si>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</si>
  <si>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</si>
  <si>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</si>
  <si>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</si>
  <si>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</si>
  <si>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</si>
  <si>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</si>
  <si>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</si>
  <si>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</si>
  <si>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</si>
  <si>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</si>
  <si>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</si>
  <si>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</si>
  <si>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</si>
  <si>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</si>
  <si>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</si>
  <si>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</si>
  <si>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</si>
  <si>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</si>
  <si>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</si>
  <si>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</si>
  <si>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</si>
  <si>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</si>
  <si>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</si>
  <si>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</si>
  <si>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</si>
  <si>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</si>
  <si>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</si>
  <si>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</si>
  <si>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</si>
  <si>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</si>
  <si>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</si>
  <si>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</si>
  <si>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</si>
  <si>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</si>
  <si>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</si>
  <si>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</si>
  <si>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</si>
  <si>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</si>
  <si>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</si>
  <si>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</si>
  <si>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</si>
  <si>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</si>
  <si>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</si>
  <si>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</si>
  <si>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</si>
  <si>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</si>
  <si>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</si>
  <si>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</si>
  <si>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</si>
  <si>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</si>
  <si>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</si>
  <si>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</si>
  <si>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</si>
  <si>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</si>
  <si>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</si>
  <si>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</si>
  <si>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</si>
  <si>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</si>
  <si>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</si>
  <si>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</si>
  <si>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</si>
  <si>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</si>
  <si>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</si>
  <si>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</si>
  <si>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</si>
  <si>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</si>
  <si>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</si>
  <si>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</si>
  <si>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</si>
  <si>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</si>
  <si>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</si>
  <si>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</si>
  <si>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</si>
  <si>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</si>
  <si>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</si>
  <si>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</si>
  <si>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</si>
  <si>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</si>
  <si>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</si>
  <si>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</si>
  <si>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</si>
  <si>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</si>
  <si>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</si>
  <si>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</si>
  <si>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</si>
  <si>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</si>
  <si>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</si>
  <si>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</si>
  <si>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</si>
  <si>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</si>
  <si>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</si>
  <si>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</si>
  <si>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</si>
  <si>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</si>
  <si>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</si>
  <si>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</si>
  <si>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</si>
  <si>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</si>
  <si>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</si>
  <si>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</si>
  <si>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</si>
  <si>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</si>
  <si>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</si>
  <si>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</si>
  <si>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</si>
  <si>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</si>
  <si>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</si>
  <si>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</si>
  <si>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</si>
  <si>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</si>
  <si>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</si>
  <si>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</si>
  <si>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</si>
  <si>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</si>
  <si>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</si>
  <si>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</si>
  <si>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</si>
  <si>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</si>
  <si>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</si>
  <si>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</si>
  <si>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</si>
  <si>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</si>
  <si>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</si>
  <si>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</si>
  <si>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</si>
  <si>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</si>
  <si>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</si>
  <si>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</si>
  <si>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</si>
  <si>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</si>
  <si>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</si>
  <si>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</si>
  <si>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</si>
  <si>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</si>
  <si>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</si>
  <si>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</si>
  <si>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</si>
  <si>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</si>
  <si>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</si>
  <si>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</si>
  <si>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</si>
  <si>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</si>
  <si>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</si>
  <si>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</si>
  <si>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</si>
  <si>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</si>
  <si>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</si>
  <si>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</si>
  <si>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</si>
  <si>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</si>
  <si>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</si>
  <si>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</si>
  <si>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</si>
  <si>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</si>
  <si>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</si>
  <si>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</si>
  <si>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</si>
  <si>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</si>
  <si>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</si>
  <si>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</si>
  <si>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</si>
  <si>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</si>
  <si>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</si>
  <si>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</si>
  <si>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</si>
  <si>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</si>
  <si>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</si>
  <si>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</si>
  <si>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</si>
  <si>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</si>
  <si>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</si>
  <si>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</si>
  <si>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</si>
  <si>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</si>
  <si>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</si>
  <si>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</si>
  <si>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</si>
  <si>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</si>
  <si>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</si>
  <si>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</si>
  <si>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</si>
  <si>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</si>
  <si>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</si>
  <si>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</si>
  <si>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</si>
  <si>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</si>
  <si>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</si>
  <si>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</si>
  <si>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</si>
  <si>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</si>
  <si>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</si>
  <si>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</si>
  <si>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</si>
  <si>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</si>
  <si>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</si>
  <si>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</si>
  <si>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</si>
  <si>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</si>
  <si>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</si>
  <si>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</si>
  <si>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</si>
  <si>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</si>
  <si>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</si>
  <si>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</si>
  <si>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</si>
  <si>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</si>
  <si>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</si>
  <si>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</si>
  <si>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</si>
  <si>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</si>
  <si>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</si>
  <si>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</si>
  <si>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</si>
  <si>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</si>
  <si>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</si>
  <si>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</si>
  <si>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</si>
  <si>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</si>
  <si>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</si>
  <si>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</si>
  <si>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</si>
  <si>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</si>
  <si>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</si>
  <si>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</si>
  <si>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</si>
  <si>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</si>
  <si>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</si>
  <si>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</si>
  <si>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</si>
  <si>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</si>
  <si>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</si>
  <si>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</si>
  <si>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</si>
  <si>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</si>
  <si>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</si>
  <si>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</si>
  <si>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</si>
  <si>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</si>
  <si>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</si>
  <si>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</si>
  <si>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</si>
  <si>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</si>
  <si>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</si>
  <si>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</si>
  <si>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</si>
  <si>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</si>
  <si>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</si>
  <si>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</si>
  <si>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</si>
  <si>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</si>
  <si>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</si>
  <si>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</si>
  <si>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</si>
  <si>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</si>
  <si>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</si>
  <si>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</si>
  <si>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</si>
  <si>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</si>
  <si>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</si>
  <si>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</si>
  <si>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</si>
  <si>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</si>
  <si>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</si>
  <si>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</si>
  <si>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</si>
  <si>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</si>
  <si>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</si>
  <si>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</si>
  <si>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</si>
  <si>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</si>
  <si>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</si>
  <si>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</si>
  <si>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</si>
  <si>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</si>
  <si>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</si>
  <si>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</si>
  <si>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</si>
  <si>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</si>
  <si>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</si>
  <si>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</si>
  <si>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</si>
  <si>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</si>
  <si>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</si>
  <si>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</si>
  <si>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</si>
  <si>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</si>
  <si>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</si>
  <si>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</si>
  <si>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</si>
  <si>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</si>
  <si>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</si>
  <si>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</si>
  <si>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</si>
  <si>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</si>
  <si>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</si>
  <si>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</si>
  <si>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</si>
  <si>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</si>
  <si>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</si>
  <si>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</si>
  <si>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</si>
  <si>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</si>
  <si>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</si>
  <si>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</si>
  <si>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</si>
  <si>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</si>
  <si>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</si>
  <si>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</si>
  <si>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</si>
  <si>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</si>
  <si>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</si>
  <si>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</si>
  <si>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</si>
  <si>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</si>
  <si>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</si>
  <si>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</si>
  <si>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</si>
  <si>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</si>
  <si>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</si>
  <si>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</si>
  <si>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</si>
  <si>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</si>
  <si>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</si>
  <si>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</si>
  <si>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</si>
  <si>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</si>
  <si>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</si>
  <si>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</si>
  <si>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</si>
  <si>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</si>
  <si>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</si>
  <si>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</si>
  <si>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</si>
  <si>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</si>
  <si>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</si>
  <si>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</si>
  <si>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</si>
  <si>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</si>
  <si>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</si>
  <si>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</si>
  <si>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</si>
  <si>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</si>
  <si>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</si>
  <si>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</si>
  <si>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</si>
  <si>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</si>
  <si>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</si>
  <si>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</si>
  <si>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</si>
  <si>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</si>
  <si>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</si>
  <si>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</si>
  <si>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</si>
  <si>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</si>
  <si>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</si>
  <si>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</si>
  <si>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</si>
  <si>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</si>
  <si>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</si>
  <si>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</si>
  <si>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</si>
  <si>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</si>
  <si>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</si>
  <si>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</si>
  <si>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</si>
  <si>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</si>
  <si>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</si>
  <si>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</si>
  <si>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</si>
  <si>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</si>
  <si>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</si>
  <si>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</si>
  <si>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</si>
  <si>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</si>
  <si>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</si>
  <si>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</si>
  <si>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</si>
  <si>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</si>
  <si>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</si>
  <si>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</si>
  <si>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</si>
  <si>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</si>
  <si>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</si>
  <si>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</si>
  <si>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</si>
  <si>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</si>
  <si>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</si>
  <si>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</si>
  <si>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</si>
  <si>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</si>
  <si>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</si>
  <si>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</si>
  <si>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</si>
  <si>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</si>
  <si>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</si>
  <si>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</si>
  <si>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</si>
  <si>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</si>
  <si>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</si>
  <si>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</si>
  <si>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</si>
  <si>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</si>
  <si>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</si>
  <si>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</si>
  <si>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</si>
  <si>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</si>
  <si>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</si>
  <si>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</si>
  <si>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</si>
  <si>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</si>
  <si>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</si>
  <si>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</si>
  <si>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</si>
  <si>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</si>
  <si>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</si>
  <si>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</si>
  <si>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</si>
  <si>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</si>
  <si>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</si>
  <si>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</si>
  <si>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</si>
  <si>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</si>
  <si>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</si>
  <si>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</si>
  <si>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</si>
  <si>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</si>
  <si>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</si>
  <si>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</si>
  <si>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</si>
  <si>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</si>
  <si>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</si>
  <si>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</si>
  <si>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</si>
  <si>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</si>
  <si>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</si>
  <si>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</si>
  <si>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</si>
  <si>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</si>
  <si>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</si>
  <si>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</si>
  <si>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</si>
  <si>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</si>
  <si>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</si>
  <si>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</si>
  <si>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</si>
  <si>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</si>
  <si>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</si>
  <si>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</si>
  <si>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</si>
  <si>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</si>
  <si>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</si>
  <si>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</si>
  <si>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</si>
  <si>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</si>
  <si>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</si>
  <si>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</si>
  <si>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</si>
  <si>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</si>
  <si>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</si>
  <si>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</si>
  <si>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</si>
  <si>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</si>
  <si>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</si>
  <si>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</si>
  <si>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</si>
  <si>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</si>
  <si>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</si>
  <si>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</si>
  <si>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</si>
  <si>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</si>
  <si>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</si>
  <si>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</si>
  <si>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</si>
  <si>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</si>
  <si>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</si>
  <si>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</si>
  <si>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</si>
  <si>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</si>
  <si>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</si>
  <si>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</si>
  <si>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</si>
  <si>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</si>
  <si>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</si>
  <si>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</si>
  <si>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</si>
  <si>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</si>
  <si>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</si>
  <si>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</si>
  <si>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</si>
  <si>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</si>
  <si>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</si>
  <si>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</si>
  <si>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</si>
  <si>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</si>
  <si>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</si>
  <si>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</si>
  <si>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</si>
  <si>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</si>
  <si>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</si>
  <si>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</si>
  <si>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</si>
  <si>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</si>
  <si>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</si>
  <si>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</si>
  <si>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</si>
  <si>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</si>
  <si>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</si>
  <si>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</si>
  <si>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</si>
  <si>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</si>
  <si>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</si>
  <si>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</si>
  <si>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</si>
  <si>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</si>
  <si>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</si>
  <si>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</si>
  <si>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</si>
  <si>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</si>
  <si>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</si>
  <si>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</si>
  <si>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</si>
  <si>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</si>
  <si>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</si>
  <si>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</si>
  <si>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</si>
  <si>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</si>
  <si>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</si>
  <si>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</si>
  <si>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</si>
  <si>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</si>
  <si>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</si>
  <si>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</si>
  <si>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</si>
  <si>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</si>
  <si>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</si>
  <si>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</si>
  <si>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</si>
  <si>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</si>
  <si>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</si>
  <si>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</si>
  <si>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</si>
  <si>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</si>
  <si>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</si>
  <si>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</si>
  <si>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</si>
  <si>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</si>
  <si>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</si>
  <si>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</si>
  <si>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</si>
  <si>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</si>
  <si>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</si>
  <si>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</si>
  <si>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</si>
  <si>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</si>
  <si>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</si>
  <si>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</si>
  <si>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</si>
  <si>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</si>
  <si>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</si>
  <si>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</si>
  <si>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</si>
  <si>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</si>
  <si>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</si>
  <si>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</si>
  <si>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</si>
  <si>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</si>
  <si>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</si>
  <si>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</si>
  <si>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</si>
  <si>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</si>
  <si>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</si>
  <si>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</si>
  <si>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</si>
  <si>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</si>
  <si>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</si>
  <si>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</si>
  <si>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</si>
  <si>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</si>
  <si>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</si>
  <si>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</si>
  <si>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</si>
  <si>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</si>
  <si>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</si>
  <si>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</si>
  <si>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</si>
  <si>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</si>
  <si>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</si>
  <si>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</si>
  <si>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</si>
  <si>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</si>
  <si>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</si>
  <si>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</si>
  <si>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</si>
  <si>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</si>
  <si>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</si>
  <si>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</si>
  <si>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</si>
  <si>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</si>
  <si>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</si>
  <si>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</si>
  <si>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</si>
  <si>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</si>
  <si>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</si>
  <si>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</si>
  <si>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</si>
  <si>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</si>
  <si>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</si>
  <si>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</si>
  <si>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</si>
  <si>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</si>
  <si>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</si>
  <si>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</si>
  <si>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</si>
  <si>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</si>
  <si>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</si>
  <si>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</si>
  <si>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</si>
  <si>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</si>
  <si>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</si>
  <si>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</si>
  <si>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</si>
  <si>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</si>
  <si>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</si>
  <si>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</si>
  <si>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</si>
  <si>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</si>
  <si>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</si>
  <si>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</si>
  <si>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</si>
  <si>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</si>
  <si>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</si>
  <si>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</si>
  <si>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</si>
  <si>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</si>
  <si>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</si>
  <si>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</si>
  <si>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</si>
  <si>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</si>
  <si>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</si>
  <si>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</si>
  <si>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</si>
  <si>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</si>
  <si>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</si>
  <si>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</si>
  <si>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</si>
  <si>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</si>
  <si>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</si>
  <si>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</si>
  <si>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</si>
  <si>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</si>
  <si>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</si>
  <si>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</si>
  <si>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</si>
  <si>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</si>
  <si>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</si>
  <si>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</si>
  <si>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</si>
  <si>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</si>
  <si>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</si>
  <si>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</si>
  <si>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</si>
  <si>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</si>
  <si>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</si>
  <si>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</si>
  <si>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</si>
  <si>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</si>
  <si>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</si>
  <si>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</si>
  <si>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</si>
  <si>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</si>
  <si>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</si>
  <si>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</si>
  <si>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</si>
  <si>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</si>
  <si>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</si>
  <si>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</si>
  <si>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</si>
  <si>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</si>
  <si>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</si>
  <si>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</si>
  <si>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</si>
  <si>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</si>
  <si>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</si>
  <si>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</si>
  <si>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</si>
  <si>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</si>
  <si>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</si>
  <si>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</si>
  <si>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</si>
  <si>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</si>
  <si>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</si>
  <si>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</si>
  <si>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</si>
  <si>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</si>
  <si>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</si>
  <si>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</si>
  <si>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</si>
  <si>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</si>
  <si>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</si>
  <si>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</si>
  <si>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</si>
  <si>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</si>
  <si>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</si>
  <si>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</si>
  <si>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</si>
  <si>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</si>
  <si>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</si>
  <si>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</si>
  <si>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</si>
  <si>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</si>
  <si>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</si>
  <si>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</si>
  <si>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</si>
  <si>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</si>
  <si>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</si>
  <si>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</si>
  <si>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</si>
  <si>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</si>
  <si>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</si>
  <si>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</si>
  <si>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</si>
  <si>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</si>
  <si>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</si>
  <si>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</si>
  <si>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</si>
  <si>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</si>
  <si>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</si>
  <si>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</si>
  <si>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</si>
  <si>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</si>
  <si>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</si>
  <si>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</si>
  <si>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</si>
  <si>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</si>
  <si>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</si>
  <si>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</si>
  <si>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</si>
  <si>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</si>
  <si>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</si>
  <si>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</si>
  <si>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</si>
  <si>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</si>
  <si>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</si>
  <si>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</si>
  <si>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</si>
  <si>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</si>
  <si>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</si>
  <si>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</si>
  <si>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</si>
  <si>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</si>
  <si>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</si>
  <si>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</si>
  <si>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</si>
  <si>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</si>
  <si>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</si>
  <si>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</si>
  <si>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</si>
  <si>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</si>
  <si>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</si>
  <si>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</si>
  <si>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</si>
  <si>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</si>
  <si>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</si>
  <si>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</si>
  <si>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</si>
  <si>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</si>
  <si>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</si>
  <si>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</si>
  <si>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</si>
  <si>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</si>
  <si>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</si>
  <si>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</si>
  <si>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</si>
  <si>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</si>
  <si>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</si>
  <si>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</si>
  <si>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</si>
  <si>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</si>
  <si>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</si>
  <si>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</si>
  <si>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</si>
  <si>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</si>
  <si>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</si>
  <si>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</si>
  <si>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</si>
  <si>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</si>
  <si>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</si>
  <si>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</si>
  <si>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</si>
  <si>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</si>
  <si>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</si>
  <si>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</si>
  <si>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</si>
  <si>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</si>
  <si>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</si>
  <si>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</si>
  <si>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</si>
  <si>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</si>
  <si>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</si>
  <si>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</si>
  <si>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</si>
  <si>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</si>
  <si>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</si>
  <si>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</si>
  <si>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</si>
  <si>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</si>
  <si>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</si>
  <si>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</si>
  <si>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</si>
  <si>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</si>
  <si>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</si>
  <si>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</si>
  <si>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</si>
  <si>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</si>
  <si>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</si>
  <si>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</si>
  <si>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</si>
  <si>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</si>
  <si>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</si>
  <si>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</si>
  <si>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</si>
  <si>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</si>
  <si>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</si>
  <si>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</si>
  <si>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</si>
  <si>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</si>
  <si>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</si>
  <si>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</si>
  <si>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</si>
  <si>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</si>
  <si>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</si>
  <si>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</si>
  <si>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</si>
  <si>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</si>
  <si>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</si>
  <si>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</si>
  <si>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</si>
  <si>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</si>
  <si>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</si>
  <si>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</si>
  <si>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</si>
  <si>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</si>
  <si>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</si>
  <si>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</si>
  <si>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</si>
  <si>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</si>
  <si>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</si>
  <si>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</si>
  <si>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</si>
  <si>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</si>
  <si>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</si>
  <si>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</si>
  <si>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</si>
  <si>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</si>
  <si>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</si>
  <si>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</si>
  <si>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</si>
  <si>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</si>
  <si>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</si>
  <si>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</si>
  <si>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</si>
  <si>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</si>
  <si>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</si>
  <si>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</si>
  <si>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</si>
  <si>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</si>
  <si>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</si>
  <si>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</si>
  <si>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</si>
  <si>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</si>
  <si>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</si>
  <si>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</si>
  <si>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</si>
  <si>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</si>
  <si>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</si>
  <si>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</si>
  <si>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</si>
  <si>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</si>
  <si>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</si>
  <si>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</si>
  <si>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</si>
  <si>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</si>
  <si>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</si>
  <si>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</si>
  <si>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</si>
  <si>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</si>
  <si>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</si>
  <si>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</si>
  <si>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</si>
  <si>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</si>
  <si>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</si>
  <si>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</si>
  <si>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</si>
  <si>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</si>
  <si>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</si>
  <si>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</si>
  <si>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</si>
  <si>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</si>
  <si>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</si>
  <si>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</si>
  <si>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</si>
  <si>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</si>
  <si>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</si>
  <si>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</si>
  <si>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</si>
  <si>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</si>
  <si>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</si>
  <si>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</si>
  <si>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</si>
  <si>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</si>
  <si>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</si>
  <si>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</si>
  <si>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</si>
  <si>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</si>
  <si>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</si>
  <si>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</si>
  <si>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</si>
  <si>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</si>
  <si>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</si>
  <si>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</si>
  <si>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</si>
  <si>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</si>
  <si>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</si>
  <si>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</si>
  <si>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</si>
  <si>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</si>
  <si>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</si>
  <si>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</si>
  <si>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</si>
  <si>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</si>
  <si>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</si>
  <si>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</si>
  <si>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</si>
  <si>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</si>
  <si>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</si>
  <si>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</si>
  <si>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</si>
  <si>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</si>
  <si>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</si>
  <si>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</si>
  <si>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</si>
  <si>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</si>
  <si>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</si>
  <si>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</si>
  <si>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</si>
  <si>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</si>
  <si>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</si>
  <si>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</si>
  <si>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</si>
  <si>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</si>
  <si>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</si>
  <si>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</si>
  <si>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</si>
  <si>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</si>
  <si>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</si>
  <si>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</si>
  <si>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</si>
  <si>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</si>
  <si>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</si>
  <si>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</si>
  <si>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</si>
  <si>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</si>
  <si>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</si>
  <si>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</si>
  <si>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</si>
  <si>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</si>
  <si>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</si>
  <si>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</si>
  <si>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</si>
  <si>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</si>
  <si>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</si>
  <si>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</si>
  <si>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</si>
  <si>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</si>
  <si>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</si>
  <si>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</si>
  <si>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</si>
  <si>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</si>
  <si>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</si>
  <si>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</si>
  <si>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</si>
  <si>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</si>
  <si>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</si>
  <si>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</si>
  <si>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</si>
  <si>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</si>
  <si>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</si>
  <si>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</si>
  <si>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</si>
  <si>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</si>
  <si>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</si>
  <si>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</si>
  <si>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</si>
  <si>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</si>
  <si>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</si>
  <si>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</si>
  <si>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</si>
  <si>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</si>
  <si>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</si>
  <si>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</si>
  <si>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</si>
  <si>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</si>
  <si>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</si>
  <si>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</si>
  <si>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</si>
  <si>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</si>
  <si>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</si>
  <si>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</si>
  <si>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</si>
  <si>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</si>
  <si>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</si>
  <si>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</si>
  <si>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</si>
  <si>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</si>
  <si>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</si>
  <si>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</si>
  <si>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</si>
  <si>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</si>
  <si>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</si>
  <si>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</si>
  <si>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</si>
  <si>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</si>
  <si>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</si>
  <si>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</si>
  <si>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</si>
  <si>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</si>
  <si>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</si>
  <si>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</si>
  <si>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</si>
  <si>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</si>
  <si>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</si>
  <si>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</si>
  <si>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</si>
  <si>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</si>
  <si>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</si>
  <si>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</si>
  <si>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</si>
  <si>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</si>
  <si>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</si>
  <si>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</si>
  <si>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</si>
  <si>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</si>
  <si>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</si>
  <si>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</si>
  <si>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</si>
  <si>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</si>
  <si>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</si>
  <si>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</si>
  <si>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</si>
  <si>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</si>
  <si>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</si>
  <si>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</si>
  <si>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</si>
  <si>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</si>
  <si>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</si>
  <si>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</si>
  <si>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</si>
  <si>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</si>
  <si>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</si>
  <si>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</si>
  <si>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</si>
  <si>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</si>
  <si>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</si>
  <si>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</si>
  <si>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</si>
  <si>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</si>
  <si>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</si>
  <si>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</si>
  <si>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</si>
  <si>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</si>
  <si>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</si>
  <si>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</si>
  <si>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</si>
  <si>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</si>
  <si>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</si>
  <si>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</si>
  <si>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</si>
  <si>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</si>
  <si>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</si>
  <si>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</si>
  <si>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</si>
  <si>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</si>
  <si>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</si>
  <si>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</si>
  <si>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</si>
  <si>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</si>
  <si>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</si>
  <si>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</si>
  <si>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</si>
  <si>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</si>
  <si>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</si>
  <si>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</si>
  <si>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</si>
  <si>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</si>
  <si>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</si>
  <si>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</si>
  <si>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</si>
  <si>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</si>
  <si>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</si>
  <si>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</si>
  <si>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</si>
  <si>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</si>
  <si>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</si>
  <si>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</si>
  <si>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</si>
  <si>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</si>
  <si>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</si>
  <si>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</si>
  <si>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</si>
  <si>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</si>
  <si>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</si>
  <si>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</si>
  <si>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</si>
  <si>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</si>
  <si>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</si>
  <si>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</si>
  <si>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</si>
  <si>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</si>
  <si>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</si>
  <si>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</si>
  <si>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</si>
  <si>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</si>
  <si>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</si>
  <si>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</si>
  <si>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</si>
  <si>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</si>
  <si>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</si>
  <si>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</si>
  <si>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</si>
  <si>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</si>
  <si>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</si>
  <si>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</si>
  <si>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</si>
  <si>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</si>
  <si>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</si>
  <si>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</si>
  <si>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</si>
  <si>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</si>
  <si>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</si>
  <si>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</si>
  <si>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</si>
  <si>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</si>
  <si>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</si>
  <si>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</si>
  <si>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</si>
  <si>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</si>
  <si>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</si>
  <si>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</si>
  <si>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</si>
  <si>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</si>
  <si>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</si>
  <si>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</si>
  <si>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</si>
  <si>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</si>
  <si>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</si>
  <si>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</si>
  <si>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</si>
  <si>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</si>
  <si>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</si>
  <si>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</si>
  <si>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</si>
  <si>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</si>
  <si>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</si>
  <si>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</si>
  <si>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</si>
  <si>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</si>
  <si>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</si>
  <si>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</si>
  <si>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</si>
  <si>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</si>
  <si>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</si>
  <si>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</si>
  <si>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</si>
  <si>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</si>
  <si>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</si>
  <si>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</si>
  <si>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</si>
  <si>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</si>
  <si>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</si>
  <si>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</si>
  <si>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</si>
  <si>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</si>
  <si>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</si>
  <si>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</si>
  <si>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</si>
  <si>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</si>
  <si>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</si>
  <si>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</si>
  <si>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</si>
  <si>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</si>
  <si>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</si>
  <si>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</si>
  <si>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</si>
  <si>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</si>
  <si>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</si>
  <si>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</si>
  <si>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</si>
  <si>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</si>
  <si>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</si>
  <si>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</si>
  <si>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</si>
  <si>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</si>
  <si>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</si>
  <si>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</si>
  <si>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</si>
  <si>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</si>
  <si>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</si>
  <si>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</si>
  <si>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</si>
  <si>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</si>
  <si>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</si>
  <si>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</si>
  <si>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</si>
  <si>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</si>
  <si>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</si>
  <si>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</si>
  <si>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</si>
  <si>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</si>
  <si>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</si>
  <si>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</si>
  <si>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</si>
  <si>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</si>
  <si>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</si>
  <si>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</si>
  <si>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</si>
  <si>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</si>
  <si>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</si>
  <si>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</si>
  <si>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</si>
  <si>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</si>
  <si>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</si>
  <si>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</si>
  <si>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</si>
  <si>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</si>
  <si>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</si>
  <si>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</si>
  <si>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</si>
  <si>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</si>
  <si>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</si>
  <si>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</si>
  <si>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</si>
  <si>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</si>
  <si>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</si>
  <si>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</si>
  <si>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</si>
  <si>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</si>
  <si>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</si>
  <si>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</si>
  <si>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</si>
  <si>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</si>
  <si>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</si>
  <si>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</si>
  <si>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</si>
  <si>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</si>
  <si>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</si>
  <si>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</si>
  <si>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</si>
  <si>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</si>
  <si>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</si>
  <si>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</si>
  <si>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</si>
  <si>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</si>
  <si>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</si>
  <si>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</si>
  <si>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</si>
  <si>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</si>
  <si>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</si>
  <si>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</si>
  <si>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</si>
  <si>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</si>
  <si>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</si>
  <si>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</si>
  <si>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</si>
  <si>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</si>
  <si>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</si>
  <si>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</si>
  <si>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</si>
  <si>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</si>
  <si>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</si>
  <si>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</si>
  <si>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</si>
  <si>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</si>
  <si>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</si>
  <si>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</si>
  <si>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</si>
  <si>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</si>
  <si>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</si>
  <si>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</si>
  <si>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</si>
  <si>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</si>
  <si>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</si>
  <si>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</si>
  <si>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</si>
  <si>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</si>
  <si>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</si>
  <si>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</si>
  <si>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</si>
  <si>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</si>
  <si>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</si>
  <si>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</si>
  <si>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</si>
  <si>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</si>
  <si>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</si>
  <si>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</si>
  <si>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</si>
  <si>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</si>
  <si>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</si>
  <si>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</si>
  <si>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</si>
  <si>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</si>
  <si>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</si>
  <si>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</si>
  <si>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</si>
  <si>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</si>
  <si>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</si>
  <si>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</si>
  <si>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</si>
  <si>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</si>
  <si>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</si>
  <si>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</si>
  <si>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</si>
  <si>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</si>
  <si>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</si>
  <si>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</si>
  <si>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</si>
  <si>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</si>
  <si>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</si>
  <si>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</si>
  <si>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</si>
  <si>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</si>
  <si>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</si>
  <si>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</si>
  <si>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</si>
  <si>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</si>
  <si>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</si>
  <si>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</si>
  <si>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</si>
  <si>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</si>
  <si>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</si>
  <si>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</si>
  <si>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</si>
  <si>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</si>
  <si>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</si>
  <si>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</si>
  <si>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</si>
  <si>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</si>
  <si>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</si>
  <si>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</si>
  <si>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</si>
  <si>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</si>
  <si>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</si>
  <si>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</si>
  <si>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</si>
  <si>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</si>
  <si>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</si>
  <si>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</si>
  <si>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</si>
  <si>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</si>
  <si>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</si>
  <si>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</si>
  <si>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</si>
  <si>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</si>
  <si>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</si>
  <si>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</si>
  <si>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</si>
  <si>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</si>
  <si>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</si>
  <si>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</si>
  <si>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</si>
  <si>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</si>
  <si>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</si>
  <si>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</si>
  <si>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</si>
  <si>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</si>
  <si>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</si>
  <si>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</si>
  <si>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</si>
  <si>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</si>
  <si>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</si>
  <si>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</si>
  <si>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</si>
  <si>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</si>
  <si>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</si>
  <si>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</si>
  <si>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</si>
  <si>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</si>
  <si>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</si>
  <si>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</si>
  <si>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</si>
  <si>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</si>
  <si>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</si>
  <si>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</si>
  <si>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</si>
  <si>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</si>
  <si>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</si>
  <si>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</si>
  <si>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</si>
  <si>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</si>
  <si>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</si>
  <si>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</si>
  <si>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</si>
  <si>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</si>
  <si>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</si>
  <si>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</si>
  <si>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</si>
  <si>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</si>
  <si>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</si>
  <si>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</si>
  <si>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</si>
  <si>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</si>
  <si>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</si>
  <si>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</si>
  <si>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</si>
  <si>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</si>
  <si>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</si>
  <si>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</si>
  <si>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</si>
  <si>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</si>
  <si>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</si>
  <si>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</si>
  <si>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</si>
  <si>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</si>
  <si>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</si>
  <si>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</si>
  <si>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</si>
  <si>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</si>
  <si>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Last dumped: 2024-07-13, PTS 101043</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</si>
  <si>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</si>
  <si>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</si>
  <si>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</si>
  <si>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</si>
  <si>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</si>
  <si>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</si>
  <si>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</si>
  <si>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</si>
  <si>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</si>
  <si>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</si>
  <si>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</si>
  <si>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</si>
  <si>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</si>
  <si>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</si>
  <si>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</si>
  <si>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</si>
  <si>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Last dumped: 2024-09-24, PTS 101044</t>
  </si>
  <si>
    <t>Tracker\'s Lash</t>
  </si>
  <si>
    <t>Shared Pain</t>
  </si>
  <si>
    <t>Siegemaster'\s Focus</t>
  </si>
  <si>
    <t>Bulwark Ruination</t>
  </si>
  <si>
    <t>Farstrider</t>
  </si>
  <si>
    <t>Netch Oil</t>
  </si>
  <si>
    <t>Reman's Folly</t>
  </si>
  <si>
    <t>U44 Monster VO</t>
  </si>
  <si>
    <t>Mota-ka</t>
  </si>
  <si>
    <t>Gothi Glenh</t>
  </si>
  <si>
    <t>Huntsman's Fortress</t>
  </si>
  <si>
    <t>Shehai Waystation</t>
  </si>
  <si>
    <t>Port Dufort</t>
  </si>
  <si>
    <t>Dusk Keep</t>
  </si>
  <si>
    <t>Coldharbour Colosseum</t>
  </si>
  <si>
    <r>
      <rPr>
        <sz val="11"/>
        <color theme="1"/>
        <rFont val="Calibri"/>
        <family val="2"/>
        <scheme val="minor"/>
      </rPr>
      <t>Last dumped: 2024-09-24, PTS 101044</t>
    </r>
    <r>
      <rPr>
        <sz val="11"/>
        <color rgb="FFFF0000"/>
        <rFont val="Calibri"/>
        <family val="2"/>
        <scheme val="minor"/>
      </rPr>
      <t xml:space="preserve">	As you update zoneData copy the excel formulas of all other columns, then enter the correct ESO DLC Id in column J</t>
    </r>
  </si>
  <si>
    <t>Last updated: 2024-09-24, PTS 101044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</si>
</sst>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32">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Font="1" applyBorder="1" applyAlignment="1">
      <alignment wrapText="1"/>
    </xf>
    <xf numFmtId="49" fontId="0" fillId="6" borderId="0" xfId="0" applyNumberFormat="1" applyFill="1"/>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0" fontId="3" fillId="4" borderId="1" xfId="3" applyNumberFormat="1" applyBorder="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8"/>
  <sheetViews>
    <sheetView zoomScale="70" zoomScaleNormal="70" workbookViewId="0">
      <pane xSplit="7" ySplit="2" topLeftCell="L152" activePane="bottomRight" state="frozen"/>
      <selection pane="topRight" activeCell="H1" sqref="H1"/>
      <selection pane="bottomLeft" activeCell="A3" sqref="A3"/>
      <selection pane="bottomRight" activeCell="T174" sqref="T174"/>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08" t="s">
        <v>3764</v>
      </c>
      <c r="B1" s="108"/>
      <c r="C1" s="108"/>
      <c r="D1" s="57" t="s">
        <v>4070</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WayshrineInfo'!$K$3:$N$9971,4,FALSE),"")))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WayshrineInfo'!$K$3:$L$9971,2,FALSE),"")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WayshrineInfo'!$K$3:$L$9971,2,FALSE),"")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WayshrineInfo'!$K$3:$N$9971,4,FALSE),"")))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WayshrineInfo'!$K$3:$L$9971,2,FALSE),"")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WayshrineInfo'!$K$3:$L$9971,2,FALSE),"")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 t="shared" si="1"/>
        <v>[20] = {wayshrines={109,109,109,}, dlcId=DLC_BASE_GAME</v>
      </c>
      <c r="BF4" s="21" t="str">
        <f t="shared" si="2"/>
        <v>, zoneIds={103,103,341,103}, veteran=false</v>
      </c>
      <c r="BG4" s="21" t="str">
        <f t="shared" si="3"/>
        <v>, setType=LIBSETS_SETTYPE_OVERLAND</v>
      </c>
      <c r="BH4" s="21" t="str">
        <f t="shared" si="4"/>
        <v>, dropMechanic={LIBSETS_DROP_MECHANIC_OVERLAND_BOSS_DELVE,LIBSETS_DROP_MECHANIC_OVERLAND_WORLDBOSS,LIBSETS_DROP_MECHANIC_OVERLAND_BOSS_PUBLIC_DUNGEON,LIBSETS_DROP_MECHANIC_OVERLAND_CHEST}</v>
      </c>
      <c r="BI4" s="21" t="str">
        <f t="shared" si="5"/>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WayshrineInfo'!$K$3:$N$9971,4,FALSE),"")))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WayshrineInfo'!$K$3:$L$9971,2,FALSE),"")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WayshrineInfo'!$K$3:$L$9971,2,FALSE),"")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 t="shared" si="1"/>
        <v>[21] = {wayshrines={93,93,93,}, dlcId=DLC_BASE_GAME</v>
      </c>
      <c r="BF5" s="21" t="str">
        <f t="shared" si="2"/>
        <v>, zoneIds={101,101,339,101}, veteran=false</v>
      </c>
      <c r="BG5" s="21" t="str">
        <f t="shared" si="3"/>
        <v>, setType=LIBSETS_SETTYPE_OVERLAND</v>
      </c>
      <c r="BH5" s="21" t="str">
        <f t="shared" si="4"/>
        <v>, isProcSetAllowedInPvP=1, dropMechanic={LIBSETS_DROP_MECHANIC_OVERLAND_BOSS_DELVE,LIBSETS_DROP_MECHANIC_OVERLAND_WORLDBOSS,LIBSETS_DROP_MECHANIC_OVERLAND_BOSS_PUBLIC_DUNGEON,LIBSETS_DROP_MECHANIC_OVERLAND_CHEST}</v>
      </c>
      <c r="BI5" s="21" t="str">
        <f t="shared" si="5"/>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WayshrineInfo'!$K$3:$N$9971,4,FALSE),"")))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WayshrineInfo'!$K$3:$L$9971,2,FALSE),"")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WayshrineInfo'!$K$3:$L$9971,2,FALSE),"")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 t="shared" si="1"/>
        <v>[22] = {wayshrines={17,17,17,}, dlcId=DLC_BASE_GAME</v>
      </c>
      <c r="BF6" s="21" t="str">
        <f t="shared" si="2"/>
        <v>, zoneIds={19,19,142,19}, veteran=false</v>
      </c>
      <c r="BG6" s="21" t="str">
        <f t="shared" si="3"/>
        <v>, setType=LIBSETS_SETTYPE_OVERLAND</v>
      </c>
      <c r="BH6" s="21" t="str">
        <f t="shared" si="4"/>
        <v>, dropMechanic={LIBSETS_DROP_MECHANIC_OVERLAND_BOSS_DELVE,LIBSETS_DROP_MECHANIC_OVERLAND_WORLDBOSS,LIBSETS_DROP_MECHANIC_OVERLAND_BOSS_PUBLIC_DUNGEON,LIBSETS_DROP_MECHANIC_OVERLAND_CHEST}</v>
      </c>
      <c r="BI6" s="21" t="str">
        <f t="shared" si="5"/>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WayshrineInfo'!$K$3:$N$9971,4,FALSE),"")))</f>
        <v>Dragonstar Arena</v>
      </c>
      <c r="T7" s="19" t="str">
        <f>IF(AND(S7&lt;&gt;"",NOT(ISERROR(S7))),S7,IF(Q7&lt;&gt;"",IF(NOT(ISERROR(VLOOKUP(Q7,'ESO Dungeon constants'!$D$3:$H$9999,5,FALSE))),VLOOKUP(Q7,'ESO Dungeon constants'!$D$3:$I$9999,6,FALSE),VLOOKUP(Q7,'ESO zone constants'!$H$3:$K$9989,4,FALSE)),""))</f>
        <v>DLC_BASE_GAME</v>
      </c>
      <c r="U7" s="3" t="str">
        <f>IF(T7&lt;&gt;"",VLOOKUP(T7,'LibSets constants'!$B$4:$C$1017,2,FALSE),"")</f>
        <v>Included in base game</v>
      </c>
      <c r="V7" s="86" t="s">
        <v>1547</v>
      </c>
      <c r="Y7" s="61"/>
      <c r="Z7" s="3">
        <f>IF(AND(G7&lt;&gt;"LIBSETS_SETTYPE_BATTLEGROUND",G7&lt;&gt;"LIBSETS_SETTYPE_SPECIAL"),
IF(AND(Y7&lt;&gt;"",ISNUMBER(Y7),NOT(ISNA(Y7))),Y7,
   IF(AND(L7&lt;&gt;"",ISNUMBER(L7),L7&gt;0,NOT(ISNA(L7))),VLOOKUP(L7,'ESO dumped WayshrineInfo'!$K$3:$L$9971,2,FALSE),"")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WayshrineInfo'!$K$3:$L$9971,2,FALSE),"")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 t="shared" si="1"/>
        <v>[23] = {wayshrines={270,270,270,}, dlcId=DLC_BASE_GAME</v>
      </c>
      <c r="BF7" s="21" t="str">
        <f t="shared" si="2"/>
        <v>, zoneIds={635,888,888}, veteran=false</v>
      </c>
      <c r="BG7" s="21" t="str">
        <f t="shared" si="3"/>
        <v>, setType=LIBSETS_SETTYPE_ARENA</v>
      </c>
      <c r="BH7" s="21" t="str">
        <f t="shared" si="4"/>
        <v>, isProcSetAllowedInPvP=1, dropMechanic={LIBSETS_DROP_MECHANIC_ARENA_STAGE_CHEST,LIBSETS_DROP_MECHANIC_ARENA_STAGE_CHEST}</v>
      </c>
      <c r="BI7" s="21" t="str">
        <f t="shared" si="5"/>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WayshrineInfo'!$K$3:$N$9971,4,FALSE),"")))</f>
        <v>Dragonstar Arena</v>
      </c>
      <c r="T8" s="19" t="str">
        <f>IF(AND(S8&lt;&gt;"",NOT(ISERROR(S8))),S8,IF(Q8&lt;&gt;"",IF(NOT(ISERROR(VLOOKUP(Q8,'ESO Dungeon constants'!$D$3:$H$9999,5,FALSE))),VLOOKUP(Q8,'ESO Dungeon constants'!$D$3:$I$9999,6,FALSE),VLOOKUP(Q8,'ESO zone constants'!$H$3:$K$9989,4,FALSE)),""))</f>
        <v>DLC_BASE_GAME</v>
      </c>
      <c r="U8" s="3" t="str">
        <f>IF(T8&lt;&gt;"",VLOOKUP(T8,'LibSets constants'!$B$4:$C$1017,2,FALSE),"")</f>
        <v>Included in base game</v>
      </c>
      <c r="V8" s="86" t="s">
        <v>1547</v>
      </c>
      <c r="Y8" s="61"/>
      <c r="Z8" s="3">
        <f>IF(AND(G8&lt;&gt;"LIBSETS_SETTYPE_BATTLEGROUND",G8&lt;&gt;"LIBSETS_SETTYPE_SPECIAL"),
IF(AND(Y8&lt;&gt;"",ISNUMBER(Y8),NOT(ISNA(Y8))),Y8,
   IF(AND(L8&lt;&gt;"",ISNUMBER(L8),L8&gt;0,NOT(ISNA(L8))),VLOOKUP(L8,'ESO dumped WayshrineInfo'!$K$3:$L$9971,2,FALSE),"")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WayshrineInfo'!$K$3:$L$9971,2,FALSE),"")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 t="shared" si="1"/>
        <v>[24] = {wayshrines={270,270,270,}, dlcId=DLC_BASE_GAME</v>
      </c>
      <c r="BF8" s="21" t="str">
        <f t="shared" si="2"/>
        <v>, zoneIds={635,888,888}, veteran=false</v>
      </c>
      <c r="BG8" s="21" t="str">
        <f t="shared" si="3"/>
        <v>, setType=LIBSETS_SETTYPE_ARENA</v>
      </c>
      <c r="BH8" s="21" t="str">
        <f t="shared" si="4"/>
        <v>, dropMechanic={LIBSETS_DROP_MECHANIC_ARENA_STAGE_CHEST,LIBSETS_DROP_MECHANIC_ARENA_STAGE_CHEST}</v>
      </c>
      <c r="BI8" s="21" t="str">
        <f t="shared" si="5"/>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WayshrineInfo'!$K$3:$N$9971,4,FALSE),"")))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WayshrineInfo'!$K$3:$L$9971,2,FALSE),"")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WayshrineInfo'!$K$3:$L$9971,2,FALSE),"")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 t="shared" si="1"/>
        <v>[25] = {wayshrines={-1,-1,-1,}, dlcId=DLC_BASE_GAME</v>
      </c>
      <c r="BF9" s="21" t="str">
        <f t="shared" si="2"/>
        <v>, zoneIds={181,181,181,181,181,181}, veteran=false</v>
      </c>
      <c r="BG9" s="21" t="str">
        <f t="shared" si="3"/>
        <v>, setType=LIBSETS_SETTYPE_CYRODIIL</v>
      </c>
      <c r="BH9" s="21"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5"/>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WayshrineInfo'!$K$3:$N$9971,4,FALSE),"")))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WayshrineInfo'!$K$3:$L$9971,2,FALSE),"")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WayshrineInfo'!$K$3:$L$9971,2,FALSE),"")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 t="shared" si="1"/>
        <v>[26] = {wayshrines={131,131,131,}, dlcId=DLC_BASE_GAME</v>
      </c>
      <c r="BF10" s="21" t="str">
        <f t="shared" si="2"/>
        <v>, zoneIds={347,347,557,347}, veteran=false</v>
      </c>
      <c r="BG10" s="21" t="str">
        <f t="shared" si="3"/>
        <v>, setType=LIBSETS_SETTYPE_OVERLAND</v>
      </c>
      <c r="BH10" s="21" t="str">
        <f t="shared" si="4"/>
        <v>, dropMechanic={LIBSETS_DROP_MECHANIC_OVERLAND_BOSS_DELVE,LIBSETS_DROP_MECHANIC_OVERLAND_WORLDBOSS,LIBSETS_DROP_MECHANIC_OVERLAND_BOSS_PUBLIC_DUNGEON,LIBSETS_DROP_MECHANIC_OVERLAND_CHEST}</v>
      </c>
      <c r="BI10" s="21" t="str">
        <f t="shared" si="5"/>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WayshrineInfo'!$K$3:$N$9971,4,FALSE),"")))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WayshrineInfo'!$K$3:$L$9971,2,FALSE),"")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WayshrineInfo'!$K$3:$L$9971,2,FALSE),"")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 t="shared" si="1"/>
        <v>[27] = {wayshrines={93,93,93,}, dlcId=DLC_BASE_GAME</v>
      </c>
      <c r="BF11" s="21" t="str">
        <f t="shared" si="2"/>
        <v>, zoneIds={101,101,339,101}, veteran=false</v>
      </c>
      <c r="BG11" s="21" t="str">
        <f t="shared" si="3"/>
        <v>, setType=LIBSETS_SETTYPE_OVERLAND</v>
      </c>
      <c r="BH11" s="21" t="str">
        <f t="shared" si="4"/>
        <v>, dropMechanic={LIBSETS_DROP_MECHANIC_OVERLAND_BOSS_DELVE,LIBSETS_DROP_MECHANIC_OVERLAND_WORLDBOSS,LIBSETS_DROP_MECHANIC_OVERLAND_BOSS_PUBLIC_DUNGEON,LIBSETS_DROP_MECHANIC_OVERLAND_CHEST}</v>
      </c>
      <c r="BI11" s="21" t="str">
        <f t="shared" si="5"/>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WayshrineInfo'!$K$3:$N$9971,4,FALSE),"")))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WayshrineInfo'!$K$3:$L$9971,2,FALSE),"")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WayshrineInfo'!$K$3:$L$9971,2,FALSE),"")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 t="shared" si="1"/>
        <v>[28] = {wayshrines={191,191,191,}, dlcId=DLC_BASE_GAME</v>
      </c>
      <c r="BF12" s="21" t="str">
        <f t="shared" si="2"/>
        <v>, zoneIds={126,931,383}, veteran=false</v>
      </c>
      <c r="BG12" s="21" t="str">
        <f t="shared" si="3"/>
        <v>, setType=LIBSETS_SETTYPE_DUNGEON</v>
      </c>
      <c r="BH12" s="21" t="str">
        <f t="shared" si="4"/>
        <v>, dropMechanic={LIBSETS_DROP_MECHANIC_GROUP_DUNGEON_BOSS,LIBSETS_DROP_MECHANIC_GROUP_DUNGEON_BOSS}</v>
      </c>
      <c r="BI12" s="21" t="str">
        <f t="shared" si="5"/>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WayshrineInfo'!$K$3:$N$9971,4,FALSE),"")))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WayshrineInfo'!$K$3:$L$9971,2,FALSE),"")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WayshrineInfo'!$K$3:$L$9971,2,FALSE),"")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 t="shared" si="1"/>
        <v>[29] = {wayshrines={189,189,189,}, dlcId=DLC_BASE_GAME</v>
      </c>
      <c r="BF13" s="21" t="str">
        <f t="shared" si="2"/>
        <v>, zoneIds={146,933,19}, veteran=false</v>
      </c>
      <c r="BG13" s="21" t="str">
        <f t="shared" si="3"/>
        <v>, setType=LIBSETS_SETTYPE_DUNGEON</v>
      </c>
      <c r="BH13" s="21" t="str">
        <f t="shared" si="4"/>
        <v>, isProcSetAllowedInPvP=1, dropMechanic={LIBSETS_DROP_MECHANIC_GROUP_DUNGEON_BOSS,LIBSETS_DROP_MECHANIC_GROUP_DUNGEON_BOSS}</v>
      </c>
      <c r="BI13" s="21" t="str">
        <f t="shared" si="5"/>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WayshrineInfo'!$K$3:$N$9971,4,FALSE),"")))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WayshrineInfo'!$K$3:$L$9971,2,FALSE),"")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WayshrineInfo'!$K$3:$L$9971,2,FALSE),"")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 t="shared" si="1"/>
        <v>[30] = {wayshrines={102,102,102,}, dlcId=DLC_BASE_GAME</v>
      </c>
      <c r="BF14" s="21" t="str">
        <f t="shared" si="2"/>
        <v>, zoneIds={58,58,138,58}, veteran=false</v>
      </c>
      <c r="BG14" s="21" t="str">
        <f t="shared" si="3"/>
        <v>, setType=LIBSETS_SETTYPE_OVERLAND</v>
      </c>
      <c r="BH14" s="21" t="str">
        <f t="shared" si="4"/>
        <v>, dropMechanic={LIBSETS_DROP_MECHANIC_OVERLAND_BOSS_DELVE,LIBSETS_DROP_MECHANIC_OVERLAND_WORLDBOSS,LIBSETS_DROP_MECHANIC_OVERLAND_BOSS_PUBLIC_DUNGEON,LIBSETS_DROP_MECHANIC_OVERLAND_CHEST}</v>
      </c>
      <c r="BI14" s="21" t="str">
        <f t="shared" si="5"/>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WayshrineInfo'!$K$3:$N$9971,4,FALSE),"")))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WayshrineInfo'!$K$3:$L$9971,2,FALSE),"")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WayshrineInfo'!$K$3:$L$9971,2,FALSE),"")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 t="shared" si="1"/>
        <v>[31] = {wayshrines={65,65,65,}, dlcId=DLC_BASE_GAME</v>
      </c>
      <c r="BF15" s="21" t="str">
        <f t="shared" si="2"/>
        <v>, zoneIds={41,41,216,41}, veteran=false</v>
      </c>
      <c r="BG15" s="21" t="str">
        <f t="shared" si="3"/>
        <v>, setType=LIBSETS_SETTYPE_OVERLAND</v>
      </c>
      <c r="BH15" s="21" t="str">
        <f t="shared" si="4"/>
        <v>, isProcSetAllowedInPvP=1, dropMechanic={LIBSETS_DROP_MECHANIC_OVERLAND_BOSS_DELVE,LIBSETS_DROP_MECHANIC_OVERLAND_WORLDBOSS,LIBSETS_DROP_MECHANIC_OVERLAND_BOSS_PUBLIC_DUNGEON,LIBSETS_DROP_MECHANIC_OVERLAND_CHEST}</v>
      </c>
      <c r="BI15" s="21" t="str">
        <f t="shared" si="5"/>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WayshrineInfo'!$K$3:$N$9971,4,FALSE),"")))</f>
        <v>Dragonstar Arena</v>
      </c>
      <c r="T16" s="19" t="str">
        <f>IF(AND(S16&lt;&gt;"",NOT(ISERROR(S16))),S16,IF(Q16&lt;&gt;"",IF(NOT(ISERROR(VLOOKUP(Q16,'ESO Dungeon constants'!$D$3:$H$9999,5,FALSE))),VLOOKUP(Q16,'ESO Dungeon constants'!$D$3:$I$9999,6,FALSE),VLOOKUP(Q16,'ESO zone constants'!$H$3:$K$9989,4,FALSE)),""))</f>
        <v>DLC_BASE_GAME</v>
      </c>
      <c r="U16" s="3" t="str">
        <f>IF(T16&lt;&gt;"",VLOOKUP(T16,'LibSets constants'!$B$4:$C$1017,2,FALSE),"")</f>
        <v>Included in base game</v>
      </c>
      <c r="V16" s="86" t="s">
        <v>1547</v>
      </c>
      <c r="Y16" s="61"/>
      <c r="Z16" s="3">
        <f>IF(AND(G16&lt;&gt;"LIBSETS_SETTYPE_BATTLEGROUND",G16&lt;&gt;"LIBSETS_SETTYPE_SPECIAL"),
IF(AND(Y16&lt;&gt;"",ISNUMBER(Y16),NOT(ISNA(Y16))),Y16,
   IF(AND(L16&lt;&gt;"",ISNUMBER(L16),L16&gt;0,NOT(ISNA(L16))),VLOOKUP(L16,'ESO dumped WayshrineInfo'!$K$3:$L$9971,2,FALSE),"")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WayshrineInfo'!$K$3:$L$9971,2,FALSE),"")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 t="shared" si="1"/>
        <v>[32] = {wayshrines={270,270,270,}, dlcId=DLC_BASE_GAME</v>
      </c>
      <c r="BF16" s="21" t="str">
        <f t="shared" si="2"/>
        <v>, zoneIds={635,888,888}, veteran=false</v>
      </c>
      <c r="BG16" s="21" t="str">
        <f t="shared" si="3"/>
        <v>, setType=LIBSETS_SETTYPE_ARENA</v>
      </c>
      <c r="BH16" s="21" t="str">
        <f t="shared" si="4"/>
        <v>, dropMechanic={LIBSETS_DROP_MECHANIC_ARENA_STAGE_CHEST,LIBSETS_DROP_MECHANIC_ARENA_STAGE_CHEST}</v>
      </c>
      <c r="BI16" s="21" t="str">
        <f t="shared" si="5"/>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WayshrineInfo'!$K$3:$N$9971,4,FALSE),"")))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WayshrineInfo'!$K$3:$L$9971,2,FALSE),"")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WayshrineInfo'!$K$3:$L$9971,2,FALSE),"")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 t="shared" si="1"/>
        <v>[33] = {wayshrines={98,98,98,}, dlcId=DLC_BASE_GAME</v>
      </c>
      <c r="BF17" s="21" t="str">
        <f t="shared" si="2"/>
        <v>, zoneIds={283,934,41}, veteran=false</v>
      </c>
      <c r="BG17" s="21" t="str">
        <f t="shared" si="3"/>
        <v>, setType=LIBSETS_SETTYPE_DUNGEON</v>
      </c>
      <c r="BH17" s="21" t="str">
        <f t="shared" si="4"/>
        <v>, dropMechanic={LIBSETS_DROP_MECHANIC_GROUP_DUNGEON_BOSS,LIBSETS_DROP_MECHANIC_GROUP_DUNGEON_BOSS}</v>
      </c>
      <c r="BI17" s="21" t="str">
        <f t="shared" si="5"/>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WayshrineInfo'!$K$3:$N$9971,4,FALSE),"")))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WayshrineInfo'!$K$3:$L$9971,2,FALSE),"")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WayshrineInfo'!$K$3:$L$9971,2,FALSE),"")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 t="shared" si="1"/>
        <v>[34] = {wayshrines={28,28,28,}, dlcId=DLC_BASE_GAME</v>
      </c>
      <c r="BF18" s="21" t="str">
        <f t="shared" si="2"/>
        <v>, zoneIds={57,57,306,57}, veteran=false</v>
      </c>
      <c r="BG18" s="21" t="str">
        <f t="shared" si="3"/>
        <v>, setType=LIBSETS_SETTYPE_OVERLAND</v>
      </c>
      <c r="BH18" s="21" t="str">
        <f t="shared" si="4"/>
        <v>, isProcSetAllowedInPvP=1, dropMechanic={LIBSETS_DROP_MECHANIC_OVERLAND_BOSS_DELVE,LIBSETS_DROP_MECHANIC_OVERLAND_WORLDBOSS,LIBSETS_DROP_MECHANIC_OVERLAND_BOSS_PUBLIC_DUNGEON,LIBSETS_DROP_MECHANIC_OVERLAND_CHEST}</v>
      </c>
      <c r="BI18" s="21" t="str">
        <f t="shared" si="5"/>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WayshrineInfo'!$K$3:$N$9971,4,FALSE),"")))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WayshrineInfo'!$K$3:$L$9971,2,FALSE),"")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WayshrineInfo'!$K$3:$L$9971,2,FALSE),"")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 t="shared" si="1"/>
        <v>[35] = {wayshrines={193,193,193,}, dlcId=DLC_BASE_GAME</v>
      </c>
      <c r="BF19" s="21" t="str">
        <f t="shared" si="2"/>
        <v>, zoneIds={144,936,3}, veteran=false</v>
      </c>
      <c r="BG19" s="21" t="str">
        <f t="shared" si="3"/>
        <v>, setType=LIBSETS_SETTYPE_DUNGEON</v>
      </c>
      <c r="BH19" s="21" t="str">
        <f t="shared" si="4"/>
        <v>, dropMechanic={LIBSETS_DROP_MECHANIC_GROUP_DUNGEON_BOSS,LIBSETS_DROP_MECHANIC_GROUP_DUNGEON_BOSS}</v>
      </c>
      <c r="BI19" s="21" t="str">
        <f t="shared" si="5"/>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WayshrineInfo'!$K$3:$N$9971,4,FALSE),"")))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WayshrineInfo'!$K$3:$L$9971,2,FALSE),"")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WayshrineInfo'!$K$3:$L$9971,2,FALSE),"")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 t="shared" si="1"/>
        <v>[36] = {wayshrines={121,121,121,}, dlcId=DLC_BASE_GAME</v>
      </c>
      <c r="BF20" s="21" t="str">
        <f t="shared" si="2"/>
        <v>, zoneIds={381,381,486,381}, veteran=false</v>
      </c>
      <c r="BG20" s="21" t="str">
        <f t="shared" si="3"/>
        <v>, setType=LIBSETS_SETTYPE_OVERLAND</v>
      </c>
      <c r="BH20" s="21" t="str">
        <f t="shared" si="4"/>
        <v>, dropMechanic={LIBSETS_DROP_MECHANIC_OVERLAND_BOSS_DELVE,LIBSETS_DROP_MECHANIC_OVERLAND_WORLDBOSS,LIBSETS_DROP_MECHANIC_OVERLAND_BOSS_PUBLIC_DUNGEON,LIBSETS_DROP_MECHANIC_OVERLAND_CHEST}</v>
      </c>
      <c r="BI20" s="21" t="str">
        <f t="shared" si="5"/>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WayshrineInfo'!$K$3:$N$9971,4,FALSE),"")))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WayshrineInfo'!$K$3:$L$9971,2,FALSE),"")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WayshrineInfo'!$K$3:$L$9971,2,FALSE),"")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 t="shared" si="1"/>
        <v>[37] = {wayshrines={1,177,71,}, traitsNeeded=2, dlcId=DLC_BASE_GAME</v>
      </c>
      <c r="BF21" s="21" t="str">
        <f t="shared" si="2"/>
        <v>, zoneIds={3,381,41}, veteran=false</v>
      </c>
      <c r="BG21" s="21" t="str">
        <f t="shared" si="3"/>
        <v>, setType=LIBSETS_SETTYPE_CRAFTED</v>
      </c>
      <c r="BH21" s="21" t="str">
        <f t="shared" si="4"/>
        <v>, dropMechanic={LIBSETS_DROP_MECHANIC_CRAFTED,LIBSETS_DROP_MECHANIC_CRAFTED,LIBSETS_DROP_MECHANIC_CRAFTED}</v>
      </c>
      <c r="BI21" s="21" t="str">
        <f t="shared" si="5"/>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WayshrineInfo'!$K$3:$N$9971,4,FALSE),"")))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WayshrineInfo'!$K$3:$L$9971,2,FALSE),"")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WayshrineInfo'!$K$3:$L$9971,2,FALSE),"")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 t="shared" si="1"/>
        <v>[38] = {wayshrines={15,169,205,}, traitsNeeded=3, dlcId=DLC_BASE_GAME</v>
      </c>
      <c r="BF22" s="21" t="str">
        <f t="shared" si="2"/>
        <v>, zoneIds={19,383,57}, veteran=false</v>
      </c>
      <c r="BG22" s="21" t="str">
        <f t="shared" si="3"/>
        <v>, setType=LIBSETS_SETTYPE_CRAFTED</v>
      </c>
      <c r="BH22" s="21" t="str">
        <f t="shared" si="4"/>
        <v>, isProcSetAllowedInPvP=1, dropMechanic={LIBSETS_DROP_MECHANIC_CRAFTED,LIBSETS_DROP_MECHANIC_CRAFTED,LIBSETS_DROP_MECHANIC_CRAFTED}</v>
      </c>
      <c r="BI22" s="21" t="str">
        <f t="shared" si="5"/>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WayshrineInfo'!$K$3:$N$9971,4,FALSE),"")))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WayshrineInfo'!$K$3:$L$9971,2,FALSE),"")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WayshrineInfo'!$K$3:$L$9971,2,FALSE),"")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 t="shared" si="1"/>
        <v>[39] = {wayshrines={-1,-1,-1,}, dlcId=DLC_BASE_GAME</v>
      </c>
      <c r="BF23" s="21" t="str">
        <f t="shared" si="2"/>
        <v>, zoneIds={181,181,181,181,181,181}, veteran=false</v>
      </c>
      <c r="BG23" s="21" t="str">
        <f t="shared" si="3"/>
        <v>, setType=LIBSETS_SETTYPE_CYRODIIL</v>
      </c>
      <c r="BH23"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5"/>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WayshrineInfo'!$K$3:$N$9971,4,FALSE),"")))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WayshrineInfo'!$K$3:$L$9971,2,FALSE),"")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WayshrineInfo'!$K$3:$L$9971,2,FALSE),"")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 t="shared" si="1"/>
        <v>[40] = {wayshrines={216,121,65,}, traitsNeeded=2, dlcId=DLC_BASE_GAME</v>
      </c>
      <c r="BF24" s="21" t="str">
        <f t="shared" si="2"/>
        <v>, zoneIds={3,381,41}, veteran=false</v>
      </c>
      <c r="BG24" s="21" t="str">
        <f t="shared" si="3"/>
        <v>, setType=LIBSETS_SETTYPE_CRAFTED</v>
      </c>
      <c r="BH24" s="21" t="str">
        <f t="shared" si="4"/>
        <v>, dropMechanic={LIBSETS_DROP_MECHANIC_CRAFTED,LIBSETS_DROP_MECHANIC_CRAFTED,LIBSETS_DROP_MECHANIC_CRAFTED}</v>
      </c>
      <c r="BI24" s="21" t="str">
        <f t="shared" si="5"/>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WayshrineInfo'!$K$3:$N$9971,4,FALSE),"")))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WayshrineInfo'!$K$3:$L$9971,2,FALSE),"")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WayshrineInfo'!$K$3:$L$9971,2,FALSE),"")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 t="shared" si="1"/>
        <v>[41] = {wayshrines={82,151,78,}, traitsNeeded=4, dlcId=DLC_BASE_GAME</v>
      </c>
      <c r="BF25" s="21" t="str">
        <f t="shared" si="2"/>
        <v>, zoneIds={20,108,117}, veteran=false</v>
      </c>
      <c r="BG25" s="21" t="str">
        <f t="shared" si="3"/>
        <v>, setType=LIBSETS_SETTYPE_CRAFTED</v>
      </c>
      <c r="BH25" s="21" t="str">
        <f t="shared" si="4"/>
        <v>, dropMechanic={LIBSETS_DROP_MECHANIC_CRAFTED,LIBSETS_DROP_MECHANIC_CRAFTED,LIBSETS_DROP_MECHANIC_CRAFTED}</v>
      </c>
      <c r="BI25" s="21" t="str">
        <f t="shared" si="5"/>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WayshrineInfo'!$K$3:$N$9971,4,FALSE),"")))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WayshrineInfo'!$K$3:$L$9971,2,FALSE),"")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WayshrineInfo'!$K$3:$L$9971,2,FALSE),"")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 t="shared" si="1"/>
        <v>[43] = {wayshrines={23,164,32,}, traitsNeeded=3, dlcId=DLC_BASE_GAME</v>
      </c>
      <c r="BF26" s="21" t="str">
        <f t="shared" si="2"/>
        <v>, zoneIds={19,383,57}, veteran=false</v>
      </c>
      <c r="BG26" s="21" t="str">
        <f t="shared" si="3"/>
        <v>, setType=LIBSETS_SETTYPE_CRAFTED</v>
      </c>
      <c r="BH26" s="21" t="str">
        <f t="shared" si="4"/>
        <v>, isProcSetAllowedInPvP=1, dropMechanic={LIBSETS_DROP_MECHANIC_CRAFTED,LIBSETS_DROP_MECHANIC_CRAFTED,LIBSETS_DROP_MECHANIC_CRAFTED}</v>
      </c>
      <c r="BI26" s="21" t="str">
        <f t="shared" si="5"/>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WayshrineInfo'!$K$3:$N$9971,4,FALSE),"")))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WayshrineInfo'!$K$3:$L$9971,2,FALSE),"")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WayshrineInfo'!$K$3:$L$9971,2,FALSE),"")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 t="shared" si="1"/>
        <v>[44] = {wayshrines={58,101,93,}, traitsNeeded=5, dlcId=DLC_BASE_GAME</v>
      </c>
      <c r="BF27" s="21" t="str">
        <f t="shared" si="2"/>
        <v>, zoneIds={104,58,101}, veteran=false</v>
      </c>
      <c r="BG27" s="21" t="str">
        <f t="shared" si="3"/>
        <v>, setType=LIBSETS_SETTYPE_CRAFTED</v>
      </c>
      <c r="BH27" s="21" t="str">
        <f t="shared" si="4"/>
        <v>, dropMechanic={LIBSETS_DROP_MECHANIC_CRAFTED,LIBSETS_DROP_MECHANIC_CRAFTED,LIBSETS_DROP_MECHANIC_CRAFTED}</v>
      </c>
      <c r="BI27" s="21" t="str">
        <f t="shared" si="5"/>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WayshrineInfo'!$K$3:$N$9971,4,FALSE),"")))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WayshrineInfo'!$K$3:$L$9971,2,FALSE),"")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WayshrineInfo'!$K$3:$L$9971,2,FALSE),"")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 t="shared" si="1"/>
        <v>[46] = {wayshrines={187,187,187,}, dlcId=DLC_BASE_GAME</v>
      </c>
      <c r="BF28" s="21" t="str">
        <f t="shared" si="2"/>
        <v>, zoneIds={64,103,103}, veteran=false</v>
      </c>
      <c r="BG28" s="21" t="str">
        <f t="shared" si="3"/>
        <v>, setType=LIBSETS_SETTYPE_DUNGEON</v>
      </c>
      <c r="BH28" s="21" t="str">
        <f t="shared" si="4"/>
        <v>, dropMechanic={LIBSETS_DROP_MECHANIC_GROUP_DUNGEON_BOSS}</v>
      </c>
      <c r="BI28" s="21" t="str">
        <f t="shared" si="5"/>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WayshrineInfo'!$K$3:$N$9971,4,FALSE),"")))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WayshrineInfo'!$K$3:$L$9971,2,FALSE),"")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WayshrineInfo'!$K$3:$L$9971,2,FALSE),"")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 t="shared" si="1"/>
        <v>[47] = {wayshrines={61,61,61,}, dlcId=DLC_BASE_GAME</v>
      </c>
      <c r="BF29" s="21" t="str">
        <f t="shared" si="2"/>
        <v>, zoneIds={104,104,308,104}, veteran=false</v>
      </c>
      <c r="BG29" s="21" t="str">
        <f t="shared" si="3"/>
        <v>, setType=LIBSETS_SETTYPE_OVERLAND</v>
      </c>
      <c r="BH29" s="21" t="str">
        <f t="shared" si="4"/>
        <v>, dropMechanic={LIBSETS_DROP_MECHANIC_OVERLAND_BOSS_DELVE,LIBSETS_DROP_MECHANIC_OVERLAND_WORLDBOSS,LIBSETS_DROP_MECHANIC_OVERLAND_BOSS_PUBLIC_DUNGEON,LIBSETS_DROP_MECHANIC_OVERLAND_CHEST}</v>
      </c>
      <c r="BI29" s="21" t="str">
        <f t="shared" si="5"/>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WayshrineInfo'!$K$3:$N$9971,4,FALSE),"")))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WayshrineInfo'!$K$3:$L$9971,2,FALSE),"")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WayshrineInfo'!$K$3:$L$9971,2,FALSE),"")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 t="shared" si="1"/>
        <v>[48] = {wayshrines={13,148,48,}, traitsNeeded=4, dlcId=DLC_BASE_GAME</v>
      </c>
      <c r="BF30" s="21" t="str">
        <f t="shared" si="2"/>
        <v>, zoneIds={20,108,117}, veteran=false</v>
      </c>
      <c r="BG30" s="21" t="str">
        <f t="shared" si="3"/>
        <v>, setType=LIBSETS_SETTYPE_CRAFTED</v>
      </c>
      <c r="BH30" s="21" t="str">
        <f t="shared" si="4"/>
        <v>, dropMechanic={LIBSETS_DROP_MECHANIC_CRAFTED,LIBSETS_DROP_MECHANIC_CRAFTED,LIBSETS_DROP_MECHANIC_CRAFTED}</v>
      </c>
      <c r="BI30" s="21" t="str">
        <f t="shared" si="5"/>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WayshrineInfo'!$K$3:$N$9971,4,FALSE),"")))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WayshrineInfo'!$K$3:$L$9971,2,FALSE),"")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WayshrineInfo'!$K$3:$L$9971,2,FALSE),"")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 t="shared" si="1"/>
        <v>[49] = {wayshrines={65,65,65,}, dlcId=DLC_BASE_GAME</v>
      </c>
      <c r="BF31" s="21" t="str">
        <f t="shared" si="2"/>
        <v>, zoneIds={41,41,216,41}, veteran=false</v>
      </c>
      <c r="BG31" s="21" t="str">
        <f t="shared" si="3"/>
        <v>, setType=LIBSETS_SETTYPE_OVERLAND</v>
      </c>
      <c r="BH31" s="21" t="str">
        <f t="shared" si="4"/>
        <v>, dropMechanic={LIBSETS_DROP_MECHANIC_OVERLAND_BOSS_DELVE,LIBSETS_DROP_MECHANIC_OVERLAND_WORLDBOSS,LIBSETS_DROP_MECHANIC_OVERLAND_BOSS_PUBLIC_DUNGEON,LIBSETS_DROP_MECHANIC_OVERLAND_CHEST}</v>
      </c>
      <c r="BI31" s="21" t="str">
        <f t="shared" si="5"/>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WayshrineInfo'!$K$3:$N$9971,4,FALSE),"")))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WayshrineInfo'!$K$3:$L$9971,2,FALSE),"")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WayshrineInfo'!$K$3:$L$9971,2,FALSE),"")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 t="shared" si="1"/>
        <v>[50] = {wayshrines={-1,-1,-1,}, dlcId=DLC_BASE_GAME</v>
      </c>
      <c r="BF32" s="21" t="str">
        <f t="shared" si="2"/>
        <v>, zoneIds={181,181,181,181,181,181}, veteran=false</v>
      </c>
      <c r="BG32" s="21" t="str">
        <f t="shared" si="3"/>
        <v>, setType=LIBSETS_SETTYPE_CYRODIIL</v>
      </c>
      <c r="BH32"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5"/>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WayshrineInfo'!$K$3:$N$9971,4,FALSE),"")))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WayshrineInfo'!$K$3:$L$9971,2,FALSE),"")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WayshrineInfo'!$K$3:$L$9971,2,FALSE),"")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 t="shared" si="1"/>
        <v>[51] = {wayshrines={34,156,118,}, traitsNeeded=6, dlcId=DLC_BASE_GAME</v>
      </c>
      <c r="BF33" s="21" t="str">
        <f t="shared" si="2"/>
        <v>, zoneIds={92,382,103}, veteran=false</v>
      </c>
      <c r="BG33" s="21" t="str">
        <f t="shared" si="3"/>
        <v>, setType=LIBSETS_SETTYPE_CRAFTED</v>
      </c>
      <c r="BH33" s="21" t="str">
        <f t="shared" si="4"/>
        <v>, dropMechanic={LIBSETS_DROP_MECHANIC_CRAFTED,LIBSETS_DROP_MECHANIC_CRAFTED,LIBSETS_DROP_MECHANIC_CRAFTED}</v>
      </c>
      <c r="BI33" s="21" t="str">
        <f t="shared" si="5"/>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WayshrineInfo'!$K$3:$N$9971,4,FALSE),"")))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WayshrineInfo'!$K$3:$L$9971,2,FALSE),"")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WayshrineInfo'!$K$3:$L$9971,2,FALSE),"")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 t="shared" si="1"/>
        <v>[52] = {wayshrines={-1,-1,-1,}, dlcId=DLC_BASE_GAME</v>
      </c>
      <c r="BF34" s="21" t="str">
        <f t="shared" si="2"/>
        <v>, zoneIds={181,181,181,181,181,181}, veteran=false</v>
      </c>
      <c r="BG34" s="21" t="str">
        <f t="shared" si="3"/>
        <v>, setType=LIBSETS_SETTYPE_CYRODIIL</v>
      </c>
      <c r="BH34"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5"/>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WayshrineInfo'!$K$3:$N$9971,4,FALSE),"")))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WayshrineInfo'!$K$3:$L$9971,2,FALSE),"")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WayshrineInfo'!$K$3:$L$9971,2,FALSE),"")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 t="shared" si="1"/>
        <v>[53] = {wayshrines={195,195,195,}, dlcId=DLC_BASE_GAME</v>
      </c>
      <c r="BF35" s="21" t="str">
        <f t="shared" si="2"/>
        <v>, zoneIds={449,101,101}, veteran=false</v>
      </c>
      <c r="BG35" s="21" t="str">
        <f t="shared" si="3"/>
        <v>, setType=LIBSETS_SETTYPE_DUNGEON</v>
      </c>
      <c r="BH35" s="21" t="str">
        <f t="shared" si="4"/>
        <v>, dropMechanic={LIBSETS_DROP_MECHANIC_GROUP_DUNGEON_BOSS}</v>
      </c>
      <c r="BI35" s="21" t="str">
        <f t="shared" si="5"/>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WayshrineInfo'!$K$3:$N$9971,4,FALSE),"")))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WayshrineInfo'!$K$3:$L$9971,2,FALSE),"")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WayshrineInfo'!$K$3:$L$9971,2,FALSE),"")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 t="shared" si="1"/>
        <v>[54] = {wayshrines={7,175,77,}, traitsNeeded=2, dlcId=DLC_BASE_GAME</v>
      </c>
      <c r="BF36" s="21" t="str">
        <f t="shared" si="2"/>
        <v>, zoneIds={3,381,41}, veteran=false</v>
      </c>
      <c r="BG36" s="21" t="str">
        <f t="shared" si="3"/>
        <v>, setType=LIBSETS_SETTYPE_CRAFTED</v>
      </c>
      <c r="BH36" s="21" t="str">
        <f t="shared" si="4"/>
        <v>, dropMechanic={LIBSETS_DROP_MECHANIC_CRAFTED,LIBSETS_DROP_MECHANIC_CRAFTED,LIBSETS_DROP_MECHANIC_CRAFTED}</v>
      </c>
      <c r="BI36" s="21" t="str">
        <f t="shared" si="5"/>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WayshrineInfo'!$K$3:$N$9971,4,FALSE),"")))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WayshrineInfo'!$K$3:$L$9971,2,FALSE),"")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WayshrineInfo'!$K$3:$L$9971,2,FALSE),"")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 t="shared" si="1"/>
        <v>[55] = {wayshrines={193,193,193,}, dlcId=DLC_BASE_GAME</v>
      </c>
      <c r="BF37" s="21" t="str">
        <f t="shared" si="2"/>
        <v>, zoneIds={144,936,3}, veteran=false</v>
      </c>
      <c r="BG37" s="21" t="str">
        <f t="shared" si="3"/>
        <v>, setType=LIBSETS_SETTYPE_DUNGEON</v>
      </c>
      <c r="BH37" s="21" t="str">
        <f t="shared" si="4"/>
        <v>, dropMechanic={LIBSETS_DROP_MECHANIC_GROUP_DUNGEON_BOSS,LIBSETS_DROP_MECHANIC_GROUP_DUNGEON_BOSS}</v>
      </c>
      <c r="BI37" s="21" t="str">
        <f t="shared" si="5"/>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WayshrineInfo'!$K$3:$N$9971,4,FALSE),"")))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WayshrineInfo'!$K$3:$L$9971,2,FALSE),"")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WayshrineInfo'!$K$3:$L$9971,2,FALSE),"")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 t="shared" si="1"/>
        <v>[56] = {wayshrines={93,93,93,}, dlcId=DLC_BASE_GAME</v>
      </c>
      <c r="BF38" s="21" t="str">
        <f t="shared" si="2"/>
        <v>, zoneIds={101,101,339,101}, veteran=false</v>
      </c>
      <c r="BG38" s="21" t="str">
        <f t="shared" si="3"/>
        <v>, setType=LIBSETS_SETTYPE_OVERLAND</v>
      </c>
      <c r="BH38" s="21" t="str">
        <f t="shared" si="4"/>
        <v>, dropMechanic={LIBSETS_DROP_MECHANIC_OVERLAND_BOSS_DELVE,LIBSETS_DROP_MECHANIC_OVERLAND_WORLDBOSS,LIBSETS_DROP_MECHANIC_OVERLAND_BOSS_PUBLIC_DUNGEON,LIBSETS_DROP_MECHANIC_OVERLAND_CHEST}</v>
      </c>
      <c r="BI38" s="21" t="str">
        <f t="shared" si="5"/>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WayshrineInfo'!$K$3:$N$9971,4,FALSE),"")))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WayshrineInfo'!$K$3:$L$9971,2,FALSE),"")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WayshrineInfo'!$K$3:$L$9971,2,FALSE),"")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 t="shared" si="1"/>
        <v>[57] = {wayshrines={214,214,214,}, dlcId=DLC_BASE_GAME</v>
      </c>
      <c r="BF39" s="21" t="str">
        <f t="shared" si="2"/>
        <v>, zoneIds={383,383,124,383}, veteran=false</v>
      </c>
      <c r="BG39" s="21" t="str">
        <f t="shared" si="3"/>
        <v>, setType=LIBSETS_SETTYPE_OVERLAND</v>
      </c>
      <c r="BH39" s="21" t="str">
        <f t="shared" si="4"/>
        <v>, dropMechanic={LIBSETS_DROP_MECHANIC_OVERLAND_BOSS_DELVE,LIBSETS_DROP_MECHANIC_OVERLAND_WORLDBOSS,LIBSETS_DROP_MECHANIC_OVERLAND_BOSS_PUBLIC_DUNGEON,LIBSETS_DROP_MECHANIC_OVERLAND_CHEST}</v>
      </c>
      <c r="BI39" s="21" t="str">
        <f t="shared" si="5"/>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WayshrineInfo'!$K$3:$N$9971,4,FALSE),"")))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WayshrineInfo'!$K$3:$L$9971,2,FALSE),"")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WayshrineInfo'!$K$3:$L$9971,2,FALSE),"")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 t="shared" si="1"/>
        <v>[58] = {wayshrines={62,62,62,}, dlcId=DLC_BASE_GAME</v>
      </c>
      <c r="BF40" s="21" t="str">
        <f t="shared" si="2"/>
        <v>, zoneIds={3,3,284,3}, veteran=false</v>
      </c>
      <c r="BG40" s="21" t="str">
        <f t="shared" si="3"/>
        <v>, setType=LIBSETS_SETTYPE_OVERLAND</v>
      </c>
      <c r="BH40" s="21" t="str">
        <f t="shared" si="4"/>
        <v>, dropMechanic={LIBSETS_DROP_MECHANIC_OVERLAND_BOSS_DELVE,LIBSETS_DROP_MECHANIC_OVERLAND_WORLDBOSS,LIBSETS_DROP_MECHANIC_OVERLAND_BOSS_PUBLIC_DUNGEON,LIBSETS_DROP_MECHANIC_OVERLAND_CHEST}</v>
      </c>
      <c r="BI40" s="21" t="str">
        <f t="shared" si="5"/>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WayshrineInfo'!$K$3:$N$9971,4,FALSE),"")))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WayshrineInfo'!$K$3:$L$9971,2,FALSE),"")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WayshrineInfo'!$K$3:$L$9971,2,FALSE),"")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 t="shared" si="1"/>
        <v>[59] = {wayshrines={-1,-1,-1,}, dlcId=DLC_BASE_GAME</v>
      </c>
      <c r="BF41" s="21" t="str">
        <f t="shared" si="2"/>
        <v>, zoneIds={181,181,181,181,181,181}, veteran=false</v>
      </c>
      <c r="BG41" s="21" t="str">
        <f t="shared" si="3"/>
        <v>, setType=LIBSETS_SETTYPE_CYRODIIL</v>
      </c>
      <c r="BH41"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5"/>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WayshrineInfo'!$K$3:$N$9971,4,FALSE),"")))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WayshrineInfo'!$K$3:$L$9971,2,FALSE),"")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WayshrineInfo'!$K$3:$L$9971,2,FALSE),"")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 t="shared" si="1"/>
        <v>[60] = {wayshrines={55,55,55,}, dlcId=DLC_BASE_GAME</v>
      </c>
      <c r="BF42" s="21" t="str">
        <f t="shared" si="2"/>
        <v>, zoneIds={20,20,162,20}, veteran=false</v>
      </c>
      <c r="BG42" s="21" t="str">
        <f t="shared" si="3"/>
        <v>, setType=LIBSETS_SETTYPE_OVERLAND</v>
      </c>
      <c r="BH42" s="21" t="str">
        <f t="shared" si="4"/>
        <v>, isProcSetAllowedInPvP=1, dropMechanic={LIBSETS_DROP_MECHANIC_OVERLAND_BOSS_DELVE,LIBSETS_DROP_MECHANIC_OVERLAND_WORLDBOSS,LIBSETS_DROP_MECHANIC_OVERLAND_BOSS_PUBLIC_DUNGEON,LIBSETS_DROP_MECHANIC_OVERLAND_CHEST}</v>
      </c>
      <c r="BI42" s="21" t="str">
        <f t="shared" si="5"/>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WayshrineInfo'!$K$3:$N$9971,4,FALSE),"")))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WayshrineInfo'!$K$3:$L$9971,2,FALSE),"")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WayshrineInfo'!$K$3:$L$9971,2,FALSE),"")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 t="shared" si="1"/>
        <v>[61] = {wayshrines={98,98,98,}, dlcId=DLC_BASE_GAME</v>
      </c>
      <c r="BF43" s="21" t="str">
        <f t="shared" si="2"/>
        <v>, zoneIds={283,934,41}, veteran=false</v>
      </c>
      <c r="BG43" s="21" t="str">
        <f t="shared" si="3"/>
        <v>, setType=LIBSETS_SETTYPE_DUNGEON</v>
      </c>
      <c r="BH43" s="21" t="str">
        <f t="shared" si="4"/>
        <v>, dropMechanic={LIBSETS_DROP_MECHANIC_GROUP_DUNGEON_BOSS,LIBSETS_DROP_MECHANIC_GROUP_DUNGEON_BOSS}</v>
      </c>
      <c r="BI43" s="21" t="str">
        <f t="shared" si="5"/>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WayshrineInfo'!$K$3:$N$9971,4,FALSE),"")))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WayshrineInfo'!$K$3:$L$9971,2,FALSE),"")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WayshrineInfo'!$K$3:$L$9971,2,FALSE),"")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 t="shared" si="1"/>
        <v>[62] = {wayshrines={48,48,48,}, dlcId=DLC_BASE_GAME</v>
      </c>
      <c r="BF44" s="21" t="str">
        <f t="shared" si="2"/>
        <v>, zoneIds={117,117,134,117}, veteran=false</v>
      </c>
      <c r="BG44" s="21" t="str">
        <f t="shared" si="3"/>
        <v>, setType=LIBSETS_SETTYPE_OVERLAND</v>
      </c>
      <c r="BH44" s="21" t="str">
        <f t="shared" si="4"/>
        <v>, dropMechanic={LIBSETS_DROP_MECHANIC_OVERLAND_BOSS_DELVE,LIBSETS_DROP_MECHANIC_OVERLAND_WORLDBOSS,LIBSETS_DROP_MECHANIC_OVERLAND_BOSS_PUBLIC_DUNGEON,LIBSETS_DROP_MECHANIC_OVERLAND_CHEST}</v>
      </c>
      <c r="BI44" s="21" t="str">
        <f t="shared" si="5"/>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WayshrineInfo'!$K$3:$N$9971,4,FALSE),"")))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WayshrineInfo'!$K$3:$L$9971,2,FALSE),"")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WayshrineInfo'!$K$3:$L$9971,2,FALSE),"")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 t="shared" si="1"/>
        <v>[63] = {wayshrines={-1,-1,-1,}, dlcId=DLC_BASE_GAME</v>
      </c>
      <c r="BF45" s="21" t="str">
        <f t="shared" si="2"/>
        <v>, zoneIds={181,181,181,181,181,181}, veteran=false</v>
      </c>
      <c r="BG45" s="21" t="str">
        <f t="shared" si="3"/>
        <v>, setType=LIBSETS_SETTYPE_CYRODIIL</v>
      </c>
      <c r="BH45"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5"/>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WayshrineInfo'!$K$3:$N$9971,4,FALSE),"")))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WayshrineInfo'!$K$3:$L$9971,2,FALSE),"")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WayshrineInfo'!$K$3:$L$9971,2,FALSE),"")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 t="shared" si="1"/>
        <v>[64] = {wayshrines={143,143,143,}, dlcId=DLC_BASE_GAME</v>
      </c>
      <c r="BF46" s="21" t="str">
        <f t="shared" si="2"/>
        <v>, zoneIds={108,108,137,108}, veteran=false</v>
      </c>
      <c r="BG46" s="21" t="str">
        <f t="shared" si="3"/>
        <v>, setType=LIBSETS_SETTYPE_OVERLAND</v>
      </c>
      <c r="BH46" s="21" t="str">
        <f t="shared" si="4"/>
        <v>, dropMechanic={LIBSETS_DROP_MECHANIC_OVERLAND_BOSS_DELVE,LIBSETS_DROP_MECHANIC_OVERLAND_WORLDBOSS,LIBSETS_DROP_MECHANIC_OVERLAND_BOSS_PUBLIC_DUNGEON,LIBSETS_DROP_MECHANIC_OVERLAND_CHEST}</v>
      </c>
      <c r="BI46" s="21" t="str">
        <f t="shared" si="5"/>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WayshrineInfo'!$K$3:$N$9971,4,FALSE),"")))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WayshrineInfo'!$K$3:$L$9971,2,FALSE),"")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WayshrineInfo'!$K$3:$L$9971,2,FALSE),"")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 t="shared" si="1"/>
        <v>[65] = {wayshrines={62,62,62,}, dlcId=DLC_BASE_GAME</v>
      </c>
      <c r="BF47" s="21" t="str">
        <f t="shared" si="2"/>
        <v>, zoneIds={3,3,284,3}, veteran=false</v>
      </c>
      <c r="BG47" s="21" t="str">
        <f t="shared" si="3"/>
        <v>, setType=LIBSETS_SETTYPE_OVERLAND</v>
      </c>
      <c r="BH47" s="21" t="str">
        <f t="shared" si="4"/>
        <v>, dropMechanic={LIBSETS_DROP_MECHANIC_OVERLAND_BOSS_DELVE,LIBSETS_DROP_MECHANIC_OVERLAND_WORLDBOSS,LIBSETS_DROP_MECHANIC_OVERLAND_BOSS_PUBLIC_DUNGEON,LIBSETS_DROP_MECHANIC_OVERLAND_CHEST}</v>
      </c>
      <c r="BI47" s="21" t="str">
        <f t="shared" si="5"/>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WayshrineInfo'!$K$3:$N$9971,4,FALSE),"")))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WayshrineInfo'!$K$3:$L$9971,2,FALSE),"")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WayshrineInfo'!$K$3:$L$9971,2,FALSE),"")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 t="shared" si="1"/>
        <v>[66] = {wayshrines={48,48,48,}, dlcId=DLC_BASE_GAME</v>
      </c>
      <c r="BF48" s="21" t="str">
        <f t="shared" si="2"/>
        <v>, zoneIds={117,117,134,117}, veteran=false</v>
      </c>
      <c r="BG48" s="21" t="str">
        <f t="shared" si="3"/>
        <v>, setType=LIBSETS_SETTYPE_OVERLAND</v>
      </c>
      <c r="BH48" s="21" t="str">
        <f t="shared" si="4"/>
        <v>, dropMechanic={LIBSETS_DROP_MECHANIC_OVERLAND_BOSS_DELVE,LIBSETS_DROP_MECHANIC_OVERLAND_WORLDBOSS,LIBSETS_DROP_MECHANIC_OVERLAND_BOSS_PUBLIC_DUNGEON,LIBSETS_DROP_MECHANIC_OVERLAND_CHEST}</v>
      </c>
      <c r="BI48" s="21" t="str">
        <f t="shared" si="5"/>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WayshrineInfo'!$K$3:$N$9971,4,FALSE),"")))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WayshrineInfo'!$K$3:$L$9971,2,FALSE),"")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WayshrineInfo'!$K$3:$L$9971,2,FALSE),"")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 t="shared" si="1"/>
        <v>[67] = {wayshrines={-1,-1,-1,}, dlcId=DLC_BASE_GAME</v>
      </c>
      <c r="BF49" s="21" t="str">
        <f t="shared" si="2"/>
        <v>, zoneIds={181,181,181,181,181,181}, veteran=false</v>
      </c>
      <c r="BG49" s="21" t="str">
        <f t="shared" si="3"/>
        <v>, setType=LIBSETS_SETTYPE_CYRODIIL</v>
      </c>
      <c r="BH49"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5"/>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WayshrineInfo'!$K$3:$N$9971,4,FALSE),"")))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WayshrineInfo'!$K$3:$L$9971,2,FALSE),"")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WayshrineInfo'!$K$3:$L$9971,2,FALSE),"")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 t="shared" si="1"/>
        <v>[68] = {wayshrines={131,131,131,}, dlcId=DLC_BASE_GAME</v>
      </c>
      <c r="BF50" s="21" t="str">
        <f t="shared" si="2"/>
        <v>, zoneIds={347,347,557,347}, veteran=false</v>
      </c>
      <c r="BG50" s="21" t="str">
        <f t="shared" si="3"/>
        <v>, setType=LIBSETS_SETTYPE_OVERLAND</v>
      </c>
      <c r="BH50" s="21" t="str">
        <f t="shared" si="4"/>
        <v>, dropMechanic={LIBSETS_DROP_MECHANIC_OVERLAND_BOSS_DELVE,LIBSETS_DROP_MECHANIC_OVERLAND_WORLDBOSS,LIBSETS_DROP_MECHANIC_OVERLAND_BOSS_PUBLIC_DUNGEON,LIBSETS_DROP_MECHANIC_OVERLAND_CHEST}</v>
      </c>
      <c r="BI50" s="21" t="str">
        <f t="shared" si="5"/>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WayshrineInfo'!$K$3:$N$9971,4,FALSE),"")))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WayshrineInfo'!$K$3:$L$9971,2,FALSE),"")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WayshrineInfo'!$K$3:$L$9971,2,FALSE),"")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 t="shared" si="1"/>
        <v>[69] = {wayshrines={214,214,214,}, dlcId=DLC_BASE_GAME</v>
      </c>
      <c r="BF51" s="21" t="str">
        <f t="shared" si="2"/>
        <v>, zoneIds={383,383,124,383}, veteran=false</v>
      </c>
      <c r="BG51" s="21" t="str">
        <f t="shared" si="3"/>
        <v>, setType=LIBSETS_SETTYPE_OVERLAND</v>
      </c>
      <c r="BH51" s="21" t="str">
        <f t="shared" si="4"/>
        <v>, isProcSetAllowedInPvP=1, dropMechanic={LIBSETS_DROP_MECHANIC_OVERLAND_BOSS_DELVE,LIBSETS_DROP_MECHANIC_OVERLAND_WORLDBOSS,LIBSETS_DROP_MECHANIC_OVERLAND_BOSS_PUBLIC_DUNGEON,LIBSETS_DROP_MECHANIC_OVERLAND_CHEST}</v>
      </c>
      <c r="BI51" s="21" t="str">
        <f t="shared" si="5"/>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WayshrineInfo'!$K$3:$N$9971,4,FALSE),"")))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WayshrineInfo'!$K$3:$L$9971,2,FALSE),"")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WayshrineInfo'!$K$3:$L$9971,2,FALSE),"")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 t="shared" si="1"/>
        <v>[70] = {wayshrines={36,36,36,}, dlcId=DLC_BASE_GAME</v>
      </c>
      <c r="BF52" s="21" t="str">
        <f t="shared" si="2"/>
        <v>, zoneIds={92,92,169,92}, veteran=false</v>
      </c>
      <c r="BG52" s="21" t="str">
        <f t="shared" si="3"/>
        <v>, setType=LIBSETS_SETTYPE_OVERLAND</v>
      </c>
      <c r="BH52" s="21" t="str">
        <f t="shared" si="4"/>
        <v>, dropMechanic={LIBSETS_DROP_MECHANIC_OVERLAND_BOSS_DELVE,LIBSETS_DROP_MECHANIC_OVERLAND_WORLDBOSS,LIBSETS_DROP_MECHANIC_OVERLAND_BOSS_PUBLIC_DUNGEON,LIBSETS_DROP_MECHANIC_OVERLAND_CHEST}</v>
      </c>
      <c r="BI52" s="21" t="str">
        <f t="shared" si="5"/>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WayshrineInfo'!$K$3:$N$9971,4,FALSE),"")))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WayshrineInfo'!$K$3:$L$9971,2,FALSE),"")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WayshrineInfo'!$K$3:$L$9971,2,FALSE),"")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 t="shared" si="1"/>
        <v>[71] = {wayshrines={185,185,185,}, dlcId=DLC_BASE_GAME</v>
      </c>
      <c r="BF53" s="21" t="str">
        <f t="shared" si="2"/>
        <v>, zoneIds={31,382,382}, veteran=false</v>
      </c>
      <c r="BG53" s="21" t="str">
        <f t="shared" si="3"/>
        <v>, setType=LIBSETS_SETTYPE_DUNGEON</v>
      </c>
      <c r="BH53" s="21" t="str">
        <f t="shared" si="4"/>
        <v>, dropMechanic={LIBSETS_DROP_MECHANIC_GROUP_DUNGEON_BOSS}</v>
      </c>
      <c r="BI53" s="21" t="str">
        <f t="shared" si="5"/>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WayshrineInfo'!$K$3:$N$9971,4,FALSE),"")))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WayshrineInfo'!$K$3:$L$9971,2,FALSE),"")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WayshrineInfo'!$K$3:$L$9971,2,FALSE),"")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 t="shared" si="1"/>
        <v>[72] = {wayshrines={187,187,187,}, dlcId=DLC_BASE_GAME</v>
      </c>
      <c r="BF54" s="21" t="str">
        <f t="shared" si="2"/>
        <v>, zoneIds={64,103,103}, veteran=false</v>
      </c>
      <c r="BG54" s="21" t="str">
        <f t="shared" si="3"/>
        <v>, setType=LIBSETS_SETTYPE_DUNGEON</v>
      </c>
      <c r="BH54" s="21" t="str">
        <f t="shared" si="4"/>
        <v>, dropMechanic={LIBSETS_DROP_MECHANIC_GROUP_DUNGEON_BOSS}</v>
      </c>
      <c r="BI54" s="21" t="str">
        <f t="shared" si="5"/>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WayshrineInfo'!$K$3:$N$9971,4,FALSE),"")))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WayshrineInfo'!$K$3:$L$9971,2,FALSE),"")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WayshrineInfo'!$K$3:$L$9971,2,FALSE),"")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 t="shared" si="1"/>
        <v>[73] = {wayshrines={135,135,135,}, traitsNeeded=8, dlcId=DLC_BASE_GAME</v>
      </c>
      <c r="BF55" s="21" t="str">
        <f t="shared" si="2"/>
        <v>, zoneIds={347,347,347}, veteran=false</v>
      </c>
      <c r="BG55" s="21" t="str">
        <f t="shared" si="3"/>
        <v>, setType=LIBSETS_SETTYPE_CRAFTED</v>
      </c>
      <c r="BH55" s="21" t="str">
        <f t="shared" si="4"/>
        <v>, dropMechanic={LIBSETS_DROP_MECHANIC_CRAFTED,LIBSETS_DROP_MECHANIC_CRAFTED}</v>
      </c>
      <c r="BI55" s="21" t="str">
        <f t="shared" si="5"/>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WayshrineInfo'!$K$3:$N$9971,4,FALSE),"")))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WayshrineInfo'!$K$3:$L$9971,2,FALSE),"")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WayshrineInfo'!$K$3:$L$9971,2,FALSE),"")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 t="shared" si="1"/>
        <v>[74] = {wayshrines={133,133,133,}, traitsNeeded=8, dlcId=DLC_BASE_GAME</v>
      </c>
      <c r="BF56" s="21" t="str">
        <f t="shared" si="2"/>
        <v>, zoneIds={347,347,347}, veteran=false</v>
      </c>
      <c r="BG56" s="21" t="str">
        <f t="shared" si="3"/>
        <v>, setType=LIBSETS_SETTYPE_CRAFTED</v>
      </c>
      <c r="BH56" s="21" t="str">
        <f t="shared" si="4"/>
        <v>, dropMechanic={LIBSETS_DROP_MECHANIC_CRAFTED,LIBSETS_DROP_MECHANIC_CRAFTED}</v>
      </c>
      <c r="BI56" s="21" t="str">
        <f t="shared" si="5"/>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WayshrineInfo'!$K$3:$N$9971,4,FALSE),"")))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WayshrineInfo'!$K$3:$L$9971,2,FALSE),"")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WayshrineInfo'!$K$3:$L$9971,2,FALSE),"")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 t="shared" si="1"/>
        <v>[75] = {wayshrines={19,165,24,}, traitsNeeded=3, dlcId=DLC_BASE_GAME</v>
      </c>
      <c r="BF57" s="21" t="str">
        <f t="shared" si="2"/>
        <v>, zoneIds={19,383,57}, veteran=false</v>
      </c>
      <c r="BG57" s="21" t="str">
        <f t="shared" si="3"/>
        <v>, setType=LIBSETS_SETTYPE_CRAFTED</v>
      </c>
      <c r="BH57" s="21" t="str">
        <f t="shared" si="4"/>
        <v>, isProcSetAllowedInPvP=1, dropMechanic={LIBSETS_DROP_MECHANIC_CRAFTED,LIBSETS_DROP_MECHANIC_CRAFTED,LIBSETS_DROP_MECHANIC_CRAFTED}</v>
      </c>
      <c r="BI57" s="21" t="str">
        <f t="shared" si="5"/>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WayshrineInfo'!$K$3:$N$9971,4,FALSE),"")))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WayshrineInfo'!$K$3:$L$9971,2,FALSE),"")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WayshrineInfo'!$K$3:$L$9971,2,FALSE),"")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 t="shared" si="1"/>
        <v>[76] = {wayshrines={-1,-1,-1,}, dlcId=DLC_BASE_GAME</v>
      </c>
      <c r="BF58" s="21" t="str">
        <f t="shared" si="2"/>
        <v>, zoneIds={181,181,181,181,181,181}, veteran=false</v>
      </c>
      <c r="BG58" s="21" t="str">
        <f t="shared" si="3"/>
        <v>, setType=LIBSETS_SETTYPE_CYRODIIL</v>
      </c>
      <c r="BH58" s="21"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5"/>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WayshrineInfo'!$K$3:$N$9971,4,FALSE),"")))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WayshrineInfo'!$K$3:$L$9971,2,FALSE),"")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WayshrineInfo'!$K$3:$L$9971,2,FALSE),"")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 t="shared" si="1"/>
        <v>[77] = {wayshrines={196,196,196,}, dlcId=DLC_BASE_GAME</v>
      </c>
      <c r="BF59" s="21" t="str">
        <f t="shared" si="2"/>
        <v>, zoneIds={22,104,104}, veteran=false</v>
      </c>
      <c r="BG59" s="21" t="str">
        <f t="shared" si="3"/>
        <v>, setType=LIBSETS_SETTYPE_DUNGEON</v>
      </c>
      <c r="BH59" s="21" t="str">
        <f t="shared" si="4"/>
        <v>, dropMechanic={LIBSETS_DROP_MECHANIC_GROUP_DUNGEON_BOSS}</v>
      </c>
      <c r="BI59" s="21" t="str">
        <f t="shared" si="5"/>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WayshrineInfo'!$K$3:$N$9971,4,FALSE),"")))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WayshrineInfo'!$K$3:$L$9971,2,FALSE),"")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WayshrineInfo'!$K$3:$L$9971,2,FALSE),"")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 t="shared" si="1"/>
        <v>[78] = {wayshrines={9,154,51,}, traitsNeeded=4, dlcId=DLC_BASE_GAME</v>
      </c>
      <c r="BF60" s="21" t="str">
        <f t="shared" si="2"/>
        <v>, zoneIds={20,108,117}, veteran=false</v>
      </c>
      <c r="BG60" s="21" t="str">
        <f t="shared" si="3"/>
        <v>, setType=LIBSETS_SETTYPE_CRAFTED</v>
      </c>
      <c r="BH60" s="21" t="str">
        <f t="shared" si="4"/>
        <v>, dropMechanic={LIBSETS_DROP_MECHANIC_CRAFTED,LIBSETS_DROP_MECHANIC_CRAFTED,LIBSETS_DROP_MECHANIC_CRAFTED}</v>
      </c>
      <c r="BI60" s="21" t="str">
        <f t="shared" si="5"/>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WayshrineInfo'!$K$3:$N$9971,4,FALSE),"")))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WayshrineInfo'!$K$3:$L$9971,2,FALSE),"")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WayshrineInfo'!$K$3:$L$9971,2,FALSE),"")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 t="shared" si="1"/>
        <v>[79] = {wayshrines={35,144,111,}, traitsNeeded=6, dlcId=DLC_BASE_GAME</v>
      </c>
      <c r="BF61" s="21" t="str">
        <f t="shared" si="2"/>
        <v>, zoneIds={92,382,103}, veteran=false</v>
      </c>
      <c r="BG61" s="21" t="str">
        <f t="shared" si="3"/>
        <v>, setType=LIBSETS_SETTYPE_CRAFTED</v>
      </c>
      <c r="BH61" s="21" t="str">
        <f t="shared" si="4"/>
        <v>, isProcSetAllowedInPvP=1, dropMechanic={LIBSETS_DROP_MECHANIC_CRAFTED,LIBSETS_DROP_MECHANIC_CRAFTED,LIBSETS_DROP_MECHANIC_CRAFTED}</v>
      </c>
      <c r="BI61" s="21" t="str">
        <f t="shared" si="5"/>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WayshrineInfo'!$K$3:$N$9971,4,FALSE),"")))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WayshrineInfo'!$K$3:$L$9971,2,FALSE),"")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WayshrineInfo'!$K$3:$L$9971,2,FALSE),"")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 t="shared" si="1"/>
        <v>[80] = {wayshrines={39,161,113,}, traitsNeeded=6, dlcId=DLC_BASE_GAME</v>
      </c>
      <c r="BF62" s="21" t="str">
        <f t="shared" si="2"/>
        <v>, zoneIds={92,382,103}, veteran=false</v>
      </c>
      <c r="BG62" s="21" t="str">
        <f t="shared" si="3"/>
        <v>, setType=LIBSETS_SETTYPE_CRAFTED</v>
      </c>
      <c r="BH62" s="21" t="str">
        <f t="shared" si="4"/>
        <v>, dropMechanic={LIBSETS_DROP_MECHANIC_CRAFTED,LIBSETS_DROP_MECHANIC_CRAFTED,LIBSETS_DROP_MECHANIC_CRAFTED}</v>
      </c>
      <c r="BI62" s="21" t="str">
        <f t="shared" si="5"/>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WayshrineInfo'!$K$3:$N$9971,4,FALSE),"")))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WayshrineInfo'!$K$3:$L$9971,2,FALSE),"")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WayshrineInfo'!$K$3:$L$9971,2,FALSE),"")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 t="shared" si="1"/>
        <v>[81] = {wayshrines={137,103,89,}, traitsNeeded=5, dlcId=DLC_BASE_GAME</v>
      </c>
      <c r="BF63" s="21" t="str">
        <f t="shared" si="2"/>
        <v>, zoneIds={104,58,101}, veteran=false</v>
      </c>
      <c r="BG63" s="21" t="str">
        <f t="shared" si="3"/>
        <v>, setType=LIBSETS_SETTYPE_CRAFTED</v>
      </c>
      <c r="BH63" s="21" t="str">
        <f t="shared" si="4"/>
        <v>, dropMechanic={LIBSETS_DROP_MECHANIC_CRAFTED,LIBSETS_DROP_MECHANIC_CRAFTED,LIBSETS_DROP_MECHANIC_CRAFTED}</v>
      </c>
      <c r="BI63" s="21" t="str">
        <f t="shared" si="5"/>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WayshrineInfo'!$K$3:$N$9971,4,FALSE),"")))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WayshrineInfo'!$K$3:$L$9971,2,FALSE),"")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WayshrineInfo'!$K$3:$L$9971,2,FALSE),"")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 t="shared" si="1"/>
        <v>[82] = {wayshrines={155,105,95,}, traitsNeeded=5, dlcId=DLC_BASE_GAME</v>
      </c>
      <c r="BF64" s="21" t="str">
        <f t="shared" si="2"/>
        <v>, zoneIds={104,58,101}, veteran=false</v>
      </c>
      <c r="BG64" s="21" t="str">
        <f t="shared" si="3"/>
        <v>, setType=LIBSETS_SETTYPE_CRAFTED</v>
      </c>
      <c r="BH64" s="21" t="str">
        <f t="shared" si="4"/>
        <v>, dropMechanic={LIBSETS_DROP_MECHANIC_CRAFTED,LIBSETS_DROP_MECHANIC_CRAFTED,LIBSETS_DROP_MECHANIC_CRAFTED}</v>
      </c>
      <c r="BI64" s="21" t="str">
        <f t="shared" si="5"/>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WayshrineInfo'!$K$3:$N$9971,4,FALSE),"")))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WayshrineInfo'!$K$3:$L$9971,2,FALSE),"")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WayshrineInfo'!$K$3:$L$9971,2,FALSE),"")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 t="shared" si="1"/>
        <v>[83] = {wayshrines={-1,-1,-1,}, dlcId=DLC_BASE_GAME</v>
      </c>
      <c r="BF65" s="21" t="str">
        <f t="shared" si="2"/>
        <v>, zoneIds={181,181,181,181,181,181}, veteran=false</v>
      </c>
      <c r="BG65" s="21" t="str">
        <f t="shared" si="3"/>
        <v>, setType=LIBSETS_SETTYPE_CYRODIIL</v>
      </c>
      <c r="BH65" s="21"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5"/>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WayshrineInfo'!$K$3:$N$9971,4,FALSE),"")))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WayshrineInfo'!$K$3:$L$9971,2,FALSE),"")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WayshrineInfo'!$K$3:$L$9971,2,FALSE),"")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 t="shared" si="1"/>
        <v>[84] = {wayshrines={-2,-2,-2,}, traitsNeeded=8, dlcId=DLC_BASE_GAME</v>
      </c>
      <c r="BF66" s="21" t="str">
        <f t="shared" si="2"/>
        <v>, zoneIds={208,643}, veteran=false</v>
      </c>
      <c r="BG66" s="21" t="str">
        <f t="shared" si="3"/>
        <v>, setType=LIBSETS_SETTYPE_CRAFTED</v>
      </c>
      <c r="BH66" s="21" t="str">
        <f t="shared" si="4"/>
        <v>, isProcSetAllowedInPvP=1, dropMechanic={LIBSETS_DROP_MECHANIC_CRAFTED,LIBSETS_DROP_MECHANIC_CRAFTED}</v>
      </c>
      <c r="BI66" s="21" t="str">
        <f t="shared" si="5"/>
        <v>}, --Orgnum\'s Scales / Orgnums Schuppen   [The Earth Forge, Imperial Sewers]</v>
      </c>
    </row>
    <row r="67" spans="1:61" x14ac:dyDescent="0.25">
      <c r="A67" s="12">
        <v>85</v>
      </c>
      <c r="B67" t="s">
        <v>816</v>
      </c>
      <c r="C67" t="s">
        <v>2558</v>
      </c>
      <c r="D67" s="3">
        <f t="shared" ref="D67:D130" si="6">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WayshrineInfo'!$K$3:$N$9971,4,FALSE),"")))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WayshrineInfo'!$K$3:$L$9971,2,FALSE),"")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WayshrineInfo'!$K$3:$L$9971,2,FALSE),"")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 t="shared" ref="BG67:BG130" si="9">IF(A67&lt;&gt;"",IF(F67&lt;&gt;"Not in the game (anymore)",IF(A67&lt;&gt;"",", setType="&amp;G67,"")&amp;IF(G67="LIBSETS_SETTYPE_CLASS",", classId="&amp;BC67,"")&amp;IF(J67="true",", multiTrialSet=true",""),"")
&amp; IF(AND(H67&lt;&gt;"",ISNUMBER(H67)),", undauntedChestId=" &amp; H67,""),"")</f>
        <v>, setType=LIBSETS_SETTYPE_CYRODIIL</v>
      </c>
      <c r="BH67" s="21" t="str">
        <f t="shared" ref="BH67:BH130" si="10">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ref="BI67:BI130" si="11">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 t="shared" si="6"/>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WayshrineInfo'!$K$3:$N$9971,4,FALSE),"")))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WayshrineInfo'!$K$3:$L$9971,2,FALSE),"")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WayshrineInfo'!$K$3:$L$9971,2,FALSE),"")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 t="shared" si="7"/>
        <v>[86] = {wayshrines={121,121,121,}, dlcId=DLC_BASE_GAME</v>
      </c>
      <c r="BF68" s="21" t="str">
        <f t="shared" si="8"/>
        <v>, zoneIds={381,381,486,381}, veteran=false</v>
      </c>
      <c r="BG68" s="21" t="str">
        <f t="shared" si="9"/>
        <v>, setType=LIBSETS_SETTYPE_OVERLAND</v>
      </c>
      <c r="BH68" s="21" t="str">
        <f t="shared" si="10"/>
        <v>, dropMechanic={LIBSETS_DROP_MECHANIC_OVERLAND_BOSS_DELVE,LIBSETS_DROP_MECHANIC_OVERLAND_WORLDBOSS,LIBSETS_DROP_MECHANIC_OVERLAND_BOSS_PUBLIC_DUNGEON,LIBSETS_DROP_MECHANIC_OVERLAND_CHEST}</v>
      </c>
      <c r="BI68" s="21" t="str">
        <f t="shared" si="11"/>
        <v>}, --Queen\'s Elegance / Eleganz der Königin   [Auridon, Auridon, Toothmaul Gully, Auridon]</v>
      </c>
    </row>
    <row r="69" spans="1:61" x14ac:dyDescent="0.25">
      <c r="A69" s="5">
        <v>87</v>
      </c>
      <c r="B69" t="s">
        <v>818</v>
      </c>
      <c r="C69" t="s">
        <v>819</v>
      </c>
      <c r="D69" s="3">
        <f t="shared" si="6"/>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WayshrineInfo'!$K$3:$N$9971,4,FALSE),"")))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WayshrineInfo'!$K$3:$L$9971,2,FALSE),"")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WayshrineInfo'!$K$3:$L$9971,2,FALSE),"")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 t="shared" si="7"/>
        <v>[87] = {wayshrines={-2,-2,-2,}, traitsNeeded=8, dlcId=DLC_BASE_GAME</v>
      </c>
      <c r="BF69" s="21" t="str">
        <f t="shared" si="8"/>
        <v>, zoneIds={267,643}, veteran=false</v>
      </c>
      <c r="BG69" s="21" t="str">
        <f t="shared" si="9"/>
        <v>, setType=LIBSETS_SETTYPE_CRAFTED</v>
      </c>
      <c r="BH69" s="21" t="str">
        <f t="shared" si="10"/>
        <v>, isProcSetAllowedInPvP=1, dropMechanic={LIBSETS_DROP_MECHANIC_CRAFTED,LIBSETS_DROP_MECHANIC_CRAFTED}</v>
      </c>
      <c r="BI69" s="21" t="str">
        <f t="shared" si="11"/>
        <v>}, --Eyes of Mara / Augen von Mara   [Eyevea, Imperial Sewers]</v>
      </c>
    </row>
    <row r="70" spans="1:61" x14ac:dyDescent="0.25">
      <c r="A70" s="12">
        <v>88</v>
      </c>
      <c r="B70" t="s">
        <v>820</v>
      </c>
      <c r="C70" t="s">
        <v>821</v>
      </c>
      <c r="D70" s="3">
        <f t="shared" si="6"/>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WayshrineInfo'!$K$3:$N$9971,4,FALSE),"")))</f>
        <v>Dragonstar Arena</v>
      </c>
      <c r="T70" s="19" t="str">
        <f>IF(AND(S70&lt;&gt;"",NOT(ISERROR(S70))),S70,IF(Q70&lt;&gt;"",IF(NOT(ISERROR(VLOOKUP(Q70,'ESO Dungeon constants'!$D$3:$H$9999,5,FALSE))),VLOOKUP(Q70,'ESO Dungeon constants'!$D$3:$I$9999,6,FALSE),VLOOKUP(Q70,'ESO zone constants'!$H$3:$K$9989,4,FALSE)),""))</f>
        <v>DLC_BASE_GAME</v>
      </c>
      <c r="U70" s="3" t="str">
        <f>IF(T70&lt;&gt;"",VLOOKUP(T70,'LibSets constants'!$B$4:$C$1017,2,FALSE),"")</f>
        <v>Included in base game</v>
      </c>
      <c r="V70" s="33" t="s">
        <v>1547</v>
      </c>
      <c r="Y70" s="61"/>
      <c r="Z70" s="3">
        <f>IF(AND(G70&lt;&gt;"LIBSETS_SETTYPE_BATTLEGROUND",G70&lt;&gt;"LIBSETS_SETTYPE_SPECIAL"),
IF(AND(Y70&lt;&gt;"",ISNUMBER(Y70),NOT(ISNA(Y70))),Y70,
   IF(AND(L70&lt;&gt;"",ISNUMBER(L70),L70&gt;0,NOT(ISNA(L70))),VLOOKUP(L70,'ESO dumped WayshrineInfo'!$K$3:$L$9971,2,FALSE),"")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WayshrineInfo'!$K$3:$L$9971,2,FALSE),"")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 t="shared" si="7"/>
        <v>[88] = {wayshrines={270,270,270,}, dlcId=DLC_BASE_GAME</v>
      </c>
      <c r="BF70" s="21" t="str">
        <f t="shared" si="8"/>
        <v>, zoneIds={635,888,888}, veteran=false</v>
      </c>
      <c r="BG70" s="21" t="str">
        <f t="shared" si="9"/>
        <v>, setType=LIBSETS_SETTYPE_ARENA</v>
      </c>
      <c r="BH70" s="21" t="str">
        <f t="shared" si="10"/>
        <v>, isProcSetAllowedInPvP=1, dropMechanic={LIBSETS_DROP_MECHANIC_ARENA_STAGE_CHEST,LIBSETS_DROP_MECHANIC_ARENA_STAGE_CHEST}</v>
      </c>
      <c r="BI70" s="21" t="str">
        <f t="shared" si="11"/>
        <v>}, --Robes of Destruction Mastery / Roben der Zerstörungsbeherrschung   [Dragonstar Arena, Craglorn, Craglorn]</v>
      </c>
    </row>
    <row r="71" spans="1:61" x14ac:dyDescent="0.25">
      <c r="A71" s="12">
        <v>89</v>
      </c>
      <c r="B71" t="s">
        <v>822</v>
      </c>
      <c r="C71" t="s">
        <v>823</v>
      </c>
      <c r="D71" s="3">
        <f t="shared" si="6"/>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WayshrineInfo'!$K$3:$N$9971,4,FALSE),"")))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WayshrineInfo'!$K$3:$L$9971,2,FALSE),"")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WayshrineInfo'!$K$3:$L$9971,2,FALSE),"")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 t="shared" si="7"/>
        <v>[89] = {wayshrines={-1,-1,-1,}, dlcId=DLC_BASE_GAME</v>
      </c>
      <c r="BF71" s="21" t="str">
        <f t="shared" si="8"/>
        <v>, zoneIds={181,181,181,181,181,181}, veteran=false</v>
      </c>
      <c r="BG71" s="21" t="str">
        <f t="shared" si="9"/>
        <v>, setType=LIBSETS_SETTYPE_CYRODIIL</v>
      </c>
      <c r="BH71"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1"/>
        <v>}, --Sentry / Wachposten   [Cyrodiil, Cyrodiil, Cyrodiil, Cyrodiil, Cyrodiil, Cyrodiil]</v>
      </c>
    </row>
    <row r="72" spans="1:61" x14ac:dyDescent="0.25">
      <c r="A72" s="12">
        <v>90</v>
      </c>
      <c r="B72" t="s">
        <v>824</v>
      </c>
      <c r="C72" t="s">
        <v>2560</v>
      </c>
      <c r="D72" s="3">
        <f t="shared" si="6"/>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WayshrineInfo'!$K$3:$N$9971,4,FALSE),"")))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WayshrineInfo'!$K$3:$L$9971,2,FALSE),"")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WayshrineInfo'!$K$3:$L$9971,2,FALSE),"")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 t="shared" si="7"/>
        <v>[90] = {wayshrines={162,162,162,}, dlcId=DLC_BASE_GAME</v>
      </c>
      <c r="BF72" s="21" t="str">
        <f t="shared" si="8"/>
        <v>, zoneIds={382,382,487,382}, veteran=false</v>
      </c>
      <c r="BG72" s="21" t="str">
        <f t="shared" si="9"/>
        <v>, setType=LIBSETS_SETTYPE_OVERLAND</v>
      </c>
      <c r="BH72" s="21" t="str">
        <f t="shared" si="10"/>
        <v>, dropMechanic={LIBSETS_DROP_MECHANIC_OVERLAND_BOSS_DELVE,LIBSETS_DROP_MECHANIC_OVERLAND_WORLDBOSS,LIBSETS_DROP_MECHANIC_OVERLAND_BOSS_PUBLIC_DUNGEON,LIBSETS_DROP_MECHANIC_OVERLAND_CHEST}</v>
      </c>
      <c r="BI72" s="21" t="str">
        <f t="shared" si="11"/>
        <v>}, --Senche\'s Bite / Biss des Senche   [Reaper's March, Reaper's March, The Vile Manse, Reaper's March]</v>
      </c>
    </row>
    <row r="73" spans="1:61" x14ac:dyDescent="0.25">
      <c r="A73" s="12">
        <v>91</v>
      </c>
      <c r="B73" t="s">
        <v>825</v>
      </c>
      <c r="C73" t="s">
        <v>2561</v>
      </c>
      <c r="D73" s="3">
        <f t="shared" si="6"/>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WayshrineInfo'!$K$3:$N$9971,4,FALSE),"")))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WayshrineInfo'!$K$3:$L$9971,2,FALSE),"")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WayshrineInfo'!$K$3:$L$9971,2,FALSE),"")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 t="shared" si="7"/>
        <v>[91] = {wayshrines={184,184,184,}, dlcId=DLC_BASE_GAME</v>
      </c>
      <c r="BF73" s="21" t="str">
        <f t="shared" si="8"/>
        <v>, zoneIds={11,347,347}, veteran=false</v>
      </c>
      <c r="BG73" s="21" t="str">
        <f t="shared" si="9"/>
        <v>, setType=LIBSETS_SETTYPE_DUNGEON</v>
      </c>
      <c r="BH73" s="21" t="str">
        <f t="shared" si="10"/>
        <v>, dropMechanic={LIBSETS_DROP_MECHANIC_GROUP_DUNGEON_BOSS}</v>
      </c>
      <c r="BI73" s="21" t="str">
        <f t="shared" si="11"/>
        <v>}, --Oblivion\'s Edge / Vorteil des Vergessens   [Vaults of Madness, Coldharbour, Coldharbour]</v>
      </c>
    </row>
    <row r="74" spans="1:61" x14ac:dyDescent="0.25">
      <c r="A74" s="5">
        <v>92</v>
      </c>
      <c r="B74" t="s">
        <v>826</v>
      </c>
      <c r="C74" t="s">
        <v>2562</v>
      </c>
      <c r="D74" s="3">
        <f t="shared" si="6"/>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WayshrineInfo'!$K$3:$N$9971,4,FALSE),"")))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WayshrineInfo'!$K$3:$L$9971,2,FALSE),"")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WayshrineInfo'!$K$3:$L$9971,2,FALSE),"")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 t="shared" si="7"/>
        <v>[92] = {wayshrines={-2,-2,-2,}, traitsNeeded=8, dlcId=DLC_BASE_GAME</v>
      </c>
      <c r="BF74" s="21" t="str">
        <f t="shared" si="8"/>
        <v>, zoneIds={208,643}, veteran=false</v>
      </c>
      <c r="BG74" s="21" t="str">
        <f t="shared" si="9"/>
        <v>, setType=LIBSETS_SETTYPE_CRAFTED</v>
      </c>
      <c r="BH74" s="21" t="str">
        <f t="shared" si="10"/>
        <v>, dropMechanic={LIBSETS_DROP_MECHANIC_CRAFTED,LIBSETS_DROP_MECHANIC_CRAFTED}</v>
      </c>
      <c r="BI74" s="21" t="str">
        <f t="shared" si="11"/>
        <v>}, --Kagrenac\'s Hope / Kagrenacs Hoffnung   [The Earth Forge, Imperial Sewers]</v>
      </c>
    </row>
    <row r="75" spans="1:61" x14ac:dyDescent="0.25">
      <c r="A75" s="12">
        <v>93</v>
      </c>
      <c r="B75" t="s">
        <v>827</v>
      </c>
      <c r="C75" t="s">
        <v>2563</v>
      </c>
      <c r="D75" s="3">
        <f t="shared" si="6"/>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WayshrineInfo'!$K$3:$N$9971,4,FALSE),"")))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WayshrineInfo'!$K$3:$L$9971,2,FALSE),"")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WayshrineInfo'!$K$3:$L$9971,2,FALSE),"")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 t="shared" si="7"/>
        <v>[93] = {wayshrines={17,17,17,}, dlcId=DLC_BASE_GAME</v>
      </c>
      <c r="BF75" s="21" t="str">
        <f t="shared" si="8"/>
        <v>, zoneIds={19,19,142,19}, veteran=false</v>
      </c>
      <c r="BG75" s="21" t="str">
        <f t="shared" si="9"/>
        <v>, setType=LIBSETS_SETTYPE_OVERLAND</v>
      </c>
      <c r="BH75" s="21" t="str">
        <f t="shared" si="10"/>
        <v>, dropMechanic={LIBSETS_DROP_MECHANIC_OVERLAND_BOSS_DELVE,LIBSETS_DROP_MECHANIC_OVERLAND_WORLDBOSS,LIBSETS_DROP_MECHANIC_OVERLAND_BOSS_PUBLIC_DUNGEON,LIBSETS_DROP_MECHANIC_OVERLAND_CHEST}</v>
      </c>
      <c r="BI75" s="21" t="str">
        <f t="shared" si="11"/>
        <v>}, --Storm Knight\'s Plate / Wut des Sturmritters   [Stormhaven, Stormhaven, Bonesnap Ruins, Stormhaven]</v>
      </c>
    </row>
    <row r="76" spans="1:61" x14ac:dyDescent="0.25">
      <c r="A76" s="12">
        <v>94</v>
      </c>
      <c r="B76" t="s">
        <v>828</v>
      </c>
      <c r="C76" t="s">
        <v>2564</v>
      </c>
      <c r="D76" s="3">
        <f t="shared" si="6"/>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WayshrineInfo'!$K$3:$N$9971,4,FALSE),"")))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WayshrineInfo'!$K$3:$L$9971,2,FALSE),"")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WayshrineInfo'!$K$3:$L$9971,2,FALSE),"")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 t="shared" si="7"/>
        <v>[94] = {wayshrines={131,131,131,}, dlcId=DLC_BASE_GAME</v>
      </c>
      <c r="BF76" s="21" t="str">
        <f t="shared" si="8"/>
        <v>, zoneIds={347,347,557,347}, veteran=false</v>
      </c>
      <c r="BG76" s="21" t="str">
        <f t="shared" si="9"/>
        <v>, setType=LIBSETS_SETTYPE_OVERLAND</v>
      </c>
      <c r="BH76" s="21" t="str">
        <f t="shared" si="10"/>
        <v>, dropMechanic={LIBSETS_DROP_MECHANIC_OVERLAND_BOSS_DELVE,LIBSETS_DROP_MECHANIC_OVERLAND_WORLDBOSS,LIBSETS_DROP_MECHANIC_OVERLAND_BOSS_PUBLIC_DUNGEON,LIBSETS_DROP_MECHANIC_OVERLAND_CHEST}</v>
      </c>
      <c r="BI76" s="21" t="str">
        <f t="shared" si="11"/>
        <v>}, --Meridia\'s Blessed Armor / Meridias gesegnete Rüstung   [Coldharbour, Coldharbour, Village of the Lost, Coldharbour]</v>
      </c>
    </row>
    <row r="77" spans="1:61" x14ac:dyDescent="0.25">
      <c r="A77" s="5">
        <v>95</v>
      </c>
      <c r="B77" t="s">
        <v>829</v>
      </c>
      <c r="C77" t="s">
        <v>2565</v>
      </c>
      <c r="D77" s="3">
        <f t="shared" si="6"/>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WayshrineInfo'!$K$3:$N$9971,4,FALSE),"")))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WayshrineInfo'!$K$3:$L$9971,2,FALSE),"")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WayshrineInfo'!$K$3:$L$9971,2,FALSE),"")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 t="shared" si="7"/>
        <v>[95] = {wayshrines={-2,-2,-2,}, traitsNeeded=8, dlcId=DLC_BASE_GAME</v>
      </c>
      <c r="BF77" s="21" t="str">
        <f t="shared" si="8"/>
        <v>, zoneIds={267,643}, veteran=false</v>
      </c>
      <c r="BG77" s="21" t="str">
        <f t="shared" si="9"/>
        <v>, setType=LIBSETS_SETTYPE_CRAFTED</v>
      </c>
      <c r="BH77" s="21" t="str">
        <f t="shared" si="10"/>
        <v>, dropMechanic={LIBSETS_DROP_MECHANIC_CRAFTED,LIBSETS_DROP_MECHANIC_CRAFTED}</v>
      </c>
      <c r="BI77" s="21" t="str">
        <f t="shared" si="11"/>
        <v>}, --Shalidor\'s Curse / Shalidors Fluch   [Eyevea, Imperial Sewers]</v>
      </c>
    </row>
    <row r="78" spans="1:61" x14ac:dyDescent="0.25">
      <c r="A78" s="12">
        <v>96</v>
      </c>
      <c r="B78" t="s">
        <v>830</v>
      </c>
      <c r="C78" t="s">
        <v>831</v>
      </c>
      <c r="D78" s="3">
        <f t="shared" si="6"/>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WayshrineInfo'!$K$3:$N$9971,4,FALSE),"")))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WayshrineInfo'!$K$3:$L$9971,2,FALSE),"")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WayshrineInfo'!$K$3:$L$9971,2,FALSE),"")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 t="shared" si="7"/>
        <v>[96] = {wayshrines={198,198,198,}, dlcId=DLC_BASE_GAME</v>
      </c>
      <c r="BF78" s="21" t="str">
        <f t="shared" si="8"/>
        <v>, zoneIds={63,930,57}, veteran=false</v>
      </c>
      <c r="BG78" s="21" t="str">
        <f t="shared" si="9"/>
        <v>, setType=LIBSETS_SETTYPE_DUNGEON</v>
      </c>
      <c r="BH78" s="21" t="str">
        <f t="shared" si="10"/>
        <v>, dropMechanic={LIBSETS_DROP_MECHANIC_GROUP_DUNGEON_BOSS,LIBSETS_DROP_MECHANIC_GROUP_DUNGEON_BOSS}</v>
      </c>
      <c r="BI78" s="21" t="str">
        <f t="shared" si="11"/>
        <v>}, --Armor of Truth / Rüstung der Wahrheit   [Darkshade Caverns I, Darkshade Caverns II, Deshaan]</v>
      </c>
    </row>
    <row r="79" spans="1:61" x14ac:dyDescent="0.25">
      <c r="A79" s="12">
        <v>97</v>
      </c>
      <c r="B79" t="s">
        <v>832</v>
      </c>
      <c r="C79" t="s">
        <v>833</v>
      </c>
      <c r="D79" s="3">
        <f t="shared" si="6"/>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WayshrineInfo'!$K$3:$N$9971,4,FALSE),"")))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WayshrineInfo'!$K$3:$L$9971,2,FALSE),"")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WayshrineInfo'!$K$3:$L$9971,2,FALSE),"")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 t="shared" si="7"/>
        <v>[97] = {wayshrines={-1,-1,-1,}, dlcId=DLC_BASE_GAME</v>
      </c>
      <c r="BF79" s="21" t="str">
        <f t="shared" si="8"/>
        <v>, zoneIds={181,181,181,181,181,181}, veteran=false</v>
      </c>
      <c r="BG79" s="21" t="str">
        <f t="shared" si="9"/>
        <v>, setType=LIBSETS_SETTYPE_CYRODIIL</v>
      </c>
      <c r="BH79"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1"/>
        <v>}, --The Arch-Mage / Erzmagier   [Cyrodiil, Cyrodiil, Cyrodiil, Cyrodiil, Cyrodiil, Cyrodiil]</v>
      </c>
    </row>
    <row r="80" spans="1:61" x14ac:dyDescent="0.25">
      <c r="A80" s="12">
        <v>98</v>
      </c>
      <c r="B80" t="s">
        <v>834</v>
      </c>
      <c r="C80" t="s">
        <v>835</v>
      </c>
      <c r="D80" s="3">
        <f t="shared" si="6"/>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WayshrineInfo'!$K$3:$N$9971,4,FALSE),"")))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WayshrineInfo'!$K$3:$L$9971,2,FALSE),"")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WayshrineInfo'!$K$3:$L$9971,2,FALSE),"")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 t="shared" si="7"/>
        <v>[98] = {wayshrines={55,55,55,}, dlcId=DLC_BASE_GAME</v>
      </c>
      <c r="BF80" s="21" t="str">
        <f t="shared" si="8"/>
        <v>, zoneIds={20,20,162,20}, veteran=false</v>
      </c>
      <c r="BG80" s="21" t="str">
        <f t="shared" si="9"/>
        <v>, setType=LIBSETS_SETTYPE_OVERLAND</v>
      </c>
      <c r="BH80" s="21" t="str">
        <f t="shared" si="10"/>
        <v>, dropMechanic={LIBSETS_DROP_MECHANIC_OVERLAND_BOSS_DELVE,LIBSETS_DROP_MECHANIC_OVERLAND_WORLDBOSS,LIBSETS_DROP_MECHANIC_OVERLAND_BOSS_PUBLIC_DUNGEON,LIBSETS_DROP_MECHANIC_OVERLAND_CHEST}</v>
      </c>
      <c r="BI80" s="21" t="str">
        <f t="shared" si="11"/>
        <v>}, --Necropotence / Nekropotenz   [Rivenspire, Rivenspire, Obsidian Scar, Rivenspire]</v>
      </c>
    </row>
    <row r="81" spans="1:61" x14ac:dyDescent="0.25">
      <c r="A81" s="12">
        <v>99</v>
      </c>
      <c r="B81" t="s">
        <v>836</v>
      </c>
      <c r="C81" t="s">
        <v>837</v>
      </c>
      <c r="D81" s="3">
        <f t="shared" si="6"/>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WayshrineInfo'!$K$3:$N$9971,4,FALSE),"")))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WayshrineInfo'!$K$3:$L$9971,2,FALSE),"")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WayshrineInfo'!$K$3:$L$9971,2,FALSE),"")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 t="shared" si="7"/>
        <v>[99] = {wayshrines={102,102,102,}, dlcId=DLC_BASE_GAME</v>
      </c>
      <c r="BF81" s="21" t="str">
        <f t="shared" si="8"/>
        <v>, zoneIds={58,58,138,58}, veteran=false</v>
      </c>
      <c r="BG81" s="21" t="str">
        <f t="shared" si="9"/>
        <v>, setType=LIBSETS_SETTYPE_OVERLAND</v>
      </c>
      <c r="BH81" s="21" t="str">
        <f t="shared" si="10"/>
        <v>, isProcSetAllowedInPvP=1, dropMechanic={LIBSETS_DROP_MECHANIC_OVERLAND_BOSS_DELVE,LIBSETS_DROP_MECHANIC_OVERLAND_WORLDBOSS,LIBSETS_DROP_MECHANIC_OVERLAND_BOSS_PUBLIC_DUNGEON,LIBSETS_DROP_MECHANIC_OVERLAND_CHEST}</v>
      </c>
      <c r="BI81" s="21" t="str">
        <f t="shared" si="11"/>
        <v>}, --Salvation / Erlösung   [Malabal Tor, Malabal Tor, Crimson Cove, Malabal Tor]</v>
      </c>
    </row>
    <row r="82" spans="1:61" x14ac:dyDescent="0.25">
      <c r="A82" s="12">
        <v>100</v>
      </c>
      <c r="B82" t="s">
        <v>838</v>
      </c>
      <c r="C82" t="s">
        <v>2566</v>
      </c>
      <c r="D82" s="3">
        <f t="shared" si="6"/>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WayshrineInfo'!$K$3:$N$9971,4,FALSE),"")))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WayshrineInfo'!$K$3:$L$9971,2,FALSE),"")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WayshrineInfo'!$K$3:$L$9971,2,FALSE),"")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 t="shared" si="7"/>
        <v>[100] = {wayshrines={-1,-1,-1,}, dlcId=DLC_BASE_GAME</v>
      </c>
      <c r="BF82" s="21" t="str">
        <f t="shared" si="8"/>
        <v>, zoneIds={181,181,181,181,181,181}, veteran=false</v>
      </c>
      <c r="BG82" s="21" t="str">
        <f t="shared" si="9"/>
        <v>, setType=LIBSETS_SETTYPE_CYRODIIL</v>
      </c>
      <c r="BH82"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1"/>
        <v>}, --Hawk\'s Eye / Falkenauge   [Cyrodiil, Cyrodiil, Cyrodiil, Cyrodiil, Cyrodiil, Cyrodiil]</v>
      </c>
    </row>
    <row r="83" spans="1:61" x14ac:dyDescent="0.25">
      <c r="A83" s="12">
        <v>101</v>
      </c>
      <c r="B83" t="s">
        <v>2760</v>
      </c>
      <c r="C83" t="s">
        <v>839</v>
      </c>
      <c r="D83" s="3">
        <f t="shared" si="6"/>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WayshrineInfo'!$K$3:$N$9971,4,FALSE),"")))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WayshrineInfo'!$K$3:$L$9971,2,FALSE),"")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WayshrineInfo'!$K$3:$L$9971,2,FALSE),"")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 t="shared" si="7"/>
        <v>[101] = {wayshrines={-1,-1,-1,}, dlcId=DLC_BASE_GAME</v>
      </c>
      <c r="BF83" s="21" t="str">
        <f t="shared" si="8"/>
        <v>, zoneIds={181,181,181,181,181,181}, veteran=false</v>
      </c>
      <c r="BG83" s="21" t="str">
        <f t="shared" si="9"/>
        <v>, setType=LIBSETS_SETTYPE_CYRODIIL</v>
      </c>
      <c r="BH83"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1"/>
        <v>}, --Affliction / Elend (Befallen)   [Cyrodiil, Cyrodiil, Cyrodiil, Cyrodiil, Cyrodiil, Cyrodiil]</v>
      </c>
    </row>
    <row r="84" spans="1:61" x14ac:dyDescent="0.25">
      <c r="A84" s="12">
        <v>102</v>
      </c>
      <c r="B84" t="s">
        <v>840</v>
      </c>
      <c r="C84" t="s">
        <v>2567</v>
      </c>
      <c r="D84" s="3">
        <f t="shared" si="6"/>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WayshrineInfo'!$K$3:$N$9971,4,FALSE),"")))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WayshrineInfo'!$K$3:$L$9971,2,FALSE),"")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WayshrineInfo'!$K$3:$L$9971,2,FALSE),"")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 t="shared" si="7"/>
        <v>[102] = {wayshrines={196,196,196,}, dlcId=DLC_BASE_GAME</v>
      </c>
      <c r="BF84" s="21" t="str">
        <f t="shared" si="8"/>
        <v>, zoneIds={22,104,104}, veteran=false</v>
      </c>
      <c r="BG84" s="21" t="str">
        <f t="shared" si="9"/>
        <v>, setType=LIBSETS_SETTYPE_DUNGEON</v>
      </c>
      <c r="BH84" s="21" t="str">
        <f t="shared" si="10"/>
        <v>, isProcSetAllowedInPvP=1, dropMechanic={LIBSETS_DROP_MECHANIC_GROUP_DUNGEON_BOSS}</v>
      </c>
      <c r="BI84" s="21" t="str">
        <f t="shared" si="11"/>
        <v>}, --Duneripper\'s Scales / Schuppen des Dünenbrechers   [Volenfell, Alik'r Desert, Alik'r Desert]</v>
      </c>
    </row>
    <row r="85" spans="1:61" x14ac:dyDescent="0.25">
      <c r="A85" s="12">
        <v>103</v>
      </c>
      <c r="B85" t="s">
        <v>841</v>
      </c>
      <c r="C85" t="s">
        <v>842</v>
      </c>
      <c r="D85" s="3">
        <f t="shared" si="6"/>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WayshrineInfo'!$K$3:$N$9971,4,FALSE),"")))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WayshrineInfo'!$K$3:$L$9971,2,FALSE),"")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WayshrineInfo'!$K$3:$L$9971,2,FALSE),"")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 t="shared" si="7"/>
        <v>[103] = {wayshrines={195,195,195,}, dlcId=DLC_BASE_GAME</v>
      </c>
      <c r="BF85" s="21" t="str">
        <f t="shared" si="8"/>
        <v>, zoneIds={449,101,101}, veteran=false</v>
      </c>
      <c r="BG85" s="21" t="str">
        <f t="shared" si="9"/>
        <v>, setType=LIBSETS_SETTYPE_DUNGEON</v>
      </c>
      <c r="BH85" s="21" t="str">
        <f t="shared" si="10"/>
        <v>, dropMechanic={LIBSETS_DROP_MECHANIC_GROUP_DUNGEON_BOSS}</v>
      </c>
      <c r="BI85" s="21" t="str">
        <f t="shared" si="11"/>
        <v>}, --Magicka Furnace / Magickaschmiede   [Direfrost Keep, Eastmarch, Eastmarch]</v>
      </c>
    </row>
    <row r="86" spans="1:61" x14ac:dyDescent="0.25">
      <c r="A86" s="12">
        <v>104</v>
      </c>
      <c r="B86" t="s">
        <v>843</v>
      </c>
      <c r="C86" t="s">
        <v>844</v>
      </c>
      <c r="D86" s="3">
        <f t="shared" si="6"/>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WayshrineInfo'!$K$3:$N$9971,4,FALSE),"")))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WayshrineInfo'!$K$3:$L$9971,2,FALSE),"")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WayshrineInfo'!$K$3:$L$9971,2,FALSE),"")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 t="shared" si="7"/>
        <v>[104] = {wayshrines={-1,-1,-1,}, dlcId=DLC_BASE_GAME</v>
      </c>
      <c r="BF86" s="21" t="str">
        <f t="shared" si="8"/>
        <v>, zoneIds={181,181,181,181,181,181}, veteran=false</v>
      </c>
      <c r="BG86" s="21" t="str">
        <f t="shared" si="9"/>
        <v>, setType=LIBSETS_SETTYPE_CYRODIIL</v>
      </c>
      <c r="BH86"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1"/>
        <v>}, --Curse Eater / Fluchfresser   [Cyrodiil, Cyrodiil, Cyrodiil, Cyrodiil, Cyrodiil, Cyrodiil]</v>
      </c>
    </row>
    <row r="87" spans="1:61" x14ac:dyDescent="0.25">
      <c r="A87" s="12">
        <v>105</v>
      </c>
      <c r="B87" t="s">
        <v>845</v>
      </c>
      <c r="C87" t="s">
        <v>846</v>
      </c>
      <c r="D87" s="3">
        <f t="shared" si="6"/>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WayshrineInfo'!$K$3:$N$9971,4,FALSE),"")))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WayshrineInfo'!$K$3:$L$9971,2,FALSE),"")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WayshrineInfo'!$K$3:$L$9971,2,FALSE),"")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 t="shared" si="7"/>
        <v>[105] = {wayshrines={121,121,121,}, dlcId=DLC_BASE_GAME</v>
      </c>
      <c r="BF87" s="21" t="str">
        <f t="shared" si="8"/>
        <v>, zoneIds={381,381,486,381}, veteran=false</v>
      </c>
      <c r="BG87" s="21" t="str">
        <f t="shared" si="9"/>
        <v>, setType=LIBSETS_SETTYPE_OVERLAND</v>
      </c>
      <c r="BH87" s="21" t="str">
        <f t="shared" si="10"/>
        <v>, dropMechanic={LIBSETS_DROP_MECHANIC_OVERLAND_BOSS_DELVE,LIBSETS_DROP_MECHANIC_OVERLAND_WORLDBOSS,LIBSETS_DROP_MECHANIC_OVERLAND_BOSS_PUBLIC_DUNGEON,LIBSETS_DROP_MECHANIC_OVERLAND_CHEST}</v>
      </c>
      <c r="BI87" s="21" t="str">
        <f t="shared" si="11"/>
        <v>}, --Twin Sisters / Zwillingsschwestern   [Auridon, Auridon, Toothmaul Gully, Auridon]</v>
      </c>
    </row>
    <row r="88" spans="1:61" x14ac:dyDescent="0.25">
      <c r="A88" s="12">
        <v>106</v>
      </c>
      <c r="B88" t="s">
        <v>847</v>
      </c>
      <c r="C88" t="s">
        <v>2568</v>
      </c>
      <c r="D88" s="3">
        <f t="shared" si="6"/>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WayshrineInfo'!$K$3:$N$9971,4,FALSE),"")))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WayshrineInfo'!$K$3:$L$9971,2,FALSE),"")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WayshrineInfo'!$K$3:$L$9971,2,FALSE),"")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 t="shared" si="7"/>
        <v>[106] = {wayshrines={143,143,143,}, dlcId=DLC_BASE_GAME</v>
      </c>
      <c r="BF88" s="21" t="str">
        <f t="shared" si="8"/>
        <v>, zoneIds={108,108,137,108}, veteran=false</v>
      </c>
      <c r="BG88" s="21" t="str">
        <f t="shared" si="9"/>
        <v>, setType=LIBSETS_SETTYPE_OVERLAND</v>
      </c>
      <c r="BH88" s="21" t="str">
        <f t="shared" si="10"/>
        <v>, dropMechanic={LIBSETS_DROP_MECHANIC_OVERLAND_BOSS_DELVE,LIBSETS_DROP_MECHANIC_OVERLAND_WORLDBOSS,LIBSETS_DROP_MECHANIC_OVERLAND_BOSS_PUBLIC_DUNGEON,LIBSETS_DROP_MECHANIC_OVERLAND_CHEST}</v>
      </c>
      <c r="BI88" s="21" t="str">
        <f t="shared" si="11"/>
        <v>}, --Wilderqueen\'s Arch / Bogen der Wildkönigin   [Greenshade, Greenshade, Rulanyil's Fall, Greenshade]</v>
      </c>
    </row>
    <row r="89" spans="1:61" x14ac:dyDescent="0.25">
      <c r="A89" s="12">
        <v>107</v>
      </c>
      <c r="B89" t="s">
        <v>848</v>
      </c>
      <c r="C89" t="s">
        <v>2569</v>
      </c>
      <c r="D89" s="3">
        <f t="shared" si="6"/>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WayshrineInfo'!$K$3:$N$9971,4,FALSE),"")))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WayshrineInfo'!$K$3:$L$9971,2,FALSE),"")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WayshrineInfo'!$K$3:$L$9971,2,FALSE),"")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 t="shared" si="7"/>
        <v>[107] = {wayshrines={62,62,62,}, dlcId=DLC_BASE_GAME</v>
      </c>
      <c r="BF89" s="21" t="str">
        <f t="shared" si="8"/>
        <v>, zoneIds={3,3,284,3}, veteran=false</v>
      </c>
      <c r="BG89" s="21" t="str">
        <f t="shared" si="9"/>
        <v>, setType=LIBSETS_SETTYPE_OVERLAND</v>
      </c>
      <c r="BH89" s="21" t="str">
        <f t="shared" si="10"/>
        <v>, dropMechanic={LIBSETS_DROP_MECHANIC_OVERLAND_BOSS_DELVE,LIBSETS_DROP_MECHANIC_OVERLAND_WORLDBOSS,LIBSETS_DROP_MECHANIC_OVERLAND_BOSS_PUBLIC_DUNGEON,LIBSETS_DROP_MECHANIC_OVERLAND_CHEST}</v>
      </c>
      <c r="BI89" s="21" t="str">
        <f t="shared" si="11"/>
        <v>}, --Wyrd Tree\'s Blessing / Segen des Wyrdbaums   [Glenumbra, Glenumbra, Bad Man's Hallows, Glenumbra]</v>
      </c>
    </row>
    <row r="90" spans="1:61" x14ac:dyDescent="0.25">
      <c r="A90" s="12">
        <v>108</v>
      </c>
      <c r="B90" t="s">
        <v>849</v>
      </c>
      <c r="C90" t="s">
        <v>850</v>
      </c>
      <c r="D90" s="3">
        <f t="shared" si="6"/>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WayshrineInfo'!$K$3:$N$9971,4,FALSE),"")))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WayshrineInfo'!$K$3:$L$9971,2,FALSE),"")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WayshrineInfo'!$K$3:$L$9971,2,FALSE),"")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 t="shared" si="7"/>
        <v>[108] = {wayshrines={-1,-1,-1,}, dlcId=DLC_BASE_GAME</v>
      </c>
      <c r="BF90" s="21" t="str">
        <f t="shared" si="8"/>
        <v>, zoneIds={181,181,181,181,181,181}, veteran=false</v>
      </c>
      <c r="BG90" s="21" t="str">
        <f t="shared" si="9"/>
        <v>, setType=LIBSETS_SETTYPE_CYRODIIL</v>
      </c>
      <c r="BH90"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1"/>
        <v>}, --Ravager / Verwüster   [Cyrodiil, Cyrodiil, Cyrodiil, Cyrodiil, Cyrodiil, Cyrodiil]</v>
      </c>
    </row>
    <row r="91" spans="1:61" s="28" customFormat="1" x14ac:dyDescent="0.25">
      <c r="A91" s="12">
        <v>109</v>
      </c>
      <c r="B91" t="s">
        <v>851</v>
      </c>
      <c r="C91" t="s">
        <v>852</v>
      </c>
      <c r="D91" s="3">
        <f t="shared" si="6"/>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WayshrineInfo'!$K$3:$N$9971,4,FALSE),"")))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WayshrineInfo'!$K$3:$L$9971,2,FALSE),"")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WayshrineInfo'!$K$3:$L$9971,2,FALSE),"")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 t="shared" si="7"/>
        <v>[109] = {wayshrines={-1,-1,-1,}, dlcId=DLC_BASE_GAME</v>
      </c>
      <c r="BF91" s="21" t="str">
        <f t="shared" si="8"/>
        <v>, zoneIds={181,181,181,181,181,181}, veteran=false</v>
      </c>
      <c r="BG91" s="21" t="str">
        <f t="shared" si="9"/>
        <v>, setType=LIBSETS_SETTYPE_CYRODIIL</v>
      </c>
      <c r="BH91"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1"/>
        <v>}, --Light of Cyrodiil / Licht von Cyrodiil   [Cyrodiil, Cyrodiil, Cyrodiil, Cyrodiil, Cyrodiil, Cyrodiil]</v>
      </c>
    </row>
    <row r="92" spans="1:61" x14ac:dyDescent="0.25">
      <c r="A92" s="12">
        <v>110</v>
      </c>
      <c r="B92" t="s">
        <v>853</v>
      </c>
      <c r="C92" t="s">
        <v>854</v>
      </c>
      <c r="D92" s="3">
        <f t="shared" si="6"/>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WayshrineInfo'!$K$3:$N$9971,4,FALSE),"")))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WayshrineInfo'!$K$3:$L$9971,2,FALSE),"")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WayshrineInfo'!$K$3:$L$9971,2,FALSE),"")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 t="shared" si="7"/>
        <v>[110] = {wayshrines={194,194,194,}, dlcId=DLC_BASE_GAME</v>
      </c>
      <c r="BF92" s="21" t="str">
        <f t="shared" si="8"/>
        <v>, zoneIds={380,935,381}, veteran=false</v>
      </c>
      <c r="BG92" s="21" t="str">
        <f t="shared" si="9"/>
        <v>, setType=LIBSETS_SETTYPE_DUNGEON</v>
      </c>
      <c r="BH92" s="21" t="str">
        <f t="shared" si="10"/>
        <v>, dropMechanic={LIBSETS_DROP_MECHANIC_GROUP_DUNGEON_BOSS,LIBSETS_DROP_MECHANIC_GROUP_DUNGEON_BOSS}</v>
      </c>
      <c r="BI92" s="21" t="str">
        <f t="shared" si="11"/>
        <v>}, --Sanctuary / Heiligtum   [The Banished Cells I, The Banished Cells II, Auridon]</v>
      </c>
    </row>
    <row r="93" spans="1:61" x14ac:dyDescent="0.25">
      <c r="A93" s="12">
        <v>111</v>
      </c>
      <c r="B93" t="s">
        <v>855</v>
      </c>
      <c r="C93" t="s">
        <v>856</v>
      </c>
      <c r="D93" s="3">
        <f t="shared" si="6"/>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WayshrineInfo'!$K$3:$N$9971,4,FALSE),"")))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WayshrineInfo'!$K$3:$L$9971,2,FALSE),"")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WayshrineInfo'!$K$3:$L$9971,2,FALSE),"")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 t="shared" si="7"/>
        <v>[111] = {wayshrines={-1,-1,-1,}, dlcId=DLC_BASE_GAME</v>
      </c>
      <c r="BF93" s="21" t="str">
        <f t="shared" si="8"/>
        <v>, zoneIds={181,181,181,181,181,181}, veteran=false</v>
      </c>
      <c r="BG93" s="21" t="str">
        <f t="shared" si="9"/>
        <v>, setType=LIBSETS_SETTYPE_CYRODIIL</v>
      </c>
      <c r="BH93"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1"/>
        <v>}, --Ward of Cyrodiil / Schutz von Cyrodiil   [Cyrodiil, Cyrodiil, Cyrodiil, Cyrodiil, Cyrodiil, Cyrodiil]</v>
      </c>
    </row>
    <row r="94" spans="1:61" x14ac:dyDescent="0.25">
      <c r="A94" s="12">
        <v>112</v>
      </c>
      <c r="B94" t="s">
        <v>857</v>
      </c>
      <c r="C94" t="s">
        <v>858</v>
      </c>
      <c r="D94" s="3">
        <f t="shared" si="6"/>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WayshrineInfo'!$K$3:$N$9971,4,FALSE),"")))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WayshrineInfo'!$K$3:$L$9971,2,FALSE),"")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WayshrineInfo'!$K$3:$L$9971,2,FALSE),"")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 t="shared" si="7"/>
        <v>[112] = {wayshrines={17,17,17,}, dlcId=DLC_BASE_GAME</v>
      </c>
      <c r="BF94" s="21" t="str">
        <f t="shared" si="8"/>
        <v>, zoneIds={19,19,142,19}, veteran=false</v>
      </c>
      <c r="BG94" s="21" t="str">
        <f t="shared" si="9"/>
        <v>, setType=LIBSETS_SETTYPE_OVERLAND</v>
      </c>
      <c r="BH94" s="21" t="str">
        <f t="shared" si="10"/>
        <v>, isProcSetAllowedInPvP=1, dropMechanic={LIBSETS_DROP_MECHANIC_OVERLAND_BOSS_DELVE,LIBSETS_DROP_MECHANIC_OVERLAND_WORLDBOSS,LIBSETS_DROP_MECHANIC_OVERLAND_BOSS_PUBLIC_DUNGEON,LIBSETS_DROP_MECHANIC_OVERLAND_CHEST}</v>
      </c>
      <c r="BI94" s="21" t="str">
        <f t="shared" si="11"/>
        <v>}, --Night Terror / Nachtschrecken   [Stormhaven, Stormhaven, Bonesnap Ruins, Stormhaven]</v>
      </c>
    </row>
    <row r="95" spans="1:61" x14ac:dyDescent="0.25">
      <c r="A95" s="12">
        <v>113</v>
      </c>
      <c r="B95" t="s">
        <v>859</v>
      </c>
      <c r="C95" t="s">
        <v>860</v>
      </c>
      <c r="D95" s="3">
        <f t="shared" si="6"/>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WayshrineInfo'!$K$3:$N$9971,4,FALSE),"")))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WayshrineInfo'!$K$3:$L$9971,2,FALSE),"")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WayshrineInfo'!$K$3:$L$9971,2,FALSE),"")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 t="shared" si="7"/>
        <v>[113] = {wayshrines={-1,-1,-1,}, dlcId=DLC_BASE_GAME</v>
      </c>
      <c r="BF95" s="21" t="str">
        <f t="shared" si="8"/>
        <v>, zoneIds={181,181,181,181,181,181}, veteran=false</v>
      </c>
      <c r="BG95" s="21" t="str">
        <f t="shared" si="9"/>
        <v>, setType=LIBSETS_SETTYPE_CYRODIIL</v>
      </c>
      <c r="BH95"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1"/>
        <v>}, --Crest of Cyrodiil / Wappen von Cyrodiil   [Cyrodiil, Cyrodiil, Cyrodiil, Cyrodiil, Cyrodiil, Cyrodiil]</v>
      </c>
    </row>
    <row r="96" spans="1:61" x14ac:dyDescent="0.25">
      <c r="A96" s="12">
        <v>114</v>
      </c>
      <c r="B96" t="s">
        <v>861</v>
      </c>
      <c r="C96" t="s">
        <v>862</v>
      </c>
      <c r="D96" s="3">
        <f t="shared" si="6"/>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WayshrineInfo'!$K$3:$N$9971,4,FALSE),"")))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WayshrineInfo'!$K$3:$L$9971,2,FALSE),"")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WayshrineInfo'!$K$3:$L$9971,2,FALSE),"")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 t="shared" si="7"/>
        <v>[114] = {wayshrines={162,162,162,}, dlcId=DLC_BASE_GAME</v>
      </c>
      <c r="BF96" s="21" t="str">
        <f t="shared" si="8"/>
        <v>, zoneIds={382,382,487,382}, veteran=false</v>
      </c>
      <c r="BG96" s="21" t="str">
        <f t="shared" si="9"/>
        <v>, setType=LIBSETS_SETTYPE_OVERLAND</v>
      </c>
      <c r="BH96" s="21" t="str">
        <f t="shared" si="10"/>
        <v>, dropMechanic={LIBSETS_DROP_MECHANIC_OVERLAND_BOSS_DELVE,LIBSETS_DROP_MECHANIC_OVERLAND_WORLDBOSS,LIBSETS_DROP_MECHANIC_OVERLAND_BOSS_PUBLIC_DUNGEON,LIBSETS_DROP_MECHANIC_OVERLAND_CHEST}</v>
      </c>
      <c r="BI96" s="21" t="str">
        <f t="shared" si="11"/>
        <v>}, --Soulshine / Seelenschein   [Reaper's March, Reaper's March, The Vile Manse, Reaper's March]</v>
      </c>
    </row>
    <row r="97" spans="1:61" x14ac:dyDescent="0.25">
      <c r="A97" s="12">
        <v>116</v>
      </c>
      <c r="B97" t="s">
        <v>863</v>
      </c>
      <c r="C97" t="s">
        <v>864</v>
      </c>
      <c r="D97" s="3">
        <f t="shared" si="6"/>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WayshrineInfo'!$K$3:$N$9971,4,FALSE),"")))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WayshrineInfo'!$K$3:$L$9971,2,FALSE),"")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WayshrineInfo'!$K$3:$L$9971,2,FALSE),"")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 t="shared" si="7"/>
        <v>[116] = {wayshrines={194,194,194,}, dlcId=DLC_BASE_GAME</v>
      </c>
      <c r="BF97" s="21" t="str">
        <f t="shared" si="8"/>
        <v>, zoneIds={381,146,126,63,283}, veteran=false</v>
      </c>
      <c r="BG97" s="21" t="str">
        <f t="shared" si="9"/>
        <v>, setType=LIBSETS_SETTYPE_DUNGEON</v>
      </c>
      <c r="BH97" s="21" t="str">
        <f t="shared" si="10"/>
        <v>, dropMechanic={LIBSETS_DROP_MECHANIC_GROUP_DUNGEON_BOSS,LIBSETS_DROP_MECHANIC_GROUP_DUNGEON_BOSS,LIBSETS_DROP_MECHANIC_GROUP_DUNGEON_BOSS,LIBSETS_DROP_MECHANIC_GROUP_DUNGEON_BOSS,LIBSETS_DROP_MECHANIC_GROUP_DUNGEON_BOSS}</v>
      </c>
      <c r="BI97" s="21" t="str">
        <f t="shared" si="11"/>
        <v>}, --The Destruction Suite / Garnitur der Zerstörung   [The Banished Cells I, Wayrest Sewers I, Elden Hollow I, Darkshade Caverns I, Fungal Grotto I]</v>
      </c>
    </row>
    <row r="98" spans="1:61" x14ac:dyDescent="0.25">
      <c r="A98" s="12">
        <v>117</v>
      </c>
      <c r="B98" t="s">
        <v>865</v>
      </c>
      <c r="C98" t="s">
        <v>1434</v>
      </c>
      <c r="D98" s="3">
        <f t="shared" si="6"/>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WayshrineInfo'!$K$3:$N$9971,4,FALSE),"")))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WayshrineInfo'!$K$3:$L$9971,2,FALSE),"")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WayshrineInfo'!$K$3:$L$9971,2,FALSE),"")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 t="shared" si="7"/>
        <v>[117] = {wayshrines={194,194,194,}, dlcId=DLC_BASE_GAME</v>
      </c>
      <c r="BF98" s="21" t="str">
        <f t="shared" si="8"/>
        <v>, zoneIds={381,146,126,63,283}, veteran=false</v>
      </c>
      <c r="BG98" s="21" t="str">
        <f t="shared" si="9"/>
        <v>, setType=LIBSETS_SETTYPE_DUNGEON</v>
      </c>
      <c r="BH98" s="21" t="str">
        <f t="shared" si="10"/>
        <v>, isProcSetAllowedInPvP=1, dropMechanic={LIBSETS_DROP_MECHANIC_GROUP_DUNGEON_BOSS,LIBSETS_DROP_MECHANIC_GROUP_DUNGEON_BOSS,LIBSETS_DROP_MECHANIC_GROUP_DUNGEON_BOSS,LIBSETS_DROP_MECHANIC_GROUP_DUNGEON_BOSS,LIBSETS_DROP_MECHANIC_GROUP_DUNGEON_BOSS}</v>
      </c>
      <c r="BI98" s="21" t="str">
        <f t="shared" si="11"/>
        <v>}, --Relics of the Physician, Ansur / Relikte des Mediziners Ansur   [The Banished Cells I, Wayrest Sewers I, Elden Hollow I, Darkshade Caverns I, Fungal Grotto I]</v>
      </c>
    </row>
    <row r="99" spans="1:61" x14ac:dyDescent="0.25">
      <c r="A99" s="12">
        <v>118</v>
      </c>
      <c r="B99" t="s">
        <v>866</v>
      </c>
      <c r="C99" t="s">
        <v>867</v>
      </c>
      <c r="D99" s="3">
        <f t="shared" si="6"/>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WayshrineInfo'!$K$3:$N$9971,4,FALSE),"")))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WayshrineInfo'!$K$3:$L$9971,2,FALSE),"")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WayshrineInfo'!$K$3:$L$9971,2,FALSE),"")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 t="shared" si="7"/>
        <v>[118] = {wayshrines={194,194,194,}, dlcId=DLC_BASE_GAME</v>
      </c>
      <c r="BF99" s="21" t="str">
        <f t="shared" si="8"/>
        <v>, zoneIds={381,146,126,63,283}, veteran=false</v>
      </c>
      <c r="BG99" s="21" t="str">
        <f t="shared" si="9"/>
        <v>, setType=LIBSETS_SETTYPE_DUNGEON</v>
      </c>
      <c r="BH99" s="21" t="str">
        <f t="shared" si="10"/>
        <v>, dropMechanic={LIBSETS_DROP_MECHANIC_GROUP_DUNGEON_BOSS,LIBSETS_DROP_MECHANIC_GROUP_DUNGEON_BOSS,LIBSETS_DROP_MECHANIC_GROUP_DUNGEON_BOSS,LIBSETS_DROP_MECHANIC_GROUP_DUNGEON_BOSS,LIBSETS_DROP_MECHANIC_GROUP_DUNGEON_BOSS}</v>
      </c>
      <c r="BI99" s="21" t="str">
        <f t="shared" si="11"/>
        <v>}, --Treasures of the Earthforge / Schätze der Erdenschmiede   [The Banished Cells I, Wayrest Sewers I, Elden Hollow I, Darkshade Caverns I, Fungal Grotto I]</v>
      </c>
    </row>
    <row r="100" spans="1:61" x14ac:dyDescent="0.25">
      <c r="A100" s="12">
        <v>119</v>
      </c>
      <c r="B100" t="s">
        <v>868</v>
      </c>
      <c r="C100" t="s">
        <v>869</v>
      </c>
      <c r="D100" s="3">
        <f t="shared" si="6"/>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WayshrineInfo'!$K$3:$N$9971,4,FALSE),"")))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WayshrineInfo'!$K$3:$L$9971,2,FALSE),"")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WayshrineInfo'!$K$3:$L$9971,2,FALSE),"")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 t="shared" si="7"/>
        <v>[119] = {wayshrines={194,194,194,}, dlcId=DLC_BASE_GAME</v>
      </c>
      <c r="BF100" s="21" t="str">
        <f t="shared" si="8"/>
        <v>, zoneIds={381,146,126,63,283}, veteran=false</v>
      </c>
      <c r="BG100" s="21" t="str">
        <f t="shared" si="9"/>
        <v>, setType=LIBSETS_SETTYPE_DUNGEON</v>
      </c>
      <c r="BH100" s="21" t="str">
        <f t="shared" si="10"/>
        <v>, dropMechanic={LIBSETS_DROP_MECHANIC_GROUP_DUNGEON_BOSS,LIBSETS_DROP_MECHANIC_GROUP_DUNGEON_BOSS,LIBSETS_DROP_MECHANIC_GROUP_DUNGEON_BOSS,LIBSETS_DROP_MECHANIC_GROUP_DUNGEON_BOSS,LIBSETS_DROP_MECHANIC_GROUP_DUNGEON_BOSS}</v>
      </c>
      <c r="BI100" s="21" t="str">
        <f t="shared" si="11"/>
        <v>}, --Relics of the Rebellion / Relikte der Rebellion   [The Banished Cells I, Wayrest Sewers I, Elden Hollow I, Darkshade Caverns I, Fungal Grotto I]</v>
      </c>
    </row>
    <row r="101" spans="1:61" x14ac:dyDescent="0.25">
      <c r="A101" s="12">
        <v>120</v>
      </c>
      <c r="B101" t="s">
        <v>870</v>
      </c>
      <c r="C101" t="s">
        <v>871</v>
      </c>
      <c r="D101" s="3">
        <f t="shared" si="6"/>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WayshrineInfo'!$K$3:$N$9971,4,FALSE),"")))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WayshrineInfo'!$K$3:$L$9971,2,FALSE),"")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WayshrineInfo'!$K$3:$L$9971,2,FALSE),"")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 t="shared" si="7"/>
        <v>[120] = {wayshrines={194,194,194,}, dlcId=DLC_BASE_GAME</v>
      </c>
      <c r="BF101" s="21" t="str">
        <f t="shared" si="8"/>
        <v>, zoneIds={381,146,126,63,283}, veteran=false</v>
      </c>
      <c r="BG101" s="21" t="str">
        <f t="shared" si="9"/>
        <v>, setType=LIBSETS_SETTYPE_DUNGEON</v>
      </c>
      <c r="BH101" s="21" t="str">
        <f t="shared" si="10"/>
        <v>, dropMechanic={LIBSETS_DROP_MECHANIC_GROUP_DUNGEON_BOSS,LIBSETS_DROP_MECHANIC_GROUP_DUNGEON_BOSS,LIBSETS_DROP_MECHANIC_GROUP_DUNGEON_BOSS,LIBSETS_DROP_MECHANIC_GROUP_DUNGEON_BOSS,LIBSETS_DROP_MECHANIC_GROUP_DUNGEON_BOSS}</v>
      </c>
      <c r="BI101" s="21" t="str">
        <f t="shared" si="11"/>
        <v>}, --Arms of Infernace / Waffen Infernals   [The Banished Cells I, Wayrest Sewers I, Elden Hollow I, Darkshade Caverns I, Fungal Grotto I]</v>
      </c>
    </row>
    <row r="102" spans="1:61" x14ac:dyDescent="0.25">
      <c r="A102" s="12">
        <v>121</v>
      </c>
      <c r="B102" t="s">
        <v>872</v>
      </c>
      <c r="C102" t="s">
        <v>873</v>
      </c>
      <c r="D102" s="3">
        <f t="shared" si="6"/>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WayshrineInfo'!$K$3:$N$9971,4,FALSE),"")))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WayshrineInfo'!$K$3:$L$9971,2,FALSE),"")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WayshrineInfo'!$K$3:$L$9971,2,FALSE),"")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 t="shared" si="7"/>
        <v>[121] = {wayshrines={194,194,194,}, dlcId=DLC_BASE_GAME</v>
      </c>
      <c r="BF102" s="21" t="str">
        <f t="shared" si="8"/>
        <v>, zoneIds={381,146,126,63,283}, veteran=false</v>
      </c>
      <c r="BG102" s="21" t="str">
        <f t="shared" si="9"/>
        <v>, setType=LIBSETS_SETTYPE_DUNGEON</v>
      </c>
      <c r="BH102" s="21" t="str">
        <f t="shared" si="10"/>
        <v>, dropMechanic={LIBSETS_DROP_MECHANIC_GROUP_DUNGEON_BOSS,LIBSETS_DROP_MECHANIC_GROUP_DUNGEON_BOSS,LIBSETS_DROP_MECHANIC_GROUP_DUNGEON_BOSS,LIBSETS_DROP_MECHANIC_GROUP_DUNGEON_BOSS,LIBSETS_DROP_MECHANIC_GROUP_DUNGEON_BOSS}</v>
      </c>
      <c r="BI102" s="21" t="str">
        <f t="shared" si="11"/>
        <v>}, --Arms of the Ancestors / Waffen der Ahnen   [The Banished Cells I, Wayrest Sewers I, Elden Hollow I, Darkshade Caverns I, Fungal Grotto I]</v>
      </c>
    </row>
    <row r="103" spans="1:61" x14ac:dyDescent="0.25">
      <c r="A103" s="12">
        <v>122</v>
      </c>
      <c r="B103" t="s">
        <v>874</v>
      </c>
      <c r="C103" t="s">
        <v>875</v>
      </c>
      <c r="D103" s="3">
        <f t="shared" si="6"/>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WayshrineInfo'!$K$3:$N$9971,4,FALSE),"")))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WayshrineInfo'!$K$3:$L$9971,2,FALSE),"")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WayshrineInfo'!$K$3:$L$9971,2,FALSE),"")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 t="shared" si="7"/>
        <v>[122] = {wayshrines={190,190,190,}, dlcId=DLC_BASE_GAME</v>
      </c>
      <c r="BF103" s="21" t="str">
        <f t="shared" si="8"/>
        <v>, zoneIds={130,932,20}, veteran=false</v>
      </c>
      <c r="BG103" s="21" t="str">
        <f t="shared" si="9"/>
        <v>, setType=LIBSETS_SETTYPE_DUNGEON</v>
      </c>
      <c r="BH103" s="21" t="str">
        <f t="shared" si="10"/>
        <v>, dropMechanic={LIBSETS_DROP_MECHANIC_GROUP_DUNGEON_BOSS,LIBSETS_DROP_MECHANIC_GROUP_DUNGEON_BOSS}</v>
      </c>
      <c r="BI103" s="21" t="str">
        <f t="shared" si="11"/>
        <v>}, --Ebon Armory / Ebenerzarsenal   [Crypt of Hearts I, Crypt of Hearts II, Rivenspire]</v>
      </c>
    </row>
    <row r="104" spans="1:61" x14ac:dyDescent="0.25">
      <c r="A104" s="12">
        <v>123</v>
      </c>
      <c r="B104" t="s">
        <v>876</v>
      </c>
      <c r="C104" t="s">
        <v>2570</v>
      </c>
      <c r="D104" s="3">
        <f t="shared" si="6"/>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WayshrineInfo'!$K$3:$N$9971,4,FALSE),"")))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WayshrineInfo'!$K$3:$L$9971,2,FALSE),"")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WayshrineInfo'!$K$3:$L$9971,2,FALSE),"")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 t="shared" si="7"/>
        <v>[123] = {wayshrines={185,185,185,}, dlcId=DLC_BASE_GAME</v>
      </c>
      <c r="BF104" s="21" t="str">
        <f t="shared" si="8"/>
        <v>, zoneIds={31,382,382}, veteran=false</v>
      </c>
      <c r="BG104" s="21" t="str">
        <f t="shared" si="9"/>
        <v>, setType=LIBSETS_SETTYPE_DUNGEON</v>
      </c>
      <c r="BH104" s="21" t="str">
        <f t="shared" si="10"/>
        <v>, dropMechanic={LIBSETS_DROP_MECHANIC_GROUP_DUNGEON_BOSS}</v>
      </c>
      <c r="BI104" s="21" t="str">
        <f t="shared" si="11"/>
        <v>}, --Hircine\'s Veneer / Hircines Schein   [Selene's Web, Reaper's March, Reaper's March]</v>
      </c>
    </row>
    <row r="105" spans="1:61" x14ac:dyDescent="0.25">
      <c r="A105" s="12">
        <v>124</v>
      </c>
      <c r="B105" t="s">
        <v>877</v>
      </c>
      <c r="C105" t="s">
        <v>2571</v>
      </c>
      <c r="D105" s="3">
        <f t="shared" si="6"/>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WayshrineInfo'!$K$3:$N$9971,4,FALSE),"")))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WayshrineInfo'!$K$3:$L$9971,2,FALSE),"")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WayshrineInfo'!$K$3:$L$9971,2,FALSE),"")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 t="shared" si="7"/>
        <v>[124] = {wayshrines={184,184,184,}, dlcId=DLC_BASE_GAME</v>
      </c>
      <c r="BF105" s="21" t="str">
        <f t="shared" si="8"/>
        <v>, zoneIds={11,347,347}, veteran=false</v>
      </c>
      <c r="BG105" s="21" t="str">
        <f t="shared" si="9"/>
        <v>, setType=LIBSETS_SETTYPE_DUNGEON</v>
      </c>
      <c r="BH105" s="21" t="str">
        <f t="shared" si="10"/>
        <v>, dropMechanic={LIBSETS_DROP_MECHANIC_GROUP_DUNGEON_BOSS}</v>
      </c>
      <c r="BI105" s="21" t="str">
        <f t="shared" si="11"/>
        <v>}, --The Worm\'s Raiment / Garderobe des Wurms   [Vaults of Madness, Coldharbour, Coldharbour]</v>
      </c>
    </row>
    <row r="106" spans="1:61" x14ac:dyDescent="0.25">
      <c r="A106" s="12">
        <v>125</v>
      </c>
      <c r="B106" t="s">
        <v>878</v>
      </c>
      <c r="C106" t="s">
        <v>879</v>
      </c>
      <c r="D106" s="3">
        <f t="shared" si="6"/>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WayshrineInfo'!$K$3:$N$9971,4,FALSE),"")))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WayshrineInfo'!$K$3:$L$9971,2,FALSE),"")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WayshrineInfo'!$K$3:$L$9971,2,FALSE),"")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 t="shared" si="7"/>
        <v>[125] = {wayshrines={-1,-1,-1,}, dlcId=DLC_BASE_GAME</v>
      </c>
      <c r="BF106" s="21" t="str">
        <f t="shared" si="8"/>
        <v>, zoneIds={181,181,181,181,181,181}, veteran=false</v>
      </c>
      <c r="BG106" s="21" t="str">
        <f t="shared" si="9"/>
        <v>, setType=LIBSETS_SETTYPE_CYRODIIL</v>
      </c>
      <c r="BH106"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1"/>
        <v>}, --Wrath of the Imperium / Zorn des Kaiserreichs   [Cyrodiil, Cyrodiil, Cyrodiil, Cyrodiil, Cyrodiil, Cyrodiil]</v>
      </c>
    </row>
    <row r="107" spans="1:61" x14ac:dyDescent="0.25">
      <c r="A107" s="12">
        <v>126</v>
      </c>
      <c r="B107" t="s">
        <v>2759</v>
      </c>
      <c r="C107" t="s">
        <v>880</v>
      </c>
      <c r="D107" s="3">
        <f t="shared" si="6"/>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WayshrineInfo'!$K$3:$N$9971,4,FALSE),"")))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WayshrineInfo'!$K$3:$L$9971,2,FALSE),"")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WayshrineInfo'!$K$3:$L$9971,2,FALSE),"")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 t="shared" si="7"/>
        <v>[126] = {wayshrines={-1,-1,-1,}, dlcId=DLC_BASE_GAME</v>
      </c>
      <c r="BF107" s="21" t="str">
        <f t="shared" si="8"/>
        <v>, zoneIds={181,181,181,181,181,181}, veteran=false</v>
      </c>
      <c r="BG107" s="21" t="str">
        <f t="shared" si="9"/>
        <v>, setType=LIBSETS_SETTYPE_CYRODIIL</v>
      </c>
      <c r="BH107"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1"/>
        <v>}, --Grace of the Ancients / Anmut der Ahnen   [Cyrodiil, Cyrodiil, Cyrodiil, Cyrodiil, Cyrodiil, Cyrodiil]</v>
      </c>
    </row>
    <row r="108" spans="1:61" x14ac:dyDescent="0.25">
      <c r="A108" s="12">
        <v>127</v>
      </c>
      <c r="B108" t="s">
        <v>881</v>
      </c>
      <c r="C108" t="s">
        <v>882</v>
      </c>
      <c r="D108" s="3">
        <f t="shared" si="6"/>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WayshrineInfo'!$K$3:$N$9971,4,FALSE),"")))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WayshrineInfo'!$K$3:$L$9971,2,FALSE),"")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WayshrineInfo'!$K$3:$L$9971,2,FALSE),"")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 t="shared" si="7"/>
        <v>[127] = {wayshrines={-1,-1,-1,}, dlcId=DLC_BASE_GAME</v>
      </c>
      <c r="BF108" s="21" t="str">
        <f t="shared" si="8"/>
        <v>, zoneIds={181,181,181,181,181,181}, veteran=false</v>
      </c>
      <c r="BG108" s="21" t="str">
        <f t="shared" si="9"/>
        <v>, setType=LIBSETS_SETTYPE_CYRODIIL</v>
      </c>
      <c r="BH108"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1"/>
        <v>}, --Deadly Strike / Tödlicher Stoß   [Cyrodiil, Cyrodiil, Cyrodiil, Cyrodiil, Cyrodiil, Cyrodiil]</v>
      </c>
    </row>
    <row r="109" spans="1:61" x14ac:dyDescent="0.25">
      <c r="A109" s="12">
        <v>128</v>
      </c>
      <c r="B109" t="s">
        <v>883</v>
      </c>
      <c r="C109" t="s">
        <v>884</v>
      </c>
      <c r="D109" s="3">
        <f t="shared" si="6"/>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WayshrineInfo'!$K$3:$N$9971,4,FALSE),"")))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WayshrineInfo'!$K$3:$L$9971,2,FALSE),"")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WayshrineInfo'!$K$3:$L$9971,2,FALSE),"")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 t="shared" si="7"/>
        <v>[128] = {wayshrines={-1,-1,-1,}, dlcId=DLC_BASE_GAME</v>
      </c>
      <c r="BF109" s="21" t="str">
        <f t="shared" si="8"/>
        <v>, zoneIds={181,181,181,181,181,181}, veteran=false</v>
      </c>
      <c r="BG109" s="21" t="str">
        <f t="shared" si="9"/>
        <v>, setType=LIBSETS_SETTYPE_CYRODIIL</v>
      </c>
      <c r="BH109"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1"/>
        <v>}, --Blessing of the Potentates / Segen des Potentaten   [Cyrodiil, Cyrodiil, Cyrodiil, Cyrodiil, Cyrodiil, Cyrodiil]</v>
      </c>
    </row>
    <row r="110" spans="1:61" x14ac:dyDescent="0.25">
      <c r="A110" s="12">
        <v>129</v>
      </c>
      <c r="B110" t="s">
        <v>885</v>
      </c>
      <c r="C110" t="s">
        <v>886</v>
      </c>
      <c r="D110" s="3">
        <f t="shared" si="6"/>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WayshrineInfo'!$K$3:$N$9971,4,FALSE),"")))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WayshrineInfo'!$K$3:$L$9971,2,FALSE),"")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WayshrineInfo'!$K$3:$L$9971,2,FALSE),"")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 t="shared" si="7"/>
        <v>[129] = {wayshrines={-1,-1,-1,}, dlcId=DLC_BASE_GAME</v>
      </c>
      <c r="BF110" s="21" t="str">
        <f t="shared" si="8"/>
        <v>, zoneIds={181,181,181,181,181,181}, veteran=false</v>
      </c>
      <c r="BG110" s="21" t="str">
        <f t="shared" si="9"/>
        <v>, setType=LIBSETS_SETTYPE_CYRODIIL</v>
      </c>
      <c r="BH110"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1"/>
        <v>}, --Vengeance Leech / Saugende Vergeltung   [Cyrodiil, Cyrodiil, Cyrodiil, Cyrodiil, Cyrodiil, Cyrodiil]</v>
      </c>
    </row>
    <row r="111" spans="1:61" x14ac:dyDescent="0.25">
      <c r="A111" s="12">
        <v>130</v>
      </c>
      <c r="B111" t="s">
        <v>887</v>
      </c>
      <c r="C111" t="s">
        <v>888</v>
      </c>
      <c r="D111" s="3">
        <f t="shared" si="6"/>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WayshrineInfo'!$K$3:$N$9971,4,FALSE),"")))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WayshrineInfo'!$K$3:$L$9971,2,FALSE),"")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WayshrineInfo'!$K$3:$L$9971,2,FALSE),"")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 t="shared" si="7"/>
        <v>[130] = {wayshrines={-1,-1,-1,}, dlcId=DLC_BASE_GAME</v>
      </c>
      <c r="BF111" s="21" t="str">
        <f t="shared" si="8"/>
        <v>, zoneIds={181,181,181,181,181,181}, veteran=false</v>
      </c>
      <c r="BG111" s="21" t="str">
        <f t="shared" si="9"/>
        <v>, setType=LIBSETS_SETTYPE_CYRODIIL</v>
      </c>
      <c r="BH111"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1"/>
        <v>}, --Eagle Eye / Adlerauge   [Cyrodiil, Cyrodiil, Cyrodiil, Cyrodiil, Cyrodiil, Cyrodiil]</v>
      </c>
    </row>
    <row r="112" spans="1:61" x14ac:dyDescent="0.25">
      <c r="A112" s="12">
        <v>131</v>
      </c>
      <c r="B112" t="s">
        <v>889</v>
      </c>
      <c r="C112" t="s">
        <v>890</v>
      </c>
      <c r="D112" s="3">
        <f t="shared" si="6"/>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WayshrineInfo'!$K$3:$N$9971,4,FALSE),"")))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WayshrineInfo'!$K$3:$L$9971,2,FALSE),"")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WayshrineInfo'!$K$3:$L$9971,2,FALSE),"")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 t="shared" si="7"/>
        <v>[131] = {wayshrines={-1,-1,-1,}, dlcId=DLC_BASE_GAME</v>
      </c>
      <c r="BF112" s="21" t="str">
        <f t="shared" si="8"/>
        <v>, zoneIds={181,181,181,181,181,181}, veteran=false</v>
      </c>
      <c r="BG112" s="21" t="str">
        <f t="shared" si="9"/>
        <v>, setType=LIBSETS_SETTYPE_CYRODIIL</v>
      </c>
      <c r="BH112"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1"/>
        <v>}, --Bastion of the Heartland / Bastion des Herzlandes   [Cyrodiil, Cyrodiil, Cyrodiil, Cyrodiil, Cyrodiil, Cyrodiil]</v>
      </c>
    </row>
    <row r="113" spans="1:61" x14ac:dyDescent="0.25">
      <c r="A113" s="12">
        <v>132</v>
      </c>
      <c r="B113" t="s">
        <v>891</v>
      </c>
      <c r="C113" t="s">
        <v>892</v>
      </c>
      <c r="D113" s="3">
        <f t="shared" si="6"/>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WayshrineInfo'!$K$3:$N$9971,4,FALSE),"")))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WayshrineInfo'!$K$3:$L$9971,2,FALSE),"")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WayshrineInfo'!$K$3:$L$9971,2,FALSE),"")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 t="shared" si="7"/>
        <v>[132] = {wayshrines={-1,-1,-1,}, dlcId=DLC_BASE_GAME</v>
      </c>
      <c r="BF113" s="21" t="str">
        <f t="shared" si="8"/>
        <v>, zoneIds={181,181,181,181,181,181}, veteran=false</v>
      </c>
      <c r="BG113" s="21" t="str">
        <f t="shared" si="9"/>
        <v>, setType=LIBSETS_SETTYPE_CYRODIIL</v>
      </c>
      <c r="BH113"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1"/>
        <v>}, --Shield of the Valiant / Schild des Tapferen   [Cyrodiil, Cyrodiil, Cyrodiil, Cyrodiil, Cyrodiil, Cyrodiil]</v>
      </c>
    </row>
    <row r="114" spans="1:61" x14ac:dyDescent="0.25">
      <c r="A114" s="12">
        <v>133</v>
      </c>
      <c r="B114" t="s">
        <v>893</v>
      </c>
      <c r="C114" t="s">
        <v>894</v>
      </c>
      <c r="D114" s="3">
        <f t="shared" si="6"/>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WayshrineInfo'!$K$3:$N$9971,4,FALSE),"")))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WayshrineInfo'!$K$3:$L$9971,2,FALSE),"")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WayshrineInfo'!$K$3:$L$9971,2,FALSE),"")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 t="shared" si="7"/>
        <v>[133] = {wayshrines={-1,-1,-1,}, dlcId=DLC_BASE_GAME</v>
      </c>
      <c r="BF114" s="21" t="str">
        <f t="shared" si="8"/>
        <v>, zoneIds={181,181,181,181,181,181}, veteran=false</v>
      </c>
      <c r="BG114" s="21" t="str">
        <f t="shared" si="9"/>
        <v>, setType=LIBSETS_SETTYPE_CYRODIIL</v>
      </c>
      <c r="BH114"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1"/>
        <v>}, --Buffer of the Swift / Dämpfer des Geschwinden   [Cyrodiil, Cyrodiil, Cyrodiil, Cyrodiil, Cyrodiil, Cyrodiil]</v>
      </c>
    </row>
    <row r="115" spans="1:61" x14ac:dyDescent="0.25">
      <c r="A115" s="12">
        <v>134</v>
      </c>
      <c r="B115" t="s">
        <v>895</v>
      </c>
      <c r="C115" t="s">
        <v>896</v>
      </c>
      <c r="D115" s="3">
        <f t="shared" si="6"/>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WayshrineInfo'!$K$3:$N$9971,4,FALSE),"")))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WayshrineInfo'!$K$3:$L$9971,2,FALSE),"")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WayshrineInfo'!$K$3:$L$9971,2,FALSE),"")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 t="shared" si="7"/>
        <v>[134] = {wayshrines={190,190,190,}, dlcId=DLC_BASE_GAME</v>
      </c>
      <c r="BF115" s="21" t="str">
        <f t="shared" si="8"/>
        <v>, zoneIds={130,932,20}, veteran=false</v>
      </c>
      <c r="BG115" s="21" t="str">
        <f t="shared" si="9"/>
        <v>, setType=LIBSETS_SETTYPE_DUNGEON</v>
      </c>
      <c r="BH115" s="21" t="str">
        <f t="shared" si="10"/>
        <v>, dropMechanic={LIBSETS_DROP_MECHANIC_GROUP_DUNGEON_BOSS,LIBSETS_DROP_MECHANIC_GROUP_DUNGEON_BOSS}</v>
      </c>
      <c r="BI115" s="21" t="str">
        <f t="shared" si="11"/>
        <v>}, --Shroud of the Lich / Tuch des Lich   [Crypt of Hearts I, Crypt of Hearts II, Rivenspire]</v>
      </c>
    </row>
    <row r="116" spans="1:61" s="14" customFormat="1" x14ac:dyDescent="0.25">
      <c r="A116" s="12">
        <v>135</v>
      </c>
      <c r="B116" t="s">
        <v>897</v>
      </c>
      <c r="C116" t="s">
        <v>2572</v>
      </c>
      <c r="D116" s="3">
        <f t="shared" si="6"/>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WayshrineInfo'!$K$3:$N$9971,4,FALSE),"")))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WayshrineInfo'!$K$3:$L$9971,2,FALSE),"")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WayshrineInfo'!$K$3:$L$9971,2,FALSE),"")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 t="shared" si="7"/>
        <v>[135] = {wayshrines={109,109,109,}, dlcId=DLC_BASE_GAME</v>
      </c>
      <c r="BF116" s="21" t="str">
        <f t="shared" si="8"/>
        <v>, zoneIds={103,103,341,103}, veteran=false</v>
      </c>
      <c r="BG116" s="21" t="str">
        <f t="shared" si="9"/>
        <v>, setType=LIBSETS_SETTYPE_OVERLAND</v>
      </c>
      <c r="BH116" s="21" t="str">
        <f t="shared" si="10"/>
        <v>, dropMechanic={LIBSETS_DROP_MECHANIC_OVERLAND_BOSS_DELVE,LIBSETS_DROP_MECHANIC_OVERLAND_WORLDBOSS,LIBSETS_DROP_MECHANIC_OVERLAND_BOSS_PUBLIC_DUNGEON,LIBSETS_DROP_MECHANIC_OVERLAND_CHEST}</v>
      </c>
      <c r="BI116" s="21" t="str">
        <f t="shared" si="11"/>
        <v>}, --Draugr\'s Heritage / Erbe des Draugrs   [The Rift, The Rift, The Lion's Den, The Rift]</v>
      </c>
    </row>
    <row r="117" spans="1:61" x14ac:dyDescent="0.25">
      <c r="A117" s="12">
        <v>136</v>
      </c>
      <c r="B117" t="s">
        <v>898</v>
      </c>
      <c r="C117" t="s">
        <v>899</v>
      </c>
      <c r="D117" s="3">
        <f t="shared" si="6"/>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WayshrineInfo'!$K$3:$N$9971,4,FALSE),"")))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WayshrineInfo'!$K$3:$L$9971,2,FALSE),"")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WayshrineInfo'!$K$3:$L$9971,2,FALSE),"")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 t="shared" si="7"/>
        <v>[136] = {wayshrines={232,232,232,}, dlcId=DLC_BASE_GAME</v>
      </c>
      <c r="BF117" s="21" t="str">
        <f t="shared" si="8"/>
        <v>, zoneIds={639,639,639}, veteran=false</v>
      </c>
      <c r="BG117" s="21" t="str">
        <f t="shared" si="9"/>
        <v>, setType=LIBSETS_SETTYPE_TRIAL</v>
      </c>
      <c r="BH117" s="21" t="str">
        <f t="shared" si="10"/>
        <v>, dropMechanic={LIBSETS_DROP_MECHANIC_TRIAL_BOSS,LIBSETS_DROP_MECHANIC_TRIAL_BOSS,LIBSETS_DROP_MECHANIC_TRIAL_BOSS}</v>
      </c>
      <c r="BI117" s="21" t="str">
        <f t="shared" si="11"/>
        <v>}, --Immortal Warrior / Unsterblicher Krieger   [Sanctum Ophidia, Sanctum Ophidia, Sanctum Ophidia]</v>
      </c>
    </row>
    <row r="118" spans="1:61" x14ac:dyDescent="0.25">
      <c r="A118" s="12">
        <v>137</v>
      </c>
      <c r="B118" t="s">
        <v>900</v>
      </c>
      <c r="C118" t="s">
        <v>901</v>
      </c>
      <c r="D118" s="3">
        <f t="shared" si="6"/>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WayshrineInfo'!$K$3:$N$9971,4,FALSE),"")))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WayshrineInfo'!$K$3:$L$9971,2,FALSE),"")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WayshrineInfo'!$K$3:$L$9971,2,FALSE),"")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 t="shared" si="7"/>
        <v>[137] = {wayshrines={230,230,230,}, dlcId=DLC_BASE_GAME</v>
      </c>
      <c r="BF118" s="21" t="str">
        <f t="shared" si="8"/>
        <v>, zoneIds={636,636,636}, veteran=false</v>
      </c>
      <c r="BG118" s="21" t="str">
        <f t="shared" si="9"/>
        <v>, setType=LIBSETS_SETTYPE_TRIAL</v>
      </c>
      <c r="BH118" s="21" t="str">
        <f t="shared" si="10"/>
        <v>, dropMechanic={LIBSETS_DROP_MECHANIC_TRIAL_BOSS,LIBSETS_DROP_MECHANIC_TRIAL_BOSS,LIBSETS_DROP_MECHANIC_TRIAL_BOSS}</v>
      </c>
      <c r="BI118" s="21" t="str">
        <f t="shared" si="11"/>
        <v>}, --Berserking Warrior / Tobender Krieger   [Hel Ra Citadel, Hel Ra Citadel, Hel Ra Citadel]</v>
      </c>
    </row>
    <row r="119" spans="1:61" ht="15.75" x14ac:dyDescent="0.25">
      <c r="A119" s="12">
        <v>138</v>
      </c>
      <c r="B119" t="s">
        <v>902</v>
      </c>
      <c r="C119" t="s">
        <v>903</v>
      </c>
      <c r="D119" s="3">
        <f t="shared" si="6"/>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WayshrineInfo'!$K$3:$N$9971,4,FALSE),"")))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WayshrineInfo'!$K$3:$L$9971,2,FALSE),"")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WayshrineInfo'!$K$3:$L$9971,2,FALSE),"")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 t="shared" si="7"/>
        <v>[138] = {wayshrines={231,231,231,}, dlcId=DLC_BASE_GAME</v>
      </c>
      <c r="BF119" s="21" t="str">
        <f t="shared" si="8"/>
        <v>, zoneIds={638,638,638}, veteran=false</v>
      </c>
      <c r="BG119" s="21" t="str">
        <f t="shared" si="9"/>
        <v>, setType=LIBSETS_SETTYPE_TRIAL</v>
      </c>
      <c r="BH119"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1"/>
        <v>}, --Defending Warrior / Verteidigender Krieger   [Aetherian Archive, Aetherian Archive, Aetherian Archive]</v>
      </c>
    </row>
    <row r="120" spans="1:61" x14ac:dyDescent="0.25">
      <c r="A120" s="12">
        <v>139</v>
      </c>
      <c r="B120" t="s">
        <v>904</v>
      </c>
      <c r="C120" t="s">
        <v>905</v>
      </c>
      <c r="D120" s="3">
        <f t="shared" si="6"/>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WayshrineInfo'!$K$3:$N$9971,4,FALSE),"")))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WayshrineInfo'!$K$3:$L$9971,2,FALSE),"")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WayshrineInfo'!$K$3:$L$9971,2,FALSE),"")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 t="shared" si="7"/>
        <v>[139] = {wayshrines={232,232,232,}, dlcId=DLC_BASE_GAME</v>
      </c>
      <c r="BF120" s="21" t="str">
        <f t="shared" si="8"/>
        <v>, zoneIds={639,639,639}, veteran=false</v>
      </c>
      <c r="BG120" s="21" t="str">
        <f t="shared" si="9"/>
        <v>, setType=LIBSETS_SETTYPE_TRIAL</v>
      </c>
      <c r="BH120" s="21" t="str">
        <f t="shared" si="10"/>
        <v>, dropMechanic={LIBSETS_DROP_MECHANIC_TRIAL_BOSS,LIBSETS_DROP_MECHANIC_TRIAL_BOSS,LIBSETS_DROP_MECHANIC_TRIAL_BOSS}</v>
      </c>
      <c r="BI120" s="21" t="str">
        <f t="shared" si="11"/>
        <v>}, --Wise Mage / Weiser Magier   [Sanctum Ophidia, Sanctum Ophidia, Sanctum Ophidia]</v>
      </c>
    </row>
    <row r="121" spans="1:61" x14ac:dyDescent="0.25">
      <c r="A121" s="12">
        <v>140</v>
      </c>
      <c r="B121" t="s">
        <v>906</v>
      </c>
      <c r="C121" t="s">
        <v>907</v>
      </c>
      <c r="D121" s="3">
        <f t="shared" si="6"/>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WayshrineInfo'!$K$3:$N$9971,4,FALSE),"")))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WayshrineInfo'!$K$3:$L$9971,2,FALSE),"")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WayshrineInfo'!$K$3:$L$9971,2,FALSE),"")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 t="shared" si="7"/>
        <v>[140] = {wayshrines={230,230,230,}, dlcId=DLC_BASE_GAME</v>
      </c>
      <c r="BF121" s="21" t="str">
        <f t="shared" si="8"/>
        <v>, zoneIds={636,636,636}, veteran=false</v>
      </c>
      <c r="BG121" s="21" t="str">
        <f t="shared" si="9"/>
        <v>, setType=LIBSETS_SETTYPE_TRIAL</v>
      </c>
      <c r="BH121" s="21" t="str">
        <f t="shared" si="10"/>
        <v>, dropMechanic={LIBSETS_DROP_MECHANIC_TRIAL_BOSS,LIBSETS_DROP_MECHANIC_TRIAL_BOSS,LIBSETS_DROP_MECHANIC_TRIAL_BOSS}</v>
      </c>
      <c r="BI121" s="21" t="str">
        <f t="shared" si="11"/>
        <v>}, --Destructive Mage / Zerstörerischer Magier   [Hel Ra Citadel, Hel Ra Citadel, Hel Ra Citadel]</v>
      </c>
    </row>
    <row r="122" spans="1:61" ht="15.75" x14ac:dyDescent="0.25">
      <c r="A122" s="12">
        <v>141</v>
      </c>
      <c r="B122" t="s">
        <v>908</v>
      </c>
      <c r="C122" t="s">
        <v>909</v>
      </c>
      <c r="D122" s="3">
        <f t="shared" si="6"/>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WayshrineInfo'!$K$3:$N$9971,4,FALSE),"")))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WayshrineInfo'!$K$3:$L$9971,2,FALSE),"")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WayshrineInfo'!$K$3:$L$9971,2,FALSE),"")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 t="shared" si="7"/>
        <v>[141] = {wayshrines={231,231,231,}, dlcId=DLC_BASE_GAME</v>
      </c>
      <c r="BF122" s="21" t="str">
        <f t="shared" si="8"/>
        <v>, zoneIds={638,638,638}, veteran=false</v>
      </c>
      <c r="BG122" s="21" t="str">
        <f t="shared" si="9"/>
        <v>, setType=LIBSETS_SETTYPE_TRIAL</v>
      </c>
      <c r="BH122"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1"/>
        <v>}, --Healing Mage / Heilender Magier   [Aetherian Archive, Aetherian Archive, Aetherian Archive]</v>
      </c>
    </row>
    <row r="123" spans="1:61" ht="15.75" x14ac:dyDescent="0.25">
      <c r="A123" s="12">
        <v>142</v>
      </c>
      <c r="B123" t="s">
        <v>910</v>
      </c>
      <c r="C123" t="s">
        <v>911</v>
      </c>
      <c r="D123" s="3">
        <f t="shared" si="6"/>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WayshrineInfo'!$K$3:$N$9971,4,FALSE),"")))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WayshrineInfo'!$K$3:$L$9971,2,FALSE),"")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WayshrineInfo'!$K$3:$L$9971,2,FALSE),"")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 t="shared" si="7"/>
        <v>[142] = {wayshrines={231,231,231,}, dlcId=DLC_BASE_GAME</v>
      </c>
      <c r="BF123" s="21" t="str">
        <f t="shared" si="8"/>
        <v>, zoneIds={638,638,638}, veteran=false</v>
      </c>
      <c r="BG123" s="21" t="str">
        <f t="shared" si="9"/>
        <v>, setType=LIBSETS_SETTYPE_TRIAL</v>
      </c>
      <c r="BH123"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1"/>
        <v>}, --Quick Serpent / Flinke Schlange   [Aetherian Archive, Aetherian Archive, Aetherian Archive]</v>
      </c>
    </row>
    <row r="124" spans="1:61" x14ac:dyDescent="0.25">
      <c r="A124" s="12">
        <v>143</v>
      </c>
      <c r="B124" t="s">
        <v>912</v>
      </c>
      <c r="C124" t="s">
        <v>913</v>
      </c>
      <c r="D124" s="3">
        <f t="shared" si="6"/>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WayshrineInfo'!$K$3:$N$9971,4,FALSE),"")))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WayshrineInfo'!$K$3:$L$9971,2,FALSE),"")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WayshrineInfo'!$K$3:$L$9971,2,FALSE),"")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 t="shared" si="7"/>
        <v>[143] = {wayshrines={230,230,230,}, dlcId=DLC_BASE_GAME</v>
      </c>
      <c r="BF124" s="21" t="str">
        <f t="shared" si="8"/>
        <v>, zoneIds={636,636,636}, veteran=false</v>
      </c>
      <c r="BG124" s="21" t="str">
        <f t="shared" si="9"/>
        <v>, setType=LIBSETS_SETTYPE_TRIAL</v>
      </c>
      <c r="BH124" s="21" t="str">
        <f t="shared" si="10"/>
        <v>, dropMechanic={LIBSETS_DROP_MECHANIC_TRIAL_BOSS,LIBSETS_DROP_MECHANIC_TRIAL_BOSS,LIBSETS_DROP_MECHANIC_TRIAL_BOSS}</v>
      </c>
      <c r="BI124" s="21" t="str">
        <f t="shared" si="11"/>
        <v>}, --Poisonous Serpent / Giftschlange   [Hel Ra Citadel, Hel Ra Citadel, Hel Ra Citadel]</v>
      </c>
    </row>
    <row r="125" spans="1:61" x14ac:dyDescent="0.25">
      <c r="A125" s="12">
        <v>144</v>
      </c>
      <c r="B125" t="s">
        <v>914</v>
      </c>
      <c r="C125" t="s">
        <v>915</v>
      </c>
      <c r="D125" s="3">
        <f t="shared" si="6"/>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WayshrineInfo'!$K$3:$N$9971,4,FALSE),"")))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WayshrineInfo'!$K$3:$L$9971,2,FALSE),"")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WayshrineInfo'!$K$3:$L$9971,2,FALSE),"")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 t="shared" si="7"/>
        <v>[144] = {wayshrines={232,232,232,}, dlcId=DLC_BASE_GAME</v>
      </c>
      <c r="BF125" s="21" t="str">
        <f t="shared" si="8"/>
        <v>, zoneIds={639,639,639}, veteran=false</v>
      </c>
      <c r="BG125" s="21" t="str">
        <f t="shared" si="9"/>
        <v>, setType=LIBSETS_SETTYPE_TRIAL</v>
      </c>
      <c r="BH125" s="21" t="str">
        <f t="shared" si="10"/>
        <v>, dropMechanic={LIBSETS_DROP_MECHANIC_TRIAL_BOSS,LIBSETS_DROP_MECHANIC_TRIAL_BOSS,LIBSETS_DROP_MECHANIC_TRIAL_BOSS}</v>
      </c>
      <c r="BI125" s="21" t="str">
        <f t="shared" si="11"/>
        <v>}, --Twice-Fanged Serpent / Doppelzüngige Schlange   [Sanctum Ophidia, Sanctum Ophidia, Sanctum Ophidia]</v>
      </c>
    </row>
    <row r="126" spans="1:61" x14ac:dyDescent="0.25">
      <c r="A126" s="12">
        <v>145</v>
      </c>
      <c r="B126" t="s">
        <v>916</v>
      </c>
      <c r="C126" t="s">
        <v>917</v>
      </c>
      <c r="D126" s="3">
        <f t="shared" si="6"/>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WayshrineInfo'!$K$3:$N$9971,4,FALSE),"")))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WayshrineInfo'!$K$3:$L$9971,2,FALSE),"")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WayshrineInfo'!$K$3:$L$9971,2,FALSE),"")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 t="shared" si="7"/>
        <v>[145] = {wayshrines={220,220,220,}, dlcId=DLC_BLACKWOOD</v>
      </c>
      <c r="BF126" s="21" t="str">
        <f t="shared" si="8"/>
        <v>, zoneIds={888,888,888}, veteran=false</v>
      </c>
      <c r="BG126" s="21" t="str">
        <f t="shared" si="9"/>
        <v>, setType=LIBSETS_SETTYPE_OVERLAND</v>
      </c>
      <c r="BH126" s="21" t="str">
        <f t="shared" si="10"/>
        <v>, dropMechanic={LIBSETS_DROP_MECHANIC_OVERLAND_BOSS_DELVE,LIBSETS_DROP_MECHANIC_OVERLAND_WORLDBOSS,LIBSETS_DROP_MECHANIC_OVERLAND_CHEST}</v>
      </c>
      <c r="BI126" s="21" t="str">
        <f t="shared" si="11"/>
        <v>}, --Way of Fire / Weg des Feuers   [Craglorn, Craglorn, Craglorn]</v>
      </c>
    </row>
    <row r="127" spans="1:61" x14ac:dyDescent="0.25">
      <c r="A127" s="12">
        <v>146</v>
      </c>
      <c r="B127" t="s">
        <v>918</v>
      </c>
      <c r="C127" t="s">
        <v>919</v>
      </c>
      <c r="D127" s="3">
        <f t="shared" si="6"/>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WayshrineInfo'!$K$3:$N$9971,4,FALSE),"")))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WayshrineInfo'!$K$3:$L$9971,2,FALSE),"")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WayshrineInfo'!$K$3:$L$9971,2,FALSE),"")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 t="shared" si="7"/>
        <v>[146] = {wayshrines={220,220,220,}, dlcId=DLC_BLACKWOOD</v>
      </c>
      <c r="BF127" s="21" t="str">
        <f t="shared" si="8"/>
        <v>, zoneIds={888,888,888}, veteran=false</v>
      </c>
      <c r="BG127" s="21" t="str">
        <f t="shared" si="9"/>
        <v>, setType=LIBSETS_SETTYPE_OVERLAND</v>
      </c>
      <c r="BH127" s="21" t="str">
        <f t="shared" si="10"/>
        <v>, isProcSetAllowedInPvP=1, dropMechanic={LIBSETS_DROP_MECHANIC_OVERLAND_BOSS_DELVE,LIBSETS_DROP_MECHANIC_OVERLAND_WORLDBOSS,LIBSETS_DROP_MECHANIC_OVERLAND_CHEST}</v>
      </c>
      <c r="BI127" s="21" t="str">
        <f t="shared" si="11"/>
        <v>}, --Way of Air / Weg der Luft   [Craglorn, Craglorn, Craglorn]</v>
      </c>
    </row>
    <row r="128" spans="1:61" x14ac:dyDescent="0.25">
      <c r="A128" s="12">
        <v>147</v>
      </c>
      <c r="B128" t="s">
        <v>920</v>
      </c>
      <c r="C128" t="s">
        <v>921</v>
      </c>
      <c r="D128" s="3">
        <f t="shared" si="6"/>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WayshrineInfo'!$K$3:$N$9971,4,FALSE),"")))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WayshrineInfo'!$K$3:$L$9971,2,FALSE),"")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WayshrineInfo'!$K$3:$L$9971,2,FALSE),"")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 t="shared" si="7"/>
        <v>[147] = {wayshrines={220,220,220,}, dlcId=DLC_BLACKWOOD</v>
      </c>
      <c r="BF128" s="21" t="str">
        <f t="shared" si="8"/>
        <v>, zoneIds={888,888,888}, veteran=false</v>
      </c>
      <c r="BG128" s="21" t="str">
        <f t="shared" si="9"/>
        <v>, setType=LIBSETS_SETTYPE_OVERLAND</v>
      </c>
      <c r="BH128" s="21" t="str">
        <f t="shared" si="10"/>
        <v>, dropMechanic={LIBSETS_DROP_MECHANIC_OVERLAND_BOSS_DELVE,LIBSETS_DROP_MECHANIC_OVERLAND_WORLDBOSS,LIBSETS_DROP_MECHANIC_OVERLAND_CHEST}</v>
      </c>
      <c r="BI128" s="21" t="str">
        <f t="shared" si="11"/>
        <v>}, --Way of Martial Knowledge / Weg der Kampfkunst   [Craglorn, Craglorn, Craglorn]</v>
      </c>
    </row>
    <row r="129" spans="1:61" x14ac:dyDescent="0.25">
      <c r="A129" s="5">
        <v>148</v>
      </c>
      <c r="B129" t="s">
        <v>922</v>
      </c>
      <c r="C129" t="s">
        <v>923</v>
      </c>
      <c r="D129" s="3">
        <f t="shared" si="6"/>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WayshrineInfo'!$K$3:$N$9971,4,FALSE),"")))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WayshrineInfo'!$K$3:$L$9971,2,FALSE),"")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WayshrineInfo'!$K$3:$L$9971,2,FALSE),"")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 t="shared" si="7"/>
        <v>[148] = {wayshrines={217,217,217,}, traitsNeeded=8, dlcId=DLC_BLACKWOOD</v>
      </c>
      <c r="BF129" s="21" t="str">
        <f t="shared" si="8"/>
        <v>, zoneIds={888,888,888}, veteran=false</v>
      </c>
      <c r="BG129" s="21" t="str">
        <f t="shared" si="9"/>
        <v>, setType=LIBSETS_SETTYPE_CRAFTED</v>
      </c>
      <c r="BH129" s="21" t="str">
        <f t="shared" si="10"/>
        <v>, isProcSetAllowedInPvP=1, dropMechanic={LIBSETS_DROP_MECHANIC_CRAFTED,LIBSETS_DROP_MECHANIC_CRAFTED}</v>
      </c>
      <c r="BI129" s="21" t="str">
        <f t="shared" si="11"/>
        <v>}, --Way of the Arena / Weg der Arena   [Craglorn, Craglorn, Craglorn]</v>
      </c>
    </row>
    <row r="130" spans="1:61" x14ac:dyDescent="0.25">
      <c r="A130" s="12">
        <v>155</v>
      </c>
      <c r="B130" t="s">
        <v>924</v>
      </c>
      <c r="C130" t="s">
        <v>925</v>
      </c>
      <c r="D130" s="3">
        <f t="shared" si="6"/>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WayshrineInfo'!$K$3:$N$9971,4,FALSE),"")))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WayshrineInfo'!$K$3:$L$9971,2,FALSE),"")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WayshrineInfo'!$K$3:$L$9971,2,FALSE),"")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 t="shared" si="7"/>
        <v>[155] = {wayshrines={191,191,191,}, dlcId=DLC_BASE_GAME</v>
      </c>
      <c r="BF130" s="21" t="str">
        <f t="shared" si="8"/>
        <v>, zoneIds={126,931,383}, veteran=false</v>
      </c>
      <c r="BG130" s="21" t="str">
        <f t="shared" si="9"/>
        <v>, setType=LIBSETS_SETTYPE_DUNGEON</v>
      </c>
      <c r="BH130" s="21" t="str">
        <f t="shared" si="10"/>
        <v>, dropMechanic={LIBSETS_DROP_MECHANIC_GROUP_DUNGEON_BOSS,LIBSETS_DROP_MECHANIC_GROUP_DUNGEON_BOSS}</v>
      </c>
      <c r="BI130" s="21" t="str">
        <f t="shared" si="11"/>
        <v>}, --Undaunted Bastion / Unerschrockenen-Bastion   [Elden Hollow I, Elden Hollow II, Grahtwood]</v>
      </c>
    </row>
    <row r="131" spans="1:61" x14ac:dyDescent="0.25">
      <c r="A131" s="12">
        <v>156</v>
      </c>
      <c r="B131" t="s">
        <v>926</v>
      </c>
      <c r="C131" t="s">
        <v>927</v>
      </c>
      <c r="D131" s="3">
        <f t="shared" ref="D131:D194" si="12">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WayshrineInfo'!$K$3:$N$9971,4,FALSE),"")))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WayshrineInfo'!$K$3:$L$9971,2,FALSE),"")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WayshrineInfo'!$K$3:$L$9971,2,FALSE),"")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 t="shared" ref="BG131:BG194" si="15">IF(A131&lt;&gt;"",IF(F131&lt;&gt;"Not in the game (anymore)",IF(A131&lt;&gt;"",", setType="&amp;G131,"")&amp;IF(G131="LIBSETS_SETTYPE_CLASS",", classId="&amp;BC131,"")&amp;IF(J131="true",", multiTrialSet=true",""),"")
&amp; IF(AND(H131&lt;&gt;"",ISNUMBER(H131)),", undauntedChestId=" &amp; H131,""),"")</f>
        <v>, setType=LIBSETS_SETTYPE_DUNGEON</v>
      </c>
      <c r="BH131" s="21" t="str">
        <f t="shared" ref="BH131:BH194" si="16">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 t="shared" ref="BI131:BI194" si="17">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 t="shared" si="12"/>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WayshrineInfo'!$K$3:$N$9971,4,FALSE),"")))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WayshrineInfo'!$K$3:$L$9971,2,FALSE),"")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WayshrineInfo'!$K$3:$L$9971,2,FALSE),"")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 t="shared" si="13"/>
        <v>[157] = {wayshrines={186,186,186,}, dlcId=DLC_BASE_GAME</v>
      </c>
      <c r="BF132" s="21" t="str">
        <f t="shared" si="14"/>
        <v>, zoneIds={38,92,92}, veteran=false</v>
      </c>
      <c r="BG132" s="21" t="str">
        <f t="shared" si="15"/>
        <v>, setType=LIBSETS_SETTYPE_DUNGEON</v>
      </c>
      <c r="BH132" s="21" t="str">
        <f t="shared" si="16"/>
        <v>, dropMechanic={LIBSETS_DROP_MECHANIC_GROUP_DUNGEON_BOSS}</v>
      </c>
      <c r="BI132" s="21" t="str">
        <f t="shared" si="17"/>
        <v>}, --Undaunted Unweaver / Unerschrockener Entflechter   [Blackheart Haven, Bangkorai, Bangkorai]</v>
      </c>
    </row>
    <row r="133" spans="1:61" x14ac:dyDescent="0.25">
      <c r="A133" s="12">
        <v>158</v>
      </c>
      <c r="B133" t="s">
        <v>930</v>
      </c>
      <c r="C133" t="s">
        <v>931</v>
      </c>
      <c r="D133" s="3">
        <f t="shared" si="12"/>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WayshrineInfo'!$K$3:$N$9971,4,FALSE),"")))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WayshrineInfo'!$K$3:$L$9971,2,FALSE),"")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WayshrineInfo'!$K$3:$L$9971,2,FALSE),"")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 t="shared" si="13"/>
        <v>[158] = {wayshrines={197,197,197,}, dlcId=DLC_BASE_GAME</v>
      </c>
      <c r="BF133" s="21" t="str">
        <f t="shared" si="14"/>
        <v>, zoneIds={176,681,108}, veteran=false</v>
      </c>
      <c r="BG133" s="21" t="str">
        <f t="shared" si="15"/>
        <v>, setType=LIBSETS_SETTYPE_DUNGEON</v>
      </c>
      <c r="BH133" s="21" t="str">
        <f t="shared" si="16"/>
        <v>, dropMechanic={LIBSETS_DROP_MECHANIC_GROUP_DUNGEON_BOSS,LIBSETS_DROP_MECHANIC_GROUP_DUNGEON_BOSS}</v>
      </c>
      <c r="BI133" s="21" t="str">
        <f t="shared" si="17"/>
        <v>}, --Embershield / Glutschild   [City of Ash I, City of Ash II, Greenshade]</v>
      </c>
    </row>
    <row r="134" spans="1:61" x14ac:dyDescent="0.25">
      <c r="A134" s="12">
        <v>159</v>
      </c>
      <c r="B134" t="s">
        <v>932</v>
      </c>
      <c r="C134" t="s">
        <v>933</v>
      </c>
      <c r="D134" s="3">
        <f t="shared" si="12"/>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WayshrineInfo'!$K$3:$N$9971,4,FALSE),"")))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WayshrineInfo'!$K$3:$L$9971,2,FALSE),"")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WayshrineInfo'!$K$3:$L$9971,2,FALSE),"")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 t="shared" si="13"/>
        <v>[159] = {wayshrines={197,197,197,}, dlcId=DLC_BASE_GAME</v>
      </c>
      <c r="BF134" s="21" t="str">
        <f t="shared" si="14"/>
        <v>, zoneIds={176,681,108}, veteran=false</v>
      </c>
      <c r="BG134" s="21" t="str">
        <f t="shared" si="15"/>
        <v>, setType=LIBSETS_SETTYPE_DUNGEON</v>
      </c>
      <c r="BH134" s="21" t="str">
        <f t="shared" si="16"/>
        <v>, dropMechanic={LIBSETS_DROP_MECHANIC_GROUP_DUNGEON_BOSS,LIBSETS_DROP_MECHANIC_GROUP_DUNGEON_BOSS}</v>
      </c>
      <c r="BI134" s="21" t="str">
        <f t="shared" si="17"/>
        <v>}, --Sunderflame / Trennflamme   [City of Ash I, City of Ash II, Greenshade]</v>
      </c>
    </row>
    <row r="135" spans="1:61" x14ac:dyDescent="0.25">
      <c r="A135" s="12">
        <v>160</v>
      </c>
      <c r="B135" t="s">
        <v>934</v>
      </c>
      <c r="C135" t="s">
        <v>935</v>
      </c>
      <c r="D135" s="3">
        <f t="shared" si="12"/>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WayshrineInfo'!$K$3:$N$9971,4,FALSE),"")))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WayshrineInfo'!$K$3:$L$9971,2,FALSE),"")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WayshrineInfo'!$K$3:$L$9971,2,FALSE),"")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 t="shared" si="13"/>
        <v>[160] = {wayshrines={197,197,197,}, dlcId=DLC_BASE_GAME</v>
      </c>
      <c r="BF135" s="21" t="str">
        <f t="shared" si="14"/>
        <v>, zoneIds={176,681,108}, veteran=false</v>
      </c>
      <c r="BG135" s="21" t="str">
        <f t="shared" si="15"/>
        <v>, setType=LIBSETS_SETTYPE_DUNGEON</v>
      </c>
      <c r="BH135" s="21" t="str">
        <f t="shared" si="16"/>
        <v>, dropMechanic={LIBSETS_DROP_MECHANIC_GROUP_DUNGEON_BOSS,LIBSETS_DROP_MECHANIC_GROUP_DUNGEON_BOSS}</v>
      </c>
      <c r="BI135" s="21" t="str">
        <f t="shared" si="17"/>
        <v>}, --Burning Spellweave / Branntzauberweber   [City of Ash I, City of Ash II, Greenshade]</v>
      </c>
    </row>
    <row r="136" spans="1:61" x14ac:dyDescent="0.25">
      <c r="A136" s="5">
        <v>161</v>
      </c>
      <c r="B136" t="s">
        <v>936</v>
      </c>
      <c r="C136" t="s">
        <v>937</v>
      </c>
      <c r="D136" s="3">
        <f t="shared" si="12"/>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WayshrineInfo'!$K$3:$N$9971,4,FALSE),"")))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WayshrineInfo'!$K$3:$L$9971,2,FALSE),"")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WayshrineInfo'!$K$3:$L$9971,2,FALSE),"")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 t="shared" si="13"/>
        <v>[161] = {wayshrines={234,234,234,}, traitsNeeded=9, dlcId=DLC_BLACKWOOD</v>
      </c>
      <c r="BF136" s="21" t="str">
        <f t="shared" si="14"/>
        <v>, zoneIds={888,888,888}, veteran=false</v>
      </c>
      <c r="BG136" s="21" t="str">
        <f t="shared" si="15"/>
        <v>, setType=LIBSETS_SETTYPE_CRAFTED</v>
      </c>
      <c r="BH136" s="21" t="str">
        <f t="shared" si="16"/>
        <v>, dropMechanic={LIBSETS_DROP_MECHANIC_CRAFTED,LIBSETS_DROP_MECHANIC_CRAFTED}</v>
      </c>
      <c r="BI136" s="21" t="str">
        <f t="shared" si="17"/>
        <v>}, --Twice-Born Star / Doppelstern   [Craglorn, Craglorn, Craglorn]</v>
      </c>
    </row>
    <row r="137" spans="1:61" x14ac:dyDescent="0.25">
      <c r="A137" s="5">
        <v>162</v>
      </c>
      <c r="B137" t="s">
        <v>938</v>
      </c>
      <c r="C137" t="s">
        <v>24</v>
      </c>
      <c r="D137" s="3">
        <f t="shared" si="12"/>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WayshrineInfo'!$K$3:$N$9971,4,FALSE),"")))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WayshrineInfo'!$K$3:$L$9971,2,FALSE),"")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WayshrineInfo'!$K$3:$L$9971,2,FALSE),"")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 t="shared" si="13"/>
        <v>[162] = {wayshrines={266,266,266,}, dlcId=DLC_BASE_GAME</v>
      </c>
      <c r="BF137" s="21" t="str">
        <f t="shared" si="14"/>
        <v>, zoneIds={934,41,41}, veteran={[EQUIP_TYPE_HEAD]=true, [EQUIP_TYPE_SHOULDERS]=false}</v>
      </c>
      <c r="BG137" s="21" t="str">
        <f t="shared" si="15"/>
        <v>, setType=LIBSETS_SETTYPE_MONSTER, undauntedChestId=2</v>
      </c>
      <c r="BH137" s="21" t="str">
        <f t="shared" si="16"/>
        <v>, dropMechanic={LIBSETS_DROP_MECHANIC_MONSTER_NAME}, dropMechanicDropLocationNames={['en']={'Vila Theran','','','','','',},['de']={'Vila Theran','','','','','',},}</v>
      </c>
      <c r="BI137" s="21" t="str">
        <f t="shared" si="17"/>
        <v>}, --Spawn of Mephala / Mephalas Brut   [Fungal Grotto II, Stonefalls, Stonefalls]</v>
      </c>
    </row>
    <row r="138" spans="1:61" x14ac:dyDescent="0.25">
      <c r="A138" s="5">
        <v>163</v>
      </c>
      <c r="B138" t="s">
        <v>939</v>
      </c>
      <c r="C138" t="s">
        <v>1</v>
      </c>
      <c r="D138" s="3">
        <f t="shared" si="12"/>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WayshrineInfo'!$K$3:$N$9971,4,FALSE),"")))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WayshrineInfo'!$K$3:$L$9971,2,FALSE),"")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WayshrineInfo'!$K$3:$L$9971,2,FALSE),"")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 t="shared" si="13"/>
        <v>[163] = {wayshrines={267,267,267,}, dlcId=DLC_BASE_GAME</v>
      </c>
      <c r="BF138" s="21" t="str">
        <f t="shared" si="14"/>
        <v>, zoneIds={936,3,3}, veteran={[EQUIP_TYPE_HEAD]=true, [EQUIP_TYPE_SHOULDERS]=false}</v>
      </c>
      <c r="BG138" s="21" t="str">
        <f t="shared" si="15"/>
        <v>, setType=LIBSETS_SETTYPE_MONSTER, undauntedChestId=2</v>
      </c>
      <c r="BH138" s="21" t="str">
        <f t="shared" si="16"/>
        <v>, dropMechanic={LIBSETS_DROP_MECHANIC_MONSTER_NAME}, dropMechanicDropLocationNames={['en']={'Vorenor Winterbourne','','','','','',},['de']={'Vorenor Winterkind','','','','','',},}</v>
      </c>
      <c r="BI138" s="21" t="str">
        <f t="shared" si="17"/>
        <v>}, --Blood Spawn / Blutbrut   [Spindleclutch II, Glenumbra, Glenumbra]</v>
      </c>
    </row>
    <row r="139" spans="1:61" x14ac:dyDescent="0.25">
      <c r="A139" s="5">
        <v>164</v>
      </c>
      <c r="B139" t="s">
        <v>940</v>
      </c>
      <c r="C139" t="s">
        <v>11</v>
      </c>
      <c r="D139" s="3">
        <f t="shared" si="12"/>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WayshrineInfo'!$K$3:$N$9971,4,FALSE),"")))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WayshrineInfo'!$K$3:$L$9971,2,FALSE),"")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WayshrineInfo'!$K$3:$L$9971,2,FALSE),"")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 t="shared" si="13"/>
        <v>[164] = {wayshrines={236,236,236,}, dlcId=DLC_IMPERIAL_CITY</v>
      </c>
      <c r="BF139" s="21" t="str">
        <f t="shared" si="14"/>
        <v>, zoneIds={678,181,181}, veteran={[EQUIP_TYPE_HEAD]=true, [EQUIP_TYPE_SHOULDERS]=false}</v>
      </c>
      <c r="BG139" s="21" t="str">
        <f t="shared" si="15"/>
        <v>, setType=LIBSETS_SETTYPE_MONSTER, undauntedChestId=3</v>
      </c>
      <c r="BH139" s="21" t="str">
        <f t="shared" si="16"/>
        <v>, dropMechanic={LIBSETS_DROP_MECHANIC_MONSTER_NAME}, dropMechanicDropLocationNames={['en']={'Lord Warden Dusk','','','','','',},['de']={'Hochwärter Dämmer','','','','','',},}</v>
      </c>
      <c r="BI139" s="21" t="str">
        <f t="shared" si="17"/>
        <v>}, --Lord Warden / Hochwärter   [Imperial City Prison, Cyrodiil, Cyrodiil]</v>
      </c>
    </row>
    <row r="140" spans="1:61" x14ac:dyDescent="0.25">
      <c r="A140" s="5">
        <v>165</v>
      </c>
      <c r="B140" t="s">
        <v>941</v>
      </c>
      <c r="C140" t="s">
        <v>18</v>
      </c>
      <c r="D140" s="3">
        <f t="shared" si="12"/>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WayshrineInfo'!$K$3:$N$9971,4,FALSE),"")))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WayshrineInfo'!$K$3:$L$9971,2,FALSE),"")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WayshrineInfo'!$K$3:$L$9971,2,FALSE),"")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 t="shared" si="13"/>
        <v>[165] = {wayshrines={263,263,263,}, dlcId=DLC_BASE_GAME</v>
      </c>
      <c r="BF140" s="21" t="str">
        <f t="shared" si="14"/>
        <v>, zoneIds={933,19,19}, veteran={[EQUIP_TYPE_HEAD]=true, [EQUIP_TYPE_SHOULDERS]=false}</v>
      </c>
      <c r="BG140" s="21" t="str">
        <f t="shared" si="15"/>
        <v>, setType=LIBSETS_SETTYPE_MONSTER, undauntedChestId=2</v>
      </c>
      <c r="BH140" s="21" t="str">
        <f t="shared" si="16"/>
        <v>, dropMechanic={LIBSETS_DROP_MECHANIC_MONSTER_NAME}, dropMechanicDropLocationNames={['en']={'Varaine and Allene Pellingare','','','','','',},['de']={'Varaine und Allene Pellingare','','','','','',},}</v>
      </c>
      <c r="BI140" s="21" t="str">
        <f t="shared" si="17"/>
        <v>}, --Scourge Harvester / Geißelernter   [Wayrest Sewers II, Stormhaven, Stormhaven]</v>
      </c>
    </row>
    <row r="141" spans="1:61" x14ac:dyDescent="0.25">
      <c r="A141" s="5">
        <v>166</v>
      </c>
      <c r="B141" t="s">
        <v>942</v>
      </c>
      <c r="C141" t="s">
        <v>5</v>
      </c>
      <c r="D141" s="3">
        <f t="shared" si="12"/>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WayshrineInfo'!$K$3:$N$9971,4,FALSE),"")))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WayshrineInfo'!$K$3:$L$9971,2,FALSE),"")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WayshrineInfo'!$K$3:$L$9971,2,FALSE),"")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 t="shared" si="13"/>
        <v>[166] = {wayshrines={264,264,264,}, dlcId=DLC_BASE_GAME</v>
      </c>
      <c r="BF141" s="21" t="str">
        <f t="shared" si="14"/>
        <v>, zoneIds={930,57,57}, veteran={[EQUIP_TYPE_HEAD]=true, [EQUIP_TYPE_SHOULDERS]=false}</v>
      </c>
      <c r="BG141" s="21" t="str">
        <f t="shared" si="15"/>
        <v>, setType=LIBSETS_SETTYPE_MONSTER, undauntedChestId=2</v>
      </c>
      <c r="BH141" s="21" t="str">
        <f t="shared" si="16"/>
        <v>, dropMechanic={LIBSETS_DROP_MECHANIC_MONSTER_NAME}, dropMechanicDropLocationNames={['en']={'The Engine Guardian','','','','','',},['de']={'Der Maschinenwächter','','','','','',},}</v>
      </c>
      <c r="BI141" s="21" t="str">
        <f t="shared" si="17"/>
        <v>}, --Engine Guardian / Maschinenwächter   [Darkshade Caverns II, Deshaan, Deshaan]</v>
      </c>
    </row>
    <row r="142" spans="1:61" x14ac:dyDescent="0.25">
      <c r="A142" s="5">
        <v>167</v>
      </c>
      <c r="B142" t="s">
        <v>943</v>
      </c>
      <c r="C142" t="s">
        <v>16</v>
      </c>
      <c r="D142" s="3">
        <f t="shared" si="12"/>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WayshrineInfo'!$K$3:$N$9971,4,FALSE),"")))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WayshrineInfo'!$K$3:$L$9971,2,FALSE),"")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WayshrineInfo'!$K$3:$L$9971,2,FALSE),"")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 t="shared" si="13"/>
        <v>[167] = {wayshrines={265,265,265,}, dlcId=DLC_BASE_GAME</v>
      </c>
      <c r="BF142" s="21" t="str">
        <f t="shared" si="14"/>
        <v>, zoneIds={931,383,383}, veteran={[EQUIP_TYPE_HEAD]=true, [EQUIP_TYPE_SHOULDERS]=false}</v>
      </c>
      <c r="BG142" s="21" t="str">
        <f t="shared" si="15"/>
        <v>, setType=LIBSETS_SETTYPE_MONSTER, undauntedChestId=2</v>
      </c>
      <c r="BH142" s="21" t="str">
        <f t="shared" si="16"/>
        <v>, dropMechanic={LIBSETS_DROP_MECHANIC_MONSTER_NAME}, dropMechanicDropLocationNames={['en']={'Bogdan the Nightflame','','','','','',},['de']={'Bogdan die Nachtflamme','','','','','',},}</v>
      </c>
      <c r="BI142" s="21" t="str">
        <f t="shared" si="17"/>
        <v>}, --Nightflame / Nachtflamme   [Elden Hollow II, Grahtwood, Grahtwood]</v>
      </c>
    </row>
    <row r="143" spans="1:61" x14ac:dyDescent="0.25">
      <c r="A143" s="5">
        <v>168</v>
      </c>
      <c r="B143" t="s">
        <v>15</v>
      </c>
      <c r="C143" t="s">
        <v>1550</v>
      </c>
      <c r="D143" s="3">
        <f t="shared" si="12"/>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WayshrineInfo'!$K$3:$N$9971,4,FALSE),"")))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WayshrineInfo'!$K$3:$L$9971,2,FALSE),"")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WayshrineInfo'!$K$3:$L$9971,2,FALSE),"")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 t="shared" si="13"/>
        <v>[168] = {wayshrines={269,269,269,}, dlcId=DLC_BASE_GAME</v>
      </c>
      <c r="BF143" s="21" t="str">
        <f t="shared" si="14"/>
        <v>, zoneIds={932,20,20}, veteran={[EQUIP_TYPE_HEAD]=true, [EQUIP_TYPE_SHOULDERS]=false}</v>
      </c>
      <c r="BG143" s="21" t="str">
        <f t="shared" si="15"/>
        <v>, setType=LIBSETS_SETTYPE_MONSTER, undauntedChestId=1</v>
      </c>
      <c r="BH143" s="21" t="str">
        <f t="shared" si="16"/>
        <v>, dropMechanic={LIBSETS_DROP_MECHANIC_MONSTER_NAME}, dropMechanicDropLocationNames={['en']={'Nerien\'eth','','','','','',},['de']={'Nerien\'eth','','','','','',},}</v>
      </c>
      <c r="BI143" s="21" t="str">
        <f t="shared" si="17"/>
        <v>}, --Nerien\'eth / Nerien'eth   [Crypt of Hearts II, Rivenspire, Rivenspire]</v>
      </c>
    </row>
    <row r="144" spans="1:61" x14ac:dyDescent="0.25">
      <c r="A144" s="5">
        <v>169</v>
      </c>
      <c r="B144" t="s">
        <v>31</v>
      </c>
      <c r="C144" t="s">
        <v>31</v>
      </c>
      <c r="D144" s="3">
        <f t="shared" si="12"/>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WayshrineInfo'!$K$3:$N$9971,4,FALSE),"")))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WayshrineInfo'!$K$3:$L$9971,2,FALSE),"")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WayshrineInfo'!$K$3:$L$9971,2,FALSE),"")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 t="shared" si="13"/>
        <v>[169] = {wayshrines={268,268,268,}, dlcId=DLC_BASE_GAME</v>
      </c>
      <c r="BF144" s="21" t="str">
        <f t="shared" si="14"/>
        <v>, zoneIds={681,108,108}, veteran={[EQUIP_TYPE_HEAD]=true, [EQUIP_TYPE_SHOULDERS]=false}</v>
      </c>
      <c r="BG144" s="21" t="str">
        <f t="shared" si="15"/>
        <v>, setType=LIBSETS_SETTYPE_MONSTER, undauntedChestId=1</v>
      </c>
      <c r="BH144" s="21" t="str">
        <f t="shared" si="16"/>
        <v>, dropMechanic={LIBSETS_DROP_MECHANIC_MONSTER_NAME}, dropMechanicDropLocationNames={['en']={'Valkyn Skoria','','','','','',},['de']={'Valkyn Skoria','','','','','',},}</v>
      </c>
      <c r="BI144" s="21" t="str">
        <f t="shared" si="17"/>
        <v>}, --Valkyn Skoria / Valkyn Skoria   [City of Ash II, Greenshade, Greenshade]</v>
      </c>
    </row>
    <row r="145" spans="1:61" x14ac:dyDescent="0.25">
      <c r="A145" s="5">
        <v>170</v>
      </c>
      <c r="B145" t="s">
        <v>944</v>
      </c>
      <c r="C145" t="s">
        <v>12</v>
      </c>
      <c r="D145" s="3">
        <f t="shared" si="12"/>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WayshrineInfo'!$K$3:$N$9971,4,FALSE),"")))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WayshrineInfo'!$K$3:$L$9971,2,FALSE),"")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WayshrineInfo'!$K$3:$L$9971,2,FALSE),"")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 t="shared" si="13"/>
        <v>[170] = {wayshrines={262,262,262,}, dlcId=DLC_BASE_GAME</v>
      </c>
      <c r="BF145" s="21" t="str">
        <f t="shared" si="14"/>
        <v>, zoneIds={935,381,381}, veteran={[EQUIP_TYPE_HEAD]=true, [EQUIP_TYPE_SHOULDERS]=false}</v>
      </c>
      <c r="BG145" s="21" t="str">
        <f t="shared" si="15"/>
        <v>, setType=LIBSETS_SETTYPE_MONSTER, undauntedChestId=2</v>
      </c>
      <c r="BH145" s="21" t="str">
        <f t="shared" si="16"/>
        <v>, dropMechanic={LIBSETS_DROP_MECHANIC_MONSTER_NAME}, dropMechanicDropLocationNames={['en']={'High Kinlord Rilis','','','','','',},['de']={'Sippenhochfürst Rilis','','','','','',},}</v>
      </c>
      <c r="BI145" s="21" t="str">
        <f t="shared" si="17"/>
        <v>}, --Maw of the Infernal / Schlund des Infernalen   [The Banished Cells II, Auridon, Auridon]</v>
      </c>
    </row>
    <row r="146" spans="1:61" x14ac:dyDescent="0.25">
      <c r="A146" s="12">
        <v>171</v>
      </c>
      <c r="B146" t="s">
        <v>945</v>
      </c>
      <c r="C146" t="s">
        <v>946</v>
      </c>
      <c r="D146" s="3">
        <f t="shared" si="12"/>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WayshrineInfo'!$K$3:$N$9971,4,FALSE),"")))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WayshrineInfo'!$K$3:$L$9971,2,FALSE),"")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WayshrineInfo'!$K$3:$L$9971,2,FALSE),"")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 t="shared" si="13"/>
        <v>[171] = {wayshrines={230,230,230,}, dlcId=DLC_BASE_GAME</v>
      </c>
      <c r="BF146" s="21" t="str">
        <f t="shared" si="14"/>
        <v>, zoneIds={636,636,636}, veteran=false</v>
      </c>
      <c r="BG146" s="21" t="str">
        <f t="shared" si="15"/>
        <v>, setType=LIBSETS_SETTYPE_TRIAL</v>
      </c>
      <c r="BH146" s="21" t="str">
        <f t="shared" si="16"/>
        <v>, dropMechanic={LIBSETS_DROP_MECHANIC_TRIAL_BOSS,LIBSETS_DROP_MECHANIC_TRIAL_BOSS,LIBSETS_DROP_MECHANIC_TRIAL_BOSS}</v>
      </c>
      <c r="BI146" s="21" t="str">
        <f t="shared" si="17"/>
        <v>}, --Eternal Warrior / Ewiger Krieger   [Hel Ra Citadel, Hel Ra Citadel, Hel Ra Citadel]</v>
      </c>
    </row>
    <row r="147" spans="1:61" ht="15.75" x14ac:dyDescent="0.25">
      <c r="A147" s="12">
        <v>172</v>
      </c>
      <c r="B147" t="s">
        <v>947</v>
      </c>
      <c r="C147" t="s">
        <v>948</v>
      </c>
      <c r="D147" s="3">
        <f t="shared" si="12"/>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WayshrineInfo'!$K$3:$N$9971,4,FALSE),"")))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WayshrineInfo'!$K$3:$L$9971,2,FALSE),"")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WayshrineInfo'!$K$3:$L$9971,2,FALSE),"")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 t="shared" si="13"/>
        <v>[172] = {wayshrines={230,230,230,}, dlcId=DLC_BASE_GAME</v>
      </c>
      <c r="BF147" s="21" t="str">
        <f t="shared" si="14"/>
        <v>, zoneIds={638,638,638}, veteran=false</v>
      </c>
      <c r="BG147" s="21" t="str">
        <f t="shared" si="15"/>
        <v>, setType=LIBSETS_SETTYPE_TRIAL</v>
      </c>
      <c r="BH147" s="21"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17"/>
        <v>}, --Infallible Mage / Unfehlbare Magierin   [Aetherian Archive, Aetherian Archive, Aetherian Archive]</v>
      </c>
    </row>
    <row r="148" spans="1:61" x14ac:dyDescent="0.25">
      <c r="A148" s="12">
        <v>173</v>
      </c>
      <c r="B148" t="s">
        <v>949</v>
      </c>
      <c r="C148" t="s">
        <v>950</v>
      </c>
      <c r="D148" s="3">
        <f t="shared" si="12"/>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WayshrineInfo'!$K$3:$N$9971,4,FALSE),"")))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WayshrineInfo'!$K$3:$L$9971,2,FALSE),"")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WayshrineInfo'!$K$3:$L$9971,2,FALSE),"")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 t="shared" si="13"/>
        <v>[173] = {wayshrines={230,230,230,}, dlcId=DLC_BASE_GAME</v>
      </c>
      <c r="BF148" s="21" t="str">
        <f t="shared" si="14"/>
        <v>, zoneIds={639,639,639}, veteran=false</v>
      </c>
      <c r="BG148" s="21" t="str">
        <f t="shared" si="15"/>
        <v>, setType=LIBSETS_SETTYPE_TRIAL</v>
      </c>
      <c r="BH148" s="21" t="str">
        <f t="shared" si="16"/>
        <v>, dropMechanic={LIBSETS_DROP_MECHANIC_TRIAL_BOSS,LIBSETS_DROP_MECHANIC_TRIAL_BOSS,LIBSETS_DROP_MECHANIC_TRIAL_BOSS}</v>
      </c>
      <c r="BI148" s="21" t="str">
        <f t="shared" si="17"/>
        <v>}, --Vicious Serpent / Boshafte Schlange   [Sanctum Ophidia, Sanctum Ophidia, Sanctum Ophidia]</v>
      </c>
    </row>
    <row r="149" spans="1:61" x14ac:dyDescent="0.25">
      <c r="A149" s="5">
        <v>176</v>
      </c>
      <c r="B149" t="s">
        <v>951</v>
      </c>
      <c r="C149" t="s">
        <v>2573</v>
      </c>
      <c r="D149" s="3">
        <f t="shared" si="12"/>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WayshrineInfo'!$K$3:$N$9971,4,FALSE),"")))</f>
        <v>Imperial City</v>
      </c>
      <c r="T149" s="19" t="str">
        <f>IF(AND(S149&lt;&gt;"",NOT(ISERROR(S149))),S149,IF(Q149&lt;&gt;"",IF(NOT(ISERROR(VLOOKUP(Q149,'ESO Dungeon constants'!$D$3:$H$9999,5,FALSE))),VLOOKUP(Q149,'ESO Dungeon constants'!$D$3:$I$9999,6,FALSE),VLOOKUP(Q149,'ESO zone constants'!$H$3:$K$9989,4,FALSE)),""))</f>
        <v>DLC_IMPERIAL_CITY</v>
      </c>
      <c r="U149" s="3" t="str">
        <f>IF(T149&lt;&gt;"",VLOOKUP(T149,'LibSets constants'!$B$4:$C$1017,2,FALSE),"")</f>
        <v>Imperial City</v>
      </c>
      <c r="V149" s="33" t="s">
        <v>3276</v>
      </c>
      <c r="Y149" s="61"/>
      <c r="Z149" s="3" t="str">
        <f>IF(AND(G149&lt;&gt;"LIBSETS_SETTYPE_BATTLEGROUND",G149&lt;&gt;"LIBSETS_SETTYPE_SPECIAL"),
IF(AND(Y149&lt;&gt;"",ISNUMBER(Y149),NOT(ISNA(Y149))),Y149,
   IF(AND(L149&lt;&gt;"",ISNUMBER(L149),L149&gt;0,NOT(ISNA(L149))),VLOOKUP(L149,'ESO dumped WayshrineInfo'!$K$3:$L$9971,2,FALSE),"")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WayshrineInfo'!$K$3:$L$9971,2,FALSE),"")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 t="shared" si="13"/>
        <v>[176] = {wayshrines={-1,-1,-1,}, traitsNeeded=5, dlcId=DLC_IMPERIAL_CITY</v>
      </c>
      <c r="BF149" s="21" t="str">
        <f t="shared" si="14"/>
        <v>, zoneIds={584}, veteran=false</v>
      </c>
      <c r="BG149" s="21" t="str">
        <f t="shared" si="15"/>
        <v>, setType=LIBSETS_SETTYPE_CRAFTED</v>
      </c>
      <c r="BH149" s="21" t="str">
        <f t="shared" si="16"/>
        <v>, dropMechanic={LIBSETS_DROP_MECHANIC_CRAFTED}</v>
      </c>
      <c r="BI149" s="21" t="str">
        <f t="shared" si="17"/>
        <v>}, --Noble\'s Conquest / Adelssieg   [Imperial City]</v>
      </c>
    </row>
    <row r="150" spans="1:61" x14ac:dyDescent="0.25">
      <c r="A150" s="5">
        <v>177</v>
      </c>
      <c r="B150" t="s">
        <v>952</v>
      </c>
      <c r="C150" t="s">
        <v>953</v>
      </c>
      <c r="D150" s="3">
        <f t="shared" si="12"/>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WayshrineInfo'!$K$3:$N$9971,4,FALSE),"")))</f>
        <v>Imperial City</v>
      </c>
      <c r="T150" s="19" t="str">
        <f>IF(AND(S150&lt;&gt;"",NOT(ISERROR(S150))),S150,IF(Q150&lt;&gt;"",IF(NOT(ISERROR(VLOOKUP(Q150,'ESO Dungeon constants'!$D$3:$H$9999,5,FALSE))),VLOOKUP(Q150,'ESO Dungeon constants'!$D$3:$I$9999,6,FALSE),VLOOKUP(Q150,'ESO zone constants'!$H$3:$K$9989,4,FALSE)),""))</f>
        <v>DLC_IMPERIAL_CITY</v>
      </c>
      <c r="U150" s="3" t="str">
        <f>IF(T150&lt;&gt;"",VLOOKUP(T150,'LibSets constants'!$B$4:$C$1017,2,FALSE),"")</f>
        <v>Imperial City</v>
      </c>
      <c r="V150" s="33" t="s">
        <v>3276</v>
      </c>
      <c r="Y150" s="61"/>
      <c r="Z150" s="3" t="str">
        <f>IF(AND(G150&lt;&gt;"LIBSETS_SETTYPE_BATTLEGROUND",G150&lt;&gt;"LIBSETS_SETTYPE_SPECIAL"),
IF(AND(Y150&lt;&gt;"",ISNUMBER(Y150),NOT(ISNA(Y150))),Y150,
   IF(AND(L150&lt;&gt;"",ISNUMBER(L150),L150&gt;0,NOT(ISNA(L150))),VLOOKUP(L150,'ESO dumped WayshrineInfo'!$K$3:$L$9971,2,FALSE),"")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WayshrineInfo'!$K$3:$L$9971,2,FALSE),"")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 t="shared" si="13"/>
        <v>[177] = {wayshrines={-1,-1,-1,}, traitsNeeded=7, dlcId=DLC_IMPERIAL_CITY</v>
      </c>
      <c r="BF150" s="21" t="str">
        <f t="shared" si="14"/>
        <v>, zoneIds={584}, veteran=false</v>
      </c>
      <c r="BG150" s="21" t="str">
        <f t="shared" si="15"/>
        <v>, setType=LIBSETS_SETTYPE_CRAFTED</v>
      </c>
      <c r="BH150" s="21" t="str">
        <f t="shared" si="16"/>
        <v>, dropMechanic={LIBSETS_DROP_MECHANIC_CRAFTED}</v>
      </c>
      <c r="BI150" s="21" t="str">
        <f t="shared" si="17"/>
        <v>}, --Redistributor / Umverteilung   [Imperial City]</v>
      </c>
    </row>
    <row r="151" spans="1:61" x14ac:dyDescent="0.25">
      <c r="A151" s="5">
        <v>178</v>
      </c>
      <c r="B151" t="s">
        <v>954</v>
      </c>
      <c r="C151" t="s">
        <v>955</v>
      </c>
      <c r="D151" s="3">
        <f t="shared" si="12"/>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WayshrineInfo'!$K$3:$N$9971,4,FALSE),"")))</f>
        <v>Imperial City</v>
      </c>
      <c r="T151" s="19" t="str">
        <f>IF(AND(S151&lt;&gt;"",NOT(ISERROR(S151))),S151,IF(Q151&lt;&gt;"",IF(NOT(ISERROR(VLOOKUP(Q151,'ESO Dungeon constants'!$D$3:$H$9999,5,FALSE))),VLOOKUP(Q151,'ESO Dungeon constants'!$D$3:$I$9999,6,FALSE),VLOOKUP(Q151,'ESO zone constants'!$H$3:$K$9989,4,FALSE)),""))</f>
        <v>DLC_IMPERIAL_CITY</v>
      </c>
      <c r="U151" s="3" t="str">
        <f>IF(T151&lt;&gt;"",VLOOKUP(T151,'LibSets constants'!$B$4:$C$1017,2,FALSE),"")</f>
        <v>Imperial City</v>
      </c>
      <c r="V151" s="33" t="s">
        <v>3276</v>
      </c>
      <c r="Y151" s="61"/>
      <c r="Z151" s="3" t="str">
        <f>IF(AND(G151&lt;&gt;"LIBSETS_SETTYPE_BATTLEGROUND",G151&lt;&gt;"LIBSETS_SETTYPE_SPECIAL"),
IF(AND(Y151&lt;&gt;"",ISNUMBER(Y151),NOT(ISNA(Y151))),Y151,
   IF(AND(L151&lt;&gt;"",ISNUMBER(L151),L151&gt;0,NOT(ISNA(L151))),VLOOKUP(L151,'ESO dumped WayshrineInfo'!$K$3:$L$9971,2,FALSE),"")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WayshrineInfo'!$K$3:$L$9971,2,FALSE),"")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 t="shared" si="13"/>
        <v>[178] = {wayshrines={-1,-1,-1,}, traitsNeeded=9, dlcId=DLC_IMPERIAL_CITY</v>
      </c>
      <c r="BF151" s="21" t="str">
        <f t="shared" si="14"/>
        <v>, zoneIds={584}, veteran=false</v>
      </c>
      <c r="BG151" s="21" t="str">
        <f t="shared" si="15"/>
        <v>, setType=LIBSETS_SETTYPE_CRAFTED</v>
      </c>
      <c r="BH151" s="21" t="str">
        <f t="shared" si="16"/>
        <v>, dropMechanic={LIBSETS_DROP_MECHANIC_CRAFTED}</v>
      </c>
      <c r="BI151" s="21" t="str">
        <f t="shared" si="17"/>
        <v>}, --Armor Master / Rüstungsmeister   [Imperial City]</v>
      </c>
    </row>
    <row r="152" spans="1:61" x14ac:dyDescent="0.25">
      <c r="A152" s="12">
        <v>179</v>
      </c>
      <c r="B152" t="s">
        <v>956</v>
      </c>
      <c r="C152" t="s">
        <v>957</v>
      </c>
      <c r="D152" s="3">
        <f t="shared" si="12"/>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WayshrineInfo'!$K$3:$N$9971,4,FALSE),"")))</f>
        <v>Imperial Sewers</v>
      </c>
      <c r="T152" s="19" t="str">
        <f>IF(AND(S152&lt;&gt;"",NOT(ISERROR(S152))),S152,IF(Q152&lt;&gt;"",IF(NOT(ISERROR(VLOOKUP(Q152,'ESO Dungeon constants'!$D$3:$H$9999,5,FALSE))),VLOOKUP(Q152,'ESO Dungeon constants'!$D$3:$I$9999,6,FALSE),VLOOKUP(Q152,'ESO zone constants'!$H$3:$K$9989,4,FALSE)),""))</f>
        <v>DLC_IMPERIAL_CITY</v>
      </c>
      <c r="U152" s="3" t="str">
        <f>IF(T152&lt;&gt;"",VLOOKUP(T152,'LibSets constants'!$B$4:$C$1017,2,FALSE),"")</f>
        <v>Imperial City</v>
      </c>
      <c r="V152" s="33" t="s">
        <v>2752</v>
      </c>
      <c r="Y152" s="61">
        <v>584</v>
      </c>
      <c r="Z152" s="3">
        <f>IF(AND(G152&lt;&gt;"LIBSETS_SETTYPE_BATTLEGROUND",G152&lt;&gt;"LIBSETS_SETTYPE_SPECIAL"),
IF(AND(Y152&lt;&gt;"",ISNUMBER(Y152),NOT(ISNA(Y152))),Y152,
   IF(AND(L152&lt;&gt;"",ISNUMBER(L152),L152&gt;0,NOT(ISNA(L152))),VLOOKUP(L152,'ESO dumped WayshrineInfo'!$K$3:$L$9971,2,FALSE),"")
),"")</f>
        <v>584</v>
      </c>
      <c r="AA152" t="str">
        <f>IF(AND(Z152&lt;&gt;"",ISNUMBER(Z152),NOT(ISNA(Z152))),VLOOKUP(Z152,'ESO zone constants'!$A$5:$D$10001,4,FALSE),"")</f>
        <v>Imperial City</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WayshrineInfo'!$K$3:$L$9971,2,FALSE),"")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 t="shared" si="13"/>
        <v>[179] = {wayshrines={-1,-1,-1,}, dlcId=DLC_IMPERIAL_CITY</v>
      </c>
      <c r="BF152" s="21" t="str">
        <f t="shared" si="14"/>
        <v>, zoneIds={643,584}, veteran=false</v>
      </c>
      <c r="BG152" s="21" t="str">
        <f t="shared" si="15"/>
        <v>, setType=LIBSETS_SETTYPE_IMPERIALCITY</v>
      </c>
      <c r="BH152" s="21" t="str">
        <f t="shared" si="16"/>
        <v>, isProcSetAllowedInPvP=1, dropMechanic={LIBSETS_DROP_MECHANIC_TELVAR_EQUIPMENT_LOCKBOX_MERCHANT,LIBSETS_DROP_MECHANIC_IMPERIAL_CITY_TREASURE_TROVE_SCAMP}</v>
      </c>
      <c r="BI152" s="21" t="str">
        <f t="shared" si="17"/>
        <v>}, --Black Rose / Schwarze Rose   [Imperial Sewers, Imperial City]</v>
      </c>
    </row>
    <row r="153" spans="1:61" x14ac:dyDescent="0.25">
      <c r="A153" s="12">
        <v>180</v>
      </c>
      <c r="B153" t="s">
        <v>958</v>
      </c>
      <c r="C153" t="s">
        <v>959</v>
      </c>
      <c r="D153" s="3">
        <f t="shared" si="12"/>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WayshrineInfo'!$K$3:$N$9971,4,FALSE),"")))</f>
        <v>Imperial Sewers</v>
      </c>
      <c r="T153" s="19" t="str">
        <f>IF(AND(S153&lt;&gt;"",NOT(ISERROR(S153))),S153,IF(Q153&lt;&gt;"",IF(NOT(ISERROR(VLOOKUP(Q153,'ESO Dungeon constants'!$D$3:$H$9999,5,FALSE))),VLOOKUP(Q153,'ESO Dungeon constants'!$D$3:$I$9999,6,FALSE),VLOOKUP(Q153,'ESO zone constants'!$H$3:$K$9989,4,FALSE)),""))</f>
        <v>DLC_IMPERIAL_CITY</v>
      </c>
      <c r="U153" s="3" t="str">
        <f>IF(T153&lt;&gt;"",VLOOKUP(T153,'LibSets constants'!$B$4:$C$1017,2,FALSE),"")</f>
        <v>Imperial City</v>
      </c>
      <c r="V153" s="33" t="s">
        <v>2752</v>
      </c>
      <c r="Y153" s="61">
        <v>584</v>
      </c>
      <c r="Z153" s="3">
        <f>IF(AND(G153&lt;&gt;"LIBSETS_SETTYPE_BATTLEGROUND",G153&lt;&gt;"LIBSETS_SETTYPE_SPECIAL"),
IF(AND(Y153&lt;&gt;"",ISNUMBER(Y153),NOT(ISNA(Y153))),Y153,
   IF(AND(L153&lt;&gt;"",ISNUMBER(L153),L153&gt;0,NOT(ISNA(L153))),VLOOKUP(L153,'ESO dumped WayshrineInfo'!$K$3:$L$9971,2,FALSE),"")
),"")</f>
        <v>584</v>
      </c>
      <c r="AA153" t="str">
        <f>IF(AND(Z153&lt;&gt;"",ISNUMBER(Z153),NOT(ISNA(Z153))),VLOOKUP(Z153,'ESO zone constants'!$A$5:$D$10001,4,FALSE),"")</f>
        <v>Imperial City</v>
      </c>
      <c r="AB153" s="33" t="s">
        <v>3723</v>
      </c>
      <c r="AF153" s="3" t="str">
        <f>IF(AND(G153&lt;&gt;"LIBSETS_SETTYPE_BATTLEGROUND",G153&lt;&gt;"LIBSETS_SETTYPE_SPECIAL"),
IF(AND(AE153&lt;&gt;"",ISNUMBER(AE153),NOT(ISNA(AE153))),AE153,
   IF(AND(M153&lt;&gt;"",ISNUMBER(M153),M153&gt;0,NOT(ISNA(M153))),VLOOKUP(M153,'ESO dumped WayshrineInfo'!$K$3:$L$9971,2,FALSE),"")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 t="shared" si="13"/>
        <v>[180] = {wayshrines={-1,-1,-1,}, dlcId=DLC_IMPERIAL_CITY</v>
      </c>
      <c r="BF153" s="21" t="str">
        <f t="shared" si="14"/>
        <v>, zoneIds={643,584}, veteran=false</v>
      </c>
      <c r="BG153" s="21" t="str">
        <f t="shared" si="15"/>
        <v>, setType=LIBSETS_SETTYPE_IMPERIALCITY</v>
      </c>
      <c r="BH153" s="21" t="str">
        <f t="shared" si="16"/>
        <v>, dropMechanic={LIBSETS_DROP_MECHANIC_TELVAR_EQUIPMENT_LOCKBOX_MERCHANT,LIBSETS_DROP_MECHANIC_IMPERIAL_CITY_TREASURE_TROVE_SCAMP}</v>
      </c>
      <c r="BI153" s="21" t="str">
        <f t="shared" si="17"/>
        <v>}, --Powerful Assault / Kraftvoller Ansturm   [Imperial Sewers, Imperial City]</v>
      </c>
    </row>
    <row r="154" spans="1:61" x14ac:dyDescent="0.25">
      <c r="A154" s="12">
        <v>181</v>
      </c>
      <c r="B154" t="s">
        <v>960</v>
      </c>
      <c r="C154" t="s">
        <v>961</v>
      </c>
      <c r="D154" s="3">
        <f t="shared" si="12"/>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WayshrineInfo'!$K$3:$N$9971,4,FALSE),"")))</f>
        <v>Imperial Sewers</v>
      </c>
      <c r="T154" s="19" t="str">
        <f>IF(AND(S154&lt;&gt;"",NOT(ISERROR(S154))),S154,IF(Q154&lt;&gt;"",IF(NOT(ISERROR(VLOOKUP(Q154,'ESO Dungeon constants'!$D$3:$H$9999,5,FALSE))),VLOOKUP(Q154,'ESO Dungeon constants'!$D$3:$I$9999,6,FALSE),VLOOKUP(Q154,'ESO zone constants'!$H$3:$K$9989,4,FALSE)),""))</f>
        <v>DLC_IMPERIAL_CITY</v>
      </c>
      <c r="U154" s="3" t="str">
        <f>IF(T154&lt;&gt;"",VLOOKUP(T154,'LibSets constants'!$B$4:$C$1017,2,FALSE),"")</f>
        <v>Imperial City</v>
      </c>
      <c r="V154" s="33" t="s">
        <v>2752</v>
      </c>
      <c r="Y154" s="61">
        <v>584</v>
      </c>
      <c r="Z154" s="3">
        <f>IF(AND(G154&lt;&gt;"LIBSETS_SETTYPE_BATTLEGROUND",G154&lt;&gt;"LIBSETS_SETTYPE_SPECIAL"),
IF(AND(Y154&lt;&gt;"",ISNUMBER(Y154),NOT(ISNA(Y154))),Y154,
   IF(AND(L154&lt;&gt;"",ISNUMBER(L154),L154&gt;0,NOT(ISNA(L154))),VLOOKUP(L154,'ESO dumped WayshrineInfo'!$K$3:$L$9971,2,FALSE),"")
),"")</f>
        <v>584</v>
      </c>
      <c r="AA154" t="str">
        <f>IF(AND(Z154&lt;&gt;"",ISNUMBER(Z154),NOT(ISNA(Z154))),VLOOKUP(Z154,'ESO zone constants'!$A$5:$D$10001,4,FALSE),"")</f>
        <v>Imperial City</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WayshrineInfo'!$K$3:$L$9971,2,FALSE),"")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 t="shared" si="13"/>
        <v>[181] = {wayshrines={-1,-1,-1,}, dlcId=DLC_IMPERIAL_CITY</v>
      </c>
      <c r="BF154" s="21" t="str">
        <f t="shared" si="14"/>
        <v>, zoneIds={643,584}, veteran=false</v>
      </c>
      <c r="BG154" s="21" t="str">
        <f t="shared" si="15"/>
        <v>, setType=LIBSETS_SETTYPE_IMPERIALCITY</v>
      </c>
      <c r="BH154" s="21" t="str">
        <f t="shared" si="16"/>
        <v>, dropMechanic={LIBSETS_DROP_MECHANIC_TELVAR_EQUIPMENT_LOCKBOX_MERCHANT,LIBSETS_DROP_MECHANIC_IMPERIAL_CITY_TREASURE_TROVE_SCAMP}</v>
      </c>
      <c r="BI154" s="21" t="str">
        <f t="shared" si="17"/>
        <v>}, --Meritorious Service / Meritorischer Dienst   [Imperial Sewers, Imperial City]</v>
      </c>
    </row>
    <row r="155" spans="1:61" x14ac:dyDescent="0.25">
      <c r="A155" s="5">
        <v>183</v>
      </c>
      <c r="B155" t="s">
        <v>14</v>
      </c>
      <c r="C155" t="s">
        <v>14</v>
      </c>
      <c r="D155" s="3">
        <f t="shared" si="12"/>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WayshrineInfo'!$K$3:$N$9971,4,FALSE),"")))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WayshrineInfo'!$K$3:$L$9971,2,FALSE),"")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WayshrineInfo'!$K$3:$L$9971,2,FALSE),"")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 t="shared" si="13"/>
        <v>[183] = {wayshrines={247,247,247,}, dlcId=DLC_IMPERIAL_CITY</v>
      </c>
      <c r="BF155" s="21" t="str">
        <f t="shared" si="14"/>
        <v>, zoneIds={688,181,181}, veteran={[EQUIP_TYPE_HEAD]=true, [EQUIP_TYPE_SHOULDERS]=false}</v>
      </c>
      <c r="BG155" s="21" t="str">
        <f t="shared" si="15"/>
        <v>, setType=LIBSETS_SETTYPE_MONSTER, undauntedChestId=3</v>
      </c>
      <c r="BH155" s="21" t="str">
        <f t="shared" si="16"/>
        <v>, dropMechanic={LIBSETS_DROP_MECHANIC_MONSTER_NAME}, dropMechanicDropLocationNames={['en']={'Molag Kena','','','','','',},['de']={'Molag Kena','','','','','',},}</v>
      </c>
      <c r="BI155" s="21" t="str">
        <f t="shared" si="17"/>
        <v>}, --Molag Kena / Molag Kena   [White-Gold Tower, Cyrodiil, Cyrodiil]</v>
      </c>
    </row>
    <row r="156" spans="1:61" x14ac:dyDescent="0.25">
      <c r="A156" s="12">
        <v>184</v>
      </c>
      <c r="B156" t="s">
        <v>962</v>
      </c>
      <c r="C156" t="s">
        <v>963</v>
      </c>
      <c r="D156" s="3">
        <f t="shared" si="12"/>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WayshrineInfo'!$K$3:$N$9971,4,FALSE),"")))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WayshrineInfo'!$K$3:$L$9971,2,FALSE),"")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 t="shared" si="13"/>
        <v>[184] = {wayshrines={247,247,247,}, dlcId=DLC_IMPERIAL_CITY</v>
      </c>
      <c r="BF156" s="21" t="str">
        <f t="shared" si="14"/>
        <v>, zoneIds={688,584}, veteran=false</v>
      </c>
      <c r="BG156" s="21" t="str">
        <f t="shared" si="15"/>
        <v>, setType=LIBSETS_SETTYPE_DUNGEON</v>
      </c>
      <c r="BH156" s="21" t="str">
        <f t="shared" si="16"/>
        <v>, dropMechanic={LIBSETS_DROP_MECHANIC_GROUP_DUNGEON_BOSS,LIBSETS_DROP_MECHANIC_IMPERIAL_CITY_VAULTS}</v>
      </c>
      <c r="BI156" s="21" t="str">
        <f t="shared" si="17"/>
        <v>}, --Brands of Imperium / Male des Kaiserreichs   [White-Gold Tower, Imperial City]</v>
      </c>
    </row>
    <row r="157" spans="1:61" x14ac:dyDescent="0.25">
      <c r="A157" s="12">
        <v>185</v>
      </c>
      <c r="B157" t="s">
        <v>964</v>
      </c>
      <c r="C157" t="s">
        <v>965</v>
      </c>
      <c r="D157" s="3">
        <f t="shared" si="12"/>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WayshrineInfo'!$K$3:$N$9971,4,FALSE),"")))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WayshrineInfo'!$K$3:$L$9971,2,FALSE),"")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 t="shared" si="13"/>
        <v>[185] = {wayshrines={247,247,247,}, dlcId=DLC_IMPERIAL_CITY</v>
      </c>
      <c r="BF157" s="21" t="str">
        <f t="shared" si="14"/>
        <v>, zoneIds={688,584}, veteran=false</v>
      </c>
      <c r="BG157" s="21" t="str">
        <f t="shared" si="15"/>
        <v>, setType=LIBSETS_SETTYPE_DUNGEON</v>
      </c>
      <c r="BH157" s="21" t="str">
        <f t="shared" si="16"/>
        <v>, dropMechanic={LIBSETS_DROP_MECHANIC_GROUP_DUNGEON_BOSS,LIBSETS_DROP_MECHANIC_IMPERIAL_CITY_VAULTS}</v>
      </c>
      <c r="BI157" s="21" t="str">
        <f t="shared" si="17"/>
        <v>}, --Spell Power Cure / Magiekraftheilung   [White-Gold Tower, Imperial City]</v>
      </c>
    </row>
    <row r="158" spans="1:61" x14ac:dyDescent="0.25">
      <c r="A158" s="12">
        <v>186</v>
      </c>
      <c r="B158" t="s">
        <v>966</v>
      </c>
      <c r="C158" t="s">
        <v>967</v>
      </c>
      <c r="D158" s="3">
        <f t="shared" si="12"/>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WayshrineInfo'!$K$3:$N$9971,4,FALSE),"")))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WayshrineInfo'!$K$3:$L$9971,2,FALSE),"")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WayshrineInfo'!$K$3:$L$9971,2,FALSE),"")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 t="shared" si="13"/>
        <v>[186] = {wayshrines={188,188,188,}, dlcId=DLC_BASE_GAME</v>
      </c>
      <c r="BF158" s="21" t="str">
        <f t="shared" si="14"/>
        <v>, zoneIds={131,58,58}, veteran=false</v>
      </c>
      <c r="BG158" s="21" t="str">
        <f t="shared" si="15"/>
        <v>, setType=LIBSETS_SETTYPE_DUNGEON</v>
      </c>
      <c r="BH158" s="21" t="str">
        <f t="shared" si="16"/>
        <v>, dropMechanic={LIBSETS_DROP_MECHANIC_GROUP_DUNGEON_BOSS}</v>
      </c>
      <c r="BI158" s="21" t="str">
        <f t="shared" si="17"/>
        <v>}, --Jolting Arms / Rüttelnde Rüstung   [Tempest Island, Malabal Tor, Malabal Tor]</v>
      </c>
    </row>
    <row r="159" spans="1:61" x14ac:dyDescent="0.25">
      <c r="A159" s="12">
        <v>187</v>
      </c>
      <c r="B159" t="s">
        <v>968</v>
      </c>
      <c r="C159" t="s">
        <v>969</v>
      </c>
      <c r="D159" s="3">
        <f t="shared" si="12"/>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WayshrineInfo'!$K$3:$N$9971,4,FALSE),"")))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WayshrineInfo'!$K$3:$L$9971,2,FALSE),"")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WayshrineInfo'!$K$3:$L$9971,2,FALSE),"")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 t="shared" si="13"/>
        <v>[187] = {wayshrines={48,48,48,}, dlcId=DLC_BASE_GAME</v>
      </c>
      <c r="BF159" s="21" t="str">
        <f t="shared" si="14"/>
        <v>, zoneIds={117,117,134,117}, veteran=false</v>
      </c>
      <c r="BG159" s="21" t="str">
        <f t="shared" si="15"/>
        <v>, setType=LIBSETS_SETTYPE_OVERLAND</v>
      </c>
      <c r="BH159" s="21" t="str">
        <f t="shared" si="16"/>
        <v>, isProcSetAllowedInPvP=1, dropMechanic={LIBSETS_DROP_MECHANIC_OVERLAND_BOSS_DELVE,LIBSETS_DROP_MECHANIC_OVERLAND_WORLDBOSS,LIBSETS_DROP_MECHANIC_OVERLAND_BOSS_PUBLIC_DUNGEON,LIBSETS_DROP_MECHANIC_OVERLAND_CHEST}</v>
      </c>
      <c r="BI159" s="21" t="str">
        <f t="shared" si="17"/>
        <v>}, --Swamp Raider / Sumpfräuber   [Shadowfen, Shadowfen, Sanguine's Demesne, Shadowfen]</v>
      </c>
    </row>
    <row r="160" spans="1:61" x14ac:dyDescent="0.25">
      <c r="A160" s="12">
        <v>188</v>
      </c>
      <c r="B160" t="s">
        <v>970</v>
      </c>
      <c r="C160" t="s">
        <v>971</v>
      </c>
      <c r="D160" s="3">
        <f t="shared" si="12"/>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WayshrineInfo'!$K$3:$N$9971,4,FALSE),"")))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WayshrineInfo'!$K$3:$L$9971,2,FALSE),"")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WayshrineInfo'!$K$3:$L$9971,2,FALSE),"")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 t="shared" si="13"/>
        <v>[188] = {wayshrines={188,188,188,}, dlcId=DLC_BASE_GAME</v>
      </c>
      <c r="BF160" s="21" t="str">
        <f t="shared" si="14"/>
        <v>, zoneIds={131,58,58}, veteran=false</v>
      </c>
      <c r="BG160" s="21" t="str">
        <f t="shared" si="15"/>
        <v>, setType=LIBSETS_SETTYPE_DUNGEON</v>
      </c>
      <c r="BH160" s="21" t="str">
        <f t="shared" si="16"/>
        <v>, dropMechanic={LIBSETS_DROP_MECHANIC_GROUP_DUNGEON_BOSS}</v>
      </c>
      <c r="BI160" s="21" t="str">
        <f t="shared" si="17"/>
        <v>}, --Storm Master / Sturmmeister   [Tempest Island, Malabal Tor, Malabal Tor]</v>
      </c>
    </row>
    <row r="161" spans="1:61" x14ac:dyDescent="0.25">
      <c r="A161" s="12">
        <v>190</v>
      </c>
      <c r="B161" t="s">
        <v>972</v>
      </c>
      <c r="C161" t="s">
        <v>973</v>
      </c>
      <c r="D161" s="3">
        <f t="shared" si="12"/>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WayshrineInfo'!$K$3:$N$9971,4,FALSE),"")))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WayshrineInfo'!$K$3:$L$9971,2,FALSE),"")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 t="shared" si="13"/>
        <v>[190] = {wayshrines={236,236,236,}, dlcId=DLC_IMPERIAL_CITY</v>
      </c>
      <c r="BF161" s="21" t="str">
        <f t="shared" si="14"/>
        <v>, zoneIds={678,584}, veteran=false</v>
      </c>
      <c r="BG161" s="21" t="str">
        <f t="shared" si="15"/>
        <v>, setType=LIBSETS_SETTYPE_DUNGEON</v>
      </c>
      <c r="BH161" s="21" t="str">
        <f t="shared" si="16"/>
        <v>, dropMechanic={LIBSETS_DROP_MECHANIC_GROUP_DUNGEON_BOSS,LIBSETS_DROP_MECHANIC_IMPERIAL_CITY_VAULTS}</v>
      </c>
      <c r="BI161" s="21" t="str">
        <f t="shared" si="17"/>
        <v>}, --Scathing Mage / Verletzender Magier   [Imperial City Prison, Imperial City]</v>
      </c>
    </row>
    <row r="162" spans="1:61" x14ac:dyDescent="0.25">
      <c r="A162" s="12">
        <v>193</v>
      </c>
      <c r="B162" t="s">
        <v>974</v>
      </c>
      <c r="C162" t="s">
        <v>975</v>
      </c>
      <c r="D162" s="3">
        <f t="shared" si="12"/>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WayshrineInfo'!$K$3:$N$9971,4,FALSE),"")))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WayshrineInfo'!$K$3:$L$9971,2,FALSE),"")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WayshrineInfo'!$K$3:$L$9971,2,FALSE),"")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 t="shared" si="13"/>
        <v>[193] = {wayshrines={188,188,188,}, dlcId=DLC_BASE_GAME</v>
      </c>
      <c r="BF162" s="21" t="str">
        <f t="shared" si="14"/>
        <v>, zoneIds={131,58,58}, veteran=false</v>
      </c>
      <c r="BG162" s="21" t="str">
        <f t="shared" si="15"/>
        <v>, setType=LIBSETS_SETTYPE_DUNGEON</v>
      </c>
      <c r="BH162" s="21" t="str">
        <f t="shared" si="16"/>
        <v>, dropMechanic={LIBSETS_DROP_MECHANIC_GROUP_DUNGEON_BOSS}</v>
      </c>
      <c r="BI162" s="21" t="str">
        <f t="shared" si="17"/>
        <v>}, --Overwhelming Surge / Überwältigende Woge   [Tempest Island, Malabal Tor, Malabal Tor]</v>
      </c>
    </row>
    <row r="163" spans="1:61" x14ac:dyDescent="0.25">
      <c r="A163" s="12">
        <v>194</v>
      </c>
      <c r="B163" t="s">
        <v>976</v>
      </c>
      <c r="C163" t="s">
        <v>977</v>
      </c>
      <c r="D163" s="3">
        <f t="shared" si="12"/>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WayshrineInfo'!$K$3:$N$9971,4,FALSE),"")))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WayshrineInfo'!$K$3:$L$9971,2,FALSE),"")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WayshrineInfo'!$K$3:$L$9971,2,FALSE),"")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 t="shared" si="13"/>
        <v>[194] = {wayshrines={189,189,189,}, dlcId=DLC_BASE_GAME</v>
      </c>
      <c r="BF163" s="21" t="str">
        <f t="shared" si="14"/>
        <v>, zoneIds={146,933,19}, veteran=false</v>
      </c>
      <c r="BG163" s="21" t="str">
        <f t="shared" si="15"/>
        <v>, setType=LIBSETS_SETTYPE_DUNGEON</v>
      </c>
      <c r="BH163" s="21" t="str">
        <f t="shared" si="16"/>
        <v>, dropMechanic={LIBSETS_DROP_MECHANIC_GROUP_DUNGEON_BOSS,LIBSETS_DROP_MECHANIC_GROUP_DUNGEON_BOSS}</v>
      </c>
      <c r="BI163" s="21" t="str">
        <f t="shared" si="17"/>
        <v>}, --Combat Physician / Feldarzt   [Wayrest Sewers I, Wayrest Sewers II, Stormhaven]</v>
      </c>
    </row>
    <row r="164" spans="1:61" x14ac:dyDescent="0.25">
      <c r="A164" s="12">
        <v>195</v>
      </c>
      <c r="B164" t="s">
        <v>978</v>
      </c>
      <c r="C164" t="s">
        <v>979</v>
      </c>
      <c r="D164" s="3">
        <f t="shared" si="12"/>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WayshrineInfo'!$K$3:$N$9971,4,FALSE),"")))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WayshrineInfo'!$K$3:$L$9971,2,FALSE),"")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 t="shared" si="13"/>
        <v>[195] = {wayshrines={236,236,236,}, dlcId=DLC_IMPERIAL_CITY</v>
      </c>
      <c r="BF164" s="21" t="str">
        <f t="shared" si="14"/>
        <v>, zoneIds={678,584}, veteran=false</v>
      </c>
      <c r="BG164" s="21" t="str">
        <f t="shared" si="15"/>
        <v>, setType=LIBSETS_SETTYPE_DUNGEON</v>
      </c>
      <c r="BH164" s="21" t="str">
        <f t="shared" si="16"/>
        <v>, dropMechanic={LIBSETS_DROP_MECHANIC_GROUP_DUNGEON_BOSS,LIBSETS_DROP_MECHANIC_IMPERIAL_CITY_VAULTS}</v>
      </c>
      <c r="BI164" s="21" t="str">
        <f t="shared" si="17"/>
        <v>}, --Sheer Venom / Reingift   [Imperial City Prison, Imperial City]</v>
      </c>
    </row>
    <row r="165" spans="1:61" x14ac:dyDescent="0.25">
      <c r="A165" s="12">
        <v>196</v>
      </c>
      <c r="B165" t="s">
        <v>980</v>
      </c>
      <c r="C165" t="s">
        <v>981</v>
      </c>
      <c r="D165" s="3">
        <f t="shared" si="12"/>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WayshrineInfo'!$K$3:$N$9971,4,FALSE),"")))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WayshrineInfo'!$K$3:$L$9971,2,FALSE),"")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 t="shared" si="13"/>
        <v>[196] = {wayshrines={236,236,236,}, dlcId=DLC_IMPERIAL_CITY</v>
      </c>
      <c r="BF165" s="21" t="str">
        <f t="shared" si="14"/>
        <v>, zoneIds={678,584}, veteran=false</v>
      </c>
      <c r="BG165" s="21" t="str">
        <f t="shared" si="15"/>
        <v>, setType=LIBSETS_SETTYPE_DUNGEON</v>
      </c>
      <c r="BH165" s="21" t="str">
        <f t="shared" si="16"/>
        <v>, dropMechanic={LIBSETS_DROP_MECHANIC_GROUP_DUNGEON_BOSS,LIBSETS_DROP_MECHANIC_IMPERIAL_CITY_VAULTS}</v>
      </c>
      <c r="BI165" s="21" t="str">
        <f t="shared" si="17"/>
        <v>}, --Leeching Plate / Auslaugende Rüstung   [Imperial City Prison, Imperial City]</v>
      </c>
    </row>
    <row r="166" spans="1:61" x14ac:dyDescent="0.25">
      <c r="A166" s="12">
        <v>197</v>
      </c>
      <c r="B166" t="s">
        <v>982</v>
      </c>
      <c r="C166" t="s">
        <v>983</v>
      </c>
      <c r="D166" s="3">
        <f t="shared" si="12"/>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WayshrineInfo'!$K$3:$N$9971,4,FALSE),"")))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WayshrineInfo'!$K$3:$L$9971,2,FALSE),"")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WayshrineInfo'!$K$3:$L$9971,2,FALSE),"")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 t="shared" si="13"/>
        <v>[197] = {wayshrines={194,194,194,}, dlcId=DLC_BASE_GAME</v>
      </c>
      <c r="BF166" s="21" t="str">
        <f t="shared" si="14"/>
        <v>, zoneIds={380,935,381}, veteran=false</v>
      </c>
      <c r="BG166" s="21" t="str">
        <f t="shared" si="15"/>
        <v>, setType=LIBSETS_SETTYPE_DUNGEON</v>
      </c>
      <c r="BH166" s="21" t="str">
        <f t="shared" si="16"/>
        <v>, dropMechanic={LIBSETS_DROP_MECHANIC_GROUP_DUNGEON_BOSS,LIBSETS_DROP_MECHANIC_GROUP_DUNGEON_BOSS}</v>
      </c>
      <c r="BI166" s="21" t="str">
        <f t="shared" si="17"/>
        <v>}, --Tormentor / Quälender   [The Banished Cells I, The Banished Cells II, Auridon]</v>
      </c>
    </row>
    <row r="167" spans="1:61" x14ac:dyDescent="0.25">
      <c r="A167" s="12">
        <v>198</v>
      </c>
      <c r="B167" t="s">
        <v>984</v>
      </c>
      <c r="C167" t="s">
        <v>985</v>
      </c>
      <c r="D167" s="3">
        <f t="shared" si="12"/>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WayshrineInfo'!$K$3:$N$9971,4,FALSE),"")))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WayshrineInfo'!$K$3:$L$9971,2,FALSE),"")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 t="shared" si="13"/>
        <v>[198] = {wayshrines={247,247,247,}, dlcId=DLC_IMPERIAL_CITY</v>
      </c>
      <c r="BF167" s="21" t="str">
        <f t="shared" si="14"/>
        <v>, zoneIds={688,584}, veteran=false</v>
      </c>
      <c r="BG167" s="21" t="str">
        <f t="shared" si="15"/>
        <v>, setType=LIBSETS_SETTYPE_DUNGEON</v>
      </c>
      <c r="BH167" s="21" t="str">
        <f t="shared" si="16"/>
        <v>, dropMechanic={LIBSETS_DROP_MECHANIC_GROUP_DUNGEON_BOSS,LIBSETS_DROP_MECHANIC_IMPERIAL_CITY_VAULTS}</v>
      </c>
      <c r="BI167" s="21" t="str">
        <f t="shared" si="17"/>
        <v>}, --Essence Thief / Essenzdieb   [White-Gold Tower, Imperial City]</v>
      </c>
    </row>
    <row r="168" spans="1:61" x14ac:dyDescent="0.25">
      <c r="A168" s="12">
        <v>199</v>
      </c>
      <c r="B168" t="s">
        <v>986</v>
      </c>
      <c r="C168" t="s">
        <v>987</v>
      </c>
      <c r="D168" s="3">
        <f t="shared" si="12"/>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WayshrineInfo'!$K$3:$N$9971,4,FALSE),"")))</f>
        <v>Imperial Sewers</v>
      </c>
      <c r="T168" s="19" t="str">
        <f>IF(AND(S168&lt;&gt;"",NOT(ISERROR(S168))),S168,IF(Q168&lt;&gt;"",IF(NOT(ISERROR(VLOOKUP(Q168,'ESO Dungeon constants'!$D$3:$H$9999,5,FALSE))),VLOOKUP(Q168,'ESO Dungeon constants'!$D$3:$I$9999,6,FALSE),VLOOKUP(Q168,'ESO zone constants'!$H$3:$K$9989,4,FALSE)),""))</f>
        <v>DLC_IMPERIAL_CITY</v>
      </c>
      <c r="U168" s="3" t="str">
        <f>IF(T168&lt;&gt;"",VLOOKUP(T168,'LibSets constants'!$B$4:$C$1017,2,FALSE),"")</f>
        <v>Imperial City</v>
      </c>
      <c r="V168" s="33" t="s">
        <v>2752</v>
      </c>
      <c r="Y168" s="61">
        <v>584</v>
      </c>
      <c r="Z168" s="3">
        <f>IF(AND(G168&lt;&gt;"LIBSETS_SETTYPE_BATTLEGROUND",G168&lt;&gt;"LIBSETS_SETTYPE_SPECIAL"),
IF(AND(Y168&lt;&gt;"",ISNUMBER(Y168),NOT(ISNA(Y168))),Y168,
   IF(AND(L168&lt;&gt;"",ISNUMBER(L168),L168&gt;0,NOT(ISNA(L168))),VLOOKUP(L168,'ESO dumped WayshrineInfo'!$K$3:$L$9971,2,FALSE),"")
),"")</f>
        <v>584</v>
      </c>
      <c r="AA168" t="str">
        <f>IF(AND(Z168&lt;&gt;"",ISNUMBER(Z168),NOT(ISNA(Z168))),VLOOKUP(Z168,'ESO zone constants'!$A$5:$D$10001,4,FALSE),"")</f>
        <v>Imperial City</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WayshrineInfo'!$K$3:$L$9971,2,FALSE),"")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 t="shared" si="13"/>
        <v>[199] = {wayshrines={-1,-1,-1,}, dlcId=DLC_IMPERIAL_CITY</v>
      </c>
      <c r="BF168" s="21" t="str">
        <f t="shared" si="14"/>
        <v>, zoneIds={643,584}, veteran=false</v>
      </c>
      <c r="BG168" s="21" t="str">
        <f t="shared" si="15"/>
        <v>, setType=LIBSETS_SETTYPE_IMPERIALCITY</v>
      </c>
      <c r="BH168" s="21" t="str">
        <f t="shared" si="16"/>
        <v>, isProcSetAllowedInPvP=1, dropMechanic={LIBSETS_DROP_MECHANIC_TELVAR_EQUIPMENT_LOCKBOX_MERCHANT,LIBSETS_DROP_MECHANIC_IMPERIAL_CITY_TREASURE_TROVE_SCAMP}</v>
      </c>
      <c r="BI168" s="21" t="str">
        <f t="shared" si="17"/>
        <v>}, --Shield Breaker / Schildbrecher   [Imperial Sewers, Imperial City]</v>
      </c>
    </row>
    <row r="169" spans="1:61" x14ac:dyDescent="0.25">
      <c r="A169" s="12">
        <v>200</v>
      </c>
      <c r="B169" t="s">
        <v>988</v>
      </c>
      <c r="C169" t="s">
        <v>989</v>
      </c>
      <c r="D169" s="3">
        <f t="shared" si="12"/>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WayshrineInfo'!$K$3:$N$9971,4,FALSE),"")))</f>
        <v>Imperial Sewers</v>
      </c>
      <c r="T169" s="19" t="str">
        <f>IF(AND(S169&lt;&gt;"",NOT(ISERROR(S169))),S169,IF(Q169&lt;&gt;"",IF(NOT(ISERROR(VLOOKUP(Q169,'ESO Dungeon constants'!$D$3:$H$9999,5,FALSE))),VLOOKUP(Q169,'ESO Dungeon constants'!$D$3:$I$9999,6,FALSE),VLOOKUP(Q169,'ESO zone constants'!$H$3:$K$9989,4,FALSE)),""))</f>
        <v>DLC_IMPERIAL_CITY</v>
      </c>
      <c r="U169" s="3" t="str">
        <f>IF(T169&lt;&gt;"",VLOOKUP(T169,'LibSets constants'!$B$4:$C$1017,2,FALSE),"")</f>
        <v>Imperial City</v>
      </c>
      <c r="V169" s="33" t="s">
        <v>2752</v>
      </c>
      <c r="Y169" s="61">
        <v>584</v>
      </c>
      <c r="Z169" s="3">
        <f>IF(AND(G169&lt;&gt;"LIBSETS_SETTYPE_BATTLEGROUND",G169&lt;&gt;"LIBSETS_SETTYPE_SPECIAL"),
IF(AND(Y169&lt;&gt;"",ISNUMBER(Y169),NOT(ISNA(Y169))),Y169,
   IF(AND(L169&lt;&gt;"",ISNUMBER(L169),L169&gt;0,NOT(ISNA(L169))),VLOOKUP(L169,'ESO dumped WayshrineInfo'!$K$3:$L$9971,2,FALSE),"")
),"")</f>
        <v>584</v>
      </c>
      <c r="AA169" t="str">
        <f>IF(AND(Z169&lt;&gt;"",ISNUMBER(Z169),NOT(ISNA(Z169))),VLOOKUP(Z169,'ESO zone constants'!$A$5:$D$10001,4,FALSE),"")</f>
        <v>Imperial City</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WayshrineInfo'!$K$3:$L$9971,2,FALSE),"")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 t="shared" si="13"/>
        <v>[200] = {wayshrines={-1,-1,-1,}, dlcId=DLC_IMPERIAL_CITY</v>
      </c>
      <c r="BF169" s="21" t="str">
        <f t="shared" si="14"/>
        <v>, zoneIds={643,584}, veteran=false</v>
      </c>
      <c r="BG169" s="21" t="str">
        <f t="shared" si="15"/>
        <v>, setType=LIBSETS_SETTYPE_IMPERIALCITY</v>
      </c>
      <c r="BH169" s="21" t="str">
        <f t="shared" si="16"/>
        <v>, dropMechanic={LIBSETS_DROP_MECHANIC_TELVAR_EQUIPMENT_LOCKBOX_MERCHANT,LIBSETS_DROP_MECHANIC_IMPERIAL_CITY_TREASURE_TROVE_SCAMP}</v>
      </c>
      <c r="BI169" s="21" t="str">
        <f t="shared" si="17"/>
        <v>}, --Phoenix / Phönix   [Imperial Sewers, Imperial City]</v>
      </c>
    </row>
    <row r="170" spans="1:61" x14ac:dyDescent="0.25">
      <c r="A170" s="12">
        <v>201</v>
      </c>
      <c r="B170" t="s">
        <v>990</v>
      </c>
      <c r="C170" t="s">
        <v>991</v>
      </c>
      <c r="D170" s="3">
        <f t="shared" si="12"/>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WayshrineInfo'!$K$3:$N$9971,4,FALSE),"")))</f>
        <v>Imperial Sewers</v>
      </c>
      <c r="T170" s="19" t="str">
        <f>IF(AND(S170&lt;&gt;"",NOT(ISERROR(S170))),S170,IF(Q170&lt;&gt;"",IF(NOT(ISERROR(VLOOKUP(Q170,'ESO Dungeon constants'!$D$3:$H$9999,5,FALSE))),VLOOKUP(Q170,'ESO Dungeon constants'!$D$3:$I$9999,6,FALSE),VLOOKUP(Q170,'ESO zone constants'!$H$3:$K$9989,4,FALSE)),""))</f>
        <v>DLC_IMPERIAL_CITY</v>
      </c>
      <c r="U170" s="3" t="str">
        <f>IF(T170&lt;&gt;"",VLOOKUP(T170,'LibSets constants'!$B$4:$C$1017,2,FALSE),"")</f>
        <v>Imperial City</v>
      </c>
      <c r="V170" s="33" t="s">
        <v>2752</v>
      </c>
      <c r="Y170" s="61">
        <v>584</v>
      </c>
      <c r="Z170" s="3">
        <f>IF(AND(G170&lt;&gt;"LIBSETS_SETTYPE_BATTLEGROUND",G170&lt;&gt;"LIBSETS_SETTYPE_SPECIAL"),
IF(AND(Y170&lt;&gt;"",ISNUMBER(Y170),NOT(ISNA(Y170))),Y170,
   IF(AND(L170&lt;&gt;"",ISNUMBER(L170),L170&gt;0,NOT(ISNA(L170))),VLOOKUP(L170,'ESO dumped WayshrineInfo'!$K$3:$L$9971,2,FALSE),"")
),"")</f>
        <v>584</v>
      </c>
      <c r="AA170" t="str">
        <f>IF(AND(Z170&lt;&gt;"",ISNUMBER(Z170),NOT(ISNA(Z170))),VLOOKUP(Z170,'ESO zone constants'!$A$5:$D$10001,4,FALSE),"")</f>
        <v>Imperial City</v>
      </c>
      <c r="AB170" s="33" t="s">
        <v>3723</v>
      </c>
      <c r="AF170" s="3" t="str">
        <f>IF(AND(G170&lt;&gt;"LIBSETS_SETTYPE_BATTLEGROUND",G170&lt;&gt;"LIBSETS_SETTYPE_SPECIAL"),
IF(AND(AE170&lt;&gt;"",ISNUMBER(AE170),NOT(ISNA(AE170))),AE170,
   IF(AND(M170&lt;&gt;"",ISNUMBER(M170),M170&gt;0,NOT(ISNA(M170))),VLOOKUP(M170,'ESO dumped WayshrineInfo'!$K$3:$L$9971,2,FALSE),"")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 t="shared" si="13"/>
        <v>[201] = {wayshrines={-1,-1,-1,}, dlcId=DLC_IMPERIAL_CITY</v>
      </c>
      <c r="BF170" s="21" t="str">
        <f t="shared" si="14"/>
        <v>, zoneIds={643,584}, veteran=false</v>
      </c>
      <c r="BG170" s="21" t="str">
        <f t="shared" si="15"/>
        <v>, setType=LIBSETS_SETTYPE_IMPERIALCITY</v>
      </c>
      <c r="BH170" s="21" t="str">
        <f t="shared" si="16"/>
        <v>, dropMechanic={LIBSETS_DROP_MECHANIC_TELVAR_EQUIPMENT_LOCKBOX_MERCHANT,LIBSETS_DROP_MECHANIC_IMPERIAL_CITY_TREASURE_TROVE_SCAMP}</v>
      </c>
      <c r="BI170" s="21" t="str">
        <f t="shared" si="17"/>
        <v>}, --Reactive Armor / Reaktive Rüstung   [Imperial Sewers, Imperial City]</v>
      </c>
    </row>
    <row r="171" spans="1:61" x14ac:dyDescent="0.25">
      <c r="A171" s="12">
        <v>204</v>
      </c>
      <c r="B171" t="s">
        <v>992</v>
      </c>
      <c r="C171" t="s">
        <v>993</v>
      </c>
      <c r="D171" s="3">
        <f t="shared" si="12"/>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WayshrineInfo'!$K$3:$N$9971,4,FALSE),"")))</f>
        <v>Imperial City</v>
      </c>
      <c r="T171" s="19" t="str">
        <f>IF(AND(S171&lt;&gt;"",NOT(ISERROR(S171))),S171,IF(Q171&lt;&gt;"",IF(NOT(ISERROR(VLOOKUP(Q171,'ESO Dungeon constants'!$D$3:$H$9999,5,FALSE))),VLOOKUP(Q171,'ESO Dungeon constants'!$D$3:$I$9999,6,FALSE),VLOOKUP(Q171,'ESO zone constants'!$H$3:$K$9989,4,FALSE)),""))</f>
        <v>DLC_IMPERIAL_CITY</v>
      </c>
      <c r="U171" s="3" t="str">
        <f>IF(T171&lt;&gt;"",VLOOKUP(T171,'LibSets constants'!$B$4:$C$1017,2,FALSE),"")</f>
        <v>Imperial City</v>
      </c>
      <c r="V171" s="33" t="s">
        <v>1571</v>
      </c>
      <c r="Y171" s="61"/>
      <c r="Z171" s="3" t="str">
        <f>IF(AND(G171&lt;&gt;"LIBSETS_SETTYPE_BATTLEGROUND",G171&lt;&gt;"LIBSETS_SETTYPE_SPECIAL"),
IF(AND(Y171&lt;&gt;"",ISNUMBER(Y171),NOT(ISNA(Y171))),Y171,
   IF(AND(L171&lt;&gt;"",ISNUMBER(L171),L171&gt;0,NOT(ISNA(L171))),VLOOKUP(L171,'ESO dumped WayshrineInfo'!$K$3:$L$9971,2,FALSE),"")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WayshrineInfo'!$K$3:$L$9971,2,FALSE),"")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 t="shared" si="13"/>
        <v>[204] = {wayshrines={-1,-1,-1,}, dlcId=DLC_IMPERIAL_CITY</v>
      </c>
      <c r="BF171" s="21" t="str">
        <f t="shared" si="14"/>
        <v>, zoneIds={584}, veteran=false</v>
      </c>
      <c r="BG171" s="21" t="str">
        <f t="shared" si="15"/>
        <v>, setType=LIBSETS_SETTYPE_DAILYRANDOMDUNGEONANDICREWARD</v>
      </c>
      <c r="BH171" s="21" t="str">
        <f t="shared" si="16"/>
        <v>, isProcSetAllowedInPvP=1, dropMechanic={LIBSETS_DROP_MECHANIC_IMPERIAL_CITY_VAULTS,LIBSETS_DROP_MECHANIC_MAIL_DAILY_RANDOM_DUNGEON_REWARD}, dropMechanicDropLocationNames={['en']={'','By mail','','','','',},['de']={'','Durch Nachricht','','','','',},}</v>
      </c>
      <c r="BI171" s="21" t="str">
        <f t="shared" si="17"/>
        <v>}, --Endurance / Beständigkeit   [Imperial City]</v>
      </c>
    </row>
    <row r="172" spans="1:61" x14ac:dyDescent="0.25">
      <c r="A172" s="12">
        <v>205</v>
      </c>
      <c r="B172" t="s">
        <v>994</v>
      </c>
      <c r="C172" t="s">
        <v>995</v>
      </c>
      <c r="D172" s="3">
        <f t="shared" si="12"/>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WayshrineInfo'!$K$3:$N$9971,4,FALSE),"")))</f>
        <v>Imperial City</v>
      </c>
      <c r="T172" s="19" t="str">
        <f>IF(AND(S172&lt;&gt;"",NOT(ISERROR(S172))),S172,IF(Q172&lt;&gt;"",IF(NOT(ISERROR(VLOOKUP(Q172,'ESO Dungeon constants'!$D$3:$H$9999,5,FALSE))),VLOOKUP(Q172,'ESO Dungeon constants'!$D$3:$I$9999,6,FALSE),VLOOKUP(Q172,'ESO zone constants'!$H$3:$K$9989,4,FALSE)),""))</f>
        <v>DLC_IMPERIAL_CITY</v>
      </c>
      <c r="U172" s="3" t="str">
        <f>IF(T172&lt;&gt;"",VLOOKUP(T172,'LibSets constants'!$B$4:$C$1017,2,FALSE),"")</f>
        <v>Imperial City</v>
      </c>
      <c r="V172" s="33" t="s">
        <v>1571</v>
      </c>
      <c r="Y172" s="61"/>
      <c r="Z172" s="3" t="str">
        <f>IF(AND(G172&lt;&gt;"LIBSETS_SETTYPE_BATTLEGROUND",G172&lt;&gt;"LIBSETS_SETTYPE_SPECIAL"),
IF(AND(Y172&lt;&gt;"",ISNUMBER(Y172),NOT(ISNA(Y172))),Y172,
   IF(AND(L172&lt;&gt;"",ISNUMBER(L172),L172&gt;0,NOT(ISNA(L172))),VLOOKUP(L172,'ESO dumped WayshrineInfo'!$K$3:$L$9971,2,FALSE),"")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WayshrineInfo'!$K$3:$L$9971,2,FALSE),"")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 t="shared" si="13"/>
        <v>[205] = {wayshrines={-1,-1,-1,}, dlcId=DLC_IMPERIAL_CITY</v>
      </c>
      <c r="BF172" s="21" t="str">
        <f t="shared" si="14"/>
        <v>, zoneIds={584}, veteran=false</v>
      </c>
      <c r="BG172" s="21" t="str">
        <f t="shared" si="15"/>
        <v>, setType=LIBSETS_SETTYPE_DAILYRANDOMDUNGEONANDICREWARD</v>
      </c>
      <c r="BH172" s="21" t="str">
        <f t="shared" si="16"/>
        <v>, isProcSetAllowedInPvP=1, dropMechanic={LIBSETS_DROP_MECHANIC_IMPERIAL_CITY_VAULTS,LIBSETS_DROP_MECHANIC_MAIL_DAILY_RANDOM_DUNGEON_REWARD}, dropMechanicDropLocationNames={['en']={'','By mail','','','','',},['de']={'','Durch Nachricht','','','','',},}</v>
      </c>
      <c r="BI172" s="21" t="str">
        <f t="shared" si="17"/>
        <v>}, --Willpower / Willenskraft   [Imperial City]</v>
      </c>
    </row>
    <row r="173" spans="1:61" x14ac:dyDescent="0.25">
      <c r="A173" s="12">
        <v>206</v>
      </c>
      <c r="B173" t="s">
        <v>996</v>
      </c>
      <c r="C173" t="s">
        <v>997</v>
      </c>
      <c r="D173" s="3">
        <f t="shared" si="12"/>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WayshrineInfo'!$K$3:$N$9971,4,FALSE),"")))</f>
        <v>Imperial City</v>
      </c>
      <c r="T173" s="19" t="str">
        <f>IF(AND(S173&lt;&gt;"",NOT(ISERROR(S173))),S173,IF(Q173&lt;&gt;"",IF(NOT(ISERROR(VLOOKUP(Q173,'ESO Dungeon constants'!$D$3:$H$9999,5,FALSE))),VLOOKUP(Q173,'ESO Dungeon constants'!$D$3:$I$9999,6,FALSE),VLOOKUP(Q173,'ESO zone constants'!$H$3:$K$9989,4,FALSE)),""))</f>
        <v>DLC_IMPERIAL_CITY</v>
      </c>
      <c r="U173" s="3" t="str">
        <f>IF(T173&lt;&gt;"",VLOOKUP(T173,'LibSets constants'!$B$4:$C$1017,2,FALSE),"")</f>
        <v>Imperial City</v>
      </c>
      <c r="V173" s="33" t="s">
        <v>1571</v>
      </c>
      <c r="Y173" s="61"/>
      <c r="Z173" s="3" t="str">
        <f>IF(AND(G173&lt;&gt;"LIBSETS_SETTYPE_BATTLEGROUND",G173&lt;&gt;"LIBSETS_SETTYPE_SPECIAL"),
IF(AND(Y173&lt;&gt;"",ISNUMBER(Y173),NOT(ISNA(Y173))),Y173,
   IF(AND(L173&lt;&gt;"",ISNUMBER(L173),L173&gt;0,NOT(ISNA(L173))),VLOOKUP(L173,'ESO dumped WayshrineInfo'!$K$3:$L$9971,2,FALSE),"")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WayshrineInfo'!$K$3:$L$9971,2,FALSE),"")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 t="shared" si="13"/>
        <v>[206] = {wayshrines={-1,-1,-1,}, dlcId=DLC_IMPERIAL_CITY</v>
      </c>
      <c r="BF173" s="21" t="str">
        <f t="shared" si="14"/>
        <v>, zoneIds={584}, veteran=false</v>
      </c>
      <c r="BG173" s="21" t="str">
        <f t="shared" si="15"/>
        <v>, setType=LIBSETS_SETTYPE_DAILYRANDOMDUNGEONANDICREWARD</v>
      </c>
      <c r="BH173" s="21" t="str">
        <f t="shared" si="16"/>
        <v>, isProcSetAllowedInPvP=1, dropMechanic={LIBSETS_DROP_MECHANIC_IMPERIAL_CITY_VAULTS,LIBSETS_DROP_MECHANIC_MAIL_DAILY_RANDOM_DUNGEON_REWARD}, dropMechanicDropLocationNames={['en']={'','By mail','','','','',},['de']={'','Durch Nachricht','','','','',},}</v>
      </c>
      <c r="BI173" s="21" t="str">
        <f t="shared" si="17"/>
        <v>}, --Agility / Agilität   [Imperial City]</v>
      </c>
    </row>
    <row r="174" spans="1:61" x14ac:dyDescent="0.25">
      <c r="A174" s="5">
        <v>207</v>
      </c>
      <c r="B174" t="s">
        <v>998</v>
      </c>
      <c r="C174" t="s">
        <v>999</v>
      </c>
      <c r="D174" s="3">
        <f t="shared" si="12"/>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WayshrineInfo'!$K$3:$N$9971,4,FALSE),"")))</f>
        <v>Wrothgar</v>
      </c>
      <c r="T174" s="19" t="str">
        <f>IF(AND(S174&lt;&gt;"",NOT(ISERROR(S174))),S174,IF(Q174&lt;&gt;"",IF(NOT(ISERROR(VLOOKUP(Q174,'ESO Dungeon constants'!$D$3:$H$9999,5,FALSE))),VLOOKUP(Q174,'ESO Dungeon constants'!$D$3:$I$9999,6,FALSE),VLOOKUP(Q174,'ESO zone constants'!$H$3:$K$9989,4,FALSE)),""))</f>
        <v>DLC_ORSINIUM</v>
      </c>
      <c r="U174" s="3" t="str">
        <f>IF(T174&lt;&gt;"",VLOOKUP(T174,'LibSets constants'!$B$4:$C$1017,2,FALSE),"")</f>
        <v>Orsinium</v>
      </c>
      <c r="V174" s="33" t="s">
        <v>3276</v>
      </c>
      <c r="Y174" s="61"/>
      <c r="Z174" s="3">
        <f>IF(AND(G174&lt;&gt;"LIBSETS_SETTYPE_BATTLEGROUND",G174&lt;&gt;"LIBSETS_SETTYPE_SPECIAL"),
IF(AND(Y174&lt;&gt;"",ISNUMBER(Y174),NOT(ISNA(Y174))),Y174,
   IF(AND(L174&lt;&gt;"",ISNUMBER(L174),L174&gt;0,NOT(ISNA(L174))),VLOOKUP(L174,'ESO dumped WayshrineInfo'!$K$3:$L$9971,2,FALSE),"")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WayshrineInfo'!$K$3:$L$9971,2,FALSE),"")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 t="shared" si="13"/>
        <v>[207] = {wayshrines={241,241,241,}, traitsNeeded=6, dlcId=DLC_ORSINIUM</v>
      </c>
      <c r="BF174" s="21" t="str">
        <f t="shared" si="14"/>
        <v>, zoneIds={684,684,684}, veteran=false</v>
      </c>
      <c r="BG174" s="21" t="str">
        <f t="shared" si="15"/>
        <v>, setType=LIBSETS_SETTYPE_CRAFTED</v>
      </c>
      <c r="BH174" s="21" t="str">
        <f t="shared" si="16"/>
        <v>, isProcSetAllowedInPvP=1, dropMechanic={LIBSETS_DROP_MECHANIC_CRAFTED,LIBSETS_DROP_MECHANIC_CRAFTED}</v>
      </c>
      <c r="BI174" s="21" t="str">
        <f t="shared" si="17"/>
        <v>}, --Law of Julianos / Gesetz von Julianos   [Wrothgar, Wrothgar, Wrothgar]</v>
      </c>
    </row>
    <row r="175" spans="1:61" x14ac:dyDescent="0.25">
      <c r="A175" s="5">
        <v>208</v>
      </c>
      <c r="B175" t="s">
        <v>1000</v>
      </c>
      <c r="C175" t="s">
        <v>1001</v>
      </c>
      <c r="D175" s="3">
        <f t="shared" si="12"/>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WayshrineInfo'!$K$3:$N$9971,4,FALSE),"")))</f>
        <v>Wrothgar</v>
      </c>
      <c r="T175" s="19" t="str">
        <f>IF(AND(S175&lt;&gt;"",NOT(ISERROR(S175))),S175,IF(Q175&lt;&gt;"",IF(NOT(ISERROR(VLOOKUP(Q175,'ESO Dungeon constants'!$D$3:$H$9999,5,FALSE))),VLOOKUP(Q175,'ESO Dungeon constants'!$D$3:$I$9999,6,FALSE),VLOOKUP(Q175,'ESO zone constants'!$H$3:$K$9989,4,FALSE)),""))</f>
        <v>DLC_ORSINIUM</v>
      </c>
      <c r="U175" s="3" t="str">
        <f>IF(T175&lt;&gt;"",VLOOKUP(T175,'LibSets constants'!$B$4:$C$1017,2,FALSE),"")</f>
        <v>Orsinium</v>
      </c>
      <c r="V175" s="33" t="s">
        <v>3276</v>
      </c>
      <c r="Y175" s="61"/>
      <c r="Z175" s="3">
        <f>IF(AND(G175&lt;&gt;"LIBSETS_SETTYPE_BATTLEGROUND",G175&lt;&gt;"LIBSETS_SETTYPE_SPECIAL"),
IF(AND(Y175&lt;&gt;"",ISNUMBER(Y175),NOT(ISNA(Y175))),Y175,
   IF(AND(L175&lt;&gt;"",ISNUMBER(L175),L175&gt;0,NOT(ISNA(L175))),VLOOKUP(L175,'ESO dumped WayshrineInfo'!$K$3:$L$9971,2,FALSE),"")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WayshrineInfo'!$K$3:$L$9971,2,FALSE),"")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 t="shared" si="13"/>
        <v>[208] = {wayshrines={237,237,237,}, traitsNeeded=3, dlcId=DLC_ORSINIUM</v>
      </c>
      <c r="BF175" s="21" t="str">
        <f t="shared" si="14"/>
        <v>, zoneIds={684,684,684}, veteran=false</v>
      </c>
      <c r="BG175" s="21" t="str">
        <f t="shared" si="15"/>
        <v>, setType=LIBSETS_SETTYPE_CRAFTED</v>
      </c>
      <c r="BH175" s="21" t="str">
        <f t="shared" si="16"/>
        <v>, isProcSetAllowedInPvP=1, dropMechanic={LIBSETS_DROP_MECHANIC_CRAFTED,LIBSETS_DROP_MECHANIC_CRAFTED}</v>
      </c>
      <c r="BI175" s="21" t="str">
        <f t="shared" si="17"/>
        <v>}, --Trial by Fire / Feuertaufe   [Wrothgar, Wrothgar, Wrothgar]</v>
      </c>
    </row>
    <row r="176" spans="1:61" s="14" customFormat="1" x14ac:dyDescent="0.25">
      <c r="A176" s="24">
        <v>209</v>
      </c>
      <c r="B176" s="14" t="s">
        <v>1002</v>
      </c>
      <c r="C176" t="s">
        <v>1002</v>
      </c>
      <c r="D176" s="25">
        <f t="shared" si="12"/>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WayshrineInfo'!$K$3:$N$9971,4,FALSE),"")))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WayshrineInfo'!$K$3:$L$9971,2,FALSE),"")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WayshrineInfo'!$K$3:$L$9971,2,FALSE),"")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 t="shared" si="13"/>
        <v/>
      </c>
      <c r="BF176" s="21" t="str">
        <f t="shared" si="14"/>
        <v/>
      </c>
      <c r="BG176" s="21" t="str">
        <f t="shared" si="15"/>
        <v/>
      </c>
      <c r="BH176" s="21" t="str">
        <f t="shared" si="16"/>
        <v/>
      </c>
      <c r="BI176" s="21" t="str">
        <f t="shared" si="17"/>
        <v/>
      </c>
    </row>
    <row r="177" spans="1:61" x14ac:dyDescent="0.25">
      <c r="A177" s="12">
        <v>210</v>
      </c>
      <c r="B177" t="s">
        <v>1003</v>
      </c>
      <c r="C177" t="s">
        <v>1004</v>
      </c>
      <c r="D177" s="3">
        <f t="shared" si="12"/>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WayshrineInfo'!$K$3:$N$9971,4,FALSE),"")))</f>
        <v>Wrothgar</v>
      </c>
      <c r="T177" s="19" t="str">
        <f>IF(AND(S177&lt;&gt;"",NOT(ISERROR(S177))),S177,IF(Q177&lt;&gt;"",IF(NOT(ISERROR(VLOOKUP(Q177,'ESO Dungeon constants'!$D$3:$H$9999,5,FALSE))),VLOOKUP(Q177,'ESO Dungeon constants'!$D$3:$I$9999,6,FALSE),VLOOKUP(Q177,'ESO zone constants'!$H$3:$K$9989,4,FALSE)),""))</f>
        <v>DLC_ORSINIUM</v>
      </c>
      <c r="U177" s="3" t="str">
        <f>IF(T177&lt;&gt;"",VLOOKUP(T177,'LibSets constants'!$B$4:$C$1017,2,FALSE),"")</f>
        <v>Orsinium</v>
      </c>
      <c r="V177" s="33" t="s">
        <v>1551</v>
      </c>
      <c r="Y177" s="61"/>
      <c r="Z177" s="3">
        <f>IF(AND(G177&lt;&gt;"LIBSETS_SETTYPE_BATTLEGROUND",G177&lt;&gt;"LIBSETS_SETTYPE_SPECIAL"),
IF(AND(Y177&lt;&gt;"",ISNUMBER(Y177),NOT(ISNA(Y177))),Y177,
   IF(AND(L177&lt;&gt;"",ISNUMBER(L177),L177&gt;0,NOT(ISNA(L177))),VLOOKUP(L177,'ESO dumped WayshrineInfo'!$K$3:$L$9971,2,FALSE),"")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WayshrineInfo'!$K$3:$L$9971,2,FALSE),"")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 t="shared" si="13"/>
        <v>[210] = {wayshrines={244,244,244,}, dlcId=DLC_ORSINIUM</v>
      </c>
      <c r="BF177" s="21" t="str">
        <f t="shared" si="14"/>
        <v>, zoneIds={684,684,684,684}, veteran=false</v>
      </c>
      <c r="BG177" s="21" t="str">
        <f t="shared" si="15"/>
        <v>, setType=LIBSETS_SETTYPE_OVERLAND</v>
      </c>
      <c r="BH177" s="21" t="str">
        <f t="shared" si="16"/>
        <v>, isProcSetAllowedInPvP=1, dropMechanic={LIBSETS_DROP_MECHANIC_OVERLAND_BOSS_DELVE,LIBSETS_DROP_MECHANIC_OVERLAND_WORLDBOSS,LIBSETS_DROP_MECHANIC_OVERLAND_BOSS_PUBLIC_DUNGEON,LIBSETS_DROP_MECHANIC_OVERLAND_CHEST}</v>
      </c>
      <c r="BI177" s="21" t="str">
        <f t="shared" si="17"/>
        <v>}, --Mark of the Pariah / Zeichen des Ausgestoßenen   [Wrothgar, Wrothgar, Wrothgar, Wrothgar]</v>
      </c>
    </row>
    <row r="178" spans="1:61" x14ac:dyDescent="0.25">
      <c r="A178" s="12">
        <v>211</v>
      </c>
      <c r="B178" t="s">
        <v>1005</v>
      </c>
      <c r="C178" t="s">
        <v>1005</v>
      </c>
      <c r="D178" s="3">
        <f t="shared" si="12"/>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WayshrineInfo'!$K$3:$N$9971,4,FALSE),"")))</f>
        <v>Maelstrom Arena</v>
      </c>
      <c r="T178" s="19" t="str">
        <f>IF(AND(S178&lt;&gt;"",NOT(ISERROR(S178))),S178,IF(Q178&lt;&gt;"",IF(NOT(ISERROR(VLOOKUP(Q178,'ESO Dungeon constants'!$D$3:$H$9999,5,FALSE))),VLOOKUP(Q178,'ESO Dungeon constants'!$D$3:$I$9999,6,FALSE),VLOOKUP(Q178,'ESO zone constants'!$H$3:$K$9989,4,FALSE)),""))</f>
        <v>DLC_ORSINIUM</v>
      </c>
      <c r="U178" s="3" t="str">
        <f>IF(T178&lt;&gt;"",VLOOKUP(T178,'LibSets constants'!$B$4:$C$1017,2,FALSE),"")</f>
        <v>Orsinium</v>
      </c>
      <c r="V178" s="33" t="s">
        <v>1547</v>
      </c>
      <c r="Y178" s="61"/>
      <c r="Z178" s="3">
        <f>IF(AND(G178&lt;&gt;"LIBSETS_SETTYPE_BATTLEGROUND",G178&lt;&gt;"LIBSETS_SETTYPE_SPECIAL"),
IF(AND(Y178&lt;&gt;"",ISNUMBER(Y178),NOT(ISNA(Y178))),Y178,
   IF(AND(L178&lt;&gt;"",ISNUMBER(L178),L178&gt;0,NOT(ISNA(L178))),VLOOKUP(L178,'ESO dumped WayshrineInfo'!$K$3:$L$9971,2,FALSE),"")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WayshrineInfo'!$K$3:$L$9971,2,FALSE),"")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 t="shared" si="13"/>
        <v>[211] = {wayshrines={249,249,249,}, dlcId=DLC_ORSINIUM</v>
      </c>
      <c r="BF178" s="21" t="str">
        <f t="shared" si="14"/>
        <v>, zoneIds={677,684,684}, veteran=false</v>
      </c>
      <c r="BG178" s="21" t="str">
        <f t="shared" si="15"/>
        <v>, setType=LIBSETS_SETTYPE_ARENA</v>
      </c>
      <c r="BH178" s="21" t="str">
        <f t="shared" si="16"/>
        <v>, isProcSetAllowedInPvP=1, dropMechanic={LIBSETS_DROP_MECHANIC_ARENA_STAGE_CHEST,LIBSETS_DROP_MECHANIC_ARENA_STAGE_CHEST}</v>
      </c>
      <c r="BI178" s="21" t="str">
        <f t="shared" si="17"/>
        <v>}, --Permafrost / Permafrost   [Maelstrom Arena, Wrothgar, Wrothgar]</v>
      </c>
    </row>
    <row r="179" spans="1:61" x14ac:dyDescent="0.25">
      <c r="A179" s="12">
        <v>212</v>
      </c>
      <c r="B179" t="s">
        <v>1006</v>
      </c>
      <c r="C179" t="s">
        <v>1007</v>
      </c>
      <c r="D179" s="3">
        <f t="shared" si="12"/>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WayshrineInfo'!$K$3:$N$9971,4,FALSE),"")))</f>
        <v>Wrothgar</v>
      </c>
      <c r="T179" s="19" t="str">
        <f>IF(AND(S179&lt;&gt;"",NOT(ISERROR(S179))),S179,IF(Q179&lt;&gt;"",IF(NOT(ISERROR(VLOOKUP(Q179,'ESO Dungeon constants'!$D$3:$H$9999,5,FALSE))),VLOOKUP(Q179,'ESO Dungeon constants'!$D$3:$I$9999,6,FALSE),VLOOKUP(Q179,'ESO zone constants'!$H$3:$K$9989,4,FALSE)),""))</f>
        <v>DLC_ORSINIUM</v>
      </c>
      <c r="U179" s="3" t="str">
        <f>IF(T179&lt;&gt;"",VLOOKUP(T179,'LibSets constants'!$B$4:$C$1017,2,FALSE),"")</f>
        <v>Orsinium</v>
      </c>
      <c r="V179" s="33" t="s">
        <v>1551</v>
      </c>
      <c r="Y179" s="61"/>
      <c r="Z179" s="3">
        <f>IF(AND(G179&lt;&gt;"LIBSETS_SETTYPE_BATTLEGROUND",G179&lt;&gt;"LIBSETS_SETTYPE_SPECIAL"),
IF(AND(Y179&lt;&gt;"",ISNUMBER(Y179),NOT(ISNA(Y179))),Y179,
   IF(AND(L179&lt;&gt;"",ISNUMBER(L179),L179&gt;0,NOT(ISNA(L179))),VLOOKUP(L179,'ESO dumped WayshrineInfo'!$K$3:$L$9971,2,FALSE),"")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WayshrineInfo'!$K$3:$L$9971,2,FALSE),"")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 t="shared" si="13"/>
        <v>[212] = {wayshrines={244,244,244,}, dlcId=DLC_ORSINIUM</v>
      </c>
      <c r="BF179" s="21" t="str">
        <f t="shared" si="14"/>
        <v>, zoneIds={684,684,684,684}, veteran=false</v>
      </c>
      <c r="BG179" s="21" t="str">
        <f t="shared" si="15"/>
        <v>, setType=LIBSETS_SETTYPE_OVERLAND</v>
      </c>
      <c r="BH179" s="21" t="str">
        <f t="shared" si="16"/>
        <v>, dropMechanic={LIBSETS_DROP_MECHANIC_OVERLAND_BOSS_DELVE,LIBSETS_DROP_MECHANIC_OVERLAND_WORLDBOSS,LIBSETS_DROP_MECHANIC_OVERLAND_BOSS_PUBLIC_DUNGEON,LIBSETS_DROP_MECHANIC_OVERLAND_CHEST}</v>
      </c>
      <c r="BI179" s="21" t="str">
        <f t="shared" si="17"/>
        <v>}, --Briarheart / Dornenherz   [Wrothgar, Wrothgar, Wrothgar, Wrothgar]</v>
      </c>
    </row>
    <row r="180" spans="1:61" x14ac:dyDescent="0.25">
      <c r="A180" s="12">
        <v>213</v>
      </c>
      <c r="B180" t="s">
        <v>1008</v>
      </c>
      <c r="C180" t="s">
        <v>1009</v>
      </c>
      <c r="D180" s="3">
        <f t="shared" si="12"/>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WayshrineInfo'!$K$3:$N$9971,4,FALSE),"")))</f>
        <v>Maelstrom Arena</v>
      </c>
      <c r="T180" s="19" t="str">
        <f>IF(AND(S180&lt;&gt;"",NOT(ISERROR(S180))),S180,IF(Q180&lt;&gt;"",IF(NOT(ISERROR(VLOOKUP(Q180,'ESO Dungeon constants'!$D$3:$H$9999,5,FALSE))),VLOOKUP(Q180,'ESO Dungeon constants'!$D$3:$I$9999,6,FALSE),VLOOKUP(Q180,'ESO zone constants'!$H$3:$K$9989,4,FALSE)),""))</f>
        <v>DLC_ORSINIUM</v>
      </c>
      <c r="U180" s="3" t="str">
        <f>IF(T180&lt;&gt;"",VLOOKUP(T180,'LibSets constants'!$B$4:$C$1017,2,FALSE),"")</f>
        <v>Orsinium</v>
      </c>
      <c r="V180" s="33" t="s">
        <v>1547</v>
      </c>
      <c r="Y180" s="61"/>
      <c r="Z180" s="3">
        <f>IF(AND(G180&lt;&gt;"LIBSETS_SETTYPE_BATTLEGROUND",G180&lt;&gt;"LIBSETS_SETTYPE_SPECIAL"),
IF(AND(Y180&lt;&gt;"",ISNUMBER(Y180),NOT(ISNA(Y180))),Y180,
   IF(AND(L180&lt;&gt;"",ISNUMBER(L180),L180&gt;0,NOT(ISNA(L180))),VLOOKUP(L180,'ESO dumped WayshrineInfo'!$K$3:$L$9971,2,FALSE),"")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WayshrineInfo'!$K$3:$L$9971,2,FALSE),"")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 t="shared" si="13"/>
        <v>[213] = {wayshrines={249,249,249,}, dlcId=DLC_ORSINIUM</v>
      </c>
      <c r="BF180" s="21" t="str">
        <f t="shared" si="14"/>
        <v>, zoneIds={677,684,684}, veteran=false</v>
      </c>
      <c r="BG180" s="21" t="str">
        <f t="shared" si="15"/>
        <v>, setType=LIBSETS_SETTYPE_ARENA</v>
      </c>
      <c r="BH180" s="21" t="str">
        <f t="shared" si="16"/>
        <v>, dropMechanic={LIBSETS_DROP_MECHANIC_ARENA_STAGE_CHEST,LIBSETS_DROP_MECHANIC_ARENA_STAGE_CHEST}</v>
      </c>
      <c r="BI180" s="21" t="str">
        <f t="shared" si="17"/>
        <v>}, --Glorious Defender / Ruhmreicher Verteidiger   [Maelstrom Arena, Wrothgar, Wrothgar]</v>
      </c>
    </row>
    <row r="181" spans="1:61" x14ac:dyDescent="0.25">
      <c r="A181" s="12">
        <v>214</v>
      </c>
      <c r="B181" t="s">
        <v>1010</v>
      </c>
      <c r="C181" t="s">
        <v>1010</v>
      </c>
      <c r="D181" s="3">
        <f t="shared" si="12"/>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WayshrineInfo'!$K$3:$N$9971,4,FALSE),"")))</f>
        <v>Maelstrom Arena</v>
      </c>
      <c r="T181" s="19" t="str">
        <f>IF(AND(S181&lt;&gt;"",NOT(ISERROR(S181))),S181,IF(Q181&lt;&gt;"",IF(NOT(ISERROR(VLOOKUP(Q181,'ESO Dungeon constants'!$D$3:$H$9999,5,FALSE))),VLOOKUP(Q181,'ESO Dungeon constants'!$D$3:$I$9999,6,FALSE),VLOOKUP(Q181,'ESO zone constants'!$H$3:$K$9989,4,FALSE)),""))</f>
        <v>DLC_ORSINIUM</v>
      </c>
      <c r="U181" s="3" t="str">
        <f>IF(T181&lt;&gt;"",VLOOKUP(T181,'LibSets constants'!$B$4:$C$1017,2,FALSE),"")</f>
        <v>Orsinium</v>
      </c>
      <c r="V181" s="33" t="s">
        <v>1547</v>
      </c>
      <c r="Y181" s="61"/>
      <c r="Z181" s="3">
        <f>IF(AND(G181&lt;&gt;"LIBSETS_SETTYPE_BATTLEGROUND",G181&lt;&gt;"LIBSETS_SETTYPE_SPECIAL"),
IF(AND(Y181&lt;&gt;"",ISNUMBER(Y181),NOT(ISNA(Y181))),Y181,
   IF(AND(L181&lt;&gt;"",ISNUMBER(L181),L181&gt;0,NOT(ISNA(L181))),VLOOKUP(L181,'ESO dumped WayshrineInfo'!$K$3:$L$9971,2,FALSE),"")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WayshrineInfo'!$K$3:$L$9971,2,FALSE),"")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 t="shared" si="13"/>
        <v>[214] = {wayshrines={249,249,249,}, dlcId=DLC_ORSINIUM</v>
      </c>
      <c r="BF181" s="21" t="str">
        <f t="shared" si="14"/>
        <v>, zoneIds={677,684,684}, veteran=false</v>
      </c>
      <c r="BG181" s="21" t="str">
        <f t="shared" si="15"/>
        <v>, setType=LIBSETS_SETTYPE_ARENA</v>
      </c>
      <c r="BH181" s="21" t="str">
        <f t="shared" si="16"/>
        <v>, dropMechanic={LIBSETS_DROP_MECHANIC_ARENA_STAGE_CHEST,LIBSETS_DROP_MECHANIC_ARENA_STAGE_CHEST}</v>
      </c>
      <c r="BI181" s="21" t="str">
        <f t="shared" si="17"/>
        <v>}, --Para Bellum / Para Bellum   [Maelstrom Arena, Wrothgar, Wrothgar]</v>
      </c>
    </row>
    <row r="182" spans="1:61" x14ac:dyDescent="0.25">
      <c r="A182" s="12">
        <v>215</v>
      </c>
      <c r="B182" t="s">
        <v>1011</v>
      </c>
      <c r="C182" t="s">
        <v>1012</v>
      </c>
      <c r="D182" s="3">
        <f t="shared" si="12"/>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WayshrineInfo'!$K$3:$N$9971,4,FALSE),"")))</f>
        <v>Maelstrom Arena</v>
      </c>
      <c r="T182" s="19" t="str">
        <f>IF(AND(S182&lt;&gt;"",NOT(ISERROR(S182))),S182,IF(Q182&lt;&gt;"",IF(NOT(ISERROR(VLOOKUP(Q182,'ESO Dungeon constants'!$D$3:$H$9999,5,FALSE))),VLOOKUP(Q182,'ESO Dungeon constants'!$D$3:$I$9999,6,FALSE),VLOOKUP(Q182,'ESO zone constants'!$H$3:$K$9989,4,FALSE)),""))</f>
        <v>DLC_ORSINIUM</v>
      </c>
      <c r="U182" s="3" t="str">
        <f>IF(T182&lt;&gt;"",VLOOKUP(T182,'LibSets constants'!$B$4:$C$1017,2,FALSE),"")</f>
        <v>Orsinium</v>
      </c>
      <c r="V182" s="33" t="s">
        <v>1547</v>
      </c>
      <c r="Y182" s="61"/>
      <c r="Z182" s="3">
        <f>IF(AND(G182&lt;&gt;"LIBSETS_SETTYPE_BATTLEGROUND",G182&lt;&gt;"LIBSETS_SETTYPE_SPECIAL"),
IF(AND(Y182&lt;&gt;"",ISNUMBER(Y182),NOT(ISNA(Y182))),Y182,
   IF(AND(L182&lt;&gt;"",ISNUMBER(L182),L182&gt;0,NOT(ISNA(L182))),VLOOKUP(L182,'ESO dumped WayshrineInfo'!$K$3:$L$9971,2,FALSE),"")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WayshrineInfo'!$K$3:$L$9971,2,FALSE),"")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 t="shared" si="13"/>
        <v>[215] = {wayshrines={249,249,249,}, dlcId=DLC_ORSINIUM</v>
      </c>
      <c r="BF182" s="21" t="str">
        <f t="shared" si="14"/>
        <v>, zoneIds={677,684,684}, veteran=false</v>
      </c>
      <c r="BG182" s="21" t="str">
        <f t="shared" si="15"/>
        <v>, setType=LIBSETS_SETTYPE_ARENA</v>
      </c>
      <c r="BH182" s="21" t="str">
        <f t="shared" si="16"/>
        <v>, dropMechanic={LIBSETS_DROP_MECHANIC_ARENA_STAGE_CHEST,LIBSETS_DROP_MECHANIC_ARENA_STAGE_CHEST}</v>
      </c>
      <c r="BI182" s="21" t="str">
        <f t="shared" si="17"/>
        <v>}, --Elemental Succession / Elementarfolge   [Maelstrom Arena, Wrothgar, Wrothgar]</v>
      </c>
    </row>
    <row r="183" spans="1:61" x14ac:dyDescent="0.25">
      <c r="A183" s="12">
        <v>216</v>
      </c>
      <c r="B183" t="s">
        <v>1013</v>
      </c>
      <c r="C183" t="s">
        <v>1014</v>
      </c>
      <c r="D183" s="3">
        <f t="shared" si="12"/>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WayshrineInfo'!$K$3:$N$9971,4,FALSE),"")))</f>
        <v>Maelstrom Arena</v>
      </c>
      <c r="T183" s="19" t="str">
        <f>IF(AND(S183&lt;&gt;"",NOT(ISERROR(S183))),S183,IF(Q183&lt;&gt;"",IF(NOT(ISERROR(VLOOKUP(Q183,'ESO Dungeon constants'!$D$3:$H$9999,5,FALSE))),VLOOKUP(Q183,'ESO Dungeon constants'!$D$3:$I$9999,6,FALSE),VLOOKUP(Q183,'ESO zone constants'!$H$3:$K$9989,4,FALSE)),""))</f>
        <v>DLC_ORSINIUM</v>
      </c>
      <c r="U183" s="3" t="str">
        <f>IF(T183&lt;&gt;"",VLOOKUP(T183,'LibSets constants'!$B$4:$C$1017,2,FALSE),"")</f>
        <v>Orsinium</v>
      </c>
      <c r="V183" s="33" t="s">
        <v>1547</v>
      </c>
      <c r="Y183" s="61"/>
      <c r="Z183" s="3">
        <f>IF(AND(G183&lt;&gt;"LIBSETS_SETTYPE_BATTLEGROUND",G183&lt;&gt;"LIBSETS_SETTYPE_SPECIAL"),
IF(AND(Y183&lt;&gt;"",ISNUMBER(Y183),NOT(ISNA(Y183))),Y183,
   IF(AND(L183&lt;&gt;"",ISNUMBER(L183),L183&gt;0,NOT(ISNA(L183))),VLOOKUP(L183,'ESO dumped WayshrineInfo'!$K$3:$L$9971,2,FALSE),"")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WayshrineInfo'!$K$3:$L$9971,2,FALSE),"")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 t="shared" si="13"/>
        <v>[216] = {wayshrines={249,249,249,}, dlcId=DLC_ORSINIUM</v>
      </c>
      <c r="BF183" s="21" t="str">
        <f t="shared" si="14"/>
        <v>, zoneIds={677,684,684}, veteran=false</v>
      </c>
      <c r="BG183" s="21" t="str">
        <f t="shared" si="15"/>
        <v>, setType=LIBSETS_SETTYPE_ARENA</v>
      </c>
      <c r="BH183" s="21" t="str">
        <f t="shared" si="16"/>
        <v>, dropMechanic={LIBSETS_DROP_MECHANIC_ARENA_STAGE_CHEST,LIBSETS_DROP_MECHANIC_ARENA_STAGE_CHEST}</v>
      </c>
      <c r="BI183" s="21" t="str">
        <f t="shared" si="17"/>
        <v>}, --Hunt Leader / Jagdleiter   [Maelstrom Arena, Wrothgar, Wrothgar]</v>
      </c>
    </row>
    <row r="184" spans="1:61" x14ac:dyDescent="0.25">
      <c r="A184" s="12">
        <v>217</v>
      </c>
      <c r="B184" t="s">
        <v>1015</v>
      </c>
      <c r="C184" t="s">
        <v>1016</v>
      </c>
      <c r="D184" s="3">
        <f t="shared" si="12"/>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WayshrineInfo'!$K$3:$N$9971,4,FALSE),"")))</f>
        <v>Maelstrom Arena</v>
      </c>
      <c r="T184" s="19" t="str">
        <f>IF(AND(S184&lt;&gt;"",NOT(ISERROR(S184))),S184,IF(Q184&lt;&gt;"",IF(NOT(ISERROR(VLOOKUP(Q184,'ESO Dungeon constants'!$D$3:$H$9999,5,FALSE))),VLOOKUP(Q184,'ESO Dungeon constants'!$D$3:$I$9999,6,FALSE),VLOOKUP(Q184,'ESO zone constants'!$H$3:$K$9989,4,FALSE)),""))</f>
        <v>DLC_ORSINIUM</v>
      </c>
      <c r="U184" s="3" t="str">
        <f>IF(T184&lt;&gt;"",VLOOKUP(T184,'LibSets constants'!$B$4:$C$1017,2,FALSE),"")</f>
        <v>Orsinium</v>
      </c>
      <c r="V184" s="33" t="s">
        <v>1547</v>
      </c>
      <c r="Y184" s="61"/>
      <c r="Z184" s="3">
        <f>IF(AND(G184&lt;&gt;"LIBSETS_SETTYPE_BATTLEGROUND",G184&lt;&gt;"LIBSETS_SETTYPE_SPECIAL"),
IF(AND(Y184&lt;&gt;"",ISNUMBER(Y184),NOT(ISNA(Y184))),Y184,
   IF(AND(L184&lt;&gt;"",ISNUMBER(L184),L184&gt;0,NOT(ISNA(L184))),VLOOKUP(L184,'ESO dumped WayshrineInfo'!$K$3:$L$9971,2,FALSE),"")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WayshrineInfo'!$K$3:$L$9971,2,FALSE),"")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 t="shared" si="13"/>
        <v>[217] = {wayshrines={249,249,249,}, dlcId=DLC_ORSINIUM</v>
      </c>
      <c r="BF184" s="21" t="str">
        <f t="shared" si="14"/>
        <v>, zoneIds={677,684,684}, veteran=false</v>
      </c>
      <c r="BG184" s="21" t="str">
        <f t="shared" si="15"/>
        <v>, setType=LIBSETS_SETTYPE_ARENA</v>
      </c>
      <c r="BH184" s="21" t="str">
        <f t="shared" si="16"/>
        <v>, dropMechanic={LIBSETS_DROP_MECHANIC_ARENA_STAGE_CHEST,LIBSETS_DROP_MECHANIC_ARENA_STAGE_CHEST}</v>
      </c>
      <c r="BI184" s="21" t="str">
        <f t="shared" si="17"/>
        <v>}, --Winterborn / Winterkind   [Maelstrom Arena, Wrothgar, Wrothgar]</v>
      </c>
    </row>
    <row r="185" spans="1:61" x14ac:dyDescent="0.25">
      <c r="A185" s="12">
        <v>218</v>
      </c>
      <c r="B185" t="s">
        <v>1017</v>
      </c>
      <c r="C185" t="s">
        <v>2574</v>
      </c>
      <c r="D185" s="3">
        <f t="shared" si="12"/>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WayshrineInfo'!$K$3:$N$9971,4,FALSE),"")))</f>
        <v>Wrothgar</v>
      </c>
      <c r="T185" s="19" t="str">
        <f>IF(AND(S185&lt;&gt;"",NOT(ISERROR(S185))),S185,IF(Q185&lt;&gt;"",IF(NOT(ISERROR(VLOOKUP(Q185,'ESO Dungeon constants'!$D$3:$H$9999,5,FALSE))),VLOOKUP(Q185,'ESO Dungeon constants'!$D$3:$I$9999,6,FALSE),VLOOKUP(Q185,'ESO zone constants'!$H$3:$K$9989,4,FALSE)),""))</f>
        <v>DLC_ORSINIUM</v>
      </c>
      <c r="U185" s="3" t="str">
        <f>IF(T185&lt;&gt;"",VLOOKUP(T185,'LibSets constants'!$B$4:$C$1017,2,FALSE),"")</f>
        <v>Orsinium</v>
      </c>
      <c r="V185" s="33" t="s">
        <v>1551</v>
      </c>
      <c r="Y185" s="61"/>
      <c r="Z185" s="3">
        <f>IF(AND(G185&lt;&gt;"LIBSETS_SETTYPE_BATTLEGROUND",G185&lt;&gt;"LIBSETS_SETTYPE_SPECIAL"),
IF(AND(Y185&lt;&gt;"",ISNUMBER(Y185),NOT(ISNA(Y185))),Y185,
   IF(AND(L185&lt;&gt;"",ISNUMBER(L185),L185&gt;0,NOT(ISNA(L185))),VLOOKUP(L185,'ESO dumped WayshrineInfo'!$K$3:$L$9971,2,FALSE),"")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WayshrineInfo'!$K$3:$L$9971,2,FALSE),"")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 t="shared" si="13"/>
        <v>[218] = {wayshrines={244,244,244,}, dlcId=DLC_ORSINIUM</v>
      </c>
      <c r="BF185" s="21" t="str">
        <f t="shared" si="14"/>
        <v>, zoneIds={684,684,684,684}, veteran=false</v>
      </c>
      <c r="BG185" s="21" t="str">
        <f t="shared" si="15"/>
        <v>, setType=LIBSETS_SETTYPE_OVERLAND</v>
      </c>
      <c r="BH185" s="21" t="str">
        <f t="shared" si="16"/>
        <v>, dropMechanic={LIBSETS_DROP_MECHANIC_OVERLAND_BOSS_DELVE,LIBSETS_DROP_MECHANIC_OVERLAND_WORLDBOSS,LIBSETS_DROP_MECHANIC_OVERLAND_BOSS_PUBLIC_DUNGEON,LIBSETS_DROP_MECHANIC_OVERLAND_CHEST}</v>
      </c>
      <c r="BI185" s="21" t="str">
        <f t="shared" si="17"/>
        <v>}, --Trinimac\'s Valor / Trinimacs Heldenmut   [Wrothgar, Wrothgar, Wrothgar, Wrothgar]</v>
      </c>
    </row>
    <row r="186" spans="1:61" x14ac:dyDescent="0.25">
      <c r="A186" s="5">
        <v>219</v>
      </c>
      <c r="B186" t="s">
        <v>1018</v>
      </c>
      <c r="C186" t="s">
        <v>1018</v>
      </c>
      <c r="D186" s="3">
        <f t="shared" si="12"/>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WayshrineInfo'!$K$3:$N$9971,4,FALSE),"")))</f>
        <v>Wrothgar</v>
      </c>
      <c r="T186" s="19" t="str">
        <f>IF(AND(S186&lt;&gt;"",NOT(ISERROR(S186))),S186,IF(Q186&lt;&gt;"",IF(NOT(ISERROR(VLOOKUP(Q186,'ESO Dungeon constants'!$D$3:$H$9999,5,FALSE))),VLOOKUP(Q186,'ESO Dungeon constants'!$D$3:$I$9999,6,FALSE),VLOOKUP(Q186,'ESO zone constants'!$H$3:$K$9989,4,FALSE)),""))</f>
        <v>DLC_ORSINIUM</v>
      </c>
      <c r="U186" s="3" t="str">
        <f>IF(T186&lt;&gt;"",VLOOKUP(T186,'LibSets constants'!$B$4:$C$1017,2,FALSE),"")</f>
        <v>Orsinium</v>
      </c>
      <c r="V186" s="33" t="s">
        <v>3276</v>
      </c>
      <c r="Y186" s="61"/>
      <c r="Z186" s="3">
        <f>IF(AND(G186&lt;&gt;"LIBSETS_SETTYPE_BATTLEGROUND",G186&lt;&gt;"LIBSETS_SETTYPE_SPECIAL"),
IF(AND(Y186&lt;&gt;"",ISNUMBER(Y186),NOT(ISNA(Y186))),Y186,
   IF(AND(L186&lt;&gt;"",ISNUMBER(L186),L186&gt;0,NOT(ISNA(L186))),VLOOKUP(L186,'ESO dumped WayshrineInfo'!$K$3:$L$9971,2,FALSE),"")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WayshrineInfo'!$K$3:$L$9971,2,FALSE),"")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 t="shared" si="13"/>
        <v>[219] = {wayshrines={237,237,237,}, traitsNeeded=9, dlcId=DLC_ORSINIUM</v>
      </c>
      <c r="BF186" s="21" t="str">
        <f t="shared" si="14"/>
        <v>, zoneIds={684,684,684}, veteran=false</v>
      </c>
      <c r="BG186" s="21" t="str">
        <f t="shared" si="15"/>
        <v>, setType=LIBSETS_SETTYPE_CRAFTED</v>
      </c>
      <c r="BH186" s="21" t="str">
        <f t="shared" si="16"/>
        <v>, dropMechanic={LIBSETS_DROP_MECHANIC_CRAFTED,LIBSETS_DROP_MECHANIC_CRAFTED}</v>
      </c>
      <c r="BI186" s="21" t="str">
        <f t="shared" si="17"/>
        <v>}, --Morkuldin / Morkuldin   [Wrothgar, Wrothgar, Wrothgar]</v>
      </c>
    </row>
    <row r="187" spans="1:61" x14ac:dyDescent="0.25">
      <c r="A187" s="5">
        <v>224</v>
      </c>
      <c r="B187" t="s">
        <v>1019</v>
      </c>
      <c r="C187" t="s">
        <v>2575</v>
      </c>
      <c r="D187" s="3">
        <f t="shared" si="12"/>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WayshrineInfo'!$K$3:$N$9971,4,FALSE),"")))</f>
        <v>Hew's Bane</v>
      </c>
      <c r="T187" s="19" t="str">
        <f>IF(AND(S187&lt;&gt;"",NOT(ISERROR(S187))),S187,IF(Q187&lt;&gt;"",IF(NOT(ISERROR(VLOOKUP(Q187,'ESO Dungeon constants'!$D$3:$H$9999,5,FALSE))),VLOOKUP(Q187,'ESO Dungeon constants'!$D$3:$I$9999,6,FALSE),VLOOKUP(Q187,'ESO zone constants'!$H$3:$K$9989,4,FALSE)),""))</f>
        <v>DLC_STONETHORN</v>
      </c>
      <c r="U187" s="3" t="str">
        <f>IF(T187&lt;&gt;"",VLOOKUP(T187,'LibSets constants'!$B$4:$C$1017,2,FALSE),"")</f>
        <v>Stonethorn</v>
      </c>
      <c r="V187" s="33" t="s">
        <v>3276</v>
      </c>
      <c r="Y187" s="61"/>
      <c r="Z187" s="3">
        <f>IF(AND(G187&lt;&gt;"LIBSETS_SETTYPE_BATTLEGROUND",G187&lt;&gt;"LIBSETS_SETTYPE_SPECIAL"),
IF(AND(Y187&lt;&gt;"",ISNUMBER(Y187),NOT(ISNA(Y187))),Y187,
   IF(AND(L187&lt;&gt;"",ISNUMBER(L187),L187&gt;0,NOT(ISNA(L187))),VLOOKUP(L187,'ESO dumped WayshrineInfo'!$K$3:$L$9971,2,FALSE),"")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WayshrineInfo'!$K$3:$L$9971,2,FALSE),"")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 t="shared" si="13"/>
        <v>[224] = {wayshrines={257,257,257,}, traitsNeeded=5, dlcId=DLC_STONETHORN</v>
      </c>
      <c r="BF187" s="21" t="str">
        <f t="shared" si="14"/>
        <v>, zoneIds={816,816,816}, veteran=false</v>
      </c>
      <c r="BG187" s="21" t="str">
        <f t="shared" si="15"/>
        <v>, setType=LIBSETS_SETTYPE_CRAFTED</v>
      </c>
      <c r="BH187" s="21" t="str">
        <f t="shared" si="16"/>
        <v>, dropMechanic={LIBSETS_DROP_MECHANIC_CRAFTED,LIBSETS_DROP_MECHANIC_CRAFTED}</v>
      </c>
      <c r="BI187" s="21" t="str">
        <f t="shared" si="17"/>
        <v>}, --Tava\'s Favor / Tavas Gunst   [Hew's Bane, Hew's Bane, Hew's Bane]</v>
      </c>
    </row>
    <row r="188" spans="1:61" x14ac:dyDescent="0.25">
      <c r="A188" s="5">
        <v>225</v>
      </c>
      <c r="B188" t="s">
        <v>1020</v>
      </c>
      <c r="C188" t="s">
        <v>1021</v>
      </c>
      <c r="D188" s="3">
        <f t="shared" si="12"/>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WayshrineInfo'!$K$3:$N$9971,4,FALSE),"")))</f>
        <v>Hew's Bane</v>
      </c>
      <c r="T188" s="19" t="str">
        <f>IF(AND(S188&lt;&gt;"",NOT(ISERROR(S188))),S188,IF(Q188&lt;&gt;"",IF(NOT(ISERROR(VLOOKUP(Q188,'ESO Dungeon constants'!$D$3:$H$9999,5,FALSE))),VLOOKUP(Q188,'ESO Dungeon constants'!$D$3:$I$9999,6,FALSE),VLOOKUP(Q188,'ESO zone constants'!$H$3:$K$9989,4,FALSE)),""))</f>
        <v>DLC_STONETHORN</v>
      </c>
      <c r="U188" s="3" t="str">
        <f>IF(T188&lt;&gt;"",VLOOKUP(T188,'LibSets constants'!$B$4:$C$1017,2,FALSE),"")</f>
        <v>Stonethorn</v>
      </c>
      <c r="V188" s="33" t="s">
        <v>3276</v>
      </c>
      <c r="Y188" s="61"/>
      <c r="Z188" s="3">
        <f>IF(AND(G188&lt;&gt;"LIBSETS_SETTYPE_BATTLEGROUND",G188&lt;&gt;"LIBSETS_SETTYPE_SPECIAL"),
IF(AND(Y188&lt;&gt;"",ISNUMBER(Y188),NOT(ISNA(Y188))),Y188,
   IF(AND(L188&lt;&gt;"",ISNUMBER(L188),L188&gt;0,NOT(ISNA(L188))),VLOOKUP(L188,'ESO dumped WayshrineInfo'!$K$3:$L$9971,2,FALSE),"")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WayshrineInfo'!$K$3:$L$9971,2,FALSE),"")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 t="shared" si="13"/>
        <v>[225] = {wayshrines={257,257,257,}, traitsNeeded=7, dlcId=DLC_STONETHORN</v>
      </c>
      <c r="BF188" s="21" t="str">
        <f t="shared" si="14"/>
        <v>, zoneIds={816,816,816}, veteran=false</v>
      </c>
      <c r="BG188" s="21" t="str">
        <f t="shared" si="15"/>
        <v>, setType=LIBSETS_SETTYPE_CRAFTED</v>
      </c>
      <c r="BH188" s="21" t="str">
        <f t="shared" si="16"/>
        <v>, dropMechanic={LIBSETS_DROP_MECHANIC_CRAFTED,LIBSETS_DROP_MECHANIC_CRAFTED}</v>
      </c>
      <c r="BI188" s="21" t="str">
        <f t="shared" si="17"/>
        <v>}, --Clever Alchemist / Schlauer Alchemist   [Hew's Bane, Hew's Bane, Hew's Bane]</v>
      </c>
    </row>
    <row r="189" spans="1:61" x14ac:dyDescent="0.25">
      <c r="A189" s="5">
        <v>226</v>
      </c>
      <c r="B189" t="s">
        <v>1022</v>
      </c>
      <c r="C189" t="s">
        <v>1023</v>
      </c>
      <c r="D189" s="3">
        <f t="shared" si="12"/>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WayshrineInfo'!$K$3:$N$9971,4,FALSE),"")))</f>
        <v>Hew's Bane</v>
      </c>
      <c r="T189" s="19" t="str">
        <f>IF(AND(S189&lt;&gt;"",NOT(ISERROR(S189))),S189,IF(Q189&lt;&gt;"",IF(NOT(ISERROR(VLOOKUP(Q189,'ESO Dungeon constants'!$D$3:$H$9999,5,FALSE))),VLOOKUP(Q189,'ESO Dungeon constants'!$D$3:$I$9999,6,FALSE),VLOOKUP(Q189,'ESO zone constants'!$H$3:$K$9989,4,FALSE)),""))</f>
        <v>DLC_STONETHORN</v>
      </c>
      <c r="U189" s="3" t="str">
        <f>IF(T189&lt;&gt;"",VLOOKUP(T189,'LibSets constants'!$B$4:$C$1017,2,FALSE),"")</f>
        <v>Stonethorn</v>
      </c>
      <c r="V189" s="33" t="s">
        <v>3276</v>
      </c>
      <c r="Y189" s="61"/>
      <c r="Z189" s="3">
        <f>IF(AND(G189&lt;&gt;"LIBSETS_SETTYPE_BATTLEGROUND",G189&lt;&gt;"LIBSETS_SETTYPE_SPECIAL"),
IF(AND(Y189&lt;&gt;"",ISNUMBER(Y189),NOT(ISNA(Y189))),Y189,
   IF(AND(L189&lt;&gt;"",ISNUMBER(L189),L189&gt;0,NOT(ISNA(L189))),VLOOKUP(L189,'ESO dumped WayshrineInfo'!$K$3:$L$9971,2,FALSE),"")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WayshrineInfo'!$K$3:$L$9971,2,FALSE),"")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 t="shared" si="13"/>
        <v>[226] = {wayshrines={255,255,255,}, traitsNeeded=9, dlcId=DLC_STONETHORN</v>
      </c>
      <c r="BF189" s="21" t="str">
        <f t="shared" si="14"/>
        <v>, zoneIds={816,816,816}, veteran=false</v>
      </c>
      <c r="BG189" s="21" t="str">
        <f t="shared" si="15"/>
        <v>, setType=LIBSETS_SETTYPE_CRAFTED</v>
      </c>
      <c r="BH189" s="21" t="str">
        <f t="shared" si="16"/>
        <v>, dropMechanic={LIBSETS_DROP_MECHANIC_CRAFTED,LIBSETS_DROP_MECHANIC_CRAFTED}</v>
      </c>
      <c r="BI189" s="21" t="str">
        <f t="shared" si="17"/>
        <v>}, --Eternal Hunt / Ewige Jagd   [Hew's Bane, Hew's Bane, Hew's Bane]</v>
      </c>
    </row>
    <row r="190" spans="1:61" x14ac:dyDescent="0.25">
      <c r="A190" s="12">
        <v>227</v>
      </c>
      <c r="B190" t="s">
        <v>1024</v>
      </c>
      <c r="C190" t="s">
        <v>2576</v>
      </c>
      <c r="D190" s="3">
        <f t="shared" si="12"/>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WayshrineInfo'!$K$3:$N$9971,4,FALSE),"")))</f>
        <v>Hew's Bane</v>
      </c>
      <c r="T190" s="19" t="str">
        <f>IF(AND(S190&lt;&gt;"",NOT(ISERROR(S190))),S190,IF(Q190&lt;&gt;"",IF(NOT(ISERROR(VLOOKUP(Q190,'ESO Dungeon constants'!$D$3:$H$9999,5,FALSE))),VLOOKUP(Q190,'ESO Dungeon constants'!$D$3:$I$9999,6,FALSE),VLOOKUP(Q190,'ESO zone constants'!$H$3:$K$9989,4,FALSE)),""))</f>
        <v>DLC_STONETHORN</v>
      </c>
      <c r="U190" s="3" t="str">
        <f>IF(T190&lt;&gt;"",VLOOKUP(T190,'LibSets constants'!$B$4:$C$1017,2,FALSE),"")</f>
        <v>Stonethorn</v>
      </c>
      <c r="V190" s="33" t="s">
        <v>1551</v>
      </c>
      <c r="Y190" s="61"/>
      <c r="Z190" s="3">
        <f>IF(AND(G190&lt;&gt;"LIBSETS_SETTYPE_BATTLEGROUND",G190&lt;&gt;"LIBSETS_SETTYPE_SPECIAL"),
IF(AND(Y190&lt;&gt;"",ISNUMBER(Y190),NOT(ISNA(Y190))),Y190,
   IF(AND(L190&lt;&gt;"",ISNUMBER(L190),L190&gt;0,NOT(ISNA(L190))),VLOOKUP(L190,'ESO dumped WayshrineInfo'!$K$3:$L$9971,2,FALSE),"")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WayshrineInfo'!$K$3:$L$9971,2,FALSE),"")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 t="shared" si="13"/>
        <v>[227] = {wayshrines={255,255,255,}, dlcId=DLC_STONETHORN</v>
      </c>
      <c r="BF190" s="21" t="str">
        <f t="shared" si="14"/>
        <v>, zoneIds={816,816,816}, veteran=false</v>
      </c>
      <c r="BG190" s="21" t="str">
        <f t="shared" si="15"/>
        <v>, setType=LIBSETS_SETTYPE_OVERLAND</v>
      </c>
      <c r="BH190" s="21" t="str">
        <f t="shared" si="16"/>
        <v>, isProcSetAllowedInPvP=1, dropMechanic={LIBSETS_DROP_MECHANIC_OVERLAND_BOSS_DELVE,LIBSETS_DROP_MECHANIC_OVERLAND_WORLDBOSS,LIBSETS_DROP_MECHANIC_OVERLAND_CHEST}</v>
      </c>
      <c r="BI190" s="21" t="str">
        <f t="shared" si="17"/>
        <v>}, --Bahraha\'s Curse / Bahrahas Fluch   [Hew's Bane, Hew's Bane, Hew's Bane]</v>
      </c>
    </row>
    <row r="191" spans="1:61" x14ac:dyDescent="0.25">
      <c r="A191" s="12">
        <v>228</v>
      </c>
      <c r="B191" t="s">
        <v>1025</v>
      </c>
      <c r="C191" t="s">
        <v>2577</v>
      </c>
      <c r="D191" s="3">
        <f t="shared" si="12"/>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WayshrineInfo'!$K$3:$N$9971,4,FALSE),"")))</f>
        <v>Hew's Bane</v>
      </c>
      <c r="T191" s="19" t="str">
        <f>IF(AND(S191&lt;&gt;"",NOT(ISERROR(S191))),S191,IF(Q191&lt;&gt;"",IF(NOT(ISERROR(VLOOKUP(Q191,'ESO Dungeon constants'!$D$3:$H$9999,5,FALSE))),VLOOKUP(Q191,'ESO Dungeon constants'!$D$3:$I$9999,6,FALSE),VLOOKUP(Q191,'ESO zone constants'!$H$3:$K$9989,4,FALSE)),""))</f>
        <v>DLC_STONETHORN</v>
      </c>
      <c r="U191" s="3" t="str">
        <f>IF(T191&lt;&gt;"",VLOOKUP(T191,'LibSets constants'!$B$4:$C$1017,2,FALSE),"")</f>
        <v>Stonethorn</v>
      </c>
      <c r="V191" s="33" t="s">
        <v>1551</v>
      </c>
      <c r="Y191" s="61"/>
      <c r="Z191" s="3">
        <f>IF(AND(G191&lt;&gt;"LIBSETS_SETTYPE_BATTLEGROUND",G191&lt;&gt;"LIBSETS_SETTYPE_SPECIAL"),
IF(AND(Y191&lt;&gt;"",ISNUMBER(Y191),NOT(ISNA(Y191))),Y191,
   IF(AND(L191&lt;&gt;"",ISNUMBER(L191),L191&gt;0,NOT(ISNA(L191))),VLOOKUP(L191,'ESO dumped WayshrineInfo'!$K$3:$L$9971,2,FALSE),"")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WayshrineInfo'!$K$3:$L$9971,2,FALSE),"")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 t="shared" si="13"/>
        <v>[228] = {wayshrines={255,255,255,}, dlcId=DLC_STONETHORN</v>
      </c>
      <c r="BF191" s="21" t="str">
        <f t="shared" si="14"/>
        <v>, zoneIds={816,816,816}, veteran=false</v>
      </c>
      <c r="BG191" s="21" t="str">
        <f t="shared" si="15"/>
        <v>, setType=LIBSETS_SETTYPE_OVERLAND</v>
      </c>
      <c r="BH191" s="21" t="str">
        <f t="shared" si="16"/>
        <v>, isProcSetAllowedInPvP=1, dropMechanic={LIBSETS_DROP_MECHANIC_OVERLAND_BOSS_DELVE,LIBSETS_DROP_MECHANIC_OVERLAND_WORLDBOSS,LIBSETS_DROP_MECHANIC_OVERLAND_CHEST}</v>
      </c>
      <c r="BI191" s="21" t="str">
        <f t="shared" si="17"/>
        <v>}, --Syvarra\'s Scales / Syvarras Schuppen   [Hew's Bane, Hew's Bane, Hew's Bane]</v>
      </c>
    </row>
    <row r="192" spans="1:61" x14ac:dyDescent="0.25">
      <c r="A192" s="12">
        <v>229</v>
      </c>
      <c r="B192" t="s">
        <v>1026</v>
      </c>
      <c r="C192" t="s">
        <v>1027</v>
      </c>
      <c r="D192" s="3">
        <f t="shared" si="12"/>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WayshrineInfo'!$K$3:$N$9971,4,FALSE),"")))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WayshrineInfo'!$K$3:$L$9971,2,FALSE),"")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WayshrineInfo'!$K$3:$L$9971,2,FALSE),"")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 t="shared" si="13"/>
        <v>[229] = {wayshrines={258,258,258,}, dlcId=DLC_THIEVES_GUILD</v>
      </c>
      <c r="BF192" s="21" t="str">
        <f t="shared" si="14"/>
        <v>, zoneIds={725,725,725}, veteran=false</v>
      </c>
      <c r="BG192" s="21" t="str">
        <f t="shared" si="15"/>
        <v>, setType=LIBSETS_SETTYPE_TRIAL</v>
      </c>
      <c r="BH192" s="21" t="str">
        <f t="shared" si="16"/>
        <v>, dropMechanic={LIBSETS_DROP_MECHANIC_TRIAL_BOSS,LIBSETS_DROP_MECHANIC_TRIAL_BOSS,LIBSETS_DROP_MECHANIC_TRIAL_BOSS}</v>
      </c>
      <c r="BI192" s="21" t="str">
        <f t="shared" si="17"/>
        <v>}, --Twilight Remedy / Zwielichtgenesung   [Maw of Lorkhaj, Maw of Lorkhaj, Maw of Lorkhaj]</v>
      </c>
    </row>
    <row r="193" spans="1:61" x14ac:dyDescent="0.25">
      <c r="A193" s="12">
        <v>230</v>
      </c>
      <c r="B193" t="s">
        <v>1028</v>
      </c>
      <c r="C193" t="s">
        <v>1029</v>
      </c>
      <c r="D193" s="3">
        <f t="shared" si="12"/>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WayshrineInfo'!$K$3:$N$9971,4,FALSE),"")))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WayshrineInfo'!$K$3:$L$9971,2,FALSE),"")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WayshrineInfo'!$K$3:$L$9971,2,FALSE),"")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 t="shared" si="13"/>
        <v>[230] = {wayshrines={258,258,258,}, dlcId=DLC_THIEVES_GUILD</v>
      </c>
      <c r="BF193" s="21" t="str">
        <f t="shared" si="14"/>
        <v>, zoneIds={725,725,725}, veteran=false</v>
      </c>
      <c r="BG193" s="21" t="str">
        <f t="shared" si="15"/>
        <v>, setType=LIBSETS_SETTYPE_TRIAL</v>
      </c>
      <c r="BH193" s="21" t="str">
        <f t="shared" si="16"/>
        <v>, dropMechanic={LIBSETS_DROP_MECHANIC_TRIAL_BOSS,LIBSETS_DROP_MECHANIC_TRIAL_BOSS,LIBSETS_DROP_MECHANIC_TRIAL_BOSS}</v>
      </c>
      <c r="BI193" s="21" t="str">
        <f t="shared" si="17"/>
        <v>}, --Moondancer / Mondtänzer   [Maw of Lorkhaj, Maw of Lorkhaj, Maw of Lorkhaj]</v>
      </c>
    </row>
    <row r="194" spans="1:61" x14ac:dyDescent="0.25">
      <c r="A194" s="12">
        <v>231</v>
      </c>
      <c r="B194" t="s">
        <v>1030</v>
      </c>
      <c r="C194" t="s">
        <v>1031</v>
      </c>
      <c r="D194" s="3">
        <f t="shared" si="12"/>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WayshrineInfo'!$K$3:$N$9971,4,FALSE),"")))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WayshrineInfo'!$K$3:$L$9971,2,FALSE),"")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WayshrineInfo'!$K$3:$L$9971,2,FALSE),"")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 t="shared" si="13"/>
        <v>[231] = {wayshrines={258,258,258,}, dlcId=DLC_THIEVES_GUILD</v>
      </c>
      <c r="BF194" s="21" t="str">
        <f t="shared" si="14"/>
        <v>, zoneIds={725,725,725}, veteran=false</v>
      </c>
      <c r="BG194" s="21" t="str">
        <f t="shared" si="15"/>
        <v>, setType=LIBSETS_SETTYPE_TRIAL</v>
      </c>
      <c r="BH194" s="21" t="str">
        <f t="shared" si="16"/>
        <v>, dropMechanic={LIBSETS_DROP_MECHANIC_TRIAL_BOSS,LIBSETS_DROP_MECHANIC_TRIAL_BOSS,LIBSETS_DROP_MECHANIC_TRIAL_BOSS}</v>
      </c>
      <c r="BI194" s="21" t="str">
        <f t="shared" si="17"/>
        <v>}, --Lunar Bastion / Mondbastion   [Maw of Lorkhaj, Maw of Lorkhaj, Maw of Lorkhaj]</v>
      </c>
    </row>
    <row r="195" spans="1:61" x14ac:dyDescent="0.25">
      <c r="A195" s="12">
        <v>232</v>
      </c>
      <c r="B195" t="s">
        <v>1032</v>
      </c>
      <c r="C195" t="s">
        <v>1033</v>
      </c>
      <c r="D195" s="3">
        <f t="shared" ref="D195:D258" si="18">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WayshrineInfo'!$K$3:$N$9971,4,FALSE),"")))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WayshrineInfo'!$K$3:$L$9971,2,FALSE),"")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WayshrineInfo'!$K$3:$L$9971,2,FALSE),"")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 t="shared" ref="BG195:BG258" si="21">IF(A195&lt;&gt;"",IF(F195&lt;&gt;"Not in the game (anymore)",IF(A195&lt;&gt;"",", setType="&amp;G195,"")&amp;IF(G195="LIBSETS_SETTYPE_CLASS",", classId="&amp;BC195,"")&amp;IF(J195="true",", multiTrialSet=true",""),"")
&amp; IF(AND(H195&lt;&gt;"",ISNUMBER(H195)),", undauntedChestId=" &amp; H195,""),"")</f>
        <v>, setType=LIBSETS_SETTYPE_TRIAL</v>
      </c>
      <c r="BH195" s="21" t="str">
        <f t="shared" ref="BH195:BH258" si="22">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 t="shared" ref="BI195:BI258" si="23">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 t="shared" si="18"/>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WayshrineInfo'!$K$3:$N$9971,4,FALSE),"")))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WayshrineInfo'!$K$3:$L$9971,2,FALSE),"")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WayshrineInfo'!$K$3:$L$9971,2,FALSE),"")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 t="shared" si="19"/>
        <v>[234] = {wayshrines={-1,-1,-1,}, dlcId=DLC_BASE_GAME</v>
      </c>
      <c r="BF196" s="21" t="str">
        <f t="shared" si="20"/>
        <v>, zoneIds={181,181,181,181,181,181}, veteran=false</v>
      </c>
      <c r="BG196" s="21" t="str">
        <f t="shared" si="21"/>
        <v>, setType=LIBSETS_SETTYPE_CYRODIIL</v>
      </c>
      <c r="BH196"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si="23"/>
        <v>}, --Marksman\'s Crest / Wappen des Meisterschützen   [Cyrodiil, Cyrodiil, Cyrodiil, Cyrodiil, Cyrodiil, Cyrodiil]</v>
      </c>
    </row>
    <row r="197" spans="1:61" x14ac:dyDescent="0.25">
      <c r="A197" s="12">
        <v>235</v>
      </c>
      <c r="B197" t="s">
        <v>1035</v>
      </c>
      <c r="C197" t="s">
        <v>1036</v>
      </c>
      <c r="D197" s="3">
        <f t="shared" si="18"/>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WayshrineInfo'!$K$3:$N$9971,4,FALSE),"")))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WayshrineInfo'!$K$3:$L$9971,2,FALSE),"")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WayshrineInfo'!$K$3:$L$9971,2,FALSE),"")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 t="shared" si="19"/>
        <v>[235] = {wayshrines={-1,-1,-1,}, dlcId=DLC_BASE_GAME</v>
      </c>
      <c r="BF197" s="21" t="str">
        <f t="shared" si="20"/>
        <v>, zoneIds={181,181,181,181,181,181}, veteran=false</v>
      </c>
      <c r="BG197" s="21" t="str">
        <f t="shared" si="21"/>
        <v>, setType=LIBSETS_SETTYPE_CYRODIIL</v>
      </c>
      <c r="BH197"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3"/>
        <v>}, --Robes of Transmutation / Roben der Transmutation   [Cyrodiil, Cyrodiil, Cyrodiil, Cyrodiil, Cyrodiil, Cyrodiil]</v>
      </c>
    </row>
    <row r="198" spans="1:61" x14ac:dyDescent="0.25">
      <c r="A198" s="12">
        <v>236</v>
      </c>
      <c r="B198" t="s">
        <v>1037</v>
      </c>
      <c r="C198" t="s">
        <v>1038</v>
      </c>
      <c r="D198" s="3">
        <f t="shared" si="18"/>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WayshrineInfo'!$K$3:$N$9971,4,FALSE),"")))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WayshrineInfo'!$K$3:$L$9971,2,FALSE),"")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WayshrineInfo'!$K$3:$L$9971,2,FALSE),"")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 t="shared" si="19"/>
        <v>[236] = {wayshrines={-1,-1,-1,}, dlcId=DLC_BASE_GAME</v>
      </c>
      <c r="BF198" s="21" t="str">
        <f t="shared" si="20"/>
        <v>, zoneIds={181,181,181,181,181,181}, veteran=false</v>
      </c>
      <c r="BG198" s="21" t="str">
        <f t="shared" si="21"/>
        <v>, setType=LIBSETS_SETTYPE_CYRODIIL</v>
      </c>
      <c r="BH198" s="21"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3"/>
        <v>}, --Vicious Death / Grausamer Tod   [Cyrodiil, Cyrodiil, Cyrodiil, Cyrodiil, Cyrodiil, Cyrodiil]</v>
      </c>
    </row>
    <row r="199" spans="1:61" x14ac:dyDescent="0.25">
      <c r="A199" s="12">
        <v>237</v>
      </c>
      <c r="B199" t="s">
        <v>1039</v>
      </c>
      <c r="C199" t="s">
        <v>2579</v>
      </c>
      <c r="D199" s="3">
        <f t="shared" si="18"/>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WayshrineInfo'!$K$3:$N$9971,4,FALSE),"")))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WayshrineInfo'!$K$3:$L$9971,2,FALSE),"")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WayshrineInfo'!$K$3:$L$9971,2,FALSE),"")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 t="shared" si="19"/>
        <v>[237] = {wayshrines={-1,-1,-1,}, dlcId=DLC_BASE_GAME</v>
      </c>
      <c r="BF199" s="21" t="str">
        <f t="shared" si="20"/>
        <v>, zoneIds={181,181,181,181,181,181}, veteran=false</v>
      </c>
      <c r="BG199" s="21" t="str">
        <f t="shared" si="21"/>
        <v>, setType=LIBSETS_SETTYPE_CYRODIIL</v>
      </c>
      <c r="BH199"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3"/>
        <v>}, --Leki\'s Focus / Lekis Fokus   [Cyrodiil, Cyrodiil, Cyrodiil, Cyrodiil, Cyrodiil, Cyrodiil]</v>
      </c>
    </row>
    <row r="200" spans="1:61" x14ac:dyDescent="0.25">
      <c r="A200" s="12">
        <v>238</v>
      </c>
      <c r="B200" t="s">
        <v>1040</v>
      </c>
      <c r="C200" t="s">
        <v>2580</v>
      </c>
      <c r="D200" s="3">
        <f t="shared" si="18"/>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WayshrineInfo'!$K$3:$N$9971,4,FALSE),"")))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WayshrineInfo'!$K$3:$L$9971,2,FALSE),"")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WayshrineInfo'!$K$3:$L$9971,2,FALSE),"")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 t="shared" si="19"/>
        <v>[238] = {wayshrines={-1,-1,-1,}, dlcId=DLC_BASE_GAME</v>
      </c>
      <c r="BF200" s="21" t="str">
        <f t="shared" si="20"/>
        <v>, zoneIds={181,181,181,181,181,181}, veteran=false</v>
      </c>
      <c r="BG200" s="21" t="str">
        <f t="shared" si="21"/>
        <v>, setType=LIBSETS_SETTYPE_CYRODIIL</v>
      </c>
      <c r="BH200"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3"/>
        <v>}, --Fasalla\'s Guile / Fasallas List   [Cyrodiil, Cyrodiil, Cyrodiil, Cyrodiil, Cyrodiil, Cyrodiil]</v>
      </c>
    </row>
    <row r="201" spans="1:61" x14ac:dyDescent="0.25">
      <c r="A201" s="12">
        <v>239</v>
      </c>
      <c r="B201" t="s">
        <v>1041</v>
      </c>
      <c r="C201" t="s">
        <v>2581</v>
      </c>
      <c r="D201" s="3">
        <f t="shared" si="18"/>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WayshrineInfo'!$K$3:$N$9971,4,FALSE),"")))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WayshrineInfo'!$K$3:$L$9971,2,FALSE),"")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WayshrineInfo'!$K$3:$L$9971,2,FALSE),"")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 t="shared" si="19"/>
        <v>[239] = {wayshrines={-1,-1,-1,}, dlcId=DLC_BASE_GAME</v>
      </c>
      <c r="BF201" s="21" t="str">
        <f t="shared" si="20"/>
        <v>, zoneIds={181,181,181,181,181,181}, veteran=false</v>
      </c>
      <c r="BG201" s="21" t="str">
        <f t="shared" si="21"/>
        <v>, setType=LIBSETS_SETTYPE_CYRODIIL</v>
      </c>
      <c r="BH201"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3"/>
        <v>}, --Warrior\'s Fury / Raserei des Kriegers   [Cyrodiil, Cyrodiil, Cyrodiil, Cyrodiil, Cyrodiil, Cyrodiil]</v>
      </c>
    </row>
    <row r="202" spans="1:61" x14ac:dyDescent="0.25">
      <c r="A202" s="5">
        <v>240</v>
      </c>
      <c r="B202" t="s">
        <v>1042</v>
      </c>
      <c r="C202" t="s">
        <v>1043</v>
      </c>
      <c r="D202" s="3">
        <f t="shared" si="18"/>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WayshrineInfo'!$K$3:$N$9971,4,FALSE),"")))</f>
        <v>Gold Coast</v>
      </c>
      <c r="T202" s="19" t="str">
        <f>IF(AND(S202&lt;&gt;"",NOT(ISERROR(S202))),S202,IF(Q202&lt;&gt;"",IF(NOT(ISERROR(VLOOKUP(Q202,'ESO Dungeon constants'!$D$3:$H$9999,5,FALSE))),VLOOKUP(Q202,'ESO Dungeon constants'!$D$3:$I$9999,6,FALSE),VLOOKUP(Q202,'ESO zone constants'!$H$3:$K$9989,4,FALSE)),""))</f>
        <v>DLC_MARKARTH</v>
      </c>
      <c r="U202" s="3" t="str">
        <f>IF(T202&lt;&gt;"",VLOOKUP(T202,'LibSets constants'!$B$4:$C$1017,2,FALSE),"")</f>
        <v>Markarth</v>
      </c>
      <c r="V202" s="33" t="s">
        <v>3276</v>
      </c>
      <c r="Y202" s="61"/>
      <c r="Z202" s="3">
        <f>IF(AND(G202&lt;&gt;"LIBSETS_SETTYPE_BATTLEGROUND",G202&lt;&gt;"LIBSETS_SETTYPE_SPECIAL"),
IF(AND(Y202&lt;&gt;"",ISNUMBER(Y202),NOT(ISNA(Y202))),Y202,
   IF(AND(L202&lt;&gt;"",ISNUMBER(L202),L202&gt;0,NOT(ISNA(L202))),VLOOKUP(L202,'ESO dumped WayshrineInfo'!$K$3:$L$9971,2,FALSE),"")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WayshrineInfo'!$K$3:$L$9971,2,FALSE),"")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 t="shared" si="19"/>
        <v>[240] = {wayshrines={254,254,254,}, traitsNeeded=5, dlcId=DLC_MARKARTH</v>
      </c>
      <c r="BF202" s="21" t="str">
        <f t="shared" si="20"/>
        <v>, zoneIds={823,823,823}, veteran=false</v>
      </c>
      <c r="BG202" s="21" t="str">
        <f t="shared" si="21"/>
        <v>, setType=LIBSETS_SETTYPE_CRAFTED</v>
      </c>
      <c r="BH202" s="21" t="str">
        <f t="shared" si="22"/>
        <v>, isProcSetAllowedInPvP=1, dropMechanic={LIBSETS_DROP_MECHANIC_CRAFTED,LIBSETS_DROP_MECHANIC_CRAFTED}</v>
      </c>
      <c r="BI202" s="21" t="str">
        <f t="shared" si="23"/>
        <v>}, --Kvatch Gladiator / Gladiator von Kvatch   [Gold Coast, Gold Coast, Gold Coast]</v>
      </c>
    </row>
    <row r="203" spans="1:61" x14ac:dyDescent="0.25">
      <c r="A203" s="5">
        <v>241</v>
      </c>
      <c r="B203" t="s">
        <v>1044</v>
      </c>
      <c r="C203" t="s">
        <v>2582</v>
      </c>
      <c r="D203" s="3">
        <f t="shared" si="18"/>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WayshrineInfo'!$K$3:$N$9971,4,FALSE),"")))</f>
        <v>Gold Coast</v>
      </c>
      <c r="T203" s="19" t="str">
        <f>IF(AND(S203&lt;&gt;"",NOT(ISERROR(S203))),S203,IF(Q203&lt;&gt;"",IF(NOT(ISERROR(VLOOKUP(Q203,'ESO Dungeon constants'!$D$3:$H$9999,5,FALSE))),VLOOKUP(Q203,'ESO Dungeon constants'!$D$3:$I$9999,6,FALSE),VLOOKUP(Q203,'ESO zone constants'!$H$3:$K$9989,4,FALSE)),""))</f>
        <v>DLC_MARKARTH</v>
      </c>
      <c r="U203" s="3" t="str">
        <f>IF(T203&lt;&gt;"",VLOOKUP(T203,'LibSets constants'!$B$4:$C$1017,2,FALSE),"")</f>
        <v>Markarth</v>
      </c>
      <c r="V203" s="33" t="s">
        <v>3276</v>
      </c>
      <c r="Y203" s="61"/>
      <c r="Z203" s="3">
        <f>IF(AND(G203&lt;&gt;"LIBSETS_SETTYPE_BATTLEGROUND",G203&lt;&gt;"LIBSETS_SETTYPE_SPECIAL"),
IF(AND(Y203&lt;&gt;"",ISNUMBER(Y203),NOT(ISNA(Y203))),Y203,
   IF(AND(L203&lt;&gt;"",ISNUMBER(L203),L203&gt;0,NOT(ISNA(L203))),VLOOKUP(L203,'ESO dumped WayshrineInfo'!$K$3:$L$9971,2,FALSE),"")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WayshrineInfo'!$K$3:$L$9971,2,FALSE),"")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 t="shared" si="19"/>
        <v>[241] = {wayshrines={251,251,251,}, traitsNeeded=7, dlcId=DLC_MARKARTH</v>
      </c>
      <c r="BF203" s="21" t="str">
        <f t="shared" si="20"/>
        <v>, zoneIds={823,823,823}, veteran=false</v>
      </c>
      <c r="BG203" s="21" t="str">
        <f t="shared" si="21"/>
        <v>, setType=LIBSETS_SETTYPE_CRAFTED</v>
      </c>
      <c r="BH203" s="21" t="str">
        <f t="shared" si="22"/>
        <v>, dropMechanic={LIBSETS_DROP_MECHANIC_CRAFTED,LIBSETS_DROP_MECHANIC_CRAFTED}</v>
      </c>
      <c r="BI203" s="21" t="str">
        <f t="shared" si="23"/>
        <v>}, --Varen\'s Legacy / Varens Erbe   [Gold Coast, Gold Coast, Gold Coast]</v>
      </c>
    </row>
    <row r="204" spans="1:61" x14ac:dyDescent="0.25">
      <c r="A204" s="5">
        <v>242</v>
      </c>
      <c r="B204" t="s">
        <v>1045</v>
      </c>
      <c r="C204" t="s">
        <v>2583</v>
      </c>
      <c r="D204" s="3">
        <f t="shared" si="18"/>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WayshrineInfo'!$K$3:$N$9971,4,FALSE),"")))</f>
        <v>Gold Coast</v>
      </c>
      <c r="T204" s="19" t="str">
        <f>IF(AND(S204&lt;&gt;"",NOT(ISERROR(S204))),S204,IF(Q204&lt;&gt;"",IF(NOT(ISERROR(VLOOKUP(Q204,'ESO Dungeon constants'!$D$3:$H$9999,5,FALSE))),VLOOKUP(Q204,'ESO Dungeon constants'!$D$3:$I$9999,6,FALSE),VLOOKUP(Q204,'ESO zone constants'!$H$3:$K$9989,4,FALSE)),""))</f>
        <v>DLC_MARKARTH</v>
      </c>
      <c r="U204" s="3" t="str">
        <f>IF(T204&lt;&gt;"",VLOOKUP(T204,'LibSets constants'!$B$4:$C$1017,2,FALSE),"")</f>
        <v>Markarth</v>
      </c>
      <c r="V204" s="33" t="s">
        <v>3276</v>
      </c>
      <c r="Y204" s="61"/>
      <c r="Z204" s="3">
        <f>IF(AND(G204&lt;&gt;"LIBSETS_SETTYPE_BATTLEGROUND",G204&lt;&gt;"LIBSETS_SETTYPE_SPECIAL"),
IF(AND(Y204&lt;&gt;"",ISNUMBER(Y204),NOT(ISNA(Y204))),Y204,
   IF(AND(L204&lt;&gt;"",ISNUMBER(L204),L204&gt;0,NOT(ISNA(L204))),VLOOKUP(L204,'ESO dumped WayshrineInfo'!$K$3:$L$9971,2,FALSE),"")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WayshrineInfo'!$K$3:$L$9971,2,FALSE),"")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 t="shared" si="19"/>
        <v>[242] = {wayshrines={254,254,254,}, traitsNeeded=9, dlcId=DLC_MARKARTH</v>
      </c>
      <c r="BF204" s="21" t="str">
        <f t="shared" si="20"/>
        <v>, zoneIds={823,823,823}, veteran=false</v>
      </c>
      <c r="BG204" s="21" t="str">
        <f t="shared" si="21"/>
        <v>, setType=LIBSETS_SETTYPE_CRAFTED</v>
      </c>
      <c r="BH204" s="21" t="str">
        <f t="shared" si="22"/>
        <v>, dropMechanic={LIBSETS_DROP_MECHANIC_CRAFTED,LIBSETS_DROP_MECHANIC_CRAFTED}</v>
      </c>
      <c r="BI204" s="21" t="str">
        <f t="shared" si="23"/>
        <v>}, --Pelinal\'s Aptitude / Pelinals Talent   [Gold Coast, Gold Coast, Gold Coast]</v>
      </c>
    </row>
    <row r="205" spans="1:61" x14ac:dyDescent="0.25">
      <c r="A205" s="12">
        <v>243</v>
      </c>
      <c r="B205" t="s">
        <v>1046</v>
      </c>
      <c r="C205" t="s">
        <v>1047</v>
      </c>
      <c r="D205" s="3">
        <f t="shared" si="18"/>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WayshrineInfo'!$K$3:$N$9971,4,FALSE),"")))</f>
        <v>Gold Coast</v>
      </c>
      <c r="T205" s="19" t="str">
        <f>IF(AND(S205&lt;&gt;"",NOT(ISERROR(S205))),S205,IF(Q205&lt;&gt;"",IF(NOT(ISERROR(VLOOKUP(Q205,'ESO Dungeon constants'!$D$3:$H$9999,5,FALSE))),VLOOKUP(Q205,'ESO Dungeon constants'!$D$3:$I$9999,6,FALSE),VLOOKUP(Q205,'ESO zone constants'!$H$3:$K$9989,4,FALSE)),""))</f>
        <v>DLC_MARKARTH</v>
      </c>
      <c r="U205" s="3" t="str">
        <f>IF(T205&lt;&gt;"",VLOOKUP(T205,'LibSets constants'!$B$4:$C$1017,2,FALSE),"")</f>
        <v>Markarth</v>
      </c>
      <c r="V205" s="33" t="s">
        <v>1551</v>
      </c>
      <c r="Y205" s="61"/>
      <c r="Z205" s="3">
        <f>IF(AND(G205&lt;&gt;"LIBSETS_SETTYPE_BATTLEGROUND",G205&lt;&gt;"LIBSETS_SETTYPE_SPECIAL"),
IF(AND(Y205&lt;&gt;"",ISNUMBER(Y205),NOT(ISNA(Y205))),Y205,
   IF(AND(L205&lt;&gt;"",ISNUMBER(L205),L205&gt;0,NOT(ISNA(L205))),VLOOKUP(L205,'ESO dumped WayshrineInfo'!$K$3:$L$9971,2,FALSE),"")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WayshrineInfo'!$K$3:$L$9971,2,FALSE),"")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 t="shared" si="19"/>
        <v>[243] = {wayshrines={254,254,254,}, dlcId=DLC_MARKARTH</v>
      </c>
      <c r="BF205" s="21" t="str">
        <f t="shared" si="20"/>
        <v>, zoneIds={823,823,823}, veteran=false</v>
      </c>
      <c r="BG205" s="21" t="str">
        <f t="shared" si="21"/>
        <v>, setType=LIBSETS_SETTYPE_OVERLAND</v>
      </c>
      <c r="BH205" s="21" t="str">
        <f t="shared" si="22"/>
        <v>, dropMechanic={LIBSETS_DROP_MECHANIC_OVERLAND_BOSS_DELVE,LIBSETS_DROP_MECHANIC_OVERLAND_WORLDBOSS,LIBSETS_DROP_MECHANIC_OVERLAND_CHEST}</v>
      </c>
      <c r="BI205" s="21" t="str">
        <f t="shared" si="23"/>
        <v>}, --Hide of Morihaus / Haut von Morihaus   [Gold Coast, Gold Coast, Gold Coast]</v>
      </c>
    </row>
    <row r="206" spans="1:61" x14ac:dyDescent="0.25">
      <c r="A206" s="12">
        <v>244</v>
      </c>
      <c r="B206" t="s">
        <v>1048</v>
      </c>
      <c r="C206" t="s">
        <v>1049</v>
      </c>
      <c r="D206" s="3">
        <f t="shared" si="18"/>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WayshrineInfo'!$K$3:$N$9971,4,FALSE),"")))</f>
        <v>Gold Coast</v>
      </c>
      <c r="T206" s="19" t="str">
        <f>IF(AND(S206&lt;&gt;"",NOT(ISERROR(S206))),S206,IF(Q206&lt;&gt;"",IF(NOT(ISERROR(VLOOKUP(Q206,'ESO Dungeon constants'!$D$3:$H$9999,5,FALSE))),VLOOKUP(Q206,'ESO Dungeon constants'!$D$3:$I$9999,6,FALSE),VLOOKUP(Q206,'ESO zone constants'!$H$3:$K$9989,4,FALSE)),""))</f>
        <v>DLC_MARKARTH</v>
      </c>
      <c r="U206" s="3" t="str">
        <f>IF(T206&lt;&gt;"",VLOOKUP(T206,'LibSets constants'!$B$4:$C$1017,2,FALSE),"")</f>
        <v>Markarth</v>
      </c>
      <c r="V206" s="33" t="s">
        <v>1551</v>
      </c>
      <c r="Y206" s="61"/>
      <c r="Z206" s="3">
        <f>IF(AND(G206&lt;&gt;"LIBSETS_SETTYPE_BATTLEGROUND",G206&lt;&gt;"LIBSETS_SETTYPE_SPECIAL"),
IF(AND(Y206&lt;&gt;"",ISNUMBER(Y206),NOT(ISNA(Y206))),Y206,
   IF(AND(L206&lt;&gt;"",ISNUMBER(L206),L206&gt;0,NOT(ISNA(L206))),VLOOKUP(L206,'ESO dumped WayshrineInfo'!$K$3:$L$9971,2,FALSE),"")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WayshrineInfo'!$K$3:$L$9971,2,FALSE),"")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 t="shared" si="19"/>
        <v>[244] = {wayshrines={254,254,254,}, dlcId=DLC_MARKARTH</v>
      </c>
      <c r="BF206" s="21" t="str">
        <f t="shared" si="20"/>
        <v>, zoneIds={823,823,823}, veteran=false</v>
      </c>
      <c r="BG206" s="21" t="str">
        <f t="shared" si="21"/>
        <v>, setType=LIBSETS_SETTYPE_OVERLAND</v>
      </c>
      <c r="BH206" s="21" t="str">
        <f t="shared" si="22"/>
        <v>, isProcSetAllowedInPvP=1, dropMechanic={LIBSETS_DROP_MECHANIC_OVERLAND_BOSS_DELVE,LIBSETS_DROP_MECHANIC_OVERLAND_WORLDBOSS,LIBSETS_DROP_MECHANIC_OVERLAND_CHEST}</v>
      </c>
      <c r="BI206" s="21" t="str">
        <f t="shared" si="23"/>
        <v>}, --Flanking Strategist / Flankierender Stratege   [Gold Coast, Gold Coast, Gold Coast]</v>
      </c>
    </row>
    <row r="207" spans="1:61" x14ac:dyDescent="0.25">
      <c r="A207" s="12">
        <v>245</v>
      </c>
      <c r="B207" t="s">
        <v>1050</v>
      </c>
      <c r="C207" t="s">
        <v>2584</v>
      </c>
      <c r="D207" s="3">
        <f t="shared" si="18"/>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WayshrineInfo'!$K$3:$N$9971,4,FALSE),"")))</f>
        <v>Gold Coast</v>
      </c>
      <c r="T207" s="19" t="str">
        <f>IF(AND(S207&lt;&gt;"",NOT(ISERROR(S207))),S207,IF(Q207&lt;&gt;"",IF(NOT(ISERROR(VLOOKUP(Q207,'ESO Dungeon constants'!$D$3:$H$9999,5,FALSE))),VLOOKUP(Q207,'ESO Dungeon constants'!$D$3:$I$9999,6,FALSE),VLOOKUP(Q207,'ESO zone constants'!$H$3:$K$9989,4,FALSE)),""))</f>
        <v>DLC_MARKARTH</v>
      </c>
      <c r="U207" s="3" t="str">
        <f>IF(T207&lt;&gt;"",VLOOKUP(T207,'LibSets constants'!$B$4:$C$1017,2,FALSE),"")</f>
        <v>Markarth</v>
      </c>
      <c r="V207" s="33" t="s">
        <v>1551</v>
      </c>
      <c r="Y207" s="61"/>
      <c r="Z207" s="3">
        <f>IF(AND(G207&lt;&gt;"LIBSETS_SETTYPE_BATTLEGROUND",G207&lt;&gt;"LIBSETS_SETTYPE_SPECIAL"),
IF(AND(Y207&lt;&gt;"",ISNUMBER(Y207),NOT(ISNA(Y207))),Y207,
   IF(AND(L207&lt;&gt;"",ISNUMBER(L207),L207&gt;0,NOT(ISNA(L207))),VLOOKUP(L207,'ESO dumped WayshrineInfo'!$K$3:$L$9971,2,FALSE),"")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WayshrineInfo'!$K$3:$L$9971,2,FALSE),"")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 t="shared" si="19"/>
        <v>[245] = {wayshrines={254,254,254,}, dlcId=DLC_MARKARTH</v>
      </c>
      <c r="BF207" s="21" t="str">
        <f t="shared" si="20"/>
        <v>, zoneIds={823,823,823,823}, veteran=false</v>
      </c>
      <c r="BG207" s="21" t="str">
        <f t="shared" si="21"/>
        <v>, setType=LIBSETS_SETTYPE_OVERLAND</v>
      </c>
      <c r="BH207" s="21" t="str">
        <f t="shared" si="22"/>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3"/>
        <v>}, --Sithis\' Touch / Sithis' Berührung   [Gold Coast, Gold Coast, Gold Coast, Gold Coast]</v>
      </c>
    </row>
    <row r="208" spans="1:61" x14ac:dyDescent="0.25">
      <c r="A208" s="12">
        <v>246</v>
      </c>
      <c r="B208" t="s">
        <v>1051</v>
      </c>
      <c r="C208" t="s">
        <v>2585</v>
      </c>
      <c r="D208" s="3">
        <f t="shared" si="18"/>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WayshrineInfo'!$K$3:$N$9971,4,FALSE),"")))</f>
        <v>Imperial Sewers</v>
      </c>
      <c r="T208" s="19" t="str">
        <f>IF(AND(S208&lt;&gt;"",NOT(ISERROR(S208))),S208,IF(Q208&lt;&gt;"",IF(NOT(ISERROR(VLOOKUP(Q208,'ESO Dungeon constants'!$D$3:$H$9999,5,FALSE))),VLOOKUP(Q208,'ESO Dungeon constants'!$D$3:$I$9999,6,FALSE),VLOOKUP(Q208,'ESO zone constants'!$H$3:$K$9989,4,FALSE)),""))</f>
        <v>DLC_IMPERIAL_CITY</v>
      </c>
      <c r="U208" s="3" t="str">
        <f>IF(T208&lt;&gt;"",VLOOKUP(T208,'LibSets constants'!$B$4:$C$1017,2,FALSE),"")</f>
        <v>Imperial City</v>
      </c>
      <c r="V208" s="33" t="s">
        <v>2752</v>
      </c>
      <c r="Y208" s="61">
        <v>584</v>
      </c>
      <c r="Z208" s="3">
        <f>IF(AND(G208&lt;&gt;"LIBSETS_SETTYPE_BATTLEGROUND",G208&lt;&gt;"LIBSETS_SETTYPE_SPECIAL"),
IF(AND(Y208&lt;&gt;"",ISNUMBER(Y208),NOT(ISNA(Y208))),Y208,
   IF(AND(L208&lt;&gt;"",ISNUMBER(L208),L208&gt;0,NOT(ISNA(L208))),VLOOKUP(L208,'ESO dumped WayshrineInfo'!$K$3:$L$9971,2,FALSE),"")
),"")</f>
        <v>584</v>
      </c>
      <c r="AA208" t="str">
        <f>IF(AND(Z208&lt;&gt;"",ISNUMBER(Z208),NOT(ISNA(Z208))),VLOOKUP(Z208,'ESO zone constants'!$A$5:$D$10001,4,FALSE),"")</f>
        <v>Imperial City</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WayshrineInfo'!$K$3:$L$9971,2,FALSE),"")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 t="shared" si="19"/>
        <v>[246] = {wayshrines={-1,-1,-1,}, dlcId=DLC_IMPERIAL_CITY</v>
      </c>
      <c r="BF208" s="21" t="str">
        <f t="shared" si="20"/>
        <v>, zoneIds={643,584}, veteran=false</v>
      </c>
      <c r="BG208" s="21" t="str">
        <f t="shared" si="21"/>
        <v>, setType=LIBSETS_SETTYPE_IMPERIALCITY</v>
      </c>
      <c r="BH208" s="21" t="str">
        <f t="shared" si="22"/>
        <v>, dropMechanic={LIBSETS_DROP_MECHANIC_TELVAR_EQUIPMENT_LOCKBOX_MERCHANT,LIBSETS_DROP_MECHANIC_IMPERIAL_CITY_TREASURE_TROVE_SCAMP}</v>
      </c>
      <c r="BI208" s="21" t="str">
        <f t="shared" si="23"/>
        <v>}, --Galerion\'s Revenge / Galerions Revanche   [Imperial Sewers, Imperial City]</v>
      </c>
    </row>
    <row r="209" spans="1:61" x14ac:dyDescent="0.25">
      <c r="A209" s="12">
        <v>247</v>
      </c>
      <c r="B209" t="s">
        <v>1052</v>
      </c>
      <c r="C209" t="s">
        <v>1053</v>
      </c>
      <c r="D209" s="3">
        <f t="shared" si="18"/>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WayshrineInfo'!$K$3:$N$9971,4,FALSE),"")))</f>
        <v>Imperial Sewers</v>
      </c>
      <c r="T209" s="19" t="str">
        <f>IF(AND(S209&lt;&gt;"",NOT(ISERROR(S209))),S209,IF(Q209&lt;&gt;"",IF(NOT(ISERROR(VLOOKUP(Q209,'ESO Dungeon constants'!$D$3:$H$9999,5,FALSE))),VLOOKUP(Q209,'ESO Dungeon constants'!$D$3:$I$9999,6,FALSE),VLOOKUP(Q209,'ESO zone constants'!$H$3:$K$9989,4,FALSE)),""))</f>
        <v>DLC_IMPERIAL_CITY</v>
      </c>
      <c r="U209" s="3" t="str">
        <f>IF(T209&lt;&gt;"",VLOOKUP(T209,'LibSets constants'!$B$4:$C$1017,2,FALSE),"")</f>
        <v>Imperial City</v>
      </c>
      <c r="V209" s="33" t="s">
        <v>2752</v>
      </c>
      <c r="Y209" s="61">
        <v>584</v>
      </c>
      <c r="Z209" s="3">
        <f>IF(AND(G209&lt;&gt;"LIBSETS_SETTYPE_BATTLEGROUND",G209&lt;&gt;"LIBSETS_SETTYPE_SPECIAL"),
IF(AND(Y209&lt;&gt;"",ISNUMBER(Y209),NOT(ISNA(Y209))),Y209,
   IF(AND(L209&lt;&gt;"",ISNUMBER(L209),L209&gt;0,NOT(ISNA(L209))),VLOOKUP(L209,'ESO dumped WayshrineInfo'!$K$3:$L$9971,2,FALSE),"")
),"")</f>
        <v>584</v>
      </c>
      <c r="AA209" t="str">
        <f>IF(AND(Z209&lt;&gt;"",ISNUMBER(Z209),NOT(ISNA(Z209))),VLOOKUP(Z209,'ESO zone constants'!$A$5:$D$10001,4,FALSE),"")</f>
        <v>Imperial City</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WayshrineInfo'!$K$3:$L$9971,2,FALSE),"")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 t="shared" si="19"/>
        <v>[247] = {wayshrines={-1,-1,-1,}, dlcId=DLC_IMPERIAL_CITY</v>
      </c>
      <c r="BF209" s="21" t="str">
        <f t="shared" si="20"/>
        <v>, zoneIds={643,584}, veteran=false</v>
      </c>
      <c r="BG209" s="21" t="str">
        <f t="shared" si="21"/>
        <v>, setType=LIBSETS_SETTYPE_IMPERIALCITY</v>
      </c>
      <c r="BH209" s="21" t="str">
        <f t="shared" si="22"/>
        <v>, dropMechanic={LIBSETS_DROP_MECHANIC_TELVAR_EQUIPMENT_LOCKBOX_MERCHANT,LIBSETS_DROP_MECHANIC_IMPERIAL_CITY_TREASURE_TROVE_SCAMP}</v>
      </c>
      <c r="BI209" s="21" t="str">
        <f t="shared" si="23"/>
        <v>}, --Vicecanon of Venom / Vizekanoniker des Gifts   [Imperial Sewers, Imperial City]</v>
      </c>
    </row>
    <row r="210" spans="1:61" x14ac:dyDescent="0.25">
      <c r="A210" s="12">
        <v>248</v>
      </c>
      <c r="B210" t="s">
        <v>1054</v>
      </c>
      <c r="C210" t="s">
        <v>1055</v>
      </c>
      <c r="D210" s="3">
        <f t="shared" si="18"/>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WayshrineInfo'!$K$3:$N$9971,4,FALSE),"")))</f>
        <v>Imperial Sewers</v>
      </c>
      <c r="T210" s="19" t="str">
        <f>IF(AND(S210&lt;&gt;"",NOT(ISERROR(S210))),S210,IF(Q210&lt;&gt;"",IF(NOT(ISERROR(VLOOKUP(Q210,'ESO Dungeon constants'!$D$3:$H$9999,5,FALSE))),VLOOKUP(Q210,'ESO Dungeon constants'!$D$3:$I$9999,6,FALSE),VLOOKUP(Q210,'ESO zone constants'!$H$3:$K$9989,4,FALSE)),""))</f>
        <v>DLC_IMPERIAL_CITY</v>
      </c>
      <c r="U210" s="3" t="str">
        <f>IF(T210&lt;&gt;"",VLOOKUP(T210,'LibSets constants'!$B$4:$C$1017,2,FALSE),"")</f>
        <v>Imperial City</v>
      </c>
      <c r="V210" s="33" t="s">
        <v>2752</v>
      </c>
      <c r="Y210" s="61">
        <v>584</v>
      </c>
      <c r="Z210" s="3">
        <f>IF(AND(G210&lt;&gt;"LIBSETS_SETTYPE_BATTLEGROUND",G210&lt;&gt;"LIBSETS_SETTYPE_SPECIAL"),
IF(AND(Y210&lt;&gt;"",ISNUMBER(Y210),NOT(ISNA(Y210))),Y210,
   IF(AND(L210&lt;&gt;"",ISNUMBER(L210),L210&gt;0,NOT(ISNA(L210))),VLOOKUP(L210,'ESO dumped WayshrineInfo'!$K$3:$L$9971,2,FALSE),"")
),"")</f>
        <v>584</v>
      </c>
      <c r="AA210" t="str">
        <f>IF(AND(Z210&lt;&gt;"",ISNUMBER(Z210),NOT(ISNA(Z210))),VLOOKUP(Z210,'ESO zone constants'!$A$5:$D$10001,4,FALSE),"")</f>
        <v>Imperial City</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WayshrineInfo'!$K$3:$L$9971,2,FALSE),"")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 t="shared" si="19"/>
        <v>[248] = {wayshrines={-1,-1,-1,}, dlcId=DLC_IMPERIAL_CITY</v>
      </c>
      <c r="BF210" s="21" t="str">
        <f t="shared" si="20"/>
        <v>, zoneIds={643,584}, veteran=false</v>
      </c>
      <c r="BG210" s="21" t="str">
        <f t="shared" si="21"/>
        <v>, setType=LIBSETS_SETTYPE_IMPERIALCITY</v>
      </c>
      <c r="BH210" s="21" t="str">
        <f t="shared" si="22"/>
        <v>, dropMechanic={LIBSETS_DROP_MECHANIC_TELVAR_EQUIPMENT_LOCKBOX_MERCHANT,LIBSETS_DROP_MECHANIC_IMPERIAL_CITY_TREASURE_TROVE_SCAMP}</v>
      </c>
      <c r="BI210" s="21" t="str">
        <f t="shared" si="23"/>
        <v>}, --Thews of the Harbinger / Muskeln des Vorboten   [Imperial Sewers, Imperial City]</v>
      </c>
    </row>
    <row r="211" spans="1:61" x14ac:dyDescent="0.25">
      <c r="A211" s="12">
        <v>253</v>
      </c>
      <c r="B211" t="s">
        <v>1056</v>
      </c>
      <c r="C211" t="s">
        <v>1057</v>
      </c>
      <c r="D211" s="3">
        <f t="shared" si="18"/>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WayshrineInfo'!$K$3:$N$9971,4,FALSE),"")))</f>
        <v>Imperial Sewers</v>
      </c>
      <c r="T211" s="19" t="str">
        <f>IF(AND(S211&lt;&gt;"",NOT(ISERROR(S211))),S211,IF(Q211&lt;&gt;"",IF(NOT(ISERROR(VLOOKUP(Q211,'ESO Dungeon constants'!$D$3:$H$9999,5,FALSE))),VLOOKUP(Q211,'ESO Dungeon constants'!$D$3:$I$9999,6,FALSE),VLOOKUP(Q211,'ESO zone constants'!$H$3:$K$9989,4,FALSE)),""))</f>
        <v>DLC_IMPERIAL_CITY</v>
      </c>
      <c r="U211" s="3" t="str">
        <f>IF(T211&lt;&gt;"",VLOOKUP(T211,'LibSets constants'!$B$4:$C$1017,2,FALSE),"")</f>
        <v>Imperial City</v>
      </c>
      <c r="V211" s="33" t="s">
        <v>2752</v>
      </c>
      <c r="Y211" s="61">
        <v>584</v>
      </c>
      <c r="Z211" s="3">
        <f>IF(AND(G211&lt;&gt;"LIBSETS_SETTYPE_BATTLEGROUND",G211&lt;&gt;"LIBSETS_SETTYPE_SPECIAL"),
IF(AND(Y211&lt;&gt;"",ISNUMBER(Y211),NOT(ISNA(Y211))),Y211,
   IF(AND(L211&lt;&gt;"",ISNUMBER(L211),L211&gt;0,NOT(ISNA(L211))),VLOOKUP(L211,'ESO dumped WayshrineInfo'!$K$3:$L$9971,2,FALSE),"")
),"")</f>
        <v>584</v>
      </c>
      <c r="AA211" t="str">
        <f>IF(AND(Z211&lt;&gt;"",ISNUMBER(Z211),NOT(ISNA(Z211))),VLOOKUP(Z211,'ESO zone constants'!$A$5:$D$10001,4,FALSE),"")</f>
        <v>Imperial City</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WayshrineInfo'!$K$3:$L$9971,2,FALSE),"")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 t="shared" si="19"/>
        <v>[253] = {wayshrines={-1,-1,-1,}, dlcId=DLC_IMPERIAL_CITY</v>
      </c>
      <c r="BF211" s="21" t="str">
        <f t="shared" si="20"/>
        <v>, zoneIds={643,584}, veteran=false</v>
      </c>
      <c r="BG211" s="21" t="str">
        <f t="shared" si="21"/>
        <v>, setType=LIBSETS_SETTYPE_IMPERIALCITY</v>
      </c>
      <c r="BH211" s="21" t="str">
        <f t="shared" si="22"/>
        <v>, dropMechanic={LIBSETS_DROP_MECHANIC_TELVAR_EQUIPMENT_LOCKBOX_MERCHANT,LIBSETS_DROP_MECHANIC_IMPERIAL_CITY_TREASURE_TROVE_SCAMP}</v>
      </c>
      <c r="BI211" s="21" t="str">
        <f t="shared" si="23"/>
        <v>}, --Imperial Physique / Kaiserliche Physis   [Imperial Sewers, Imperial City]</v>
      </c>
    </row>
    <row r="212" spans="1:61" x14ac:dyDescent="0.25">
      <c r="A212" s="5">
        <v>256</v>
      </c>
      <c r="B212" t="s">
        <v>1058</v>
      </c>
      <c r="C212" t="s">
        <v>13</v>
      </c>
      <c r="D212" s="3">
        <f t="shared" si="18"/>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WayshrineInfo'!$K$3:$N$9971,4,FALSE),"")))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WayshrineInfo'!$K$3:$L$9971,2,FALSE),"")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WayshrineInfo'!$K$3:$L$9971,2,FALSE),"")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 t="shared" si="19"/>
        <v>[256] = {wayshrines={260,260,260,}, dlcId=DLC_SHADOWS_OF_THE_HIST</v>
      </c>
      <c r="BF212" s="21" t="str">
        <f t="shared" si="20"/>
        <v>, zoneIds={843,117,117}, veteran={[EQUIP_TYPE_HEAD]=true, [EQUIP_TYPE_SHOULDERS]=false}</v>
      </c>
      <c r="BG212" s="21" t="str">
        <f t="shared" si="21"/>
        <v>, setType=LIBSETS_SETTYPE_MONSTER, undauntedChestId=3</v>
      </c>
      <c r="BH212" s="21" t="str">
        <f t="shared" si="22"/>
        <v>, dropMechanic={LIBSETS_DROP_MECHANIC_MONSTER_NAME}, dropMechanicDropLocationNames={['en']={'Tree-Minder Na-Kesh','','','','','',},['de']={'Baumhirtin Na-Kesh','','','','','',},}</v>
      </c>
      <c r="BI212" s="21" t="str">
        <f t="shared" si="23"/>
        <v>}, --Mighty Chudan / Mächtiger Chudan   [Ruins of Mazzatun, Shadowfen, Shadowfen]</v>
      </c>
    </row>
    <row r="213" spans="1:61" x14ac:dyDescent="0.25">
      <c r="A213" s="5">
        <v>257</v>
      </c>
      <c r="B213" t="s">
        <v>32</v>
      </c>
      <c r="C213" t="s">
        <v>32</v>
      </c>
      <c r="D213" s="3">
        <f t="shared" si="18"/>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WayshrineInfo'!$K$3:$N$9971,4,FALSE),"")))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WayshrineInfo'!$K$3:$L$9971,2,FALSE),"")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WayshrineInfo'!$K$3:$L$9971,2,FALSE),"")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 t="shared" si="19"/>
        <v>[257] = {wayshrines={261,261,261,}, dlcId=DLC_SHADOWS_OF_THE_HIST</v>
      </c>
      <c r="BF213" s="21" t="str">
        <f t="shared" si="20"/>
        <v>, zoneIds={848,117,117}, veteran={[EQUIP_TYPE_HEAD]=true, [EQUIP_TYPE_SHOULDERS]=false}</v>
      </c>
      <c r="BG213" s="21" t="str">
        <f t="shared" si="21"/>
        <v>, setType=LIBSETS_SETTYPE_MONSTER, undauntedChestId=3</v>
      </c>
      <c r="BH213" s="21" t="str">
        <f t="shared" si="22"/>
        <v>, dropMechanic={LIBSETS_DROP_MECHANIC_MONSTER_NAME}, dropMechanicDropLocationNames={['en']={'Velidreth','','','','','',},['de']={'Velidreth','','','','','',},}</v>
      </c>
      <c r="BI213" s="21" t="str">
        <f t="shared" si="23"/>
        <v>}, --Velidreth / Velidreth   [Cradle of Shadows, Shadowfen, Shadowfen]</v>
      </c>
    </row>
    <row r="214" spans="1:61" x14ac:dyDescent="0.25">
      <c r="A214" s="12">
        <v>258</v>
      </c>
      <c r="B214" t="s">
        <v>1059</v>
      </c>
      <c r="C214" t="s">
        <v>1060</v>
      </c>
      <c r="D214" s="3">
        <f t="shared" si="18"/>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WayshrineInfo'!$K$3:$N$9971,4,FALSE),"")))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WayshrineInfo'!$K$3:$L$9971,2,FALSE),"")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WayshrineInfo'!$K$3:$L$9971,2,FALSE),"")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 t="shared" si="19"/>
        <v>[258] = {wayshrines={260,260,260,}, dlcId=DLC_SHADOWS_OF_THE_HIST</v>
      </c>
      <c r="BF214" s="21" t="str">
        <f t="shared" si="20"/>
        <v>, zoneIds={843,117,117}, veteran=false</v>
      </c>
      <c r="BG214" s="21" t="str">
        <f t="shared" si="21"/>
        <v>, setType=LIBSETS_SETTYPE_DUNGEON</v>
      </c>
      <c r="BH214" s="21" t="str">
        <f t="shared" si="22"/>
        <v>, isProcSetAllowedInPvP=1, dropMechanic={LIBSETS_DROP_MECHANIC_GROUP_DUNGEON_BOSS}</v>
      </c>
      <c r="BI214" s="21" t="str">
        <f t="shared" si="23"/>
        <v>}, --Amber Plasm / Bernsteinplasma   [Ruins of Mazzatun, Shadowfen, Shadowfen]</v>
      </c>
    </row>
    <row r="215" spans="1:61" x14ac:dyDescent="0.25">
      <c r="A215" s="12">
        <v>259</v>
      </c>
      <c r="B215" t="s">
        <v>1061</v>
      </c>
      <c r="C215" t="s">
        <v>2586</v>
      </c>
      <c r="D215" s="3">
        <f t="shared" si="18"/>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WayshrineInfo'!$K$3:$N$9971,4,FALSE),"")))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WayshrineInfo'!$K$3:$L$9971,2,FALSE),"")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WayshrineInfo'!$K$3:$L$9971,2,FALSE),"")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 t="shared" si="19"/>
        <v>[259] = {wayshrines={260,260,260,}, dlcId=DLC_SHADOWS_OF_THE_HIST</v>
      </c>
      <c r="BF215" s="21" t="str">
        <f t="shared" si="20"/>
        <v>, zoneIds={843,117,117}, veteran=false</v>
      </c>
      <c r="BG215" s="21" t="str">
        <f t="shared" si="21"/>
        <v>, setType=LIBSETS_SETTYPE_DUNGEON</v>
      </c>
      <c r="BH215" s="21" t="str">
        <f t="shared" si="22"/>
        <v>, dropMechanic={LIBSETS_DROP_MECHANIC_GROUP_DUNGEON_BOSS}</v>
      </c>
      <c r="BI215" s="21" t="str">
        <f t="shared" si="23"/>
        <v>}, --Heem-Jas\' Retribution / Heem-Jas' Vergeltung   [Ruins of Mazzatun, Shadowfen, Shadowfen]</v>
      </c>
    </row>
    <row r="216" spans="1:61" x14ac:dyDescent="0.25">
      <c r="A216" s="12">
        <v>260</v>
      </c>
      <c r="B216" t="s">
        <v>1062</v>
      </c>
      <c r="C216" t="s">
        <v>1063</v>
      </c>
      <c r="D216" s="3">
        <f t="shared" si="18"/>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WayshrineInfo'!$K$3:$N$9971,4,FALSE),"")))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WayshrineInfo'!$K$3:$L$9971,2,FALSE),"")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WayshrineInfo'!$K$3:$L$9971,2,FALSE),"")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 t="shared" si="19"/>
        <v>[260] = {wayshrines={260,260,260,}, dlcId=DLC_SHADOWS_OF_THE_HIST</v>
      </c>
      <c r="BF216" s="21" t="str">
        <f t="shared" si="20"/>
        <v>, zoneIds={843,117,117}, veteran=false</v>
      </c>
      <c r="BG216" s="21" t="str">
        <f t="shared" si="21"/>
        <v>, setType=LIBSETS_SETTYPE_DUNGEON</v>
      </c>
      <c r="BH216" s="21" t="str">
        <f t="shared" si="22"/>
        <v>, dropMechanic={LIBSETS_DROP_MECHANIC_GROUP_DUNGEON_BOSS}</v>
      </c>
      <c r="BI216" s="21" t="str">
        <f t="shared" si="23"/>
        <v>}, --Aspect of Mazzatun / Aspekt von Mazzatun   [Ruins of Mazzatun, Shadowfen, Shadowfen]</v>
      </c>
    </row>
    <row r="217" spans="1:61" x14ac:dyDescent="0.25">
      <c r="A217" s="12">
        <v>261</v>
      </c>
      <c r="B217" t="s">
        <v>1064</v>
      </c>
      <c r="C217" t="s">
        <v>1065</v>
      </c>
      <c r="D217" s="3">
        <f t="shared" si="18"/>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WayshrineInfo'!$K$3:$N$9971,4,FALSE),"")))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WayshrineInfo'!$K$3:$L$9971,2,FALSE),"")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WayshrineInfo'!$K$3:$L$9971,2,FALSE),"")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 t="shared" si="19"/>
        <v>[261] = {wayshrines={261,261,261,}, dlcId=DLC_SHADOWS_OF_THE_HIST</v>
      </c>
      <c r="BF217" s="21" t="str">
        <f t="shared" si="20"/>
        <v>, zoneIds={848,117,117}, veteran=false</v>
      </c>
      <c r="BG217" s="21" t="str">
        <f t="shared" si="21"/>
        <v>, setType=LIBSETS_SETTYPE_DUNGEON</v>
      </c>
      <c r="BH217" s="21" t="str">
        <f t="shared" si="22"/>
        <v>, dropMechanic={LIBSETS_DROP_MECHANIC_GROUP_DUNGEON_BOSS}</v>
      </c>
      <c r="BI217" s="21" t="str">
        <f t="shared" si="23"/>
        <v>}, --Gossamer / Gespinst   [Cradle of Shadows, Shadowfen, Shadowfen]</v>
      </c>
    </row>
    <row r="218" spans="1:61" x14ac:dyDescent="0.25">
      <c r="A218" s="12">
        <v>262</v>
      </c>
      <c r="B218" t="s">
        <v>1066</v>
      </c>
      <c r="C218" t="s">
        <v>1067</v>
      </c>
      <c r="D218" s="3">
        <f t="shared" si="18"/>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WayshrineInfo'!$K$3:$N$9971,4,FALSE),"")))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WayshrineInfo'!$K$3:$L$9971,2,FALSE),"")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WayshrineInfo'!$K$3:$L$9971,2,FALSE),"")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 t="shared" si="19"/>
        <v>[262] = {wayshrines={261,261,261,}, dlcId=DLC_SHADOWS_OF_THE_HIST</v>
      </c>
      <c r="BF218" s="21" t="str">
        <f t="shared" si="20"/>
        <v>, zoneIds={848,117,117}, veteran=false</v>
      </c>
      <c r="BG218" s="21" t="str">
        <f t="shared" si="21"/>
        <v>, setType=LIBSETS_SETTYPE_DUNGEON</v>
      </c>
      <c r="BH218" s="21" t="str">
        <f t="shared" si="22"/>
        <v>, dropMechanic={LIBSETS_DROP_MECHANIC_GROUP_DUNGEON_BOSS}</v>
      </c>
      <c r="BI218" s="21" t="str">
        <f t="shared" si="23"/>
        <v>}, --Widowmaker / Witwenmacher   [Cradle of Shadows, Shadowfen, Shadowfen]</v>
      </c>
    </row>
    <row r="219" spans="1:61" s="28" customFormat="1" x14ac:dyDescent="0.25">
      <c r="A219" s="12">
        <v>263</v>
      </c>
      <c r="B219" t="s">
        <v>1068</v>
      </c>
      <c r="C219" t="s">
        <v>1069</v>
      </c>
      <c r="D219" s="3">
        <f t="shared" si="18"/>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WayshrineInfo'!$K$3:$N$9971,4,FALSE),"")))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WayshrineInfo'!$K$3:$L$9971,2,FALSE),"")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WayshrineInfo'!$K$3:$L$9971,2,FALSE),"")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 t="shared" si="19"/>
        <v>[263] = {wayshrines={261,261,261,}, dlcId=DLC_SHADOWS_OF_THE_HIST</v>
      </c>
      <c r="BF219" s="21" t="str">
        <f t="shared" si="20"/>
        <v>, zoneIds={848,117,117}, veteran=false</v>
      </c>
      <c r="BG219" s="21" t="str">
        <f t="shared" si="21"/>
        <v>, setType=LIBSETS_SETTYPE_DUNGEON</v>
      </c>
      <c r="BH219" s="21" t="str">
        <f t="shared" si="22"/>
        <v>, dropMechanic={LIBSETS_DROP_MECHANIC_GROUP_DUNGEON_BOSS}</v>
      </c>
      <c r="BI219" s="21" t="str">
        <f t="shared" si="23"/>
        <v>}, --Hand of Mephala / Hand von Mephala   [Cradle of Shadows, Shadowfen, Shadowfen]</v>
      </c>
    </row>
    <row r="220" spans="1:61" s="14" customFormat="1" x14ac:dyDescent="0.25">
      <c r="A220" s="16">
        <v>264</v>
      </c>
      <c r="B220" s="14" t="s">
        <v>1070</v>
      </c>
      <c r="C220" t="s">
        <v>1071</v>
      </c>
      <c r="D220" s="25">
        <f t="shared" si="18"/>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WayshrineInfo'!$K$3:$N$9971,4,FALSE),"")))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WayshrineInfo'!$K$3:$L$9971,2,FALSE),"")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WayshrineInfo'!$K$3:$L$9971,2,FALSE),"")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 t="shared" si="19"/>
        <v/>
      </c>
      <c r="BF220" s="21" t="str">
        <f t="shared" si="20"/>
        <v/>
      </c>
      <c r="BG220" s="21" t="str">
        <f t="shared" si="21"/>
        <v/>
      </c>
      <c r="BH220" s="21" t="str">
        <f t="shared" si="22"/>
        <v/>
      </c>
      <c r="BI220" s="21" t="str">
        <f t="shared" si="23"/>
        <v/>
      </c>
    </row>
    <row r="221" spans="1:61" x14ac:dyDescent="0.25">
      <c r="A221" s="5">
        <v>265</v>
      </c>
      <c r="B221" t="s">
        <v>1072</v>
      </c>
      <c r="C221" t="s">
        <v>22</v>
      </c>
      <c r="D221" s="3">
        <f t="shared" si="18"/>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WayshrineInfo'!$K$3:$N$9971,4,FALSE),"")))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WayshrineInfo'!$K$3:$L$9971,2,FALSE),"")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WayshrineInfo'!$K$3:$L$9971,2,FALSE),"")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 t="shared" si="19"/>
        <v>[265] = {wayshrines={194,194,194,}, dlcId=DLC_BASE_GAME</v>
      </c>
      <c r="BF221" s="21" t="str">
        <f t="shared" si="20"/>
        <v>, zoneIds={380,381,381}, veteran={[EQUIP_TYPE_HEAD]=true, [EQUIP_TYPE_SHOULDERS]=false}</v>
      </c>
      <c r="BG221" s="21" t="str">
        <f t="shared" si="21"/>
        <v>, setType=LIBSETS_SETTYPE_MONSTER, undauntedChestId=2</v>
      </c>
      <c r="BH221" s="21" t="str">
        <f t="shared" si="22"/>
        <v>, dropMechanic={LIBSETS_DROP_MECHANIC_MONSTER_NAME}, dropMechanicDropLocationNames={['en']={'High Kinlord Rilis','','','','','',},['de']={'Sippenhochfürst Rilis','','','','','',},}</v>
      </c>
      <c r="BI221" s="21" t="str">
        <f t="shared" si="23"/>
        <v>}, --Shadowrend / Schattenriss   [The Banished Cells I, Auridon, Auridon]</v>
      </c>
    </row>
    <row r="222" spans="1:61" x14ac:dyDescent="0.25">
      <c r="A222" s="5">
        <v>266</v>
      </c>
      <c r="B222" t="s">
        <v>10</v>
      </c>
      <c r="C222" t="s">
        <v>2587</v>
      </c>
      <c r="D222" s="3">
        <f t="shared" si="18"/>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WayshrineInfo'!$K$3:$N$9971,4,FALSE),"")))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WayshrineInfo'!$K$3:$L$9971,2,FALSE),"")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WayshrineInfo'!$K$3:$L$9971,2,FALSE),"")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 t="shared" si="19"/>
        <v>[266] = {wayshrines={98,98,98,}, dlcId=DLC_BASE_GAME</v>
      </c>
      <c r="BF222" s="21" t="str">
        <f t="shared" si="20"/>
        <v>, zoneIds={283,41,41}, veteran={[EQUIP_TYPE_HEAD]=true, [EQUIP_TYPE_SHOULDERS]=false}</v>
      </c>
      <c r="BG222" s="21" t="str">
        <f t="shared" si="21"/>
        <v>, setType=LIBSETS_SETTYPE_MONSTER, undauntedChestId=2</v>
      </c>
      <c r="BH222" s="21" t="str">
        <f t="shared" si="22"/>
        <v>, dropMechanic={LIBSETS_DROP_MECHANIC_MONSTER_NAME}, dropMechanicDropLocationNames={['en']={'Kra\'gh the Dreugh King','','','','','',},['de']={'Kra\'gh der Dreughkönig','','','','','',},}</v>
      </c>
      <c r="BI222" s="21" t="str">
        <f t="shared" si="23"/>
        <v>}, --Kra\'gh / Kra'gh   [Fungal Grotto I, Stonefalls, Stonefalls]</v>
      </c>
    </row>
    <row r="223" spans="1:61" x14ac:dyDescent="0.25">
      <c r="A223" s="5">
        <v>267</v>
      </c>
      <c r="B223" t="s">
        <v>1073</v>
      </c>
      <c r="C223" t="s">
        <v>27</v>
      </c>
      <c r="D223" s="3">
        <f t="shared" si="18"/>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WayshrineInfo'!$K$3:$N$9971,4,FALSE),"")))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WayshrineInfo'!$K$3:$L$9971,2,FALSE),"")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WayshrineInfo'!$K$3:$L$9971,2,FALSE),"")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 t="shared" si="19"/>
        <v>[267] = {wayshrines={193,193,193,}, dlcId=DLC_BASE_GAME</v>
      </c>
      <c r="BF223" s="21" t="str">
        <f t="shared" si="20"/>
        <v>, zoneIds={144,3,3}, veteran={[EQUIP_TYPE_HEAD]=true, [EQUIP_TYPE_SHOULDERS]=false}</v>
      </c>
      <c r="BG223" s="21" t="str">
        <f t="shared" si="21"/>
        <v>, setType=LIBSETS_SETTYPE_MONSTER, undauntedChestId=2</v>
      </c>
      <c r="BH223" s="21" t="str">
        <f t="shared" si="22"/>
        <v>, dropMechanic={LIBSETS_DROP_MECHANIC_MONSTER_NAME}, dropMechanicDropLocationNames={['en']={'The Whisperer','','','','','',},['de']={'Die Flüsterin','','','','','',},}</v>
      </c>
      <c r="BI223" s="21" t="str">
        <f t="shared" si="23"/>
        <v>}, --Swarm Mother / Schwarmmutter   [Spindleclutch I, Glenumbra, Glenumbra]</v>
      </c>
    </row>
    <row r="224" spans="1:61" x14ac:dyDescent="0.25">
      <c r="A224" s="5">
        <v>268</v>
      </c>
      <c r="B224" t="s">
        <v>1074</v>
      </c>
      <c r="C224" t="s">
        <v>21</v>
      </c>
      <c r="D224" s="3">
        <f t="shared" si="18"/>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WayshrineInfo'!$K$3:$N$9971,4,FALSE),"")))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WayshrineInfo'!$K$3:$L$9971,2,FALSE),"")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WayshrineInfo'!$K$3:$L$9971,2,FALSE),"")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 t="shared" si="19"/>
        <v>[268] = {wayshrines={198,198,198,}, dlcId=DLC_BASE_GAME</v>
      </c>
      <c r="BF224" s="21" t="str">
        <f t="shared" si="20"/>
        <v>, zoneIds={63,57,57}, veteran={[EQUIP_TYPE_HEAD]=true, [EQUIP_TYPE_SHOULDERS]=false}</v>
      </c>
      <c r="BG224" s="21" t="str">
        <f t="shared" si="21"/>
        <v>, setType=LIBSETS_SETTYPE_MONSTER, undauntedChestId=2</v>
      </c>
      <c r="BH224" s="21" t="str">
        <f t="shared" si="22"/>
        <v>, dropMechanic={LIBSETS_DROP_MECHANIC_MONSTER_NAME}, dropMechanicDropLocationNames={['en']={'Sentinel of Rkugamz','','','','','',},['de']={'Wachposten von Rkugamz','','','','','',},}</v>
      </c>
      <c r="BI224" s="21" t="str">
        <f t="shared" si="23"/>
        <v>}, --Sentinel of Rkugamz / Wachposten von Rkugamz   [Darkshade Caverns I, Deshaan, Deshaan]</v>
      </c>
    </row>
    <row r="225" spans="1:61" x14ac:dyDescent="0.25">
      <c r="A225" s="5">
        <v>269</v>
      </c>
      <c r="B225" t="s">
        <v>1075</v>
      </c>
      <c r="C225" t="s">
        <v>2</v>
      </c>
      <c r="D225" s="3">
        <f t="shared" si="18"/>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WayshrineInfo'!$K$3:$N$9971,4,FALSE),"")))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WayshrineInfo'!$K$3:$L$9971,2,FALSE),"")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WayshrineInfo'!$K$3:$L$9971,2,FALSE),"")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 t="shared" si="19"/>
        <v>[269] = {wayshrines={191,191,191,}, dlcId=DLC_BASE_GAME</v>
      </c>
      <c r="BF225" s="21" t="str">
        <f t="shared" si="20"/>
        <v>, zoneIds={126,383,383}, veteran={[EQUIP_TYPE_HEAD]=true, [EQUIP_TYPE_SHOULDERS]=false}</v>
      </c>
      <c r="BG225" s="21" t="str">
        <f t="shared" si="21"/>
        <v>, setType=LIBSETS_SETTYPE_MONSTER, undauntedChestId=2</v>
      </c>
      <c r="BH225" s="21" t="str">
        <f t="shared" si="22"/>
        <v>, dropMechanic={LIBSETS_DROP_MECHANIC_MONSTER_NAME}, dropMechanicDropLocationNames={['en']={'Canonreeve Oraneth','','','','','',},['de']={'Stiftsvogt Oraneth','','','','','',},}</v>
      </c>
      <c r="BI225" s="21" t="str">
        <f t="shared" si="23"/>
        <v>}, --Chokethorn / Würgedorn   [Elden Hollow I, Grahtwood, Grahtwood]</v>
      </c>
    </row>
    <row r="226" spans="1:61" x14ac:dyDescent="0.25">
      <c r="A226" s="5">
        <v>270</v>
      </c>
      <c r="B226" t="s">
        <v>1076</v>
      </c>
      <c r="C226" t="s">
        <v>23</v>
      </c>
      <c r="D226" s="3">
        <f t="shared" si="18"/>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WayshrineInfo'!$K$3:$N$9971,4,FALSE),"")))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WayshrineInfo'!$K$3:$L$9971,2,FALSE),"")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WayshrineInfo'!$K$3:$L$9971,2,FALSE),"")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 t="shared" si="19"/>
        <v>[270] = {wayshrines={189,189,189,}, dlcId=DLC_BASE_GAME</v>
      </c>
      <c r="BF226" s="21" t="str">
        <f t="shared" si="20"/>
        <v>, zoneIds={146,19,19}, veteran={[EQUIP_TYPE_HEAD]=true, [EQUIP_TYPE_SHOULDERS]=false}</v>
      </c>
      <c r="BG226" s="21" t="str">
        <f t="shared" si="21"/>
        <v>, setType=LIBSETS_SETTYPE_MONSTER, undauntedChestId=2</v>
      </c>
      <c r="BH226" s="21" t="str">
        <f t="shared" si="22"/>
        <v>, dropMechanic={LIBSETS_DROP_MECHANIC_MONSTER_NAME}, dropMechanicDropLocationNames={['en']={'Varaine and Allene Pellingare','','','','','',},['de']={'Varaine und Allene Pellingare','','','','','',},}</v>
      </c>
      <c r="BI226" s="21" t="str">
        <f t="shared" si="23"/>
        <v>}, --Slimecraw / Schleimkropf   [Wayrest Sewers I, Stormhaven, Stormhaven]</v>
      </c>
    </row>
    <row r="227" spans="1:61" x14ac:dyDescent="0.25">
      <c r="A227" s="5">
        <v>271</v>
      </c>
      <c r="B227" t="s">
        <v>20</v>
      </c>
      <c r="C227" t="s">
        <v>20</v>
      </c>
      <c r="D227" s="3">
        <f t="shared" si="18"/>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WayshrineInfo'!$K$3:$N$9971,4,FALSE),"")))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WayshrineInfo'!$K$3:$L$9971,2,FALSE),"")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WayshrineInfo'!$K$3:$L$9971,2,FALSE),"")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 t="shared" si="19"/>
        <v>[271] = {wayshrines={192,192,192,}, dlcId=DLC_BASE_GAME</v>
      </c>
      <c r="BF227" s="21" t="str">
        <f t="shared" si="20"/>
        <v>, zoneIds={148,117,117}, veteran={[EQUIP_TYPE_HEAD]=true, [EQUIP_TYPE_SHOULDERS]=false}</v>
      </c>
      <c r="BG227" s="21" t="str">
        <f t="shared" si="21"/>
        <v>, setType=LIBSETS_SETTYPE_MONSTER, undauntedChestId=1</v>
      </c>
      <c r="BH227" s="21" t="str">
        <f t="shared" si="22"/>
        <v>, dropMechanic={LIBSETS_DROP_MECHANIC_MONSTER_NAME}, dropMechanicDropLocationNames={['en']={'Sellistrix the Lamia Queen','','','','','',},['de']={'Sellistrix die Lamienkönigin','','','','','',},}</v>
      </c>
      <c r="BI227" s="21" t="str">
        <f t="shared" si="23"/>
        <v>}, --Sellistrix / Sellistrix   [Arx Corinium, Shadowfen, Shadowfen]</v>
      </c>
    </row>
    <row r="228" spans="1:61" x14ac:dyDescent="0.25">
      <c r="A228" s="5">
        <v>272</v>
      </c>
      <c r="B228" t="s">
        <v>1077</v>
      </c>
      <c r="C228" t="s">
        <v>9</v>
      </c>
      <c r="D228" s="3">
        <f t="shared" si="18"/>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WayshrineInfo'!$K$3:$N$9971,4,FALSE),"")))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WayshrineInfo'!$K$3:$L$9971,2,FALSE),"")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WayshrineInfo'!$K$3:$L$9971,2,FALSE),"")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 t="shared" si="19"/>
        <v>[272] = {wayshrines={197,197,197,}, dlcId=DLC_BASE_GAME</v>
      </c>
      <c r="BF228" s="21" t="str">
        <f t="shared" si="20"/>
        <v>, zoneIds={176,108,108}, veteran={[EQUIP_TYPE_HEAD]=true, [EQUIP_TYPE_SHOULDERS]=false}</v>
      </c>
      <c r="BG228" s="21" t="str">
        <f t="shared" si="21"/>
        <v>, setType=LIBSETS_SETTYPE_MONSTER, undauntedChestId=1</v>
      </c>
      <c r="BH228" s="21" t="str">
        <f t="shared" si="22"/>
        <v>, dropMechanic={LIBSETS_DROP_MECHANIC_MONSTER_NAME}, dropMechanicDropLocationNames={['en']={'Razor Master Erthas','','','','','',},['de']={'Klingenmeister Erthas','','','','','',},}</v>
      </c>
      <c r="BI228" s="21" t="str">
        <f t="shared" si="23"/>
        <v>}, --Infernal Guardian / Infernaler Wächter   [City of Ash I, Greenshade, Greenshade]</v>
      </c>
    </row>
    <row r="229" spans="1:61" x14ac:dyDescent="0.25">
      <c r="A229" s="5">
        <v>273</v>
      </c>
      <c r="B229" t="s">
        <v>8</v>
      </c>
      <c r="C229" t="s">
        <v>8</v>
      </c>
      <c r="D229" s="3">
        <f t="shared" si="18"/>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WayshrineInfo'!$K$3:$N$9971,4,FALSE),"")))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4020</v>
      </c>
      <c r="X229" s="3" t="s">
        <v>4017</v>
      </c>
      <c r="Y229" s="61"/>
      <c r="Z229" s="3">
        <f>IF(AND(G229&lt;&gt;"LIBSETS_SETTYPE_BATTLEGROUND",G229&lt;&gt;"LIBSETS_SETTYPE_SPECIAL"),
IF(AND(Y229&lt;&gt;"",ISNUMBER(Y229),NOT(ISNA(Y229))),Y229,
   IF(AND(L229&lt;&gt;"",ISNUMBER(L229),L229&gt;0,NOT(ISNA(L229))),VLOOKUP(L229,'ESO dumped WayshrineInfo'!$K$3:$L$9971,2,FALSE),"")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WayshrineInfo'!$K$3:$L$9971,2,FALSE),"")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 t="shared" si="19"/>
        <v>[273] = {wayshrines={190,190,190,}, dlcId=DLC_BASE_GAME</v>
      </c>
      <c r="BF229" s="21" t="str">
        <f t="shared" si="20"/>
        <v>, zoneIds={130,20,20}, veteran={[EQUIP_TYPE_HEAD]=true, [EQUIP_TYPE_SHOULDERS]=false}</v>
      </c>
      <c r="BG229" s="21" t="str">
        <f t="shared" si="21"/>
        <v>, setType=LIBSETS_SETTYPE_MONSTER, undauntedChestId=1</v>
      </c>
      <c r="BH229" s="21" t="str">
        <f t="shared" si="22"/>
        <v>, dropMechanic={LIBSETS_DROP_MECHANIC_MONSTER_NAME}, dropMechanicDropLocationNames={['en']={'Ilambris twins (Athor or Zaven)','','','','','',},['de']={'Ilambris Zwillinge (Athor oder Zaven)','','','','','',},}</v>
      </c>
      <c r="BI229" s="21" t="str">
        <f t="shared" si="23"/>
        <v>}, --Ilambris / Ilambris   [Crypt of Hearts I, Rivenspire, Rivenspire]</v>
      </c>
    </row>
    <row r="230" spans="1:61" x14ac:dyDescent="0.25">
      <c r="A230" s="5">
        <v>274</v>
      </c>
      <c r="B230" t="s">
        <v>1078</v>
      </c>
      <c r="C230" t="s">
        <v>7</v>
      </c>
      <c r="D230" s="3">
        <f t="shared" si="18"/>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WayshrineInfo'!$K$3:$N$9971,4,FALSE),"")))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WayshrineInfo'!$K$3:$L$9971,2,FALSE),"")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WayshrineInfo'!$K$3:$L$9971,2,FALSE),"")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 t="shared" si="19"/>
        <v>[274] = {wayshrines={195,195,195,}, dlcId=DLC_BASE_GAME</v>
      </c>
      <c r="BF230" s="21" t="str">
        <f t="shared" si="20"/>
        <v>, zoneIds={449,101,101}, veteran={[EQUIP_TYPE_HEAD]=true, [EQUIP_TYPE_SHOULDERS]=false}</v>
      </c>
      <c r="BG230" s="21" t="str">
        <f t="shared" si="21"/>
        <v>, setType=LIBSETS_SETTYPE_MONSTER, undauntedChestId=1</v>
      </c>
      <c r="BH230" s="21" t="str">
        <f t="shared" si="22"/>
        <v>, dropMechanic={LIBSETS_DROP_MECHANIC_MONSTER_NAME}, dropMechanicDropLocationNames={['en']={'Drodda of Icereach','','','','','',},['de']={'Drodda von Eiskap','','','','','',},}</v>
      </c>
      <c r="BI230" s="21" t="str">
        <f t="shared" si="23"/>
        <v>}, --Iceheart / Eisherz   [Direfrost Keep, Eastmarch, Eastmarch]</v>
      </c>
    </row>
    <row r="231" spans="1:61" x14ac:dyDescent="0.25">
      <c r="A231" s="5">
        <v>275</v>
      </c>
      <c r="B231" t="s">
        <v>1079</v>
      </c>
      <c r="C231" t="s">
        <v>26</v>
      </c>
      <c r="D231" s="3">
        <f t="shared" si="18"/>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WayshrineInfo'!$K$3:$N$9971,4,FALSE),"")))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WayshrineInfo'!$K$3:$L$9971,2,FALSE),"")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WayshrineInfo'!$K$3:$L$9971,2,FALSE),"")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 t="shared" si="19"/>
        <v>[275] = {wayshrines={188,188,188,}, dlcId=DLC_BASE_GAME</v>
      </c>
      <c r="BF231" s="21" t="str">
        <f t="shared" si="20"/>
        <v>, zoneIds={131,58,58}, veteran={[EQUIP_TYPE_HEAD]=true, [EQUIP_TYPE_SHOULDERS]=false}</v>
      </c>
      <c r="BG231" s="21" t="str">
        <f t="shared" si="21"/>
        <v>, setType=LIBSETS_SETTYPE_MONSTER, undauntedChestId=1</v>
      </c>
      <c r="BH231" s="21" t="str">
        <f t="shared" si="22"/>
        <v>, dropMechanic={LIBSETS_DROP_MECHANIC_MONSTER_NAME}, dropMechanicDropLocationNames={['en']={'Stormreeve Neidir','','','','','',},['de']={'Sturmvogt Neidir','','','','','',},}</v>
      </c>
      <c r="BI231" s="21" t="str">
        <f t="shared" si="23"/>
        <v>}, --Stormfist / Sturmfaust   [Tempest Island, Malabal Tor, Malabal Tor]</v>
      </c>
    </row>
    <row r="232" spans="1:61" x14ac:dyDescent="0.25">
      <c r="A232" s="5">
        <v>276</v>
      </c>
      <c r="B232" t="s">
        <v>1080</v>
      </c>
      <c r="C232" t="s">
        <v>29</v>
      </c>
      <c r="D232" s="3">
        <f t="shared" si="18"/>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WayshrineInfo'!$K$3:$N$9971,4,FALSE),"")))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WayshrineInfo'!$K$3:$L$9971,2,FALSE),"")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WayshrineInfo'!$K$3:$L$9971,2,FALSE),"")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 t="shared" si="19"/>
        <v>[276] = {wayshrines={196,196,196,}, dlcId=DLC_BASE_GAME</v>
      </c>
      <c r="BF232" s="21" t="str">
        <f t="shared" si="20"/>
        <v>, zoneIds={22,104,104}, veteran={[EQUIP_TYPE_HEAD]=true, [EQUIP_TYPE_SHOULDERS]=false}</v>
      </c>
      <c r="BG232" s="21" t="str">
        <f t="shared" si="21"/>
        <v>, setType=LIBSETS_SETTYPE_MONSTER, undauntedChestId=1</v>
      </c>
      <c r="BH232" s="21" t="str">
        <f t="shared" si="22"/>
        <v>, dropMechanic={LIBSETS_DROP_MECHANIC_MONSTER_NAME}, dropMechanicDropLocationNames={['en']={'The Guardian Council','','','','','',},['de']={'Die Wächter','','','','','',},}</v>
      </c>
      <c r="BI232" s="21" t="str">
        <f t="shared" si="23"/>
        <v>}, --Tremorscale / Bebenschuppe   [Volenfell, Alik'r Desert, Alik'r Desert]</v>
      </c>
    </row>
    <row r="233" spans="1:61" x14ac:dyDescent="0.25">
      <c r="A233" s="5">
        <v>277</v>
      </c>
      <c r="B233" t="s">
        <v>1081</v>
      </c>
      <c r="C233" t="s">
        <v>17</v>
      </c>
      <c r="D233" s="3">
        <f t="shared" si="18"/>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WayshrineInfo'!$K$3:$N$9971,4,FALSE),"")))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WayshrineInfo'!$K$3:$L$9971,2,FALSE),"")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WayshrineInfo'!$K$3:$L$9971,2,FALSE),"")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 t="shared" si="19"/>
        <v>[277] = {wayshrines={186,186,186,}, dlcId=DLC_BASE_GAME</v>
      </c>
      <c r="BF233" s="21" t="str">
        <f t="shared" si="20"/>
        <v>, zoneIds={38,92,92}, veteran={[EQUIP_TYPE_HEAD]=true, [EQUIP_TYPE_SHOULDERS]=false}</v>
      </c>
      <c r="BG233" s="21" t="str">
        <f t="shared" si="21"/>
        <v>, setType=LIBSETS_SETTYPE_MONSTER, undauntedChestId=1</v>
      </c>
      <c r="BH233" s="21" t="str">
        <f t="shared" si="22"/>
        <v>, dropMechanic={LIBSETS_DROP_MECHANIC_MONSTER_NAME}, dropMechanicDropLocationNames={['en']={'Captain Blackheart','','','','','',},['de']={'Kapitän Schwarzherz','','','','','',},}</v>
      </c>
      <c r="BI233" s="21" t="str">
        <f t="shared" si="23"/>
        <v>}, --Pirate Skeleton / Piratenskelett   [Blackheart Haven, Bangkorai, Bangkorai]</v>
      </c>
    </row>
    <row r="234" spans="1:61" x14ac:dyDescent="0.25">
      <c r="A234" s="5">
        <v>278</v>
      </c>
      <c r="B234" t="s">
        <v>1082</v>
      </c>
      <c r="C234" t="s">
        <v>1083</v>
      </c>
      <c r="D234" s="3">
        <f t="shared" si="18"/>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WayshrineInfo'!$K$3:$N$9971,4,FALSE),"")))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WayshrineInfo'!$K$3:$L$9971,2,FALSE),"")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WayshrineInfo'!$K$3:$L$9971,2,FALSE),"")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 t="shared" si="19"/>
        <v>[278] = {wayshrines={187,187,187,}, dlcId=DLC_BASE_GAME</v>
      </c>
      <c r="BF234" s="21" t="str">
        <f t="shared" si="20"/>
        <v>, zoneIds={64,103,103}, veteran={[EQUIP_TYPE_HEAD]=true, [EQUIP_TYPE_SHOULDERS]=false}</v>
      </c>
      <c r="BG234" s="21" t="str">
        <f t="shared" si="21"/>
        <v>, setType=LIBSETS_SETTYPE_MONSTER, undauntedChestId=1</v>
      </c>
      <c r="BH234" s="21" t="str">
        <f t="shared" si="22"/>
        <v>, dropMechanic={LIBSETS_DROP_MECHANIC_MONSTER_NAME}, dropMechanicDropLocationNames={['en']={'The Lava Queen','','','','','',},['de']={'Die Lavakönigin','','','','','',},}</v>
      </c>
      <c r="BI234" s="21" t="str">
        <f t="shared" si="23"/>
        <v>}, --The Troll King / Trollkönig   [Blessed Crucible, The Rift, The Rift]</v>
      </c>
    </row>
    <row r="235" spans="1:61" x14ac:dyDescent="0.25">
      <c r="A235" s="5">
        <v>279</v>
      </c>
      <c r="B235" t="s">
        <v>19</v>
      </c>
      <c r="C235" t="s">
        <v>19</v>
      </c>
      <c r="D235" s="3">
        <f t="shared" si="18"/>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WayshrineInfo'!$K$3:$N$9971,4,FALSE),"")))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WayshrineInfo'!$K$3:$L$9971,2,FALSE),"")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WayshrineInfo'!$K$3:$L$9971,2,FALSE),"")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 t="shared" si="19"/>
        <v>[279] = {wayshrines={185,185,185,}, dlcId=DLC_BASE_GAME</v>
      </c>
      <c r="BF235" s="21" t="str">
        <f t="shared" si="20"/>
        <v>, zoneIds={31,382,382}, veteran={[EQUIP_TYPE_HEAD]=true, [EQUIP_TYPE_SHOULDERS]=false}</v>
      </c>
      <c r="BG235" s="21" t="str">
        <f t="shared" si="21"/>
        <v>, setType=LIBSETS_SETTYPE_MONSTER, undauntedChestId=1</v>
      </c>
      <c r="BH235" s="21" t="str">
        <f t="shared" si="22"/>
        <v>, dropMechanic={LIBSETS_DROP_MECHANIC_MONSTER_NAME}, dropMechanicDropLocationNames={['en']={'Selene','','','','','',},['de']={'Selene','','','','','',},}</v>
      </c>
      <c r="BI235" s="21" t="str">
        <f t="shared" si="23"/>
        <v>}, --Selene / Selene   [Selene's Web, Reaper's March, Reaper's March]</v>
      </c>
    </row>
    <row r="236" spans="1:61" x14ac:dyDescent="0.25">
      <c r="A236" s="5">
        <v>280</v>
      </c>
      <c r="B236" t="s">
        <v>6</v>
      </c>
      <c r="C236" t="s">
        <v>6</v>
      </c>
      <c r="D236" s="3">
        <f t="shared" si="18"/>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WayshrineInfo'!$K$3:$N$9971,4,FALSE),"")))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WayshrineInfo'!$K$3:$L$9971,2,FALSE),"")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WayshrineInfo'!$K$3:$L$9971,2,FALSE),"")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 t="shared" si="19"/>
        <v>[280] = {wayshrines={184,184,184,}, dlcId=DLC_BASE_GAME</v>
      </c>
      <c r="BF236" s="21" t="str">
        <f t="shared" si="20"/>
        <v>, zoneIds={11,347,347}, veteran={[EQUIP_TYPE_HEAD]=true, [EQUIP_TYPE_SHOULDERS]=false}</v>
      </c>
      <c r="BG236" s="21" t="str">
        <f t="shared" si="21"/>
        <v>, setType=LIBSETS_SETTYPE_MONSTER, undauntedChestId=1</v>
      </c>
      <c r="BH236" s="21" t="str">
        <f t="shared" si="22"/>
        <v>, dropMechanic={LIBSETS_DROP_MECHANIC_MONSTER_NAME}, dropMechanicDropLocationNames={['en']={'Mad Architect','','','','','',},['de']={'Der Verrückte Architekt','','','','','',},}</v>
      </c>
      <c r="BI236" s="21" t="str">
        <f t="shared" si="23"/>
        <v>}, --Grothdarr / Grothdarr   [Vaults of Madness, Coldharbour, Coldharbour]</v>
      </c>
    </row>
    <row r="237" spans="1:61" x14ac:dyDescent="0.25">
      <c r="A237" s="12">
        <v>281</v>
      </c>
      <c r="B237" t="s">
        <v>1084</v>
      </c>
      <c r="C237" t="s">
        <v>1085</v>
      </c>
      <c r="D237" s="3">
        <f t="shared" si="18"/>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WayshrineInfo'!$K$3:$N$9971,4,FALSE),"")))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WayshrineInfo'!$K$3:$L$9971,2,FALSE),"")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WayshrineInfo'!$K$3:$L$9971,2,FALSE),"")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 t="shared" si="19"/>
        <v>[281] = {wayshrines={138,141,181,}, dlcId=DLC_BASE_GAME</v>
      </c>
      <c r="BF237" s="21" t="str">
        <f t="shared" si="20"/>
        <v>, zoneIds={534,537,535,280,281}, veteran=false</v>
      </c>
      <c r="BG237" s="21" t="str">
        <f t="shared" si="21"/>
        <v>, setType=LIBSETS_SETTYPE_OVERLAND</v>
      </c>
      <c r="BH237" s="21" t="str">
        <f t="shared" si="22"/>
        <v>, isProcSetAllowedInPvP=1, dropMechanic={LIBSETS_DROP_MECHANIC_OVERLAND_CHEST,LIBSETS_DROP_MECHANIC_OVERLAND_CHEST,LIBSETS_DROP_MECHANIC_OVERLAND_CHEST,LIBSETS_DROP_MECHANIC_OVERLAND_CHEST,LIBSETS_DROP_MECHANIC_OVERLAND_CHEST}</v>
      </c>
      <c r="BI237" s="21" t="str">
        <f t="shared" si="23"/>
        <v>}, --Armor of the Trainee / Rüstung des Auszubildenden   [Stros M'Kai, Khenarthi's Roost, Betnikh, Bleakrock Isle, Bal Foyen]</v>
      </c>
    </row>
    <row r="238" spans="1:61" x14ac:dyDescent="0.25">
      <c r="A238" s="12">
        <v>282</v>
      </c>
      <c r="B238" t="s">
        <v>1086</v>
      </c>
      <c r="C238" t="s">
        <v>1087</v>
      </c>
      <c r="D238" s="3">
        <f t="shared" si="18"/>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WayshrineInfo'!$K$3:$N$9971,4,FALSE),"")))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WayshrineInfo'!$K$3:$L$9971,2,FALSE),"")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WayshrineInfo'!$K$3:$L$9971,2,FALSE),"")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 t="shared" si="19"/>
        <v>[282] = {wayshrines={55,55,55,}, dlcId=DLC_BASE_GAME</v>
      </c>
      <c r="BF238" s="21" t="str">
        <f t="shared" si="20"/>
        <v>, zoneIds={20,20,162,20}, veteran=false</v>
      </c>
      <c r="BG238" s="21" t="str">
        <f t="shared" si="21"/>
        <v>, setType=LIBSETS_SETTYPE_OVERLAND</v>
      </c>
      <c r="BH238" s="21" t="str">
        <f t="shared" si="22"/>
        <v>, dropMechanic={LIBSETS_DROP_MECHANIC_OVERLAND_BOSS_DELVE,LIBSETS_DROP_MECHANIC_OVERLAND_WORLDBOSS,LIBSETS_DROP_MECHANIC_OVERLAND_BOSS_PUBLIC_DUNGEON,LIBSETS_DROP_MECHANIC_OVERLAND_CHEST}</v>
      </c>
      <c r="BI238" s="21" t="str">
        <f t="shared" si="23"/>
        <v>}, --Vampire Cloak / Vampirumhang   [Rivenspire, Rivenspire, Obsidian Scar, Rivenspire]</v>
      </c>
    </row>
    <row r="239" spans="1:61" x14ac:dyDescent="0.25">
      <c r="A239" s="12">
        <v>283</v>
      </c>
      <c r="B239" t="s">
        <v>1088</v>
      </c>
      <c r="C239" t="s">
        <v>1089</v>
      </c>
      <c r="D239" s="3">
        <f t="shared" si="18"/>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WayshrineInfo'!$K$3:$N$9971,4,FALSE),"")))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WayshrineInfo'!$K$3:$L$9971,2,FALSE),"")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WayshrineInfo'!$K$3:$L$9971,2,FALSE),"")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 t="shared" si="19"/>
        <v>[283] = {wayshrines={61,61,61,}, dlcId=DLC_BASE_GAME</v>
      </c>
      <c r="BF239" s="21" t="str">
        <f t="shared" si="20"/>
        <v>, zoneIds={104,104,308,104}, veteran=false</v>
      </c>
      <c r="BG239" s="21" t="str">
        <f t="shared" si="21"/>
        <v>, setType=LIBSETS_SETTYPE_OVERLAND</v>
      </c>
      <c r="BH239" s="21" t="str">
        <f t="shared" si="22"/>
        <v>, isProcSetAllowedInPvP=1, dropMechanic={LIBSETS_DROP_MECHANIC_OVERLAND_BOSS_DELVE,LIBSETS_DROP_MECHANIC_OVERLAND_WORLDBOSS,LIBSETS_DROP_MECHANIC_OVERLAND_BOSS_PUBLIC_DUNGEON,LIBSETS_DROP_MECHANIC_OVERLAND_CHEST}</v>
      </c>
      <c r="BI239" s="21" t="str">
        <f t="shared" si="23"/>
        <v>}, --Sword-Singer / Schwertsänger   [Alik'r Desert, Alik'r Desert, Lost City of the Na-Totambu, Alik'r Desert]</v>
      </c>
    </row>
    <row r="240" spans="1:61" x14ac:dyDescent="0.25">
      <c r="A240" s="12">
        <v>284</v>
      </c>
      <c r="B240" t="s">
        <v>1090</v>
      </c>
      <c r="C240" t="s">
        <v>1091</v>
      </c>
      <c r="D240" s="3">
        <f t="shared" si="18"/>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WayshrineInfo'!$K$3:$N$9971,4,FALSE),"")))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WayshrineInfo'!$K$3:$L$9971,2,FALSE),"")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WayshrineInfo'!$K$3:$L$9971,2,FALSE),"")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 t="shared" si="19"/>
        <v>[284] = {wayshrines={61,61,61,}, dlcId=DLC_BASE_GAME</v>
      </c>
      <c r="BF240" s="21" t="str">
        <f t="shared" si="20"/>
        <v>, zoneIds={104,104,308,104}, veteran=false</v>
      </c>
      <c r="BG240" s="21" t="str">
        <f t="shared" si="21"/>
        <v>, setType=LIBSETS_SETTYPE_OVERLAND</v>
      </c>
      <c r="BH240" s="21" t="str">
        <f t="shared" si="22"/>
        <v>, dropMechanic={LIBSETS_DROP_MECHANIC_OVERLAND_BOSS_DELVE,LIBSETS_DROP_MECHANIC_OVERLAND_WORLDBOSS,LIBSETS_DROP_MECHANIC_OVERLAND_BOSS_PUBLIC_DUNGEON,LIBSETS_DROP_MECHANIC_OVERLAND_CHEST}</v>
      </c>
      <c r="BI240" s="21" t="str">
        <f t="shared" si="23"/>
        <v>}, --Order of Diagna / Orden von Diagna   [Alik'r Desert, Alik'r Desert, Lost City of the Na-Totambu, Alik'r Desert]</v>
      </c>
    </row>
    <row r="241" spans="1:61" x14ac:dyDescent="0.25">
      <c r="A241" s="12">
        <v>285</v>
      </c>
      <c r="B241" t="s">
        <v>1092</v>
      </c>
      <c r="C241" t="s">
        <v>1093</v>
      </c>
      <c r="D241" s="3">
        <f t="shared" si="18"/>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WayshrineInfo'!$K$3:$N$9971,4,FALSE),"")))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WayshrineInfo'!$K$3:$L$9971,2,FALSE),"")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WayshrineInfo'!$K$3:$L$9971,2,FALSE),"")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 t="shared" si="19"/>
        <v>[285] = {wayshrines={36,36,36,}, dlcId=DLC_BASE_GAME</v>
      </c>
      <c r="BF241" s="21" t="str">
        <f t="shared" si="20"/>
        <v>, zoneIds={92,92,169,92}, veteran=false</v>
      </c>
      <c r="BG241" s="21" t="str">
        <f t="shared" si="21"/>
        <v>, setType=LIBSETS_SETTYPE_OVERLAND</v>
      </c>
      <c r="BH241" s="21" t="str">
        <f t="shared" si="22"/>
        <v>, dropMechanic={LIBSETS_DROP_MECHANIC_OVERLAND_BOSS_DELVE,LIBSETS_DROP_MECHANIC_OVERLAND_WORLDBOSS,LIBSETS_DROP_MECHANIC_OVERLAND_BOSS_PUBLIC_DUNGEON,LIBSETS_DROP_MECHANIC_OVERLAND_CHEST}</v>
      </c>
      <c r="BI241" s="21" t="str">
        <f t="shared" si="23"/>
        <v>}, --Vampire Lord / Vampirfürst   [Bangkorai, Bangkorai, Razak's Wheel, Bangkorai]</v>
      </c>
    </row>
    <row r="242" spans="1:61" x14ac:dyDescent="0.25">
      <c r="A242" s="12">
        <v>286</v>
      </c>
      <c r="B242" t="s">
        <v>1094</v>
      </c>
      <c r="C242" t="s">
        <v>2523</v>
      </c>
      <c r="D242" s="3">
        <f t="shared" si="18"/>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WayshrineInfo'!$K$3:$N$9971,4,FALSE),"")))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WayshrineInfo'!$K$3:$L$9971,2,FALSE),"")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WayshrineInfo'!$K$3:$L$9971,2,FALSE),"")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 t="shared" si="19"/>
        <v>[286] = {wayshrines={36,36,36,}, dlcId=DLC_BASE_GAME</v>
      </c>
      <c r="BF242" s="21" t="str">
        <f t="shared" si="20"/>
        <v>, zoneIds={92,92,169,92}, veteran=false</v>
      </c>
      <c r="BG242" s="21" t="str">
        <f t="shared" si="21"/>
        <v>, setType=LIBSETS_SETTYPE_OVERLAND</v>
      </c>
      <c r="BH242" s="21" t="str">
        <f t="shared" si="22"/>
        <v>, isProcSetAllowedInPvP=1, dropMechanic={LIBSETS_DROP_MECHANIC_OVERLAND_BOSS_DELVE,LIBSETS_DROP_MECHANIC_OVERLAND_WORLDBOSS,LIBSETS_DROP_MECHANIC_OVERLAND_BOSS_PUBLIC_DUNGEON,LIBSETS_DROP_MECHANIC_OVERLAND_CHEST}</v>
      </c>
      <c r="BI242" s="21" t="str">
        <f t="shared" si="23"/>
        <v>}, --Spriggan\'s Thorns / Dornen des Zweiglings   [Bangkorai, Bangkorai, Razak's Wheel, Bangkorai]</v>
      </c>
    </row>
    <row r="243" spans="1:61" x14ac:dyDescent="0.25">
      <c r="A243" s="12">
        <v>287</v>
      </c>
      <c r="B243" t="s">
        <v>1095</v>
      </c>
      <c r="C243" t="s">
        <v>1096</v>
      </c>
      <c r="D243" s="3">
        <f t="shared" si="18"/>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WayshrineInfo'!$K$3:$N$9971,4,FALSE),"")))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WayshrineInfo'!$K$3:$L$9971,2,FALSE),"")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WayshrineInfo'!$K$3:$L$9971,2,FALSE),"")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 t="shared" si="19"/>
        <v>[287] = {wayshrines={214,214,214,}, dlcId=DLC_BASE_GAME</v>
      </c>
      <c r="BF243" s="21" t="str">
        <f t="shared" si="20"/>
        <v>, zoneIds={383,383,124,383}, veteran=false</v>
      </c>
      <c r="BG243" s="21" t="str">
        <f t="shared" si="21"/>
        <v>, setType=LIBSETS_SETTYPE_OVERLAND</v>
      </c>
      <c r="BH243" s="21" t="str">
        <f t="shared" si="22"/>
        <v>, dropMechanic={LIBSETS_DROP_MECHANIC_OVERLAND_BOSS_DELVE,LIBSETS_DROP_MECHANIC_OVERLAND_WORLDBOSS,LIBSETS_DROP_MECHANIC_OVERLAND_BOSS_PUBLIC_DUNGEON,LIBSETS_DROP_MECHANIC_OVERLAND_CHEST}</v>
      </c>
      <c r="BI243" s="21" t="str">
        <f t="shared" si="23"/>
        <v>}, --Green Pact / Der Grüne Pakt   [Grahtwood, Grahtwood, Root Sunder Ruins, Grahtwood]</v>
      </c>
    </row>
    <row r="244" spans="1:61" s="14" customFormat="1" x14ac:dyDescent="0.25">
      <c r="A244" s="12">
        <v>288</v>
      </c>
      <c r="B244" t="s">
        <v>1097</v>
      </c>
      <c r="C244" t="s">
        <v>2588</v>
      </c>
      <c r="D244" s="3">
        <f t="shared" si="18"/>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WayshrineInfo'!$K$3:$N$9971,4,FALSE),"")))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WayshrineInfo'!$K$3:$L$9971,2,FALSE),"")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WayshrineInfo'!$K$3:$L$9971,2,FALSE),"")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 t="shared" si="19"/>
        <v>[288] = {wayshrines={143,143,143,}, dlcId=DLC_BASE_GAME</v>
      </c>
      <c r="BF244" s="21" t="str">
        <f t="shared" si="20"/>
        <v>, zoneIds={108,108,137,108}, veteran=false</v>
      </c>
      <c r="BG244" s="21" t="str">
        <f t="shared" si="21"/>
        <v>, setType=LIBSETS_SETTYPE_OVERLAND</v>
      </c>
      <c r="BH244" s="21" t="str">
        <f t="shared" si="22"/>
        <v>, isProcSetAllowedInPvP=1, dropMechanic={LIBSETS_DROP_MECHANIC_OVERLAND_BOSS_DELVE,LIBSETS_DROP_MECHANIC_OVERLAND_WORLDBOSS,LIBSETS_DROP_MECHANIC_OVERLAND_BOSS_PUBLIC_DUNGEON,LIBSETS_DROP_MECHANIC_OVERLAND_CHEST}</v>
      </c>
      <c r="BI244" s="21" t="str">
        <f t="shared" si="23"/>
        <v>}, --Beekeeper\'s Gear / Werkzeug des Bienenhüters   [Greenshade, Greenshade, Rulanyil's Fall, Greenshade]</v>
      </c>
    </row>
    <row r="245" spans="1:61" x14ac:dyDescent="0.25">
      <c r="A245" s="12">
        <v>289</v>
      </c>
      <c r="B245" t="s">
        <v>1098</v>
      </c>
      <c r="C245" t="s">
        <v>2522</v>
      </c>
      <c r="D245" s="3">
        <f t="shared" si="18"/>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WayshrineInfo'!$K$3:$N$9971,4,FALSE),"")))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WayshrineInfo'!$K$3:$L$9971,2,FALSE),"")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WayshrineInfo'!$K$3:$L$9971,2,FALSE),"")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 t="shared" si="19"/>
        <v>[289] = {wayshrines={102,102,102,}, dlcId=DLC_BASE_GAME</v>
      </c>
      <c r="BF245" s="21" t="str">
        <f t="shared" si="20"/>
        <v>, zoneIds={58,58,138,58}, veteran=false</v>
      </c>
      <c r="BG245" s="21" t="str">
        <f t="shared" si="21"/>
        <v>, setType=LIBSETS_SETTYPE_OVERLAND</v>
      </c>
      <c r="BH245" s="21" t="str">
        <f t="shared" si="22"/>
        <v>, isProcSetAllowedInPvP=1, dropMechanic={LIBSETS_DROP_MECHANIC_OVERLAND_BOSS_DELVE,LIBSETS_DROP_MECHANIC_OVERLAND_WORLDBOSS,LIBSETS_DROP_MECHANIC_OVERLAND_BOSS_PUBLIC_DUNGEON,LIBSETS_DROP_MECHANIC_OVERLAND_CHEST}</v>
      </c>
      <c r="BI245" s="21" t="str">
        <f t="shared" si="23"/>
        <v>}, --Spinner\'s Garments / Gewänder des Webers   [Malabal Tor, Malabal Tor, Crimson Cove, Malabal Tor]</v>
      </c>
    </row>
    <row r="246" spans="1:61" x14ac:dyDescent="0.25">
      <c r="A246" s="12">
        <v>290</v>
      </c>
      <c r="B246" t="s">
        <v>1099</v>
      </c>
      <c r="C246" t="s">
        <v>1100</v>
      </c>
      <c r="D246" s="3">
        <f t="shared" si="18"/>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WayshrineInfo'!$K$3:$N$9971,4,FALSE),"")))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WayshrineInfo'!$K$3:$L$9971,2,FALSE),"")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WayshrineInfo'!$K$3:$L$9971,2,FALSE),"")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 t="shared" si="19"/>
        <v>[290] = {wayshrines={162,162,162,}, dlcId=DLC_BASE_GAME</v>
      </c>
      <c r="BF246" s="21" t="str">
        <f t="shared" si="20"/>
        <v>, zoneIds={382,382,487,382}, veteran=false</v>
      </c>
      <c r="BG246" s="21" t="str">
        <f t="shared" si="21"/>
        <v>, setType=LIBSETS_SETTYPE_OVERLAND</v>
      </c>
      <c r="BH246" s="21" t="str">
        <f t="shared" si="22"/>
        <v>, dropMechanic={LIBSETS_DROP_MECHANIC_OVERLAND_BOSS_DELVE,LIBSETS_DROP_MECHANIC_OVERLAND_WORLDBOSS,LIBSETS_DROP_MECHANIC_OVERLAND_BOSS_PUBLIC_DUNGEON,LIBSETS_DROP_MECHANIC_OVERLAND_CHEST}</v>
      </c>
      <c r="BI246" s="21" t="str">
        <f t="shared" si="23"/>
        <v>}, --Skooma Smuggler / Skoomaschmuggler   [Reaper's March, Reaper's March, The Vile Manse, Reaper's March]</v>
      </c>
    </row>
    <row r="247" spans="1:61" x14ac:dyDescent="0.25">
      <c r="A247" s="12">
        <v>291</v>
      </c>
      <c r="B247" t="s">
        <v>1101</v>
      </c>
      <c r="C247" t="s">
        <v>1102</v>
      </c>
      <c r="D247" s="3">
        <f t="shared" si="18"/>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WayshrineInfo'!$K$3:$N$9971,4,FALSE),"")))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WayshrineInfo'!$K$3:$L$9971,2,FALSE),"")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WayshrineInfo'!$K$3:$L$9971,2,FALSE),"")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 t="shared" si="19"/>
        <v>[291] = {wayshrines={65,65,65,}, dlcId=DLC_BASE_GAME</v>
      </c>
      <c r="BF247" s="21" t="str">
        <f t="shared" si="20"/>
        <v>, zoneIds={41,41,216,41}, veteran=false</v>
      </c>
      <c r="BG247" s="21" t="str">
        <f t="shared" si="21"/>
        <v>, setType=LIBSETS_SETTYPE_OVERLAND</v>
      </c>
      <c r="BH247" s="21" t="str">
        <f t="shared" si="22"/>
        <v>, dropMechanic={LIBSETS_DROP_MECHANIC_OVERLAND_BOSS_DELVE,LIBSETS_DROP_MECHANIC_OVERLAND_WORLDBOSS,LIBSETS_DROP_MECHANIC_OVERLAND_BOSS_PUBLIC_DUNGEON,LIBSETS_DROP_MECHANIC_OVERLAND_CHEST}</v>
      </c>
      <c r="BI247" s="21" t="str">
        <f t="shared" si="23"/>
        <v>}, --Shalk Exoskeleton / Schröterpanzer   [Stonefalls, Stonefalls, Crow's Wood, Stonefalls]</v>
      </c>
    </row>
    <row r="248" spans="1:61" x14ac:dyDescent="0.25">
      <c r="A248" s="12">
        <v>292</v>
      </c>
      <c r="B248" t="s">
        <v>1103</v>
      </c>
      <c r="C248" t="s">
        <v>2589</v>
      </c>
      <c r="D248" s="3">
        <f t="shared" si="18"/>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WayshrineInfo'!$K$3:$N$9971,4,FALSE),"")))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WayshrineInfo'!$K$3:$L$9971,2,FALSE),"")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WayshrineInfo'!$K$3:$L$9971,2,FALSE),"")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 t="shared" si="19"/>
        <v>[292] = {wayshrines={28,28,28,}, dlcId=DLC_BASE_GAME</v>
      </c>
      <c r="BF248" s="21" t="str">
        <f t="shared" si="20"/>
        <v>, zoneIds={57,57,306,57}, veteran=false</v>
      </c>
      <c r="BG248" s="21" t="str">
        <f t="shared" si="21"/>
        <v>, setType=LIBSETS_SETTYPE_OVERLAND</v>
      </c>
      <c r="BH248" s="21" t="str">
        <f t="shared" si="22"/>
        <v>, dropMechanic={LIBSETS_DROP_MECHANIC_OVERLAND_BOSS_DELVE,LIBSETS_DROP_MECHANIC_OVERLAND_WORLDBOSS,LIBSETS_DROP_MECHANIC_OVERLAND_BOSS_PUBLIC_DUNGEON,LIBSETS_DROP_MECHANIC_OVERLAND_CHEST}</v>
      </c>
      <c r="BI248" s="21" t="str">
        <f t="shared" si="23"/>
        <v>}, --Mother\'s Sorrow / Muttertränen   [Deshaan, Deshaan, Forgotten Crypts, Deshaan]</v>
      </c>
    </row>
    <row r="249" spans="1:61" x14ac:dyDescent="0.25">
      <c r="A249" s="12">
        <v>293</v>
      </c>
      <c r="B249" t="s">
        <v>1104</v>
      </c>
      <c r="C249" t="s">
        <v>1105</v>
      </c>
      <c r="D249" s="3">
        <f t="shared" si="18"/>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WayshrineInfo'!$K$3:$N$9971,4,FALSE),"")))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WayshrineInfo'!$K$3:$L$9971,2,FALSE),"")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WayshrineInfo'!$K$3:$L$9971,2,FALSE),"")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 t="shared" si="19"/>
        <v>[293] = {wayshrines={28,28,28,}, dlcId=DLC_BASE_GAME</v>
      </c>
      <c r="BF249" s="21" t="str">
        <f t="shared" si="20"/>
        <v>, zoneIds={57,57,306,57}, veteran=false</v>
      </c>
      <c r="BG249" s="21" t="str">
        <f t="shared" si="21"/>
        <v>, setType=LIBSETS_SETTYPE_OVERLAND</v>
      </c>
      <c r="BH249" s="21" t="str">
        <f t="shared" si="22"/>
        <v>, isProcSetAllowedInPvP=1, dropMechanic={LIBSETS_DROP_MECHANIC_OVERLAND_BOSS_DELVE,LIBSETS_DROP_MECHANIC_OVERLAND_WORLDBOSS,LIBSETS_DROP_MECHANIC_OVERLAND_BOSS_PUBLIC_DUNGEON,LIBSETS_DROP_MECHANIC_OVERLAND_CHEST}</v>
      </c>
      <c r="BI249" s="21" t="str">
        <f t="shared" si="23"/>
        <v>}, --Plague Doctor / Seuchendoktor   [Deshaan, Deshaan, Forgotten Crypts, Deshaan]</v>
      </c>
    </row>
    <row r="250" spans="1:61" x14ac:dyDescent="0.25">
      <c r="A250" s="12">
        <v>294</v>
      </c>
      <c r="B250" t="s">
        <v>1106</v>
      </c>
      <c r="C250" t="s">
        <v>2590</v>
      </c>
      <c r="D250" s="3">
        <f t="shared" si="18"/>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WayshrineInfo'!$K$3:$N$9971,4,FALSE),"")))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WayshrineInfo'!$K$3:$L$9971,2,FALSE),"")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WayshrineInfo'!$K$3:$L$9971,2,FALSE),"")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 t="shared" si="19"/>
        <v>[294] = {wayshrines={109,109,109,}, dlcId=DLC_BASE_GAME</v>
      </c>
      <c r="BF250" s="21" t="str">
        <f t="shared" si="20"/>
        <v>, zoneIds={103,103,341,103}, veteran=false</v>
      </c>
      <c r="BG250" s="21" t="str">
        <f t="shared" si="21"/>
        <v>, setType=LIBSETS_SETTYPE_OVERLAND</v>
      </c>
      <c r="BH250" s="21" t="str">
        <f t="shared" si="22"/>
        <v>, isProcSetAllowedInPvP=1, dropMechanic={LIBSETS_DROP_MECHANIC_OVERLAND_BOSS_DELVE,LIBSETS_DROP_MECHANIC_OVERLAND_WORLDBOSS,LIBSETS_DROP_MECHANIC_OVERLAND_BOSS_PUBLIC_DUNGEON,LIBSETS_DROP_MECHANIC_OVERLAND_CHEST}</v>
      </c>
      <c r="BI250" s="21" t="str">
        <f t="shared" si="23"/>
        <v>}, --Ysgramor\'s Birthright / Ysgramors Geburtsrecht   [The Rift, The Rift, The Lion's Den, The Rift]</v>
      </c>
    </row>
    <row r="251" spans="1:61" x14ac:dyDescent="0.25">
      <c r="A251" s="12">
        <v>295</v>
      </c>
      <c r="B251" t="s">
        <v>1107</v>
      </c>
      <c r="C251" t="s">
        <v>1108</v>
      </c>
      <c r="D251" s="3">
        <f t="shared" si="18"/>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WayshrineInfo'!$K$3:$N$9971,4,FALSE),"")))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WayshrineInfo'!$K$3:$L$9971,2,FALSE),"")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WayshrineInfo'!$K$3:$L$9971,2,FALSE),"")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 t="shared" si="19"/>
        <v>[295] = {wayshrines={194,194,194,}, dlcId=DLC_BASE_GAME</v>
      </c>
      <c r="BF251" s="21" t="str">
        <f t="shared" si="20"/>
        <v>, zoneIds={380,935,381}, veteran=false</v>
      </c>
      <c r="BG251" s="21" t="str">
        <f t="shared" si="21"/>
        <v>, setType=LIBSETS_SETTYPE_DUNGEON</v>
      </c>
      <c r="BH251" s="21" t="str">
        <f t="shared" si="22"/>
        <v>, dropMechanic={LIBSETS_DROP_MECHANIC_GROUP_DUNGEON_BOSS,LIBSETS_DROP_MECHANIC_GROUP_DUNGEON_BOSS}</v>
      </c>
      <c r="BI251" s="21" t="str">
        <f t="shared" si="23"/>
        <v>}, --Jailbreaker / Ausbrecher   [The Banished Cells I, The Banished Cells II, Auridon]</v>
      </c>
    </row>
    <row r="252" spans="1:61" x14ac:dyDescent="0.25">
      <c r="A252" s="12">
        <v>296</v>
      </c>
      <c r="B252" t="s">
        <v>1109</v>
      </c>
      <c r="C252" t="s">
        <v>1110</v>
      </c>
      <c r="D252" s="3">
        <f t="shared" si="18"/>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WayshrineInfo'!$K$3:$N$9971,4,FALSE),"")))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WayshrineInfo'!$K$3:$L$9971,2,FALSE),"")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WayshrineInfo'!$K$3:$L$9971,2,FALSE),"")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 t="shared" si="19"/>
        <v>[296] = {wayshrines={193,193,193,}, dlcId=DLC_BASE_GAME</v>
      </c>
      <c r="BF252" s="21" t="str">
        <f t="shared" si="20"/>
        <v>, zoneIds={144,936,3}, veteran=false</v>
      </c>
      <c r="BG252" s="21" t="str">
        <f t="shared" si="21"/>
        <v>, setType=LIBSETS_SETTYPE_DUNGEON</v>
      </c>
      <c r="BH252" s="21" t="str">
        <f t="shared" si="22"/>
        <v>, dropMechanic={LIBSETS_DROP_MECHANIC_GROUP_DUNGEON_BOSS,LIBSETS_DROP_MECHANIC_GROUP_DUNGEON_BOSS}</v>
      </c>
      <c r="BI252" s="21" t="str">
        <f t="shared" si="23"/>
        <v>}, --Spelunker / Höhlenforscher   [Spindleclutch I, Spindleclutch II, Glenumbra]</v>
      </c>
    </row>
    <row r="253" spans="1:61" x14ac:dyDescent="0.25">
      <c r="A253" s="12">
        <v>297</v>
      </c>
      <c r="B253" t="s">
        <v>1111</v>
      </c>
      <c r="C253" t="s">
        <v>1112</v>
      </c>
      <c r="D253" s="3">
        <f t="shared" si="18"/>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WayshrineInfo'!$K$3:$N$9971,4,FALSE),"")))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WayshrineInfo'!$K$3:$L$9971,2,FALSE),"")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WayshrineInfo'!$K$3:$L$9971,2,FALSE),"")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 t="shared" si="19"/>
        <v>[297] = {wayshrines={98,98,98,}, dlcId=DLC_BASE_GAME</v>
      </c>
      <c r="BF253" s="21" t="str">
        <f t="shared" si="20"/>
        <v>, zoneIds={283,934,41}, veteran=false</v>
      </c>
      <c r="BG253" s="21" t="str">
        <f t="shared" si="21"/>
        <v>, setType=LIBSETS_SETTYPE_DUNGEON</v>
      </c>
      <c r="BH253" s="21" t="str">
        <f t="shared" si="22"/>
        <v>, isProcSetAllowedInPvP=1, dropMechanic={LIBSETS_DROP_MECHANIC_GROUP_DUNGEON_BOSS,LIBSETS_DROP_MECHANIC_GROUP_DUNGEON_BOSS}</v>
      </c>
      <c r="BI253" s="21" t="str">
        <f t="shared" si="23"/>
        <v>}, --Spider Cultist Cowl / Spinnenkultistenkutte   [Fungal Grotto I, Fungal Grotto II, Stonefalls]</v>
      </c>
    </row>
    <row r="254" spans="1:61" x14ac:dyDescent="0.25">
      <c r="A254" s="12">
        <v>298</v>
      </c>
      <c r="B254" t="s">
        <v>1113</v>
      </c>
      <c r="C254" t="s">
        <v>1114</v>
      </c>
      <c r="D254" s="3">
        <f t="shared" si="18"/>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WayshrineInfo'!$K$3:$N$9971,4,FALSE),"")))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WayshrineInfo'!$K$3:$L$9971,2,FALSE),"")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WayshrineInfo'!$K$3:$L$9971,2,FALSE),"")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 t="shared" si="19"/>
        <v>[298] = {wayshrines={191,191,191,}, dlcId=DLC_BASE_GAME</v>
      </c>
      <c r="BF254" s="21" t="str">
        <f t="shared" si="20"/>
        <v>, zoneIds={126,931,383}, veteran=false</v>
      </c>
      <c r="BG254" s="21" t="str">
        <f t="shared" si="21"/>
        <v>, setType=LIBSETS_SETTYPE_DUNGEON</v>
      </c>
      <c r="BH254" s="21" t="str">
        <f t="shared" si="22"/>
        <v>, isProcSetAllowedInPvP=1, dropMechanic={LIBSETS_DROP_MECHANIC_GROUP_DUNGEON_BOSS,LIBSETS_DROP_MECHANIC_GROUP_DUNGEON_BOSS}</v>
      </c>
      <c r="BI254" s="21" t="str">
        <f t="shared" si="23"/>
        <v>}, --Light Speaker / Lichtsprecher   [Elden Hollow I, Elden Hollow II, Grahtwood]</v>
      </c>
    </row>
    <row r="255" spans="1:61" x14ac:dyDescent="0.25">
      <c r="A255" s="12">
        <v>299</v>
      </c>
      <c r="B255" t="s">
        <v>1115</v>
      </c>
      <c r="C255" t="s">
        <v>1116</v>
      </c>
      <c r="D255" s="3">
        <f t="shared" si="18"/>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WayshrineInfo'!$K$3:$N$9971,4,FALSE),"")))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WayshrineInfo'!$K$3:$L$9971,2,FALSE),"")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WayshrineInfo'!$K$3:$L$9971,2,FALSE),"")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 t="shared" si="19"/>
        <v>[299] = {wayshrines={189,189,189,}, dlcId=DLC_BASE_GAME</v>
      </c>
      <c r="BF255" s="21" t="str">
        <f t="shared" si="20"/>
        <v>, zoneIds={146,933,19}, veteran=false</v>
      </c>
      <c r="BG255" s="21" t="str">
        <f t="shared" si="21"/>
        <v>, setType=LIBSETS_SETTYPE_DUNGEON</v>
      </c>
      <c r="BH255" s="21" t="str">
        <f t="shared" si="22"/>
        <v>, dropMechanic={LIBSETS_DROP_MECHANIC_GROUP_DUNGEON_BOSS,LIBSETS_DROP_MECHANIC_GROUP_DUNGEON_BOSS}</v>
      </c>
      <c r="BI255" s="21" t="str">
        <f t="shared" si="23"/>
        <v>}, --Toothrow / Zahnreihe   [Wayrest Sewers I, Wayrest Sewers II, Stormhaven]</v>
      </c>
    </row>
    <row r="256" spans="1:61" x14ac:dyDescent="0.25">
      <c r="A256" s="12">
        <v>300</v>
      </c>
      <c r="B256" t="s">
        <v>1117</v>
      </c>
      <c r="C256" t="s">
        <v>2591</v>
      </c>
      <c r="D256" s="3">
        <f t="shared" si="18"/>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WayshrineInfo'!$K$3:$N$9971,4,FALSE),"")))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WayshrineInfo'!$K$3:$L$9971,2,FALSE),"")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WayshrineInfo'!$K$3:$L$9971,2,FALSE),"")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 t="shared" si="19"/>
        <v>[300] = {wayshrines={198,198,198,}, dlcId=DLC_BASE_GAME</v>
      </c>
      <c r="BF256" s="21" t="str">
        <f t="shared" si="20"/>
        <v>, zoneIds={63,930,57}, veteran=false</v>
      </c>
      <c r="BG256" s="21" t="str">
        <f t="shared" si="21"/>
        <v>, setType=LIBSETS_SETTYPE_DUNGEON</v>
      </c>
      <c r="BH256" s="21" t="str">
        <f t="shared" si="22"/>
        <v>, isProcSetAllowedInPvP=1, dropMechanic={LIBSETS_DROP_MECHANIC_GROUP_DUNGEON_BOSS,LIBSETS_DROP_MECHANIC_GROUP_DUNGEON_BOSS}</v>
      </c>
      <c r="BI256" s="21" t="str">
        <f t="shared" si="23"/>
        <v>}, --Netch\'s Touch / Berührung des Netch   [Darkshade Caverns I, Darkshade Caverns II, Deshaan]</v>
      </c>
    </row>
    <row r="257" spans="1:61" x14ac:dyDescent="0.25">
      <c r="A257" s="12">
        <v>301</v>
      </c>
      <c r="B257" t="s">
        <v>1118</v>
      </c>
      <c r="C257" t="s">
        <v>1119</v>
      </c>
      <c r="D257" s="3">
        <f t="shared" si="18"/>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WayshrineInfo'!$K$3:$N$9971,4,FALSE),"")))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WayshrineInfo'!$K$3:$L$9971,2,FALSE),"")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WayshrineInfo'!$K$3:$L$9971,2,FALSE),"")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 t="shared" si="19"/>
        <v>[301] = {wayshrines={198,198,198,}, dlcId=DLC_BASE_GAME</v>
      </c>
      <c r="BF257" s="21" t="str">
        <f t="shared" si="20"/>
        <v>, zoneIds={63,930,57}, veteran=false</v>
      </c>
      <c r="BG257" s="21" t="str">
        <f t="shared" si="21"/>
        <v>, setType=LIBSETS_SETTYPE_DUNGEON</v>
      </c>
      <c r="BH257" s="21" t="str">
        <f t="shared" si="22"/>
        <v>, isProcSetAllowedInPvP=1, dropMechanic={LIBSETS_DROP_MECHANIC_GROUP_DUNGEON_BOSS,LIBSETS_DROP_MECHANIC_GROUP_DUNGEON_BOSS}</v>
      </c>
      <c r="BI257" s="21" t="str">
        <f t="shared" si="23"/>
        <v>}, --Strength of the Automaton / Stärke des Automaten   [Darkshade Caverns I, Darkshade Caverns II, Deshaan]</v>
      </c>
    </row>
    <row r="258" spans="1:61" x14ac:dyDescent="0.25">
      <c r="A258" s="12">
        <v>302</v>
      </c>
      <c r="B258" t="s">
        <v>1120</v>
      </c>
      <c r="C258" t="s">
        <v>1120</v>
      </c>
      <c r="D258" s="3">
        <f t="shared" si="18"/>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WayshrineInfo'!$K$3:$N$9971,4,FALSE),"")))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WayshrineInfo'!$K$3:$L$9971,2,FALSE),"")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WayshrineInfo'!$K$3:$L$9971,2,FALSE),"")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 t="shared" si="19"/>
        <v>[302] = {wayshrines={190,190,190,}, dlcId=DLC_BASE_GAME</v>
      </c>
      <c r="BF258" s="21" t="str">
        <f t="shared" si="20"/>
        <v>, zoneIds={130,932,20}, veteran=false</v>
      </c>
      <c r="BG258" s="21" t="str">
        <f t="shared" si="21"/>
        <v>, setType=LIBSETS_SETTYPE_DUNGEON</v>
      </c>
      <c r="BH258" s="21" t="str">
        <f t="shared" si="22"/>
        <v>, isProcSetAllowedInPvP=1, dropMechanic={LIBSETS_DROP_MECHANIC_GROUP_DUNGEON_BOSS,LIBSETS_DROP_MECHANIC_GROUP_DUNGEON_BOSS}</v>
      </c>
      <c r="BI258" s="21" t="str">
        <f t="shared" si="23"/>
        <v>}, --Leviathan / Leviathan   [Crypt of Hearts I, Crypt of Hearts II, Rivenspire]</v>
      </c>
    </row>
    <row r="259" spans="1:61" x14ac:dyDescent="0.25">
      <c r="A259" s="12">
        <v>303</v>
      </c>
      <c r="B259" t="s">
        <v>1121</v>
      </c>
      <c r="C259" t="s">
        <v>2592</v>
      </c>
      <c r="D259" s="3">
        <f t="shared" ref="D259:D322" si="24">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WayshrineInfo'!$K$3:$N$9971,4,FALSE),"")))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WayshrineInfo'!$K$3:$L$9971,2,FALSE),"")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WayshrineInfo'!$K$3:$L$9971,2,FALSE),"")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 t="shared" ref="BG259:BG322" si="27">IF(A259&lt;&gt;"",IF(F259&lt;&gt;"Not in the game (anymore)",IF(A259&lt;&gt;"",", setType="&amp;G259,"")&amp;IF(G259="LIBSETS_SETTYPE_CLASS",", classId="&amp;BC259,"")&amp;IF(J259="true",", multiTrialSet=true",""),"")
&amp; IF(AND(H259&lt;&gt;"",ISNUMBER(H259)),", undauntedChestId=" &amp; H259,""),"")</f>
        <v>, setType=LIBSETS_SETTYPE_DUNGEON</v>
      </c>
      <c r="BH259" s="21" t="str">
        <f t="shared" ref="BH259:BH322" si="28">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 t="shared" ref="BI259:BI322" si="29">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 t="shared" si="24"/>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WayshrineInfo'!$K$3:$N$9971,4,FALSE),"")))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WayshrineInfo'!$K$3:$L$9971,2,FALSE),"")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WayshrineInfo'!$K$3:$L$9971,2,FALSE),"")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 t="shared" si="25"/>
        <v>[304] = {wayshrines={192,192,192,}, dlcId=DLC_BASE_GAME</v>
      </c>
      <c r="BF260" s="21" t="str">
        <f t="shared" si="26"/>
        <v>, zoneIds={148,117,117}, veteran=false</v>
      </c>
      <c r="BG260" s="21" t="str">
        <f t="shared" si="27"/>
        <v>, setType=LIBSETS_SETTYPE_DUNGEON</v>
      </c>
      <c r="BH260" s="21" t="str">
        <f t="shared" si="28"/>
        <v>, dropMechanic={LIBSETS_DROP_MECHANIC_GROUP_DUNGEON_BOSS}</v>
      </c>
      <c r="BI260" s="21" t="str">
        <f t="shared" si="29"/>
        <v>}, --Medusa / Versteinernder Blick   [Arx Corinium, Shadowfen, Shadowfen]</v>
      </c>
    </row>
    <row r="261" spans="1:61" x14ac:dyDescent="0.25">
      <c r="A261" s="12">
        <v>305</v>
      </c>
      <c r="B261" t="s">
        <v>1124</v>
      </c>
      <c r="C261" t="s">
        <v>1125</v>
      </c>
      <c r="D261" s="3">
        <f t="shared" si="24"/>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WayshrineInfo'!$K$3:$N$9971,4,FALSE),"")))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WayshrineInfo'!$K$3:$L$9971,2,FALSE),"")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WayshrineInfo'!$K$3:$L$9971,2,FALSE),"")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 t="shared" si="25"/>
        <v>[305] = {wayshrines={196,196,196,}, dlcId=DLC_BASE_GAME</v>
      </c>
      <c r="BF261" s="21" t="str">
        <f t="shared" si="26"/>
        <v>, zoneIds={22,104,104}, veteran=false</v>
      </c>
      <c r="BG261" s="21" t="str">
        <f t="shared" si="27"/>
        <v>, setType=LIBSETS_SETTYPE_DUNGEON</v>
      </c>
      <c r="BH261" s="21" t="str">
        <f t="shared" si="28"/>
        <v>, dropMechanic={LIBSETS_DROP_MECHANIC_GROUP_DUNGEON_BOSS}</v>
      </c>
      <c r="BI261" s="21" t="str">
        <f t="shared" si="29"/>
        <v>}, --Treasure Hunter / Schatzjäger   [Volenfell, Alik'r Desert, Alik'r Desert]</v>
      </c>
    </row>
    <row r="262" spans="1:61" x14ac:dyDescent="0.25">
      <c r="A262" s="12">
        <v>307</v>
      </c>
      <c r="B262" t="s">
        <v>1126</v>
      </c>
      <c r="C262" t="s">
        <v>1127</v>
      </c>
      <c r="D262" s="3">
        <f t="shared" si="24"/>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WayshrineInfo'!$K$3:$N$9971,4,FALSE),"")))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WayshrineInfo'!$K$3:$L$9971,2,FALSE),"")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WayshrineInfo'!$K$3:$L$9971,2,FALSE),"")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 t="shared" si="25"/>
        <v>[307] = {wayshrines={195,195,195,}, dlcId=DLC_BASE_GAME</v>
      </c>
      <c r="BF262" s="21" t="str">
        <f t="shared" si="26"/>
        <v>, zoneIds={449,101,101}, veteran=false</v>
      </c>
      <c r="BG262" s="21" t="str">
        <f t="shared" si="27"/>
        <v>, setType=LIBSETS_SETTYPE_DUNGEON</v>
      </c>
      <c r="BH262" s="21" t="str">
        <f t="shared" si="28"/>
        <v>, isProcSetAllowedInPvP=1, dropMechanic={LIBSETS_DROP_MECHANIC_GROUP_DUNGEON_BOSS}</v>
      </c>
      <c r="BI262" s="21" t="str">
        <f t="shared" si="29"/>
        <v>}, --Draugr Hulk / Schwerfälliger Draugr   [Direfrost Keep, Eastmarch, Eastmarch]</v>
      </c>
    </row>
    <row r="263" spans="1:61" x14ac:dyDescent="0.25">
      <c r="A263" s="12">
        <v>308</v>
      </c>
      <c r="B263" t="s">
        <v>1128</v>
      </c>
      <c r="C263" t="s">
        <v>2593</v>
      </c>
      <c r="D263" s="3">
        <f t="shared" si="24"/>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WayshrineInfo'!$K$3:$N$9971,4,FALSE),"")))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WayshrineInfo'!$K$3:$L$9971,2,FALSE),"")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WayshrineInfo'!$K$3:$L$9971,2,FALSE),"")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 t="shared" si="25"/>
        <v>[308] = {wayshrines={186,186,186,}, dlcId=DLC_BASE_GAME</v>
      </c>
      <c r="BF263" s="21" t="str">
        <f t="shared" si="26"/>
        <v>, zoneIds={38,92,92}, veteran=false</v>
      </c>
      <c r="BG263" s="21" t="str">
        <f t="shared" si="27"/>
        <v>, setType=LIBSETS_SETTYPE_DUNGEON</v>
      </c>
      <c r="BH263" s="21" t="str">
        <f t="shared" si="28"/>
        <v>, dropMechanic={LIBSETS_DROP_MECHANIC_GROUP_DUNGEON_BOSS}</v>
      </c>
      <c r="BI263" s="21" t="str">
        <f t="shared" si="29"/>
        <v>}, --Bone Pirate\'s Tatters / Lumpen des Knochenpiraten   [Blackheart Haven, Bangkorai, Bangkorai]</v>
      </c>
    </row>
    <row r="264" spans="1:61" x14ac:dyDescent="0.25">
      <c r="A264" s="12">
        <v>309</v>
      </c>
      <c r="B264" t="s">
        <v>1129</v>
      </c>
      <c r="C264" t="s">
        <v>2594</v>
      </c>
      <c r="D264" s="3">
        <f t="shared" si="24"/>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WayshrineInfo'!$K$3:$N$9971,4,FALSE),"")))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WayshrineInfo'!$K$3:$L$9971,2,FALSE),"")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WayshrineInfo'!$K$3:$L$9971,2,FALSE),"")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 t="shared" si="25"/>
        <v>[309] = {wayshrines={186,186,186,}, dlcId=DLC_BASE_GAME</v>
      </c>
      <c r="BF264" s="21" t="str">
        <f t="shared" si="26"/>
        <v>, zoneIds={38,92,92}, veteran=false</v>
      </c>
      <c r="BG264" s="21" t="str">
        <f t="shared" si="27"/>
        <v>, setType=LIBSETS_SETTYPE_DUNGEON</v>
      </c>
      <c r="BH264" s="21" t="str">
        <f t="shared" si="28"/>
        <v>, dropMechanic={LIBSETS_DROP_MECHANIC_GROUP_DUNGEON_BOSS}</v>
      </c>
      <c r="BI264" s="21" t="str">
        <f t="shared" si="29"/>
        <v>}, --Knight-errant\'s Mail / Platten des Wanderritters   [Blackheart Haven, Bangkorai, Bangkorai]</v>
      </c>
    </row>
    <row r="265" spans="1:61" x14ac:dyDescent="0.25">
      <c r="A265" s="12">
        <v>310</v>
      </c>
      <c r="B265" t="s">
        <v>1130</v>
      </c>
      <c r="C265" t="s">
        <v>1131</v>
      </c>
      <c r="D265" s="3">
        <f t="shared" si="24"/>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WayshrineInfo'!$K$3:$N$9971,4,FALSE),"")))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WayshrineInfo'!$K$3:$L$9971,2,FALSE),"")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WayshrineInfo'!$K$3:$L$9971,2,FALSE),"")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 t="shared" si="25"/>
        <v>[310] = {wayshrines={187,187,187,}, dlcId=DLC_BASE_GAME</v>
      </c>
      <c r="BF265" s="21" t="str">
        <f t="shared" si="26"/>
        <v>, zoneIds={64,103,103}, veteran=false</v>
      </c>
      <c r="BG265" s="21" t="str">
        <f t="shared" si="27"/>
        <v>, setType=LIBSETS_SETTYPE_DUNGEON</v>
      </c>
      <c r="BH265" s="21" t="str">
        <f t="shared" si="28"/>
        <v>, isProcSetAllowedInPvP=1, dropMechanic={LIBSETS_DROP_MECHANIC_GROUP_DUNGEON_BOSS}</v>
      </c>
      <c r="BI265" s="21" t="str">
        <f t="shared" si="29"/>
        <v>}, --Sword Dancer / Schwerttänzer   [Blessed Crucible, The Rift, The Rift]</v>
      </c>
    </row>
    <row r="266" spans="1:61" x14ac:dyDescent="0.25">
      <c r="A266" s="12">
        <v>311</v>
      </c>
      <c r="B266" t="s">
        <v>1132</v>
      </c>
      <c r="C266" t="s">
        <v>1133</v>
      </c>
      <c r="D266" s="3">
        <f t="shared" si="24"/>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WayshrineInfo'!$K$3:$N$9971,4,FALSE),"")))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WayshrineInfo'!$K$3:$L$9971,2,FALSE),"")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WayshrineInfo'!$K$3:$L$9971,2,FALSE),"")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 t="shared" si="25"/>
        <v>[311] = {wayshrines={184,184,184,}, dlcId=DLC_BASE_GAME</v>
      </c>
      <c r="BF266" s="21" t="str">
        <f t="shared" si="26"/>
        <v>, zoneIds={11,347,347}, veteran=false</v>
      </c>
      <c r="BG266" s="21" t="str">
        <f t="shared" si="27"/>
        <v>, setType=LIBSETS_SETTYPE_DUNGEON</v>
      </c>
      <c r="BH266" s="21" t="str">
        <f t="shared" si="28"/>
        <v>, dropMechanic={LIBSETS_DROP_MECHANIC_GROUP_DUNGEON_BOSS}</v>
      </c>
      <c r="BI266" s="21" t="str">
        <f t="shared" si="29"/>
        <v>}, --Rattlecage / Klapperkäfig   [Vaults of Madness, Coldharbour, Coldharbour]</v>
      </c>
    </row>
    <row r="267" spans="1:61" x14ac:dyDescent="0.25">
      <c r="A267" s="12">
        <v>313</v>
      </c>
      <c r="B267" t="s">
        <v>1134</v>
      </c>
      <c r="C267" t="s">
        <v>1135</v>
      </c>
      <c r="D267" s="3">
        <f t="shared" si="24"/>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WayshrineInfo'!$K$3:$N$9971,4,FALSE),"")))</f>
        <v>Dragonstar Arena</v>
      </c>
      <c r="T267" s="19" t="str">
        <f>IF(AND(S267&lt;&gt;"",NOT(ISERROR(S267))),S267,IF(Q267&lt;&gt;"",IF(NOT(ISERROR(VLOOKUP(Q267,'ESO Dungeon constants'!$D$3:$H$9999,5,FALSE))),VLOOKUP(Q267,'ESO Dungeon constants'!$D$3:$I$9999,6,FALSE),VLOOKUP(Q267,'ESO zone constants'!$H$3:$K$9989,4,FALSE)),""))</f>
        <v>DLC_BASE_GAME</v>
      </c>
      <c r="U267" s="3" t="str">
        <f>IF(T267&lt;&gt;"",VLOOKUP(T267,'LibSets constants'!$B$4:$C$1017,2,FALSE),"")</f>
        <v>Included in base game</v>
      </c>
      <c r="V267" s="33" t="s">
        <v>1547</v>
      </c>
      <c r="Y267" s="61"/>
      <c r="Z267" s="3">
        <f>IF(AND(G267&lt;&gt;"LIBSETS_SETTYPE_BATTLEGROUND",G267&lt;&gt;"LIBSETS_SETTYPE_SPECIAL"),
IF(AND(Y267&lt;&gt;"",ISNUMBER(Y267),NOT(ISNA(Y267))),Y267,
   IF(AND(L267&lt;&gt;"",ISNUMBER(L267),L267&gt;0,NOT(ISNA(L267))),VLOOKUP(L267,'ESO dumped WayshrineInfo'!$K$3:$L$9971,2,FALSE),"")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WayshrineInfo'!$K$3:$L$9971,2,FALSE),"")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 t="shared" si="25"/>
        <v>[313] = {wayshrines={270,270,270,}, dlcId=DLC_BASE_GAME</v>
      </c>
      <c r="BF267" s="21" t="str">
        <f t="shared" si="26"/>
        <v>, zoneIds={635,888,888}, veteran=false</v>
      </c>
      <c r="BG267" s="21" t="str">
        <f t="shared" si="27"/>
        <v>, setType=LIBSETS_SETTYPE_ARENA</v>
      </c>
      <c r="BH267" s="21" t="str">
        <f t="shared" si="28"/>
        <v>, dropMechanic={LIBSETS_DROP_MECHANIC_ARENA_STAGE_CHEST,LIBSETS_DROP_MECHANIC_ARENA_STAGE_CHEST}, perfectedSetId=528</v>
      </c>
      <c r="BI267" s="21" t="str">
        <f t="shared" si="29"/>
        <v>}, --Titanic Cleave / Titanisches Trennen   [Dragonstar Arena, Craglorn, Craglorn]</v>
      </c>
    </row>
    <row r="268" spans="1:61" x14ac:dyDescent="0.25">
      <c r="A268" s="12">
        <v>314</v>
      </c>
      <c r="B268" t="s">
        <v>1136</v>
      </c>
      <c r="C268" t="s">
        <v>1137</v>
      </c>
      <c r="D268" s="3">
        <f t="shared" si="24"/>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WayshrineInfo'!$K$3:$N$9971,4,FALSE),"")))</f>
        <v>Dragonstar Arena</v>
      </c>
      <c r="T268" s="19" t="str">
        <f>IF(AND(S268&lt;&gt;"",NOT(ISERROR(S268))),S268,IF(Q268&lt;&gt;"",IF(NOT(ISERROR(VLOOKUP(Q268,'ESO Dungeon constants'!$D$3:$H$9999,5,FALSE))),VLOOKUP(Q268,'ESO Dungeon constants'!$D$3:$I$9999,6,FALSE),VLOOKUP(Q268,'ESO zone constants'!$H$3:$K$9989,4,FALSE)),""))</f>
        <v>DLC_BASE_GAME</v>
      </c>
      <c r="U268" s="3" t="str">
        <f>IF(T268&lt;&gt;"",VLOOKUP(T268,'LibSets constants'!$B$4:$C$1017,2,FALSE),"")</f>
        <v>Included in base game</v>
      </c>
      <c r="V268" s="33" t="s">
        <v>1547</v>
      </c>
      <c r="Y268" s="61"/>
      <c r="Z268" s="3">
        <f>IF(AND(G268&lt;&gt;"LIBSETS_SETTYPE_BATTLEGROUND",G268&lt;&gt;"LIBSETS_SETTYPE_SPECIAL"),
IF(AND(Y268&lt;&gt;"",ISNUMBER(Y268),NOT(ISNA(Y268))),Y268,
   IF(AND(L268&lt;&gt;"",ISNUMBER(L268),L268&gt;0,NOT(ISNA(L268))),VLOOKUP(L268,'ESO dumped WayshrineInfo'!$K$3:$L$9971,2,FALSE),"")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WayshrineInfo'!$K$3:$L$9971,2,FALSE),"")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 t="shared" si="25"/>
        <v>[314] = {wayshrines={270,270,270,}, dlcId=DLC_BASE_GAME</v>
      </c>
      <c r="BF268" s="21" t="str">
        <f t="shared" si="26"/>
        <v>, zoneIds={635,888,888}, veteran=false</v>
      </c>
      <c r="BG268" s="21" t="str">
        <f t="shared" si="27"/>
        <v>, setType=LIBSETS_SETTYPE_ARENA</v>
      </c>
      <c r="BH268" s="21" t="str">
        <f t="shared" si="28"/>
        <v>, dropMechanic={LIBSETS_DROP_MECHANIC_ARENA_STAGE_CHEST,LIBSETS_DROP_MECHANIC_ARENA_STAGE_CHEST}, perfectedSetId=529</v>
      </c>
      <c r="BI268" s="21" t="str">
        <f t="shared" si="29"/>
        <v>}, --Puncturing Remedy / Durchschlagende Genesung   [Dragonstar Arena, Craglorn, Craglorn]</v>
      </c>
    </row>
    <row r="269" spans="1:61" x14ac:dyDescent="0.25">
      <c r="A269" s="12">
        <v>315</v>
      </c>
      <c r="B269" t="s">
        <v>1138</v>
      </c>
      <c r="C269" t="s">
        <v>1139</v>
      </c>
      <c r="D269" s="3">
        <f t="shared" si="24"/>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WayshrineInfo'!$K$3:$N$9971,4,FALSE),"")))</f>
        <v>Dragonstar Arena</v>
      </c>
      <c r="T269" s="19" t="str">
        <f>IF(AND(S269&lt;&gt;"",NOT(ISERROR(S269))),S269,IF(Q269&lt;&gt;"",IF(NOT(ISERROR(VLOOKUP(Q269,'ESO Dungeon constants'!$D$3:$H$9999,5,FALSE))),VLOOKUP(Q269,'ESO Dungeon constants'!$D$3:$I$9999,6,FALSE),VLOOKUP(Q269,'ESO zone constants'!$H$3:$K$9989,4,FALSE)),""))</f>
        <v>DLC_BASE_GAME</v>
      </c>
      <c r="U269" s="3" t="str">
        <f>IF(T269&lt;&gt;"",VLOOKUP(T269,'LibSets constants'!$B$4:$C$1017,2,FALSE),"")</f>
        <v>Included in base game</v>
      </c>
      <c r="V269" s="33" t="s">
        <v>1547</v>
      </c>
      <c r="Y269" s="61"/>
      <c r="Z269" s="3">
        <f>IF(AND(G269&lt;&gt;"LIBSETS_SETTYPE_BATTLEGROUND",G269&lt;&gt;"LIBSETS_SETTYPE_SPECIAL"),
IF(AND(Y269&lt;&gt;"",ISNUMBER(Y269),NOT(ISNA(Y269))),Y269,
   IF(AND(L269&lt;&gt;"",ISNUMBER(L269),L269&gt;0,NOT(ISNA(L269))),VLOOKUP(L269,'ESO dumped WayshrineInfo'!$K$3:$L$9971,2,FALSE),"")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WayshrineInfo'!$K$3:$L$9971,2,FALSE),"")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 t="shared" si="25"/>
        <v>[315] = {wayshrines={270,270,270,}, dlcId=DLC_BASE_GAME</v>
      </c>
      <c r="BF269" s="21" t="str">
        <f t="shared" si="26"/>
        <v>, zoneIds={635,888,888}, veteran=false</v>
      </c>
      <c r="BG269" s="21" t="str">
        <f t="shared" si="27"/>
        <v>, setType=LIBSETS_SETTYPE_ARENA</v>
      </c>
      <c r="BH269" s="21" t="str">
        <f t="shared" si="28"/>
        <v>, dropMechanic={LIBSETS_DROP_MECHANIC_ARENA_STAGE_CHEST,LIBSETS_DROP_MECHANIC_ARENA_STAGE_CHEST}, perfectedSetId=530</v>
      </c>
      <c r="BI269" s="21" t="str">
        <f t="shared" si="29"/>
        <v>}, --Stinging Slashes / Stechende Schnitte   [Dragonstar Arena, Craglorn, Craglorn]</v>
      </c>
    </row>
    <row r="270" spans="1:61" x14ac:dyDescent="0.25">
      <c r="A270" s="12">
        <v>316</v>
      </c>
      <c r="B270" t="s">
        <v>1140</v>
      </c>
      <c r="C270" t="s">
        <v>1141</v>
      </c>
      <c r="D270" s="3">
        <f t="shared" si="24"/>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WayshrineInfo'!$K$3:$N$9971,4,FALSE),"")))</f>
        <v>Dragonstar Arena</v>
      </c>
      <c r="T270" s="19" t="str">
        <f>IF(AND(S270&lt;&gt;"",NOT(ISERROR(S270))),S270,IF(Q270&lt;&gt;"",IF(NOT(ISERROR(VLOOKUP(Q270,'ESO Dungeon constants'!$D$3:$H$9999,5,FALSE))),VLOOKUP(Q270,'ESO Dungeon constants'!$D$3:$I$9999,6,FALSE),VLOOKUP(Q270,'ESO zone constants'!$H$3:$K$9989,4,FALSE)),""))</f>
        <v>DLC_BASE_GAME</v>
      </c>
      <c r="U270" s="3" t="str">
        <f>IF(T270&lt;&gt;"",VLOOKUP(T270,'LibSets constants'!$B$4:$C$1017,2,FALSE),"")</f>
        <v>Included in base game</v>
      </c>
      <c r="V270" s="33" t="s">
        <v>1547</v>
      </c>
      <c r="Y270" s="61"/>
      <c r="Z270" s="3">
        <f>IF(AND(G270&lt;&gt;"LIBSETS_SETTYPE_BATTLEGROUND",G270&lt;&gt;"LIBSETS_SETTYPE_SPECIAL"),
IF(AND(Y270&lt;&gt;"",ISNUMBER(Y270),NOT(ISNA(Y270))),Y270,
   IF(AND(L270&lt;&gt;"",ISNUMBER(L270),L270&gt;0,NOT(ISNA(L270))),VLOOKUP(L270,'ESO dumped WayshrineInfo'!$K$3:$L$9971,2,FALSE),"")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WayshrineInfo'!$K$3:$L$9971,2,FALSE),"")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 t="shared" si="25"/>
        <v>[316] = {wayshrines={270,270,270,}, dlcId=DLC_BASE_GAME</v>
      </c>
      <c r="BF270" s="21" t="str">
        <f t="shared" si="26"/>
        <v>, zoneIds={635,888,888}, veteran=false</v>
      </c>
      <c r="BG270" s="21" t="str">
        <f t="shared" si="27"/>
        <v>, setType=LIBSETS_SETTYPE_ARENA</v>
      </c>
      <c r="BH270" s="21" t="str">
        <f t="shared" si="28"/>
        <v>, isProcSetAllowedInPvP=0, dropMechanic={LIBSETS_DROP_MECHANIC_ARENA_STAGE_CHEST,LIBSETS_DROP_MECHANIC_ARENA_STAGE_CHEST}, perfectedSetId=531</v>
      </c>
      <c r="BI270" s="21" t="str">
        <f t="shared" si="29"/>
        <v>}, --Caustic Arrow / Beißender Pfeil   [Dragonstar Arena, Craglorn, Craglorn]</v>
      </c>
    </row>
    <row r="271" spans="1:61" x14ac:dyDescent="0.25">
      <c r="A271" s="12">
        <v>317</v>
      </c>
      <c r="B271" t="s">
        <v>1142</v>
      </c>
      <c r="C271" t="s">
        <v>1143</v>
      </c>
      <c r="D271" s="3">
        <f t="shared" si="24"/>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WayshrineInfo'!$K$3:$N$9971,4,FALSE),"")))</f>
        <v>Dragonstar Arena</v>
      </c>
      <c r="T271" s="19" t="str">
        <f>IF(AND(S271&lt;&gt;"",NOT(ISERROR(S271))),S271,IF(Q271&lt;&gt;"",IF(NOT(ISERROR(VLOOKUP(Q271,'ESO Dungeon constants'!$D$3:$H$9999,5,FALSE))),VLOOKUP(Q271,'ESO Dungeon constants'!$D$3:$I$9999,6,FALSE),VLOOKUP(Q271,'ESO zone constants'!$H$3:$K$9989,4,FALSE)),""))</f>
        <v>DLC_BASE_GAME</v>
      </c>
      <c r="U271" s="3" t="str">
        <f>IF(T271&lt;&gt;"",VLOOKUP(T271,'LibSets constants'!$B$4:$C$1017,2,FALSE),"")</f>
        <v>Included in base game</v>
      </c>
      <c r="V271" s="33" t="s">
        <v>1547</v>
      </c>
      <c r="Y271" s="61"/>
      <c r="Z271" s="3">
        <f>IF(AND(G271&lt;&gt;"LIBSETS_SETTYPE_BATTLEGROUND",G271&lt;&gt;"LIBSETS_SETTYPE_SPECIAL"),
IF(AND(Y271&lt;&gt;"",ISNUMBER(Y271),NOT(ISNA(Y271))),Y271,
   IF(AND(L271&lt;&gt;"",ISNUMBER(L271),L271&gt;0,NOT(ISNA(L271))),VLOOKUP(L271,'ESO dumped WayshrineInfo'!$K$3:$L$9971,2,FALSE),"")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WayshrineInfo'!$K$3:$L$9971,2,FALSE),"")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 t="shared" si="25"/>
        <v>[317] = {wayshrines={270,270,270,}, dlcId=DLC_BASE_GAME</v>
      </c>
      <c r="BF271" s="21" t="str">
        <f t="shared" si="26"/>
        <v>, zoneIds={635,888,888}, veteran=false</v>
      </c>
      <c r="BG271" s="21" t="str">
        <f t="shared" si="27"/>
        <v>, setType=LIBSETS_SETTYPE_ARENA</v>
      </c>
      <c r="BH271" s="21" t="str">
        <f t="shared" si="28"/>
        <v>, dropMechanic={LIBSETS_DROP_MECHANIC_ARENA_STAGE_CHEST,LIBSETS_DROP_MECHANIC_ARENA_STAGE_CHEST}, perfectedSetId=532</v>
      </c>
      <c r="BI271" s="21" t="str">
        <f t="shared" si="29"/>
        <v>}, --Destructive Impact / Zerstörerischer Einschlag   [Dragonstar Arena, Craglorn, Craglorn]</v>
      </c>
    </row>
    <row r="272" spans="1:61" x14ac:dyDescent="0.25">
      <c r="A272" s="12">
        <v>318</v>
      </c>
      <c r="B272" t="s">
        <v>1144</v>
      </c>
      <c r="C272" t="s">
        <v>1145</v>
      </c>
      <c r="D272" s="3">
        <f t="shared" si="24"/>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WayshrineInfo'!$K$3:$N$9971,4,FALSE),"")))</f>
        <v>Dragonstar Arena</v>
      </c>
      <c r="T272" s="19" t="str">
        <f>IF(AND(S272&lt;&gt;"",NOT(ISERROR(S272))),S272,IF(Q272&lt;&gt;"",IF(NOT(ISERROR(VLOOKUP(Q272,'ESO Dungeon constants'!$D$3:$H$9999,5,FALSE))),VLOOKUP(Q272,'ESO Dungeon constants'!$D$3:$I$9999,6,FALSE),VLOOKUP(Q272,'ESO zone constants'!$H$3:$K$9989,4,FALSE)),""))</f>
        <v>DLC_BASE_GAME</v>
      </c>
      <c r="U272" s="3" t="str">
        <f>IF(T272&lt;&gt;"",VLOOKUP(T272,'LibSets constants'!$B$4:$C$1017,2,FALSE),"")</f>
        <v>Included in base game</v>
      </c>
      <c r="V272" s="33" t="s">
        <v>1547</v>
      </c>
      <c r="Y272" s="61"/>
      <c r="Z272" s="3">
        <f>IF(AND(G272&lt;&gt;"LIBSETS_SETTYPE_BATTLEGROUND",G272&lt;&gt;"LIBSETS_SETTYPE_SPECIAL"),
IF(AND(Y272&lt;&gt;"",ISNUMBER(Y272),NOT(ISNA(Y272))),Y272,
   IF(AND(L272&lt;&gt;"",ISNUMBER(L272),L272&gt;0,NOT(ISNA(L272))),VLOOKUP(L272,'ESO dumped WayshrineInfo'!$K$3:$L$9971,2,FALSE),"")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WayshrineInfo'!$K$3:$L$9971,2,FALSE),"")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 t="shared" si="25"/>
        <v>[318] = {wayshrines={270,270,270,}, dlcId=DLC_BASE_GAME</v>
      </c>
      <c r="BF272" s="21" t="str">
        <f t="shared" si="26"/>
        <v>, zoneIds={635,888,888}, veteran=false</v>
      </c>
      <c r="BG272" s="21" t="str">
        <f t="shared" si="27"/>
        <v>, setType=LIBSETS_SETTYPE_ARENA</v>
      </c>
      <c r="BH272" s="21" t="str">
        <f t="shared" si="28"/>
        <v>, dropMechanic={LIBSETS_DROP_MECHANIC_ARENA_STAGE_CHEST,LIBSETS_DROP_MECHANIC_ARENA_STAGE_CHEST}, perfectedSetId=533</v>
      </c>
      <c r="BI272" s="21" t="str">
        <f t="shared" si="29"/>
        <v>}, --Grand Rejuvenation / Große Verjüngung   [Dragonstar Arena, Craglorn, Craglorn]</v>
      </c>
    </row>
    <row r="273" spans="1:61" x14ac:dyDescent="0.25">
      <c r="A273" s="12">
        <v>320</v>
      </c>
      <c r="B273" t="s">
        <v>1146</v>
      </c>
      <c r="C273" t="s">
        <v>1147</v>
      </c>
      <c r="D273" s="3">
        <f t="shared" si="24"/>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WayshrineInfo'!$K$3:$N$9971,4,FALSE),"")))</f>
        <v>Vvardenfell</v>
      </c>
      <c r="T273" s="19" t="str">
        <f>IF(AND(S273&lt;&gt;"",NOT(ISERROR(S273))),S273,IF(Q273&lt;&gt;"",IF(NOT(ISERROR(VLOOKUP(Q273,'ESO Dungeon constants'!$D$3:$H$9999,5,FALSE))),VLOOKUP(Q273,'ESO Dungeon constants'!$D$3:$I$9999,6,FALSE),VLOOKUP(Q273,'ESO zone constants'!$H$3:$K$9989,4,FALSE)),""))</f>
        <v>DLC_BLACKWOOD</v>
      </c>
      <c r="U273" s="3" t="str">
        <f>IF(T273&lt;&gt;"",VLOOKUP(T273,'LibSets constants'!$B$4:$C$1017,2,FALSE),"")</f>
        <v>Blackwood</v>
      </c>
      <c r="V273" s="33" t="s">
        <v>1551</v>
      </c>
      <c r="Y273" s="61"/>
      <c r="Z273" s="3">
        <f>IF(AND(G273&lt;&gt;"LIBSETS_SETTYPE_BATTLEGROUND",G273&lt;&gt;"LIBSETS_SETTYPE_SPECIAL"),
IF(AND(Y273&lt;&gt;"",ISNUMBER(Y273),NOT(ISNA(Y273))),Y273,
   IF(AND(L273&lt;&gt;"",ISNUMBER(L273),L273&gt;0,NOT(ISNA(L273))),VLOOKUP(L273,'ESO dumped WayshrineInfo'!$K$3:$L$9971,2,FALSE),"")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WayshrineInfo'!$K$3:$L$9971,2,FALSE),"")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 t="shared" si="25"/>
        <v>[320] = {wayshrines={284,284,284,}, dlcId=DLC_BLACKWOOD</v>
      </c>
      <c r="BF273" s="21" t="str">
        <f t="shared" si="26"/>
        <v>, zoneIds={849,849,849,849}, veteran=false</v>
      </c>
      <c r="BG273" s="21" t="str">
        <f t="shared" si="27"/>
        <v>, setType=LIBSETS_SETTYPE_OVERLAND</v>
      </c>
      <c r="BH273" s="21" t="str">
        <f t="shared" si="28"/>
        <v>, isProcSetAllowedInPvP=1, dropMechanic={LIBSETS_DROP_MECHANIC_OVERLAND_BOSS_DELVE,LIBSETS_DROP_MECHANIC_OVERLAND_WORLDBOSS,LIBSETS_DROP_MECHANIC_OVERLAND_BOSS_PUBLIC_DUNGEON,LIBSETS_DROP_MECHANIC_OVERLAND_CHEST}</v>
      </c>
      <c r="BI273" s="21" t="str">
        <f t="shared" si="29"/>
        <v>}, --War Maiden / Kriegsjungfer   [Vvardenfell, Vvardenfell, Vvardenfell, Vvardenfell]</v>
      </c>
    </row>
    <row r="274" spans="1:61" x14ac:dyDescent="0.25">
      <c r="A274" s="12">
        <v>321</v>
      </c>
      <c r="B274" t="s">
        <v>1148</v>
      </c>
      <c r="C274" t="s">
        <v>1149</v>
      </c>
      <c r="D274" s="3">
        <f t="shared" si="24"/>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WayshrineInfo'!$K$3:$N$9971,4,FALSE),"")))</f>
        <v>Vvardenfell</v>
      </c>
      <c r="T274" s="19" t="str">
        <f>IF(AND(S274&lt;&gt;"",NOT(ISERROR(S274))),S274,IF(Q274&lt;&gt;"",IF(NOT(ISERROR(VLOOKUP(Q274,'ESO Dungeon constants'!$D$3:$H$9999,5,FALSE))),VLOOKUP(Q274,'ESO Dungeon constants'!$D$3:$I$9999,6,FALSE),VLOOKUP(Q274,'ESO zone constants'!$H$3:$K$9989,4,FALSE)),""))</f>
        <v>DLC_BLACKWOOD</v>
      </c>
      <c r="U274" s="3" t="str">
        <f>IF(T274&lt;&gt;"",VLOOKUP(T274,'LibSets constants'!$B$4:$C$1017,2,FALSE),"")</f>
        <v>Blackwood</v>
      </c>
      <c r="V274" s="33" t="s">
        <v>1551</v>
      </c>
      <c r="Y274" s="61"/>
      <c r="Z274" s="3">
        <f>IF(AND(G274&lt;&gt;"LIBSETS_SETTYPE_BATTLEGROUND",G274&lt;&gt;"LIBSETS_SETTYPE_SPECIAL"),
IF(AND(Y274&lt;&gt;"",ISNUMBER(Y274),NOT(ISNA(Y274))),Y274,
   IF(AND(L274&lt;&gt;"",ISNUMBER(L274),L274&gt;0,NOT(ISNA(L274))),VLOOKUP(L274,'ESO dumped WayshrineInfo'!$K$3:$L$9971,2,FALSE),"")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WayshrineInfo'!$K$3:$L$9971,2,FALSE),"")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 t="shared" si="25"/>
        <v>[321] = {wayshrines={284,284,284,}, dlcId=DLC_BLACKWOOD</v>
      </c>
      <c r="BF274" s="21" t="str">
        <f t="shared" si="26"/>
        <v>, zoneIds={849,849,849,849}, veteran=false</v>
      </c>
      <c r="BG274" s="21" t="str">
        <f t="shared" si="27"/>
        <v>, setType=LIBSETS_SETTYPE_OVERLAND</v>
      </c>
      <c r="BH274" s="21" t="str">
        <f t="shared" si="28"/>
        <v>, dropMechanic={LIBSETS_DROP_MECHANIC_OVERLAND_BOSS_DELVE,LIBSETS_DROP_MECHANIC_OVERLAND_WORLDBOSS,LIBSETS_DROP_MECHANIC_OVERLAND_BOSS_PUBLIC_DUNGEON,LIBSETS_DROP_MECHANIC_OVERLAND_CHEST}</v>
      </c>
      <c r="BI274" s="21" t="str">
        <f t="shared" si="29"/>
        <v>}, --Defiler / Schänder   [Vvardenfell, Vvardenfell, Vvardenfell, Vvardenfell]</v>
      </c>
    </row>
    <row r="275" spans="1:61" x14ac:dyDescent="0.25">
      <c r="A275" s="12">
        <v>322</v>
      </c>
      <c r="B275" t="s">
        <v>1150</v>
      </c>
      <c r="C275" t="s">
        <v>1151</v>
      </c>
      <c r="D275" s="3">
        <f t="shared" si="24"/>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WayshrineInfo'!$K$3:$N$9971,4,FALSE),"")))</f>
        <v>Vvardenfell</v>
      </c>
      <c r="T275" s="19" t="str">
        <f>IF(AND(S275&lt;&gt;"",NOT(ISERROR(S275))),S275,IF(Q275&lt;&gt;"",IF(NOT(ISERROR(VLOOKUP(Q275,'ESO Dungeon constants'!$D$3:$H$9999,5,FALSE))),VLOOKUP(Q275,'ESO Dungeon constants'!$D$3:$I$9999,6,FALSE),VLOOKUP(Q275,'ESO zone constants'!$H$3:$K$9989,4,FALSE)),""))</f>
        <v>DLC_BLACKWOOD</v>
      </c>
      <c r="U275" s="3" t="str">
        <f>IF(T275&lt;&gt;"",VLOOKUP(T275,'LibSets constants'!$B$4:$C$1017,2,FALSE),"")</f>
        <v>Blackwood</v>
      </c>
      <c r="V275" s="33" t="s">
        <v>1551</v>
      </c>
      <c r="Y275" s="61"/>
      <c r="Z275" s="3">
        <f>IF(AND(G275&lt;&gt;"LIBSETS_SETTYPE_BATTLEGROUND",G275&lt;&gt;"LIBSETS_SETTYPE_SPECIAL"),
IF(AND(Y275&lt;&gt;"",ISNUMBER(Y275),NOT(ISNA(Y275))),Y275,
   IF(AND(L275&lt;&gt;"",ISNUMBER(L275),L275&gt;0,NOT(ISNA(L275))),VLOOKUP(L275,'ESO dumped WayshrineInfo'!$K$3:$L$9971,2,FALSE),"")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WayshrineInfo'!$K$3:$L$9971,2,FALSE),"")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 t="shared" si="25"/>
        <v>[322] = {wayshrines={284,284,284,}, dlcId=DLC_BLACKWOOD</v>
      </c>
      <c r="BF275" s="21" t="str">
        <f t="shared" si="26"/>
        <v>, zoneIds={849,849,849,849}, veteran=false</v>
      </c>
      <c r="BG275" s="21" t="str">
        <f t="shared" si="27"/>
        <v>, setType=LIBSETS_SETTYPE_OVERLAND</v>
      </c>
      <c r="BH275" s="21" t="str">
        <f t="shared" si="28"/>
        <v>, dropMechanic={LIBSETS_DROP_MECHANIC_OVERLAND_BOSS_DELVE,LIBSETS_DROP_MECHANIC_OVERLAND_WORLDBOSS,LIBSETS_DROP_MECHANIC_OVERLAND_BOSS_PUBLIC_DUNGEON,LIBSETS_DROP_MECHANIC_OVERLAND_CHEST}</v>
      </c>
      <c r="BI275" s="21" t="str">
        <f t="shared" si="29"/>
        <v>}, --Warrior-Poet / Kriegerpoet   [Vvardenfell, Vvardenfell, Vvardenfell, Vvardenfell]</v>
      </c>
    </row>
    <row r="276" spans="1:61" x14ac:dyDescent="0.25">
      <c r="A276" s="5">
        <v>323</v>
      </c>
      <c r="B276" t="s">
        <v>1152</v>
      </c>
      <c r="C276" t="s">
        <v>2595</v>
      </c>
      <c r="D276" s="3">
        <f t="shared" si="24"/>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WayshrineInfo'!$K$3:$N$9971,4,FALSE),"")))</f>
        <v>Vvardenfell</v>
      </c>
      <c r="T276" s="19" t="str">
        <f>IF(AND(S276&lt;&gt;"",NOT(ISERROR(S276))),S276,IF(Q276&lt;&gt;"",IF(NOT(ISERROR(VLOOKUP(Q276,'ESO Dungeon constants'!$D$3:$H$9999,5,FALSE))),VLOOKUP(Q276,'ESO Dungeon constants'!$D$3:$I$9999,6,FALSE),VLOOKUP(Q276,'ESO zone constants'!$H$3:$K$9989,4,FALSE)),""))</f>
        <v>DLC_BLACKWOOD</v>
      </c>
      <c r="U276" s="3" t="str">
        <f>IF(T276&lt;&gt;"",VLOOKUP(T276,'LibSets constants'!$B$4:$C$1017,2,FALSE),"")</f>
        <v>Blackwood</v>
      </c>
      <c r="V276" s="33" t="s">
        <v>3276</v>
      </c>
      <c r="Y276" s="61"/>
      <c r="Z276" s="3">
        <f>IF(AND(G276&lt;&gt;"LIBSETS_SETTYPE_BATTLEGROUND",G276&lt;&gt;"LIBSETS_SETTYPE_SPECIAL"),
IF(AND(Y276&lt;&gt;"",ISNUMBER(Y276),NOT(ISNA(Y276))),Y276,
   IF(AND(L276&lt;&gt;"",ISNUMBER(L276),L276&gt;0,NOT(ISNA(L276))),VLOOKUP(L276,'ESO dumped WayshrineInfo'!$K$3:$L$9971,2,FALSE),"")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WayshrineInfo'!$K$3:$L$9971,2,FALSE),"")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 t="shared" si="25"/>
        <v>[323] = {wayshrines={276,276,276,}, traitsNeeded=3, dlcId=DLC_BLACKWOOD</v>
      </c>
      <c r="BF276" s="21" t="str">
        <f t="shared" si="26"/>
        <v>, zoneIds={849,849,849}, veteran=false</v>
      </c>
      <c r="BG276" s="21" t="str">
        <f t="shared" si="27"/>
        <v>, setType=LIBSETS_SETTYPE_CRAFTED</v>
      </c>
      <c r="BH276" s="21" t="str">
        <f t="shared" si="28"/>
        <v>, isProcSetAllowedInPvP=1, dropMechanic={LIBSETS_DROP_MECHANIC_CRAFTED,LIBSETS_DROP_MECHANIC_CRAFTED}</v>
      </c>
      <c r="BI276" s="21" t="str">
        <f t="shared" si="29"/>
        <v>}, --Assassin\'s Guile / Assassinenlist   [Vvardenfell, Vvardenfell, Vvardenfell]</v>
      </c>
    </row>
    <row r="277" spans="1:61" x14ac:dyDescent="0.25">
      <c r="A277" s="5">
        <v>324</v>
      </c>
      <c r="B277" t="s">
        <v>1153</v>
      </c>
      <c r="C277" t="s">
        <v>1154</v>
      </c>
      <c r="D277" s="3">
        <f t="shared" si="24"/>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WayshrineInfo'!$K$3:$N$9971,4,FALSE),"")))</f>
        <v>Vvardenfell</v>
      </c>
      <c r="T277" s="19" t="str">
        <f>IF(AND(S277&lt;&gt;"",NOT(ISERROR(S277))),S277,IF(Q277&lt;&gt;"",IF(NOT(ISERROR(VLOOKUP(Q277,'ESO Dungeon constants'!$D$3:$H$9999,5,FALSE))),VLOOKUP(Q277,'ESO Dungeon constants'!$D$3:$I$9999,6,FALSE),VLOOKUP(Q277,'ESO zone constants'!$H$3:$K$9989,4,FALSE)),""))</f>
        <v>DLC_BLACKWOOD</v>
      </c>
      <c r="U277" s="3" t="str">
        <f>IF(T277&lt;&gt;"",VLOOKUP(T277,'LibSets constants'!$B$4:$C$1017,2,FALSE),"")</f>
        <v>Blackwood</v>
      </c>
      <c r="V277" s="33" t="s">
        <v>3276</v>
      </c>
      <c r="Y277" s="61"/>
      <c r="Z277" s="3">
        <f>IF(AND(G277&lt;&gt;"LIBSETS_SETTYPE_BATTLEGROUND",G277&lt;&gt;"LIBSETS_SETTYPE_SPECIAL"),
IF(AND(Y277&lt;&gt;"",ISNUMBER(Y277),NOT(ISNA(Y277))),Y277,
   IF(AND(L277&lt;&gt;"",ISNUMBER(L277),L277&gt;0,NOT(ISNA(L277))),VLOOKUP(L277,'ESO dumped WayshrineInfo'!$K$3:$L$9971,2,FALSE),"")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WayshrineInfo'!$K$3:$L$9971,2,FALSE),"")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 t="shared" si="25"/>
        <v>[324] = {wayshrines={329,329,329,}, traitsNeeded=8, dlcId=DLC_BLACKWOOD</v>
      </c>
      <c r="BF277" s="21" t="str">
        <f t="shared" si="26"/>
        <v>, zoneIds={849,849,849}, veteran=false</v>
      </c>
      <c r="BG277" s="21" t="str">
        <f t="shared" si="27"/>
        <v>, setType=LIBSETS_SETTYPE_CRAFTED</v>
      </c>
      <c r="BH277" s="21" t="str">
        <f t="shared" si="28"/>
        <v>, dropMechanic={LIBSETS_DROP_MECHANIC_CRAFTED,LIBSETS_DROP_MECHANIC_CRAFTED}</v>
      </c>
      <c r="BI277" s="21" t="str">
        <f t="shared" si="29"/>
        <v>}, --Daedric Trickery / Daedrische Gaunerei   [Vvardenfell, Vvardenfell, Vvardenfell]</v>
      </c>
    </row>
    <row r="278" spans="1:61" x14ac:dyDescent="0.25">
      <c r="A278" s="5">
        <v>325</v>
      </c>
      <c r="B278" t="s">
        <v>1155</v>
      </c>
      <c r="C278" t="s">
        <v>1156</v>
      </c>
      <c r="D278" s="3">
        <f t="shared" si="24"/>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WayshrineInfo'!$K$3:$N$9971,4,FALSE),"")))</f>
        <v>Vvardenfell</v>
      </c>
      <c r="T278" s="19" t="str">
        <f>IF(AND(S278&lt;&gt;"",NOT(ISERROR(S278))),S278,IF(Q278&lt;&gt;"",IF(NOT(ISERROR(VLOOKUP(Q278,'ESO Dungeon constants'!$D$3:$H$9999,5,FALSE))),VLOOKUP(Q278,'ESO Dungeon constants'!$D$3:$I$9999,6,FALSE),VLOOKUP(Q278,'ESO zone constants'!$H$3:$K$9989,4,FALSE)),""))</f>
        <v>DLC_BLACKWOOD</v>
      </c>
      <c r="U278" s="3" t="str">
        <f>IF(T278&lt;&gt;"",VLOOKUP(T278,'LibSets constants'!$B$4:$C$1017,2,FALSE),"")</f>
        <v>Blackwood</v>
      </c>
      <c r="V278" s="33" t="s">
        <v>3276</v>
      </c>
      <c r="Y278" s="61"/>
      <c r="Z278" s="3">
        <f>IF(AND(G278&lt;&gt;"LIBSETS_SETTYPE_BATTLEGROUND",G278&lt;&gt;"LIBSETS_SETTYPE_SPECIAL"),
IF(AND(Y278&lt;&gt;"",ISNUMBER(Y278),NOT(ISNA(Y278))),Y278,
   IF(AND(L278&lt;&gt;"",ISNUMBER(L278),L278&gt;0,NOT(ISNA(L278))),VLOOKUP(L278,'ESO dumped WayshrineInfo'!$K$3:$L$9971,2,FALSE),"")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WayshrineInfo'!$K$3:$L$9971,2,FALSE),"")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 t="shared" si="25"/>
        <v>[325] = {wayshrines={282,282,282,}, traitsNeeded=6, dlcId=DLC_BLACKWOOD</v>
      </c>
      <c r="BF278" s="21" t="str">
        <f t="shared" si="26"/>
        <v>, zoneIds={849,849,849}, veteran=false</v>
      </c>
      <c r="BG278" s="21" t="str">
        <f t="shared" si="27"/>
        <v>, setType=LIBSETS_SETTYPE_CRAFTED</v>
      </c>
      <c r="BH278" s="21" t="str">
        <f t="shared" si="28"/>
        <v>, isProcSetAllowedInPvP=1, dropMechanic={LIBSETS_DROP_MECHANIC_CRAFTED,LIBSETS_DROP_MECHANIC_CRAFTED}</v>
      </c>
      <c r="BI278" s="21" t="str">
        <f t="shared" si="29"/>
        <v>}, --Shacklebreaker / Kettensprenger   [Vvardenfell, Vvardenfell, Vvardenfell]</v>
      </c>
    </row>
    <row r="279" spans="1:61" x14ac:dyDescent="0.25">
      <c r="A279" s="12">
        <v>326</v>
      </c>
      <c r="B279" t="s">
        <v>1157</v>
      </c>
      <c r="C279" t="s">
        <v>2596</v>
      </c>
      <c r="D279" s="3">
        <f t="shared" si="24"/>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WayshrineInfo'!$K$3:$N$9971,4,FALSE),"")))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WayshrineInfo'!$K$3:$L$9971,2,FALSE),"")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WayshrineInfo'!$K$3:$L$9971,2,FALSE),"")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 t="shared" si="25"/>
        <v>[326] = {wayshrines={-1,-1,-1,}, dlcId=DLC_BASE_GAME</v>
      </c>
      <c r="BF279" s="21" t="str">
        <f t="shared" si="26"/>
        <v>, zoneIds={-98}, veteran=false</v>
      </c>
      <c r="BG279" s="21" t="str">
        <f t="shared" si="27"/>
        <v>, setType=LIBSETS_SETTYPE_BATTLEGROUND</v>
      </c>
      <c r="BH279" s="21" t="str">
        <f t="shared" si="28"/>
        <v>, dropMechanic={LIBSETS_DROP_MECHANIC_BATTLEGROUND_REWARD}</v>
      </c>
      <c r="BI279" s="21" t="str">
        <f t="shared" si="29"/>
        <v>}, --Vanguard\'s Challenge / Vorhutdisput   [!Battleground]</v>
      </c>
    </row>
    <row r="280" spans="1:61" x14ac:dyDescent="0.25">
      <c r="A280" s="12">
        <v>327</v>
      </c>
      <c r="B280" t="s">
        <v>1158</v>
      </c>
      <c r="C280" t="s">
        <v>2597</v>
      </c>
      <c r="D280" s="3">
        <f t="shared" si="24"/>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WayshrineInfo'!$K$3:$N$9971,4,FALSE),"")))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WayshrineInfo'!$K$3:$L$9971,2,FALSE),"")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WayshrineInfo'!$K$3:$L$9971,2,FALSE),"")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 t="shared" si="25"/>
        <v>[327] = {wayshrines={-1,-1,-1,}, dlcId=DLC_BASE_GAME</v>
      </c>
      <c r="BF280" s="21" t="str">
        <f t="shared" si="26"/>
        <v>, zoneIds={-98}, veteran=false</v>
      </c>
      <c r="BG280" s="21" t="str">
        <f t="shared" si="27"/>
        <v>, setType=LIBSETS_SETTYPE_BATTLEGROUND</v>
      </c>
      <c r="BH280" s="21" t="str">
        <f t="shared" si="28"/>
        <v>, dropMechanic={LIBSETS_DROP_MECHANIC_BATTLEGROUND_REWARD}</v>
      </c>
      <c r="BI280" s="21" t="str">
        <f t="shared" si="29"/>
        <v>}, --Coward\'s Gear / Feiglingstracht   [!Battleground]</v>
      </c>
    </row>
    <row r="281" spans="1:61" x14ac:dyDescent="0.25">
      <c r="A281" s="12">
        <v>328</v>
      </c>
      <c r="B281" t="s">
        <v>1159</v>
      </c>
      <c r="C281" t="s">
        <v>1160</v>
      </c>
      <c r="D281" s="3">
        <f t="shared" si="24"/>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WayshrineInfo'!$K$3:$N$9971,4,FALSE),"")))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WayshrineInfo'!$K$3:$L$9971,2,FALSE),"")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WayshrineInfo'!$K$3:$L$9971,2,FALSE),"")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 t="shared" si="25"/>
        <v>[328] = {wayshrines={-1,-1,-1,}, dlcId=DLC_BASE_GAME</v>
      </c>
      <c r="BF281" s="21" t="str">
        <f t="shared" si="26"/>
        <v>, zoneIds={-98}, veteran=false</v>
      </c>
      <c r="BG281" s="21" t="str">
        <f t="shared" si="27"/>
        <v>, setType=LIBSETS_SETTYPE_BATTLEGROUND</v>
      </c>
      <c r="BH281" s="21" t="str">
        <f t="shared" si="28"/>
        <v>, dropMechanic={LIBSETS_DROP_MECHANIC_BATTLEGROUND_REWARD}</v>
      </c>
      <c r="BI281" s="21" t="str">
        <f t="shared" si="29"/>
        <v>}, --Knight Slayer / Ritterschlächter   [!Battleground]</v>
      </c>
    </row>
    <row r="282" spans="1:61" x14ac:dyDescent="0.25">
      <c r="A282" s="12">
        <v>329</v>
      </c>
      <c r="B282" t="s">
        <v>1161</v>
      </c>
      <c r="C282" t="s">
        <v>2598</v>
      </c>
      <c r="D282" s="3">
        <f t="shared" si="24"/>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WayshrineInfo'!$K$3:$N$9971,4,FALSE),"")))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WayshrineInfo'!$K$3:$L$9971,2,FALSE),"")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WayshrineInfo'!$K$3:$L$9971,2,FALSE),"")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 t="shared" si="25"/>
        <v>[329] = {wayshrines={-1,-1,-1,}, dlcId=DLC_BASE_GAME</v>
      </c>
      <c r="BF282" s="21" t="str">
        <f t="shared" si="26"/>
        <v>, zoneIds={-98}, veteran=false</v>
      </c>
      <c r="BG282" s="21" t="str">
        <f t="shared" si="27"/>
        <v>, setType=LIBSETS_SETTYPE_BATTLEGROUND</v>
      </c>
      <c r="BH282" s="21" t="str">
        <f t="shared" si="28"/>
        <v>, dropMechanic={LIBSETS_DROP_MECHANIC_BATTLEGROUND_REWARD}</v>
      </c>
      <c r="BI282" s="21" t="str">
        <f t="shared" si="29"/>
        <v>}, --Wizard\'s Riposte / Zaubererreplik   [!Battleground]</v>
      </c>
    </row>
    <row r="283" spans="1:61" x14ac:dyDescent="0.25">
      <c r="A283" s="12">
        <v>330</v>
      </c>
      <c r="B283" t="s">
        <v>1162</v>
      </c>
      <c r="C283" t="s">
        <v>1163</v>
      </c>
      <c r="D283" s="3">
        <f t="shared" si="24"/>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WayshrineInfo'!$K$3:$N$9971,4,FALSE),"")))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WayshrineInfo'!$K$3:$L$9971,2,FALSE),"")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WayshrineInfo'!$K$3:$L$9971,2,FALSE),"")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 t="shared" si="25"/>
        <v>[330] = {wayshrines={331,331,331,}, dlcId=DLC_CLOCKWORK_CITY</v>
      </c>
      <c r="BF283" s="21" t="str">
        <f t="shared" si="26"/>
        <v>, zoneIds={975,975,975}, veteran=false</v>
      </c>
      <c r="BG283" s="21" t="str">
        <f t="shared" si="27"/>
        <v>, setType=LIBSETS_SETTYPE_TRIAL</v>
      </c>
      <c r="BH283" s="21" t="str">
        <f t="shared" si="28"/>
        <v>, dropMechanic={LIBSETS_DROP_MECHANIC_TRIAL_BOSS,LIBSETS_DROP_MECHANIC_TRIAL_BOSS,LIBSETS_DROP_MECHANIC_TRIAL_BOSS}</v>
      </c>
      <c r="BI283" s="21" t="str">
        <f t="shared" si="29"/>
        <v>}, --Automated Defense / Automatisierte Verteidigung   [Halls of Fabrication, Halls of Fabrication, Halls of Fabrication]</v>
      </c>
    </row>
    <row r="284" spans="1:61" x14ac:dyDescent="0.25">
      <c r="A284" s="12">
        <v>331</v>
      </c>
      <c r="B284" t="s">
        <v>1164</v>
      </c>
      <c r="C284" t="s">
        <v>1165</v>
      </c>
      <c r="D284" s="3">
        <f t="shared" si="24"/>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WayshrineInfo'!$K$3:$N$9971,4,FALSE),"")))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WayshrineInfo'!$K$3:$L$9971,2,FALSE),"")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WayshrineInfo'!$K$3:$L$9971,2,FALSE),"")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 t="shared" si="25"/>
        <v>[331] = {wayshrines={331,331,331,}, dlcId=DLC_CLOCKWORK_CITY</v>
      </c>
      <c r="BF284" s="21" t="str">
        <f t="shared" si="26"/>
        <v>, zoneIds={975,975,975}, veteran=false</v>
      </c>
      <c r="BG284" s="21" t="str">
        <f t="shared" si="27"/>
        <v>, setType=LIBSETS_SETTYPE_TRIAL</v>
      </c>
      <c r="BH284" s="21" t="str">
        <f t="shared" si="28"/>
        <v>, dropMechanic={LIBSETS_DROP_MECHANIC_TRIAL_BOSS,LIBSETS_DROP_MECHANIC_TRIAL_BOSS,LIBSETS_DROP_MECHANIC_TRIAL_BOSS}</v>
      </c>
      <c r="BI284" s="21" t="str">
        <f t="shared" si="29"/>
        <v>}, --War Machine / Kriegsmaschine   [Halls of Fabrication, Halls of Fabrication, Halls of Fabrication]</v>
      </c>
    </row>
    <row r="285" spans="1:61" x14ac:dyDescent="0.25">
      <c r="A285" s="12">
        <v>332</v>
      </c>
      <c r="B285" t="s">
        <v>1166</v>
      </c>
      <c r="C285" t="s">
        <v>1167</v>
      </c>
      <c r="D285" s="3">
        <f t="shared" si="24"/>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WayshrineInfo'!$K$3:$N$9971,4,FALSE),"")))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WayshrineInfo'!$K$3:$L$9971,2,FALSE),"")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WayshrineInfo'!$K$3:$L$9971,2,FALSE),"")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 t="shared" si="25"/>
        <v>[332] = {wayshrines={331,331,331,}, dlcId=DLC_CLOCKWORK_CITY</v>
      </c>
      <c r="BF285" s="21" t="str">
        <f t="shared" si="26"/>
        <v>, zoneIds={975,975,975}, veteran=false</v>
      </c>
      <c r="BG285" s="21" t="str">
        <f t="shared" si="27"/>
        <v>, setType=LIBSETS_SETTYPE_TRIAL</v>
      </c>
      <c r="BH285" s="21" t="str">
        <f t="shared" si="28"/>
        <v>, dropMechanic={LIBSETS_DROP_MECHANIC_TRIAL_BOSS,LIBSETS_DROP_MECHANIC_TRIAL_BOSS,LIBSETS_DROP_MECHANIC_TRIAL_BOSS}</v>
      </c>
      <c r="BI285" s="21" t="str">
        <f t="shared" si="29"/>
        <v>}, --Master Architect / Meisterarchitekt   [Halls of Fabrication, Halls of Fabrication, Halls of Fabrication]</v>
      </c>
    </row>
    <row r="286" spans="1:61" x14ac:dyDescent="0.25">
      <c r="A286" s="12">
        <v>333</v>
      </c>
      <c r="B286" t="s">
        <v>1168</v>
      </c>
      <c r="C286" t="s">
        <v>2599</v>
      </c>
      <c r="D286" s="3">
        <f t="shared" si="24"/>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WayshrineInfo'!$K$3:$N$9971,4,FALSE),"")))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WayshrineInfo'!$K$3:$L$9971,2,FALSE),"")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WayshrineInfo'!$K$3:$L$9971,2,FALSE),"")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 t="shared" si="25"/>
        <v>[333] = {wayshrines={331,331,331,}, dlcId=DLC_CLOCKWORK_CITY</v>
      </c>
      <c r="BF286" s="21" t="str">
        <f t="shared" si="26"/>
        <v>, zoneIds={975,975,975}, veteran=false</v>
      </c>
      <c r="BG286" s="21" t="str">
        <f t="shared" si="27"/>
        <v>, setType=LIBSETS_SETTYPE_TRIAL</v>
      </c>
      <c r="BH286" s="21" t="str">
        <f t="shared" si="28"/>
        <v>, dropMechanic={LIBSETS_DROP_MECHANIC_TRIAL_BOSS,LIBSETS_DROP_MECHANIC_TRIAL_BOSS,LIBSETS_DROP_MECHANIC_TRIAL_BOSS}</v>
      </c>
      <c r="BI286" s="21" t="str">
        <f t="shared" si="29"/>
        <v>}, --Inventor\'s Guard / Erfindergarde   [Halls of Fabrication, Halls of Fabrication, Halls of Fabrication]</v>
      </c>
    </row>
    <row r="287" spans="1:61" x14ac:dyDescent="0.25">
      <c r="A287" s="12">
        <v>334</v>
      </c>
      <c r="B287" t="s">
        <v>1169</v>
      </c>
      <c r="C287" t="s">
        <v>1170</v>
      </c>
      <c r="D287" s="3">
        <f t="shared" si="24"/>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WayshrineInfo'!$K$3:$N$9971,4,FALSE),"")))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WayshrineInfo'!$K$3:$L$9971,2,FALSE),"")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WayshrineInfo'!$K$3:$L$9971,2,FALSE),"")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 t="shared" si="25"/>
        <v>[334] = {wayshrines={-1,-1,-1,}, dlcId=DLC_BASE_GAME</v>
      </c>
      <c r="BF287" s="21" t="str">
        <f t="shared" si="26"/>
        <v>, zoneIds={-98}, veteran=false</v>
      </c>
      <c r="BG287" s="21" t="str">
        <f t="shared" si="27"/>
        <v>, setType=LIBSETS_SETTYPE_BATTLEGROUND</v>
      </c>
      <c r="BH287" s="21" t="str">
        <f t="shared" si="28"/>
        <v>, isProcSetAllowedInPvP=1, dropMechanic={LIBSETS_DROP_MECHANIC_BATTLEGROUND_REWARD}</v>
      </c>
      <c r="BI287" s="21" t="str">
        <f t="shared" si="29"/>
        <v>}, --Impregnable Armor / Unüberwindliche Rüstung   [!Battleground]</v>
      </c>
    </row>
    <row r="288" spans="1:61" x14ac:dyDescent="0.25">
      <c r="A288" s="12">
        <v>335</v>
      </c>
      <c r="B288" t="s">
        <v>1171</v>
      </c>
      <c r="C288" t="s">
        <v>2600</v>
      </c>
      <c r="D288" s="3">
        <f t="shared" si="24"/>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WayshrineInfo'!$K$3:$N$9971,4,FALSE),"")))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WayshrineInfo'!$K$3:$L$9971,2,FALSE),"")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WayshrineInfo'!$K$3:$L$9971,2,FALSE),"")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 t="shared" si="25"/>
        <v>[335] = {wayshrines={332,332,332,}, dlcId=DLC_HORNS_OF_THE_REACH</v>
      </c>
      <c r="BF288" s="21" t="str">
        <f t="shared" si="26"/>
        <v>, zoneIds={974,888,888}, veteran=false</v>
      </c>
      <c r="BG288" s="21" t="str">
        <f t="shared" si="27"/>
        <v>, setType=LIBSETS_SETTYPE_DUNGEON</v>
      </c>
      <c r="BH288" s="21" t="str">
        <f t="shared" si="28"/>
        <v>, dropMechanic={LIBSETS_DROP_MECHANIC_GROUP_DUNGEON_BOSS}</v>
      </c>
      <c r="BI288" s="21" t="str">
        <f t="shared" si="29"/>
        <v>}, --Draugr\'s Rest / Draugrruhe   [Falkreath Hold, Craglorn, Craglorn]</v>
      </c>
    </row>
    <row r="289" spans="1:61" x14ac:dyDescent="0.25">
      <c r="A289" s="12">
        <v>336</v>
      </c>
      <c r="B289" t="s">
        <v>1172</v>
      </c>
      <c r="C289" t="s">
        <v>1173</v>
      </c>
      <c r="D289" s="3">
        <f t="shared" si="24"/>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WayshrineInfo'!$K$3:$N$9971,4,FALSE),"")))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WayshrineInfo'!$K$3:$L$9971,2,FALSE),"")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WayshrineInfo'!$K$3:$L$9971,2,FALSE),"")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 t="shared" si="25"/>
        <v>[336] = {wayshrines={332,332,332,}, dlcId=DLC_HORNS_OF_THE_REACH</v>
      </c>
      <c r="BF289" s="21" t="str">
        <f t="shared" si="26"/>
        <v>, zoneIds={974,888,888}, veteran=false</v>
      </c>
      <c r="BG289" s="21" t="str">
        <f t="shared" si="27"/>
        <v>, setType=LIBSETS_SETTYPE_DUNGEON</v>
      </c>
      <c r="BH289" s="21" t="str">
        <f t="shared" si="28"/>
        <v>, dropMechanic={LIBSETS_DROP_MECHANIC_GROUP_DUNGEON_BOSS}</v>
      </c>
      <c r="BI289" s="21" t="str">
        <f t="shared" si="29"/>
        <v>}, --Pillar of Nirn / Säulen von Nirn   [Falkreath Hold, Craglorn, Craglorn]</v>
      </c>
    </row>
    <row r="290" spans="1:61" x14ac:dyDescent="0.25">
      <c r="A290" s="12">
        <v>337</v>
      </c>
      <c r="B290" t="s">
        <v>1174</v>
      </c>
      <c r="C290" t="s">
        <v>1175</v>
      </c>
      <c r="D290" s="3">
        <f t="shared" si="24"/>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WayshrineInfo'!$K$3:$N$9971,4,FALSE),"")))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WayshrineInfo'!$K$3:$L$9971,2,FALSE),"")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WayshrineInfo'!$K$3:$L$9971,2,FALSE),"")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 t="shared" si="25"/>
        <v>[337] = {wayshrines={332,332,332,}, dlcId=DLC_HORNS_OF_THE_REACH</v>
      </c>
      <c r="BF290" s="21" t="str">
        <f t="shared" si="26"/>
        <v>, zoneIds={974,888,888}, veteran=false</v>
      </c>
      <c r="BG290" s="21" t="str">
        <f t="shared" si="27"/>
        <v>, setType=LIBSETS_SETTYPE_DUNGEON</v>
      </c>
      <c r="BH290" s="21" t="str">
        <f t="shared" si="28"/>
        <v>, dropMechanic={LIBSETS_DROP_MECHANIC_GROUP_DUNGEON_BOSS}</v>
      </c>
      <c r="BI290" s="21" t="str">
        <f t="shared" si="29"/>
        <v>}, --Ironblood / Eisenblut   [Falkreath Hold, Craglorn, Craglorn]</v>
      </c>
    </row>
    <row r="291" spans="1:61" x14ac:dyDescent="0.25">
      <c r="A291" s="12">
        <v>338</v>
      </c>
      <c r="B291" t="s">
        <v>1176</v>
      </c>
      <c r="C291" t="s">
        <v>1177</v>
      </c>
      <c r="D291" s="3">
        <f t="shared" si="24"/>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WayshrineInfo'!$K$3:$N$9971,4,FALSE),"")))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WayshrineInfo'!$K$3:$L$9971,2,FALSE),"")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WayshrineInfo'!$K$3:$L$9971,2,FALSE),"")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 t="shared" si="25"/>
        <v>[338] = {wayshrines={326,326,326,}, dlcId=DLC_HORNS_OF_THE_REACH</v>
      </c>
      <c r="BF291" s="21" t="str">
        <f t="shared" si="26"/>
        <v>, zoneIds={973,888,888}, veteran=false</v>
      </c>
      <c r="BG291" s="21" t="str">
        <f t="shared" si="27"/>
        <v>, setType=LIBSETS_SETTYPE_DUNGEON</v>
      </c>
      <c r="BH291" s="21" t="str">
        <f t="shared" si="28"/>
        <v>, dropMechanic={LIBSETS_DROP_MECHANIC_GROUP_DUNGEON_BOSS}</v>
      </c>
      <c r="BI291" s="21" t="str">
        <f t="shared" si="29"/>
        <v>}, --Flame Blossom / Flammenblüte   [Bloodroot Forge, Craglorn, Craglorn]</v>
      </c>
    </row>
    <row r="292" spans="1:61" x14ac:dyDescent="0.25">
      <c r="A292" s="12">
        <v>339</v>
      </c>
      <c r="B292" t="s">
        <v>1178</v>
      </c>
      <c r="C292" t="s">
        <v>1179</v>
      </c>
      <c r="D292" s="3">
        <f t="shared" si="24"/>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WayshrineInfo'!$K$3:$N$9971,4,FALSE),"")))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WayshrineInfo'!$K$3:$L$9971,2,FALSE),"")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WayshrineInfo'!$K$3:$L$9971,2,FALSE),"")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 t="shared" si="25"/>
        <v>[339] = {wayshrines={326,326,326,}, dlcId=DLC_HORNS_OF_THE_REACH</v>
      </c>
      <c r="BF292" s="21" t="str">
        <f t="shared" si="26"/>
        <v>, zoneIds={973,888,888}, veteran=false</v>
      </c>
      <c r="BG292" s="21" t="str">
        <f t="shared" si="27"/>
        <v>, setType=LIBSETS_SETTYPE_DUNGEON</v>
      </c>
      <c r="BH292" s="21" t="str">
        <f t="shared" si="28"/>
        <v>, isProcSetAllowedInPvP=1, dropMechanic={LIBSETS_DROP_MECHANIC_GROUP_DUNGEON_BOSS}</v>
      </c>
      <c r="BI292" s="21" t="str">
        <f t="shared" si="29"/>
        <v>}, --Blooddrinker / Bluttrinker   [Bloodroot Forge, Craglorn, Craglorn]</v>
      </c>
    </row>
    <row r="293" spans="1:61" x14ac:dyDescent="0.25">
      <c r="A293" s="12">
        <v>340</v>
      </c>
      <c r="B293" t="s">
        <v>1180</v>
      </c>
      <c r="C293" t="s">
        <v>2601</v>
      </c>
      <c r="D293" s="3">
        <f t="shared" si="24"/>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WayshrineInfo'!$K$3:$N$9971,4,FALSE),"")))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WayshrineInfo'!$K$3:$L$9971,2,FALSE),"")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WayshrineInfo'!$K$3:$L$9971,2,FALSE),"")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 t="shared" si="25"/>
        <v>[340] = {wayshrines={326,326,326,}, dlcId=DLC_HORNS_OF_THE_REACH</v>
      </c>
      <c r="BF293" s="21" t="str">
        <f t="shared" si="26"/>
        <v>, zoneIds={973,888,888}, veteran=false</v>
      </c>
      <c r="BG293" s="21" t="str">
        <f t="shared" si="27"/>
        <v>, setType=LIBSETS_SETTYPE_DUNGEON</v>
      </c>
      <c r="BH293" s="21" t="str">
        <f t="shared" si="28"/>
        <v>, dropMechanic={LIBSETS_DROP_MECHANIC_GROUP_DUNGEON_BOSS}</v>
      </c>
      <c r="BI293" s="21" t="str">
        <f t="shared" si="29"/>
        <v>}, --Hagraven\'s Garden / Vettelgarten   [Bloodroot Forge, Craglorn, Craglorn]</v>
      </c>
    </row>
    <row r="294" spans="1:61" x14ac:dyDescent="0.25">
      <c r="A294" s="5">
        <v>341</v>
      </c>
      <c r="B294" t="s">
        <v>1181</v>
      </c>
      <c r="C294" t="s">
        <v>4</v>
      </c>
      <c r="D294" s="3">
        <f t="shared" si="24"/>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WayshrineInfo'!$K$3:$N$9971,4,FALSE),"")))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WayshrineInfo'!$K$3:$L$9971,2,FALSE),"")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WayshrineInfo'!$K$3:$L$9971,2,FALSE),"")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 t="shared" si="25"/>
        <v>[341] = {wayshrines={326,326,326,}, dlcId=DLC_HORNS_OF_THE_REACH</v>
      </c>
      <c r="BF294" s="21" t="str">
        <f t="shared" si="26"/>
        <v>, zoneIds={973,888,888}, veteran={[EQUIP_TYPE_HEAD]=true, [EQUIP_TYPE_SHOULDERS]=false}</v>
      </c>
      <c r="BG294" s="21" t="str">
        <f t="shared" si="27"/>
        <v>, setType=LIBSETS_SETTYPE_MONSTER, undauntedChestId=3</v>
      </c>
      <c r="BH294" s="21" t="str">
        <f t="shared" si="28"/>
        <v>, dropMechanic={LIBSETS_DROP_MECHANIC_MONSTER_NAME}, dropMechanicDropLocationNames={['en']={'Earthgore Amalgam','','','','','',},['de']={'Erdbluter-Amalgam','','','','','',},}</v>
      </c>
      <c r="BI294" s="21" t="str">
        <f t="shared" si="29"/>
        <v>}, --Earthgore / Erdbluter   [Bloodroot Forge, Craglorn, Craglorn]</v>
      </c>
    </row>
    <row r="295" spans="1:61" x14ac:dyDescent="0.25">
      <c r="A295" s="5">
        <v>342</v>
      </c>
      <c r="B295" t="s">
        <v>3</v>
      </c>
      <c r="C295" t="s">
        <v>3</v>
      </c>
      <c r="D295" s="3">
        <f t="shared" si="24"/>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WayshrineInfo'!$K$3:$N$9971,4,FALSE),"")))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WayshrineInfo'!$K$3:$L$9971,2,FALSE),"")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WayshrineInfo'!$K$3:$L$9971,2,FALSE),"")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 t="shared" si="25"/>
        <v>[342] = {wayshrines={332,332,332,}, dlcId=DLC_HORNS_OF_THE_REACH</v>
      </c>
      <c r="BF295" s="21" t="str">
        <f t="shared" si="26"/>
        <v>, zoneIds={974,888,888}, veteran={[EQUIP_TYPE_HEAD]=true, [EQUIP_TYPE_SHOULDERS]=false}</v>
      </c>
      <c r="BG295" s="21" t="str">
        <f t="shared" si="27"/>
        <v>, setType=LIBSETS_SETTYPE_MONSTER, undauntedChestId=3</v>
      </c>
      <c r="BH295" s="21" t="str">
        <f t="shared" si="28"/>
        <v>, dropMechanic={LIBSETS_DROP_MECHANIC_MONSTER_NAME}, dropMechanicDropLocationNames={['en']={'Domihaus the Bloody-Hornedin','','','','','',},['de']={'Domihaus der Blutgehörnte','','','','','',},}</v>
      </c>
      <c r="BI295" s="21" t="str">
        <f t="shared" si="29"/>
        <v>}, --Domihaus / Domihaus   [Falkreath Hold, Craglorn, Craglorn]</v>
      </c>
    </row>
    <row r="296" spans="1:61" x14ac:dyDescent="0.25">
      <c r="A296" s="12">
        <v>343</v>
      </c>
      <c r="B296" t="s">
        <v>1182</v>
      </c>
      <c r="C296" t="s">
        <v>2602</v>
      </c>
      <c r="D296" s="3">
        <f t="shared" si="24"/>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WayshrineInfo'!$K$3:$N$9971,4,FALSE),"")))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WayshrineInfo'!$K$3:$L$9971,2,FALSE),"")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WayshrineInfo'!$K$3:$L$9971,2,FALSE),"")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 t="shared" si="25"/>
        <v>[343] = {wayshrines={341,341,341,}, dlcId=DLC_DRAGON_BONES</v>
      </c>
      <c r="BF296" s="21" t="str">
        <f t="shared" si="26"/>
        <v>, zoneIds={1009,92,92}, veteran=false</v>
      </c>
      <c r="BG296" s="21" t="str">
        <f t="shared" si="27"/>
        <v>, setType=LIBSETS_SETTYPE_DUNGEON</v>
      </c>
      <c r="BH296" s="21" t="str">
        <f t="shared" si="28"/>
        <v>, dropMechanic={LIBSETS_DROP_MECHANIC_GROUP_DUNGEON_BOSS}</v>
      </c>
      <c r="BI296" s="21" t="str">
        <f t="shared" si="29"/>
        <v>}, --Caluurion\'s Legacy / Caluurions Erbe   [Fang Lair, Bangkorai, Bangkorai]</v>
      </c>
    </row>
    <row r="297" spans="1:61" x14ac:dyDescent="0.25">
      <c r="A297" s="12">
        <v>344</v>
      </c>
      <c r="B297" t="s">
        <v>1183</v>
      </c>
      <c r="C297" t="s">
        <v>1184</v>
      </c>
      <c r="D297" s="3">
        <f t="shared" si="24"/>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WayshrineInfo'!$K$3:$N$9971,4,FALSE),"")))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WayshrineInfo'!$K$3:$L$9971,2,FALSE),"")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WayshrineInfo'!$K$3:$L$9971,2,FALSE),"")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 t="shared" si="25"/>
        <v>[344] = {wayshrines={341,341,341,}, dlcId=DLC_DRAGON_BONES</v>
      </c>
      <c r="BF297" s="21" t="str">
        <f t="shared" si="26"/>
        <v>, zoneIds={1009,92,92}, veteran=false</v>
      </c>
      <c r="BG297" s="21" t="str">
        <f t="shared" si="27"/>
        <v>, setType=LIBSETS_SETTYPE_DUNGEON</v>
      </c>
      <c r="BH297" s="21" t="str">
        <f t="shared" si="28"/>
        <v>, dropMechanic={LIBSETS_DROP_MECHANIC_GROUP_DUNGEON_BOSS}</v>
      </c>
      <c r="BI297" s="21" t="str">
        <f t="shared" si="29"/>
        <v>}, --Trappings of Invigoration / Stärkungsprunk   [Fang Lair, Bangkorai, Bangkorai]</v>
      </c>
    </row>
    <row r="298" spans="1:61" x14ac:dyDescent="0.25">
      <c r="A298" s="12">
        <v>345</v>
      </c>
      <c r="B298" t="s">
        <v>1185</v>
      </c>
      <c r="C298" t="s">
        <v>2603</v>
      </c>
      <c r="D298" s="3">
        <f t="shared" si="24"/>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WayshrineInfo'!$K$3:$N$9971,4,FALSE),"")))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WayshrineInfo'!$K$3:$L$9971,2,FALSE),"")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WayshrineInfo'!$K$3:$L$9971,2,FALSE),"")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 t="shared" si="25"/>
        <v>[345] = {wayshrines={341,341,341,}, dlcId=DLC_DRAGON_BONES</v>
      </c>
      <c r="BF298" s="21" t="str">
        <f t="shared" si="26"/>
        <v>, zoneIds={1009,92,92}, veteran=false</v>
      </c>
      <c r="BG298" s="21" t="str">
        <f t="shared" si="27"/>
        <v>, setType=LIBSETS_SETTYPE_DUNGEON</v>
      </c>
      <c r="BH298" s="21" t="str">
        <f t="shared" si="28"/>
        <v>, dropMechanic={LIBSETS_DROP_MECHANIC_GROUP_DUNGEON_BOSS}</v>
      </c>
      <c r="BI298" s="21" t="str">
        <f t="shared" si="29"/>
        <v>}, --Ulfnor\'s Favor / Ulfnors Gunst   [Fang Lair, Bangkorai, Bangkorai]</v>
      </c>
    </row>
    <row r="299" spans="1:61" x14ac:dyDescent="0.25">
      <c r="A299" s="12">
        <v>346</v>
      </c>
      <c r="B299" t="s">
        <v>1186</v>
      </c>
      <c r="C299" t="s">
        <v>2604</v>
      </c>
      <c r="D299" s="3">
        <f t="shared" si="24"/>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WayshrineInfo'!$K$3:$N$9971,4,FALSE),"")))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WayshrineInfo'!$K$3:$L$9971,2,FALSE),"")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WayshrineInfo'!$K$3:$L$9971,2,FALSE),"")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 t="shared" si="25"/>
        <v>[346] = {wayshrines={363,363,363,}, dlcId=DLC_DRAGON_BONES</v>
      </c>
      <c r="BF299" s="21" t="str">
        <f t="shared" si="26"/>
        <v>, zoneIds={1010,19,19}, veteran=false</v>
      </c>
      <c r="BG299" s="21" t="str">
        <f t="shared" si="27"/>
        <v>, setType=LIBSETS_SETTYPE_DUNGEON</v>
      </c>
      <c r="BH299" s="21" t="str">
        <f t="shared" si="28"/>
        <v>, isProcSetAllowedInPvP=1, dropMechanic={LIBSETS_DROP_MECHANIC_GROUP_DUNGEON_BOSS}</v>
      </c>
      <c r="BI299" s="21" t="str">
        <f t="shared" si="29"/>
        <v>}, --Jorvuld\'s Guidance / Jorvulds Führung   [Scalecaller Peak, Stormhaven, Stormhaven]</v>
      </c>
    </row>
    <row r="300" spans="1:61" x14ac:dyDescent="0.25">
      <c r="A300" s="12">
        <v>347</v>
      </c>
      <c r="B300" t="s">
        <v>1187</v>
      </c>
      <c r="C300" t="s">
        <v>1188</v>
      </c>
      <c r="D300" s="3">
        <f t="shared" si="24"/>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WayshrineInfo'!$K$3:$N$9971,4,FALSE),"")))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WayshrineInfo'!$K$3:$L$9971,2,FALSE),"")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WayshrineInfo'!$K$3:$L$9971,2,FALSE),"")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 t="shared" si="25"/>
        <v>[347] = {wayshrines={363,363,363,}, dlcId=DLC_DRAGON_BONES</v>
      </c>
      <c r="BF300" s="21" t="str">
        <f t="shared" si="26"/>
        <v>, zoneIds={1010,19,19}, veteran=false</v>
      </c>
      <c r="BG300" s="21" t="str">
        <f t="shared" si="27"/>
        <v>, setType=LIBSETS_SETTYPE_DUNGEON</v>
      </c>
      <c r="BH300" s="21" t="str">
        <f t="shared" si="28"/>
        <v>, dropMechanic={LIBSETS_DROP_MECHANIC_GROUP_DUNGEON_BOSS}</v>
      </c>
      <c r="BI300" s="21" t="str">
        <f t="shared" si="29"/>
        <v>}, --Plague Slinger / Seuchenschleuder   [Scalecaller Peak, Stormhaven, Stormhaven]</v>
      </c>
    </row>
    <row r="301" spans="1:61" x14ac:dyDescent="0.25">
      <c r="A301" s="12">
        <v>348</v>
      </c>
      <c r="B301" t="s">
        <v>1189</v>
      </c>
      <c r="C301" t="s">
        <v>1190</v>
      </c>
      <c r="D301" s="3">
        <f t="shared" si="24"/>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WayshrineInfo'!$K$3:$N$9971,4,FALSE),"")))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WayshrineInfo'!$K$3:$L$9971,2,FALSE),"")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WayshrineInfo'!$K$3:$L$9971,2,FALSE),"")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 t="shared" si="25"/>
        <v>[348] = {wayshrines={363,363,363,}, dlcId=DLC_DRAGON_BONES</v>
      </c>
      <c r="BF301" s="21" t="str">
        <f t="shared" si="26"/>
        <v>, zoneIds={1010,19,19}, veteran=false</v>
      </c>
      <c r="BG301" s="21" t="str">
        <f t="shared" si="27"/>
        <v>, setType=LIBSETS_SETTYPE_DUNGEON</v>
      </c>
      <c r="BH301" s="21" t="str">
        <f t="shared" si="28"/>
        <v>, dropMechanic={LIBSETS_DROP_MECHANIC_GROUP_DUNGEON_BOSS}</v>
      </c>
      <c r="BI301" s="21" t="str">
        <f t="shared" si="29"/>
        <v>}, --Curse of Doylemish / Fluch von Doylemish   [Scalecaller Peak, Stormhaven, Stormhaven]</v>
      </c>
    </row>
    <row r="302" spans="1:61" x14ac:dyDescent="0.25">
      <c r="A302" s="5">
        <v>349</v>
      </c>
      <c r="B302" t="s">
        <v>30</v>
      </c>
      <c r="C302" t="s">
        <v>30</v>
      </c>
      <c r="D302" s="3">
        <f t="shared" si="24"/>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WayshrineInfo'!$K$3:$N$9971,4,FALSE),"")))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WayshrineInfo'!$K$3:$L$9971,2,FALSE),"")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WayshrineInfo'!$K$3:$L$9971,2,FALSE),"")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 t="shared" si="25"/>
        <v>[349] = {wayshrines={341,341,341,}, dlcId=DLC_DRAGON_BONES</v>
      </c>
      <c r="BF302" s="21" t="str">
        <f t="shared" si="26"/>
        <v>, zoneIds={1009,92,92}, veteran={[EQUIP_TYPE_HEAD]=true, [EQUIP_TYPE_SHOULDERS]=false}</v>
      </c>
      <c r="BG302" s="21" t="str">
        <f t="shared" si="27"/>
        <v>, setType=LIBSETS_SETTYPE_MONSTER, undauntedChestId=3</v>
      </c>
      <c r="BH302" s="21" t="str">
        <f t="shared" si="28"/>
        <v>, dropMechanic={LIBSETS_DROP_MECHANIC_MONSTER_NAME}, dropMechanicDropLocationNames={['en']={'Thurvokun','','','','','',},['de']={'Thurvokun','','','','','',},}</v>
      </c>
      <c r="BI302" s="21" t="str">
        <f t="shared" si="29"/>
        <v>}, --Thurvokun / Thurvokun   [Fang Lair, Bangkorai, Bangkorai]</v>
      </c>
    </row>
    <row r="303" spans="1:61" x14ac:dyDescent="0.25">
      <c r="A303" s="5">
        <v>350</v>
      </c>
      <c r="B303" t="s">
        <v>34</v>
      </c>
      <c r="C303" t="s">
        <v>34</v>
      </c>
      <c r="D303" s="3">
        <f t="shared" si="24"/>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WayshrineInfo'!$K$3:$N$9971,4,FALSE),"")))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WayshrineInfo'!$K$3:$L$9971,2,FALSE),"")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WayshrineInfo'!$K$3:$L$9971,2,FALSE),"")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 t="shared" si="25"/>
        <v>[350] = {wayshrines={363,363,363,}, dlcId=DLC_DRAGON_BONES</v>
      </c>
      <c r="BF303" s="21" t="str">
        <f t="shared" si="26"/>
        <v>, zoneIds={1010,19,19}, veteran={[EQUIP_TYPE_HEAD]=true, [EQUIP_TYPE_SHOULDERS]=false}</v>
      </c>
      <c r="BG303" s="21" t="str">
        <f t="shared" si="27"/>
        <v>, setType=LIBSETS_SETTYPE_MONSTER, undauntedChestId=3</v>
      </c>
      <c r="BH303" s="21" t="str">
        <f t="shared" si="28"/>
        <v>, dropMechanic={LIBSETS_DROP_MECHANIC_MONSTER_NAME}, dropMechanicDropLocationNames={['en']={'Zaan','','','','','',},['de']={'Zaan','','','','','',},}</v>
      </c>
      <c r="BI303" s="21" t="str">
        <f t="shared" si="29"/>
        <v>}, --Zaan / Zaan   [Scalecaller Peak, Stormhaven, Stormhaven]</v>
      </c>
    </row>
    <row r="304" spans="1:61" x14ac:dyDescent="0.25">
      <c r="A304" s="5">
        <v>351</v>
      </c>
      <c r="B304" t="s">
        <v>1191</v>
      </c>
      <c r="C304" t="s">
        <v>1192</v>
      </c>
      <c r="D304" s="3">
        <f t="shared" si="24"/>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WayshrineInfo'!$K$3:$N$9971,4,FALSE),"")))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WayshrineInfo'!$K$3:$L$9971,2,FALSE),"")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WayshrineInfo'!$K$3:$L$9971,2,FALSE),"")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 t="shared" si="25"/>
        <v>[351] = {wayshrines={339,339,339,}, traitsNeeded=2, dlcId=DLC_NECROM</v>
      </c>
      <c r="BF304" s="21" t="str">
        <f t="shared" si="26"/>
        <v>, zoneIds={980,980,980}, veteran=false</v>
      </c>
      <c r="BG304" s="21" t="str">
        <f t="shared" si="27"/>
        <v>, setType=LIBSETS_SETTYPE_CRAFTED</v>
      </c>
      <c r="BH304" s="21" t="str">
        <f t="shared" si="28"/>
        <v>, isProcSetAllowedInPvP=1, dropMechanic={LIBSETS_DROP_MECHANIC_CRAFTED,LIBSETS_DROP_MECHANIC_CRAFTED}</v>
      </c>
      <c r="BI304" s="21" t="str">
        <f t="shared" si="29"/>
        <v>}, --Innate Axiom / Kernaxiom   [Clockwork City, Clockwork City, Clockwork City]</v>
      </c>
    </row>
    <row r="305" spans="1:61" x14ac:dyDescent="0.25">
      <c r="A305" s="5">
        <v>352</v>
      </c>
      <c r="B305" t="s">
        <v>1193</v>
      </c>
      <c r="C305" t="s">
        <v>1194</v>
      </c>
      <c r="D305" s="3">
        <f t="shared" si="24"/>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WayshrineInfo'!$K$3:$N$9971,4,FALSE),"")))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WayshrineInfo'!$K$3:$L$9971,2,FALSE),"")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WayshrineInfo'!$K$3:$L$9971,2,FALSE),"")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 t="shared" si="25"/>
        <v>[352] = {wayshrines={337,337,337,}, traitsNeeded=4, dlcId=DLC_NECROM</v>
      </c>
      <c r="BF305" s="21" t="str">
        <f t="shared" si="26"/>
        <v>, zoneIds={980,980,980}, veteran=false</v>
      </c>
      <c r="BG305" s="21" t="str">
        <f t="shared" si="27"/>
        <v>, setType=LIBSETS_SETTYPE_CRAFTED</v>
      </c>
      <c r="BH305" s="21" t="str">
        <f t="shared" si="28"/>
        <v>, isProcSetAllowedInPvP=1, dropMechanic={LIBSETS_DROP_MECHANIC_CRAFTED,LIBSETS_DROP_MECHANIC_CRAFTED}</v>
      </c>
      <c r="BI305" s="21" t="str">
        <f t="shared" si="29"/>
        <v>}, --Fortified Brass / Messingpanzer   [Clockwork City, Clockwork City, Clockwork City]</v>
      </c>
    </row>
    <row r="306" spans="1:61" x14ac:dyDescent="0.25">
      <c r="A306" s="5">
        <v>353</v>
      </c>
      <c r="B306" t="s">
        <v>1195</v>
      </c>
      <c r="C306" t="s">
        <v>1196</v>
      </c>
      <c r="D306" s="3">
        <f t="shared" si="24"/>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WayshrineInfo'!$K$3:$N$9971,4,FALSE),"")))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WayshrineInfo'!$K$3:$L$9971,2,FALSE),"")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WayshrineInfo'!$K$3:$L$9971,2,FALSE),"")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 t="shared" si="25"/>
        <v>[353] = {wayshrines={338,338,338,}, traitsNeeded=6, dlcId=DLC_NECROM</v>
      </c>
      <c r="BF306" s="21" t="str">
        <f t="shared" si="26"/>
        <v>, zoneIds={980,980,980}, veteran=false</v>
      </c>
      <c r="BG306" s="21" t="str">
        <f t="shared" si="27"/>
        <v>, setType=LIBSETS_SETTYPE_CRAFTED</v>
      </c>
      <c r="BH306" s="21" t="str">
        <f t="shared" si="28"/>
        <v>, dropMechanic={LIBSETS_DROP_MECHANIC_CRAFTED,LIBSETS_DROP_MECHANIC_CRAFTED}</v>
      </c>
      <c r="BI306" s="21" t="str">
        <f t="shared" si="29"/>
        <v>}, --Mechanical Acuity / Mechanikblick   [Clockwork City, Clockwork City, Clockwork City]</v>
      </c>
    </row>
    <row r="307" spans="1:61" x14ac:dyDescent="0.25">
      <c r="A307" s="12">
        <v>354</v>
      </c>
      <c r="B307" t="s">
        <v>1197</v>
      </c>
      <c r="C307" t="s">
        <v>1198</v>
      </c>
      <c r="D307" s="3">
        <f t="shared" si="24"/>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WayshrineInfo'!$K$3:$N$9971,4,FALSE),"")))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WayshrineInfo'!$K$3:$L$9971,2,FALSE),"")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WayshrineInfo'!$K$3:$L$9971,2,FALSE),"")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 t="shared" si="25"/>
        <v>[354] = {wayshrines={338,338,338,}, dlcId=DLC_NECROM</v>
      </c>
      <c r="BF307" s="21" t="str">
        <f t="shared" si="26"/>
        <v>, zoneIds={980,980,980}, veteran=false</v>
      </c>
      <c r="BG307" s="21" t="str">
        <f t="shared" si="27"/>
        <v>, setType=LIBSETS_SETTYPE_OVERLAND</v>
      </c>
      <c r="BH307" s="21" t="str">
        <f t="shared" si="28"/>
        <v>, dropMechanic={LIBSETS_DROP_MECHANIC_OVERLAND_BOSS_DELVE,LIBSETS_DROP_MECHANIC_OVERLAND_WORLDBOSS,LIBSETS_DROP_MECHANIC_OVERLAND_CHEST}</v>
      </c>
      <c r="BI307" s="21" t="str">
        <f t="shared" si="29"/>
        <v>}, --Mad Tinkerer / Wahntüftler   [Clockwork City, Clockwork City, Clockwork City]</v>
      </c>
    </row>
    <row r="308" spans="1:61" x14ac:dyDescent="0.25">
      <c r="A308" s="12">
        <v>355</v>
      </c>
      <c r="B308" t="s">
        <v>1199</v>
      </c>
      <c r="C308" t="s">
        <v>1200</v>
      </c>
      <c r="D308" s="3">
        <f t="shared" si="24"/>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WayshrineInfo'!$K$3:$N$9971,4,FALSE),"")))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WayshrineInfo'!$K$3:$L$9971,2,FALSE),"")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WayshrineInfo'!$K$3:$L$9971,2,FALSE),"")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 t="shared" si="25"/>
        <v>[355] = {wayshrines={338,338,338,}, dlcId=DLC_NECROM</v>
      </c>
      <c r="BF308" s="21" t="str">
        <f t="shared" si="26"/>
        <v>, zoneIds={980,980,980}, veteran=false</v>
      </c>
      <c r="BG308" s="21" t="str">
        <f t="shared" si="27"/>
        <v>, setType=LIBSETS_SETTYPE_OVERLAND</v>
      </c>
      <c r="BH308" s="21" t="str">
        <f t="shared" si="28"/>
        <v>, dropMechanic={LIBSETS_DROP_MECHANIC_OVERLAND_BOSS_DELVE,LIBSETS_DROP_MECHANIC_OVERLAND_WORLDBOSS,LIBSETS_DROP_MECHANIC_OVERLAND_CHEST}</v>
      </c>
      <c r="BI308" s="21" t="str">
        <f t="shared" si="29"/>
        <v>}, --Unfathomable Darkness / Unermessliche Dunkelheit   [Clockwork City, Clockwork City, Clockwork City]</v>
      </c>
    </row>
    <row r="309" spans="1:61" x14ac:dyDescent="0.25">
      <c r="A309" s="12">
        <v>356</v>
      </c>
      <c r="B309" t="s">
        <v>1201</v>
      </c>
      <c r="C309" t="s">
        <v>1202</v>
      </c>
      <c r="D309" s="3">
        <f t="shared" si="24"/>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WayshrineInfo'!$K$3:$N$9971,4,FALSE),"")))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WayshrineInfo'!$K$3:$L$9971,2,FALSE),"")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WayshrineInfo'!$K$3:$L$9971,2,FALSE),"")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 t="shared" si="25"/>
        <v>[356] = {wayshrines={338,338,338,}, dlcId=DLC_NECROM</v>
      </c>
      <c r="BF309" s="21" t="str">
        <f t="shared" si="26"/>
        <v>, zoneIds={980,980,980}, veteran=false</v>
      </c>
      <c r="BG309" s="21" t="str">
        <f t="shared" si="27"/>
        <v>, setType=LIBSETS_SETTYPE_OVERLAND</v>
      </c>
      <c r="BH309" s="21" t="str">
        <f t="shared" si="28"/>
        <v>, dropMechanic={LIBSETS_DROP_MECHANIC_OVERLAND_BOSS_DELVE,LIBSETS_DROP_MECHANIC_OVERLAND_WORLDBOSS,LIBSETS_DROP_MECHANIC_OVERLAND_CHEST}</v>
      </c>
      <c r="BI309" s="21" t="str">
        <f t="shared" si="29"/>
        <v>}, --Livewire / Stromschlag   [Clockwork City, Clockwork City, Clockwork City]</v>
      </c>
    </row>
    <row r="310" spans="1:61" x14ac:dyDescent="0.25">
      <c r="A310" s="12">
        <v>357</v>
      </c>
      <c r="B310" t="s">
        <v>1203</v>
      </c>
      <c r="C310" t="s">
        <v>1204</v>
      </c>
      <c r="D310" s="3">
        <f t="shared" si="24"/>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WayshrineInfo'!$K$3:$N$9971,4,FALSE),"")))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WayshrineInfo'!$K$3:$L$9971,2,FALSE),"")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WayshrineInfo'!$K$3:$L$9971,2,FALSE),"")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 t="shared" si="25"/>
        <v>[357] = {wayshrines={346,346,346,}, dlcId=DLC_CLOCKWORK_CITY</v>
      </c>
      <c r="BF310" s="21" t="str">
        <f t="shared" si="26"/>
        <v>, zoneIds={1000,1000,1000}, veteran=true</v>
      </c>
      <c r="BG310" s="21" t="str">
        <f t="shared" si="27"/>
        <v>, setType=LIBSETS_SETTYPE_TRIAL</v>
      </c>
      <c r="BH310" s="21" t="str">
        <f t="shared" si="28"/>
        <v>, dropMechanic={LIBSETS_DROP_MECHANIC_TRIAL_BOSS,LIBSETS_DROP_MECHANIC_TRIAL_BOSS,LIBSETS_DROP_MECHANIC_TRIAL_BOSS}, isPerfectedSet=1</v>
      </c>
      <c r="BI310" s="21" t="str">
        <f t="shared" si="29"/>
        <v>}, --Disciplined Slash (Perfected) / Disziplinierter Schnitt (vollendet)   [Asylum Sanctorium, Asylum Sanctorium, Asylum Sanctorium]</v>
      </c>
    </row>
    <row r="311" spans="1:61" x14ac:dyDescent="0.25">
      <c r="A311" s="12">
        <v>358</v>
      </c>
      <c r="B311" t="s">
        <v>1205</v>
      </c>
      <c r="C311" t="s">
        <v>1206</v>
      </c>
      <c r="D311" s="3">
        <f t="shared" si="24"/>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WayshrineInfo'!$K$3:$N$9971,4,FALSE),"")))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WayshrineInfo'!$K$3:$L$9971,2,FALSE),"")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WayshrineInfo'!$K$3:$L$9971,2,FALSE),"")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 t="shared" si="25"/>
        <v>[358] = {wayshrines={346,346,346,}, dlcId=DLC_CLOCKWORK_CITY</v>
      </c>
      <c r="BF311" s="21" t="str">
        <f t="shared" si="26"/>
        <v>, zoneIds={1000,1000,1000}, veteran=true</v>
      </c>
      <c r="BG311" s="21" t="str">
        <f t="shared" si="27"/>
        <v>, setType=LIBSETS_SETTYPE_TRIAL</v>
      </c>
      <c r="BH311" s="21" t="str">
        <f t="shared" si="28"/>
        <v>, dropMechanic={LIBSETS_DROP_MECHANIC_TRIAL_BOSS,LIBSETS_DROP_MECHANIC_TRIAL_BOSS,LIBSETS_DROP_MECHANIC_TRIAL_BOSS}, isPerfectedSet=1</v>
      </c>
      <c r="BI311" s="21" t="str">
        <f t="shared" si="29"/>
        <v>}, --Defensive Position (Perfected) / Defensive Position (vollendet)   [Asylum Sanctorium, Asylum Sanctorium, Asylum Sanctorium]</v>
      </c>
    </row>
    <row r="312" spans="1:61" x14ac:dyDescent="0.25">
      <c r="A312" s="12">
        <v>359</v>
      </c>
      <c r="B312" t="s">
        <v>1207</v>
      </c>
      <c r="C312" t="s">
        <v>1208</v>
      </c>
      <c r="D312" s="3">
        <f t="shared" si="24"/>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WayshrineInfo'!$K$3:$N$9971,4,FALSE),"")))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WayshrineInfo'!$K$3:$L$9971,2,FALSE),"")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WayshrineInfo'!$K$3:$L$9971,2,FALSE),"")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 t="shared" si="25"/>
        <v>[359] = {wayshrines={346,346,346,}, dlcId=DLC_CLOCKWORK_CITY</v>
      </c>
      <c r="BF312" s="21" t="str">
        <f t="shared" si="26"/>
        <v>, zoneIds={1000,1000,1000}, veteran=true</v>
      </c>
      <c r="BG312" s="21" t="str">
        <f t="shared" si="27"/>
        <v>, setType=LIBSETS_SETTYPE_TRIAL</v>
      </c>
      <c r="BH312" s="21" t="str">
        <f t="shared" si="28"/>
        <v>, dropMechanic={LIBSETS_DROP_MECHANIC_TRIAL_BOSS,LIBSETS_DROP_MECHANIC_TRIAL_BOSS,LIBSETS_DROP_MECHANIC_TRIAL_BOSS}, isPerfectedSet=1</v>
      </c>
      <c r="BI312" s="21" t="str">
        <f t="shared" si="29"/>
        <v>}, --Chaotic Whirlwind (Perfected) / Chaotischer Wirbelwind (vollendet)   [Asylum Sanctorium, Asylum Sanctorium, Asylum Sanctorium]</v>
      </c>
    </row>
    <row r="313" spans="1:61" x14ac:dyDescent="0.25">
      <c r="A313" s="12">
        <v>360</v>
      </c>
      <c r="B313" t="s">
        <v>1209</v>
      </c>
      <c r="C313" t="s">
        <v>1210</v>
      </c>
      <c r="D313" s="3">
        <f t="shared" si="24"/>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WayshrineInfo'!$K$3:$N$9971,4,FALSE),"")))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WayshrineInfo'!$K$3:$L$9971,2,FALSE),"")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WayshrineInfo'!$K$3:$L$9971,2,FALSE),"")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 t="shared" si="25"/>
        <v>[360] = {wayshrines={346,346,346,}, dlcId=DLC_CLOCKWORK_CITY</v>
      </c>
      <c r="BF313" s="21" t="str">
        <f t="shared" si="26"/>
        <v>, zoneIds={1000,1000,1000}, veteran=true</v>
      </c>
      <c r="BG313" s="21" t="str">
        <f t="shared" si="27"/>
        <v>, setType=LIBSETS_SETTYPE_TRIAL</v>
      </c>
      <c r="BH313" s="21" t="str">
        <f t="shared" si="28"/>
        <v>, dropMechanic={LIBSETS_DROP_MECHANIC_TRIAL_BOSS,LIBSETS_DROP_MECHANIC_TRIAL_BOSS,LIBSETS_DROP_MECHANIC_TRIAL_BOSS}, isPerfectedSet=1</v>
      </c>
      <c r="BI313" s="21" t="str">
        <f t="shared" si="29"/>
        <v>}, --Piercing Spray (Perfected) / Durchdringende Salve (vollendet)   [Asylum Sanctorium, Asylum Sanctorium, Asylum Sanctorium]</v>
      </c>
    </row>
    <row r="314" spans="1:61" x14ac:dyDescent="0.25">
      <c r="A314" s="12">
        <v>361</v>
      </c>
      <c r="B314" t="s">
        <v>1211</v>
      </c>
      <c r="C314" t="s">
        <v>1212</v>
      </c>
      <c r="D314" s="3">
        <f t="shared" si="24"/>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WayshrineInfo'!$K$3:$N$9971,4,FALSE),"")))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WayshrineInfo'!$K$3:$L$9971,2,FALSE),"")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WayshrineInfo'!$K$3:$L$9971,2,FALSE),"")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 t="shared" si="25"/>
        <v>[361] = {wayshrines={346,346,346,}, dlcId=DLC_CLOCKWORK_CITY</v>
      </c>
      <c r="BF314" s="21" t="str">
        <f t="shared" si="26"/>
        <v>, zoneIds={1000,1000,1000}, veteran=true</v>
      </c>
      <c r="BG314" s="21" t="str">
        <f t="shared" si="27"/>
        <v>, setType=LIBSETS_SETTYPE_TRIAL</v>
      </c>
      <c r="BH314" s="21" t="str">
        <f t="shared" si="28"/>
        <v>, dropMechanic={LIBSETS_DROP_MECHANIC_TRIAL_BOSS,LIBSETS_DROP_MECHANIC_TRIAL_BOSS,LIBSETS_DROP_MECHANIC_TRIAL_BOSS}, isPerfectedSet=1</v>
      </c>
      <c r="BI314" s="21" t="str">
        <f t="shared" si="29"/>
        <v>}, --Concentrated Force (Perfected) / Konzentrierte Kraft (vollendet)   [Asylum Sanctorium, Asylum Sanctorium, Asylum Sanctorium]</v>
      </c>
    </row>
    <row r="315" spans="1:61" x14ac:dyDescent="0.25">
      <c r="A315" s="12">
        <v>362</v>
      </c>
      <c r="B315" t="s">
        <v>1213</v>
      </c>
      <c r="C315" t="s">
        <v>1214</v>
      </c>
      <c r="D315" s="3">
        <f t="shared" si="24"/>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WayshrineInfo'!$K$3:$N$9971,4,FALSE),"")))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WayshrineInfo'!$K$3:$L$9971,2,FALSE),"")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WayshrineInfo'!$K$3:$L$9971,2,FALSE),"")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 t="shared" si="25"/>
        <v>[362] = {wayshrines={346,346,346,}, dlcId=DLC_CLOCKWORK_CITY</v>
      </c>
      <c r="BF315" s="21" t="str">
        <f t="shared" si="26"/>
        <v>, zoneIds={1000,1000,1000}, veteran=true</v>
      </c>
      <c r="BG315" s="21" t="str">
        <f t="shared" si="27"/>
        <v>, setType=LIBSETS_SETTYPE_TRIAL</v>
      </c>
      <c r="BH315" s="21" t="str">
        <f t="shared" si="28"/>
        <v>, dropMechanic={LIBSETS_DROP_MECHANIC_TRIAL_BOSS,LIBSETS_DROP_MECHANIC_TRIAL_BOSS,LIBSETS_DROP_MECHANIC_TRIAL_BOSS}, isPerfectedSet=1</v>
      </c>
      <c r="BI315" s="21" t="str">
        <f t="shared" si="29"/>
        <v>}, --Timeless Blessing (Perfected) / Zeitloser Segen (vollendet)   [Asylum Sanctorium, Asylum Sanctorium, Asylum Sanctorium]</v>
      </c>
    </row>
    <row r="316" spans="1:61" x14ac:dyDescent="0.25">
      <c r="A316" s="12">
        <v>363</v>
      </c>
      <c r="B316" t="s">
        <v>1215</v>
      </c>
      <c r="C316" t="s">
        <v>1216</v>
      </c>
      <c r="D316" s="3">
        <f t="shared" si="24"/>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WayshrineInfo'!$K$3:$N$9971,4,FALSE),"")))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WayshrineInfo'!$K$3:$L$9971,2,FALSE),"")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WayshrineInfo'!$K$3:$L$9971,2,FALSE),"")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 t="shared" si="25"/>
        <v>[363] = {wayshrines={346,346,346,}, dlcId=DLC_CLOCKWORK_CITY</v>
      </c>
      <c r="BF316" s="21" t="str">
        <f t="shared" si="26"/>
        <v>, zoneIds={1000,1000,1000}, veteran=false</v>
      </c>
      <c r="BG316" s="21" t="str">
        <f t="shared" si="27"/>
        <v>, setType=LIBSETS_SETTYPE_TRIAL</v>
      </c>
      <c r="BH316" s="21" t="str">
        <f t="shared" si="28"/>
        <v>, dropMechanic={LIBSETS_DROP_MECHANIC_TRIAL_BOSS,LIBSETS_DROP_MECHANIC_TRIAL_BOSS,LIBSETS_DROP_MECHANIC_TRIAL_BOSS}, perfectedSetId=357</v>
      </c>
      <c r="BI316" s="21" t="str">
        <f t="shared" si="29"/>
        <v>}, --Disciplined Slash / Disziplinierter Schnitt   [Asylum Sanctorium, Asylum Sanctorium, Asylum Sanctorium]</v>
      </c>
    </row>
    <row r="317" spans="1:61" x14ac:dyDescent="0.25">
      <c r="A317" s="12">
        <v>364</v>
      </c>
      <c r="B317" t="s">
        <v>1217</v>
      </c>
      <c r="C317" t="s">
        <v>1217</v>
      </c>
      <c r="D317" s="3">
        <f t="shared" si="24"/>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WayshrineInfo'!$K$3:$N$9971,4,FALSE),"")))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WayshrineInfo'!$K$3:$L$9971,2,FALSE),"")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WayshrineInfo'!$K$3:$L$9971,2,FALSE),"")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 t="shared" si="25"/>
        <v>[364] = {wayshrines={346,346,346,}, dlcId=DLC_CLOCKWORK_CITY</v>
      </c>
      <c r="BF317" s="21" t="str">
        <f t="shared" si="26"/>
        <v>, zoneIds={1000,1000,1000}, veteran=false</v>
      </c>
      <c r="BG317" s="21" t="str">
        <f t="shared" si="27"/>
        <v>, setType=LIBSETS_SETTYPE_TRIAL</v>
      </c>
      <c r="BH317" s="21" t="str">
        <f t="shared" si="28"/>
        <v>, dropMechanic={LIBSETS_DROP_MECHANIC_TRIAL_BOSS,LIBSETS_DROP_MECHANIC_TRIAL_BOSS,LIBSETS_DROP_MECHANIC_TRIAL_BOSS}, perfectedSetId=358</v>
      </c>
      <c r="BI317" s="21" t="str">
        <f t="shared" si="29"/>
        <v>}, --Defensive Position / Defensive Position   [Asylum Sanctorium, Asylum Sanctorium, Asylum Sanctorium]</v>
      </c>
    </row>
    <row r="318" spans="1:61" x14ac:dyDescent="0.25">
      <c r="A318" s="12">
        <v>365</v>
      </c>
      <c r="B318" t="s">
        <v>1218</v>
      </c>
      <c r="C318" t="s">
        <v>1219</v>
      </c>
      <c r="D318" s="3">
        <f t="shared" si="24"/>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WayshrineInfo'!$K$3:$N$9971,4,FALSE),"")))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WayshrineInfo'!$K$3:$L$9971,2,FALSE),"")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WayshrineInfo'!$K$3:$L$9971,2,FALSE),"")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 t="shared" si="25"/>
        <v>[365] = {wayshrines={346,346,346,}, dlcId=DLC_CLOCKWORK_CITY</v>
      </c>
      <c r="BF318" s="21" t="str">
        <f t="shared" si="26"/>
        <v>, zoneIds={1000,1000,1000}, veteran=false</v>
      </c>
      <c r="BG318" s="21" t="str">
        <f t="shared" si="27"/>
        <v>, setType=LIBSETS_SETTYPE_TRIAL</v>
      </c>
      <c r="BH318" s="21" t="str">
        <f t="shared" si="28"/>
        <v>, dropMechanic={LIBSETS_DROP_MECHANIC_TRIAL_BOSS,LIBSETS_DROP_MECHANIC_TRIAL_BOSS,LIBSETS_DROP_MECHANIC_TRIAL_BOSS}, perfectedSetId=359</v>
      </c>
      <c r="BI318" s="21" t="str">
        <f t="shared" si="29"/>
        <v>}, --Chaotic Whirlwind / Chaotischer Wirbelwind   [Asylum Sanctorium, Asylum Sanctorium, Asylum Sanctorium]</v>
      </c>
    </row>
    <row r="319" spans="1:61" x14ac:dyDescent="0.25">
      <c r="A319" s="12">
        <v>366</v>
      </c>
      <c r="B319" t="s">
        <v>1220</v>
      </c>
      <c r="C319" t="s">
        <v>1221</v>
      </c>
      <c r="D319" s="3">
        <f t="shared" si="24"/>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WayshrineInfo'!$K$3:$N$9971,4,FALSE),"")))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WayshrineInfo'!$K$3:$L$9971,2,FALSE),"")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WayshrineInfo'!$K$3:$L$9971,2,FALSE),"")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 t="shared" si="25"/>
        <v>[366] = {wayshrines={346,346,346,}, dlcId=DLC_CLOCKWORK_CITY</v>
      </c>
      <c r="BF319" s="21" t="str">
        <f t="shared" si="26"/>
        <v>, zoneIds={1000,1000,1000}, veteran=false</v>
      </c>
      <c r="BG319" s="21" t="str">
        <f t="shared" si="27"/>
        <v>, setType=LIBSETS_SETTYPE_TRIAL</v>
      </c>
      <c r="BH319" s="21" t="str">
        <f t="shared" si="28"/>
        <v>, dropMechanic={LIBSETS_DROP_MECHANIC_TRIAL_BOSS,LIBSETS_DROP_MECHANIC_TRIAL_BOSS,LIBSETS_DROP_MECHANIC_TRIAL_BOSS}, perfectedSetId=360</v>
      </c>
      <c r="BI319" s="21" t="str">
        <f t="shared" si="29"/>
        <v>}, --Piercing Spray / Durchdringende Salve   [Asylum Sanctorium, Asylum Sanctorium, Asylum Sanctorium]</v>
      </c>
    </row>
    <row r="320" spans="1:61" x14ac:dyDescent="0.25">
      <c r="A320" s="12">
        <v>367</v>
      </c>
      <c r="B320" t="s">
        <v>1222</v>
      </c>
      <c r="C320" t="s">
        <v>1223</v>
      </c>
      <c r="D320" s="3">
        <f t="shared" si="24"/>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WayshrineInfo'!$K$3:$N$9971,4,FALSE),"")))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WayshrineInfo'!$K$3:$L$9971,2,FALSE),"")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WayshrineInfo'!$K$3:$L$9971,2,FALSE),"")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 t="shared" si="25"/>
        <v>[367] = {wayshrines={346,346,346,}, dlcId=DLC_CLOCKWORK_CITY</v>
      </c>
      <c r="BF320" s="21" t="str">
        <f t="shared" si="26"/>
        <v>, zoneIds={1000,1000,1000}, veteran=false</v>
      </c>
      <c r="BG320" s="21" t="str">
        <f t="shared" si="27"/>
        <v>, setType=LIBSETS_SETTYPE_TRIAL</v>
      </c>
      <c r="BH320" s="21" t="str">
        <f t="shared" si="28"/>
        <v>, dropMechanic={LIBSETS_DROP_MECHANIC_TRIAL_BOSS,LIBSETS_DROP_MECHANIC_TRIAL_BOSS,LIBSETS_DROP_MECHANIC_TRIAL_BOSS}, perfectedSetId=361</v>
      </c>
      <c r="BI320" s="21" t="str">
        <f t="shared" si="29"/>
        <v>}, --Concentrated Force / Konzentrierte Kraft   [Asylum Sanctorium, Asylum Sanctorium, Asylum Sanctorium]</v>
      </c>
    </row>
    <row r="321" spans="1:61" x14ac:dyDescent="0.25">
      <c r="A321" s="12">
        <v>368</v>
      </c>
      <c r="B321" t="s">
        <v>1224</v>
      </c>
      <c r="C321" t="s">
        <v>1225</v>
      </c>
      <c r="D321" s="3">
        <f t="shared" si="24"/>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WayshrineInfo'!$K$3:$N$9971,4,FALSE),"")))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WayshrineInfo'!$K$3:$L$9971,2,FALSE),"")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WayshrineInfo'!$K$3:$L$9971,2,FALSE),"")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 t="shared" si="25"/>
        <v>[368] = {wayshrines={346,346,346,}, dlcId=DLC_CLOCKWORK_CITY</v>
      </c>
      <c r="BF321" s="21" t="str">
        <f t="shared" si="26"/>
        <v>, zoneIds={1000,1000,1000}, veteran=false</v>
      </c>
      <c r="BG321" s="21" t="str">
        <f t="shared" si="27"/>
        <v>, setType=LIBSETS_SETTYPE_TRIAL</v>
      </c>
      <c r="BH321" s="21" t="str">
        <f t="shared" si="28"/>
        <v>, dropMechanic={LIBSETS_DROP_MECHANIC_TRIAL_BOSS,LIBSETS_DROP_MECHANIC_TRIAL_BOSS,LIBSETS_DROP_MECHANIC_TRIAL_BOSS}, perfectedSetId=362</v>
      </c>
      <c r="BI321" s="21" t="str">
        <f t="shared" si="29"/>
        <v>}, --Timeless Blessing / Zeitloser Segen   [Asylum Sanctorium, Asylum Sanctorium, Asylum Sanctorium]</v>
      </c>
    </row>
    <row r="322" spans="1:61" x14ac:dyDescent="0.25">
      <c r="A322" s="12">
        <v>369</v>
      </c>
      <c r="B322" t="s">
        <v>1226</v>
      </c>
      <c r="C322" t="s">
        <v>1227</v>
      </c>
      <c r="D322" s="3">
        <f t="shared" si="24"/>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WayshrineInfo'!$K$3:$N$9971,4,FALSE),"")))</f>
        <v>Maelstrom Arena</v>
      </c>
      <c r="T322" s="19" t="str">
        <f>IF(AND(S322&lt;&gt;"",NOT(ISERROR(S322))),S322,IF(Q322&lt;&gt;"",IF(NOT(ISERROR(VLOOKUP(Q322,'ESO Dungeon constants'!$D$3:$H$9999,5,FALSE))),VLOOKUP(Q322,'ESO Dungeon constants'!$D$3:$I$9999,6,FALSE),VLOOKUP(Q322,'ESO zone constants'!$H$3:$K$9989,4,FALSE)),""))</f>
        <v>DLC_ORSINIUM</v>
      </c>
      <c r="U322" s="3" t="str">
        <f>IF(T322&lt;&gt;"",VLOOKUP(T322,'LibSets constants'!$B$4:$C$1017,2,FALSE),"")</f>
        <v>Orsinium</v>
      </c>
      <c r="V322" s="33" t="s">
        <v>1547</v>
      </c>
      <c r="Y322" s="61"/>
      <c r="Z322" s="3">
        <f>IF(AND(G322&lt;&gt;"LIBSETS_SETTYPE_BATTLEGROUND",G322&lt;&gt;"LIBSETS_SETTYPE_SPECIAL"),
IF(AND(Y322&lt;&gt;"",ISNUMBER(Y322),NOT(ISNA(Y322))),Y322,
   IF(AND(L322&lt;&gt;"",ISNUMBER(L322),L322&gt;0,NOT(ISNA(L322))),VLOOKUP(L322,'ESO dumped WayshrineInfo'!$K$3:$L$9971,2,FALSE),"")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WayshrineInfo'!$K$3:$L$9971,2,FALSE),"")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 t="shared" si="25"/>
        <v>[369] = {wayshrines={249,249,249,}, dlcId=DLC_ORSINIUM</v>
      </c>
      <c r="BF322" s="21" t="str">
        <f t="shared" si="26"/>
        <v>, zoneIds={677,684,684}, veteran=false</v>
      </c>
      <c r="BG322" s="21" t="str">
        <f t="shared" si="27"/>
        <v>, setType=LIBSETS_SETTYPE_ARENA</v>
      </c>
      <c r="BH322" s="21" t="str">
        <f t="shared" si="28"/>
        <v>, dropMechanic={LIBSETS_DROP_MECHANIC_ARENA_STAGE_CHEST,LIBSETS_DROP_MECHANIC_ARENA_STAGE_CHEST}, perfectedSetId=522</v>
      </c>
      <c r="BI322" s="21" t="str">
        <f t="shared" si="29"/>
        <v>}, --Merciless Charge / Gnadenloser Ansturm   [Maelstrom Arena, Wrothgar, Wrothgar]</v>
      </c>
    </row>
    <row r="323" spans="1:61" x14ac:dyDescent="0.25">
      <c r="A323" s="12">
        <v>370</v>
      </c>
      <c r="B323" t="s">
        <v>1228</v>
      </c>
      <c r="C323" t="s">
        <v>1229</v>
      </c>
      <c r="D323" s="3">
        <f t="shared" ref="D323:D386" si="30">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WayshrineInfo'!$K$3:$N$9971,4,FALSE),"")))</f>
        <v>Maelstrom Arena</v>
      </c>
      <c r="T323" s="19" t="str">
        <f>IF(AND(S323&lt;&gt;"",NOT(ISERROR(S323))),S323,IF(Q323&lt;&gt;"",IF(NOT(ISERROR(VLOOKUP(Q323,'ESO Dungeon constants'!$D$3:$H$9999,5,FALSE))),VLOOKUP(Q323,'ESO Dungeon constants'!$D$3:$I$9999,6,FALSE),VLOOKUP(Q323,'ESO zone constants'!$H$3:$K$9989,4,FALSE)),""))</f>
        <v>DLC_ORSINIUM</v>
      </c>
      <c r="U323" s="3" t="str">
        <f>IF(T323&lt;&gt;"",VLOOKUP(T323,'LibSets constants'!$B$4:$C$1017,2,FALSE),"")</f>
        <v>Orsinium</v>
      </c>
      <c r="V323" s="33" t="s">
        <v>1547</v>
      </c>
      <c r="Y323" s="61"/>
      <c r="Z323" s="3">
        <f>IF(AND(G323&lt;&gt;"LIBSETS_SETTYPE_BATTLEGROUND",G323&lt;&gt;"LIBSETS_SETTYPE_SPECIAL"),
IF(AND(Y323&lt;&gt;"",ISNUMBER(Y323),NOT(ISNA(Y323))),Y323,
   IF(AND(L323&lt;&gt;"",ISNUMBER(L323),L323&gt;0,NOT(ISNA(L323))),VLOOKUP(L323,'ESO dumped WayshrineInfo'!$K$3:$L$9971,2,FALSE),"")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WayshrineInfo'!$K$3:$L$9971,2,FALSE),"")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21"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 t="shared" ref="BG323:BG386" si="33">IF(A323&lt;&gt;"",IF(F323&lt;&gt;"Not in the game (anymore)",IF(A323&lt;&gt;"",", setType="&amp;G323,"")&amp;IF(G323="LIBSETS_SETTYPE_CLASS",", classId="&amp;BC323,"")&amp;IF(J323="true",", multiTrialSet=true",""),"")
&amp; IF(AND(H323&lt;&gt;"",ISNUMBER(H323)),", undauntedChestId=" &amp; H323,""),"")</f>
        <v>, setType=LIBSETS_SETTYPE_ARENA</v>
      </c>
      <c r="BH323" s="21" t="str">
        <f t="shared" ref="BH323:BH386" si="34">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 t="shared" ref="BI323:BI386" si="35">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 t="shared" si="30"/>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WayshrineInfo'!$K$3:$N$9971,4,FALSE),"")))</f>
        <v>Maelstrom Arena</v>
      </c>
      <c r="T324" s="19" t="str">
        <f>IF(AND(S324&lt;&gt;"",NOT(ISERROR(S324))),S324,IF(Q324&lt;&gt;"",IF(NOT(ISERROR(VLOOKUP(Q324,'ESO Dungeon constants'!$D$3:$H$9999,5,FALSE))),VLOOKUP(Q324,'ESO Dungeon constants'!$D$3:$I$9999,6,FALSE),VLOOKUP(Q324,'ESO zone constants'!$H$3:$K$9989,4,FALSE)),""))</f>
        <v>DLC_ORSINIUM</v>
      </c>
      <c r="U324" s="3" t="str">
        <f>IF(T324&lt;&gt;"",VLOOKUP(T324,'LibSets constants'!$B$4:$C$1017,2,FALSE),"")</f>
        <v>Orsinium</v>
      </c>
      <c r="V324" s="33" t="s">
        <v>1547</v>
      </c>
      <c r="Y324" s="61"/>
      <c r="Z324" s="3">
        <f>IF(AND(G324&lt;&gt;"LIBSETS_SETTYPE_BATTLEGROUND",G324&lt;&gt;"LIBSETS_SETTYPE_SPECIAL"),
IF(AND(Y324&lt;&gt;"",ISNUMBER(Y324),NOT(ISNA(Y324))),Y324,
   IF(AND(L324&lt;&gt;"",ISNUMBER(L324),L324&gt;0,NOT(ISNA(L324))),VLOOKUP(L324,'ESO dumped WayshrineInfo'!$K$3:$L$9971,2,FALSE),"")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WayshrineInfo'!$K$3:$L$9971,2,FALSE),"")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 t="shared" si="31"/>
        <v>[371] = {wayshrines={249,249,249,}, dlcId=DLC_ORSINIUM</v>
      </c>
      <c r="BF324" s="21" t="str">
        <f t="shared" si="32"/>
        <v>, zoneIds={677,684,684}, veteran=false</v>
      </c>
      <c r="BG324" s="21" t="str">
        <f t="shared" si="33"/>
        <v>, setType=LIBSETS_SETTYPE_ARENA</v>
      </c>
      <c r="BH324" s="21" t="str">
        <f t="shared" si="34"/>
        <v>, dropMechanic={LIBSETS_DROP_MECHANIC_ARENA_STAGE_CHEST,LIBSETS_DROP_MECHANIC_ARENA_STAGE_CHEST}, perfectedSetId=524</v>
      </c>
      <c r="BI324" s="21" t="str">
        <f t="shared" si="35"/>
        <v>}, --Cruel Flurry / Grausamer Schlaghagel   [Maelstrom Arena, Wrothgar, Wrothgar]</v>
      </c>
    </row>
    <row r="325" spans="1:61" x14ac:dyDescent="0.25">
      <c r="A325" s="12">
        <v>372</v>
      </c>
      <c r="B325" t="s">
        <v>1232</v>
      </c>
      <c r="C325" t="s">
        <v>1233</v>
      </c>
      <c r="D325" s="3">
        <f t="shared" si="30"/>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WayshrineInfo'!$K$3:$N$9971,4,FALSE),"")))</f>
        <v>Maelstrom Arena</v>
      </c>
      <c r="T325" s="19" t="str">
        <f>IF(AND(S325&lt;&gt;"",NOT(ISERROR(S325))),S325,IF(Q325&lt;&gt;"",IF(NOT(ISERROR(VLOOKUP(Q325,'ESO Dungeon constants'!$D$3:$H$9999,5,FALSE))),VLOOKUP(Q325,'ESO Dungeon constants'!$D$3:$I$9999,6,FALSE),VLOOKUP(Q325,'ESO zone constants'!$H$3:$K$9989,4,FALSE)),""))</f>
        <v>DLC_ORSINIUM</v>
      </c>
      <c r="U325" s="3" t="str">
        <f>IF(T325&lt;&gt;"",VLOOKUP(T325,'LibSets constants'!$B$4:$C$1017,2,FALSE),"")</f>
        <v>Orsinium</v>
      </c>
      <c r="V325" s="33" t="s">
        <v>1547</v>
      </c>
      <c r="Y325" s="61"/>
      <c r="Z325" s="3">
        <f>IF(AND(G325&lt;&gt;"LIBSETS_SETTYPE_BATTLEGROUND",G325&lt;&gt;"LIBSETS_SETTYPE_SPECIAL"),
IF(AND(Y325&lt;&gt;"",ISNUMBER(Y325),NOT(ISNA(Y325))),Y325,
   IF(AND(L325&lt;&gt;"",ISNUMBER(L325),L325&gt;0,NOT(ISNA(L325))),VLOOKUP(L325,'ESO dumped WayshrineInfo'!$K$3:$L$9971,2,FALSE),"")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WayshrineInfo'!$K$3:$L$9971,2,FALSE),"")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 t="shared" si="31"/>
        <v>[372] = {wayshrines={249,249,249,}, dlcId=DLC_ORSINIUM</v>
      </c>
      <c r="BF325" s="21" t="str">
        <f t="shared" si="32"/>
        <v>, zoneIds={677,684,684}, veteran=false</v>
      </c>
      <c r="BG325" s="21" t="str">
        <f t="shared" si="33"/>
        <v>, setType=LIBSETS_SETTYPE_ARENA</v>
      </c>
      <c r="BH325" s="21" t="str">
        <f t="shared" si="34"/>
        <v>, dropMechanic={LIBSETS_DROP_MECHANIC_ARENA_STAGE_CHEST,LIBSETS_DROP_MECHANIC_ARENA_STAGE_CHEST}, perfectedSetId=525</v>
      </c>
      <c r="BI325" s="21" t="str">
        <f t="shared" si="35"/>
        <v>}, --Thunderous Volley / Donnernde Salve   [Maelstrom Arena, Wrothgar, Wrothgar]</v>
      </c>
    </row>
    <row r="326" spans="1:61" x14ac:dyDescent="0.25">
      <c r="A326" s="12">
        <v>373</v>
      </c>
      <c r="B326" t="s">
        <v>1234</v>
      </c>
      <c r="C326" t="s">
        <v>1235</v>
      </c>
      <c r="D326" s="3">
        <f t="shared" si="30"/>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WayshrineInfo'!$K$3:$N$9971,4,FALSE),"")))</f>
        <v>Maelstrom Arena</v>
      </c>
      <c r="T326" s="19" t="str">
        <f>IF(AND(S326&lt;&gt;"",NOT(ISERROR(S326))),S326,IF(Q326&lt;&gt;"",IF(NOT(ISERROR(VLOOKUP(Q326,'ESO Dungeon constants'!$D$3:$H$9999,5,FALSE))),VLOOKUP(Q326,'ESO Dungeon constants'!$D$3:$I$9999,6,FALSE),VLOOKUP(Q326,'ESO zone constants'!$H$3:$K$9989,4,FALSE)),""))</f>
        <v>DLC_ORSINIUM</v>
      </c>
      <c r="U326" s="3" t="str">
        <f>IF(T326&lt;&gt;"",VLOOKUP(T326,'LibSets constants'!$B$4:$C$1017,2,FALSE),"")</f>
        <v>Orsinium</v>
      </c>
      <c r="V326" s="33" t="s">
        <v>1547</v>
      </c>
      <c r="Y326" s="61"/>
      <c r="Z326" s="3">
        <f>IF(AND(G326&lt;&gt;"LIBSETS_SETTYPE_BATTLEGROUND",G326&lt;&gt;"LIBSETS_SETTYPE_SPECIAL"),
IF(AND(Y326&lt;&gt;"",ISNUMBER(Y326),NOT(ISNA(Y326))),Y326,
   IF(AND(L326&lt;&gt;"",ISNUMBER(L326),L326&gt;0,NOT(ISNA(L326))),VLOOKUP(L326,'ESO dumped WayshrineInfo'!$K$3:$L$9971,2,FALSE),"")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WayshrineInfo'!$K$3:$L$9971,2,FALSE),"")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 t="shared" si="31"/>
        <v>[373] = {wayshrines={249,249,249,}, dlcId=DLC_ORSINIUM</v>
      </c>
      <c r="BF326" s="21" t="str">
        <f t="shared" si="32"/>
        <v>, zoneIds={677,684,684}, veteran=false</v>
      </c>
      <c r="BG326" s="21" t="str">
        <f t="shared" si="33"/>
        <v>, setType=LIBSETS_SETTYPE_ARENA</v>
      </c>
      <c r="BH326" s="21" t="str">
        <f t="shared" si="34"/>
        <v>, isProcSetAllowedInPvP=1, dropMechanic={LIBSETS_DROP_MECHANIC_ARENA_STAGE_CHEST,LIBSETS_DROP_MECHANIC_ARENA_STAGE_CHEST}, perfectedSetId=526</v>
      </c>
      <c r="BI326" s="21" t="str">
        <f t="shared" si="35"/>
        <v>}, --Crushing Wall / Zermalmende Mauer   [Maelstrom Arena, Wrothgar, Wrothgar]</v>
      </c>
    </row>
    <row r="327" spans="1:61" x14ac:dyDescent="0.25">
      <c r="A327" s="12">
        <v>374</v>
      </c>
      <c r="B327" t="s">
        <v>1236</v>
      </c>
      <c r="C327" t="s">
        <v>1237</v>
      </c>
      <c r="D327" s="3">
        <f t="shared" si="30"/>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WayshrineInfo'!$K$3:$N$9971,4,FALSE),"")))</f>
        <v>Maelstrom Arena</v>
      </c>
      <c r="T327" s="19" t="str">
        <f>IF(AND(S327&lt;&gt;"",NOT(ISERROR(S327))),S327,IF(Q327&lt;&gt;"",IF(NOT(ISERROR(VLOOKUP(Q327,'ESO Dungeon constants'!$D$3:$H$9999,5,FALSE))),VLOOKUP(Q327,'ESO Dungeon constants'!$D$3:$I$9999,6,FALSE),VLOOKUP(Q327,'ESO zone constants'!$H$3:$K$9989,4,FALSE)),""))</f>
        <v>DLC_ORSINIUM</v>
      </c>
      <c r="U327" s="3" t="str">
        <f>IF(T327&lt;&gt;"",VLOOKUP(T327,'LibSets constants'!$B$4:$C$1017,2,FALSE),"")</f>
        <v>Orsinium</v>
      </c>
      <c r="V327" s="33" t="s">
        <v>1547</v>
      </c>
      <c r="Y327" s="61"/>
      <c r="Z327" s="3">
        <f>IF(AND(G327&lt;&gt;"LIBSETS_SETTYPE_BATTLEGROUND",G327&lt;&gt;"LIBSETS_SETTYPE_SPECIAL"),
IF(AND(Y327&lt;&gt;"",ISNUMBER(Y327),NOT(ISNA(Y327))),Y327,
   IF(AND(L327&lt;&gt;"",ISNUMBER(L327),L327&gt;0,NOT(ISNA(L327))),VLOOKUP(L327,'ESO dumped WayshrineInfo'!$K$3:$L$9971,2,FALSE),"")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WayshrineInfo'!$K$3:$L$9971,2,FALSE),"")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 t="shared" si="31"/>
        <v>[374] = {wayshrines={249,249,249,}, dlcId=DLC_ORSINIUM</v>
      </c>
      <c r="BF327" s="21" t="str">
        <f t="shared" si="32"/>
        <v>, zoneIds={677,684,684}, veteran=false</v>
      </c>
      <c r="BG327" s="21" t="str">
        <f t="shared" si="33"/>
        <v>, setType=LIBSETS_SETTYPE_ARENA</v>
      </c>
      <c r="BH327" s="21" t="str">
        <f t="shared" si="34"/>
        <v>, dropMechanic={LIBSETS_DROP_MECHANIC_ARENA_STAGE_CHEST,LIBSETS_DROP_MECHANIC_ARENA_STAGE_CHEST}, perfectedSetId=527</v>
      </c>
      <c r="BI327" s="21" t="str">
        <f t="shared" si="35"/>
        <v>}, --Precise Regeneration / Präzise Regeneration   [Maelstrom Arena, Wrothgar, Wrothgar]</v>
      </c>
    </row>
    <row r="328" spans="1:61" x14ac:dyDescent="0.25">
      <c r="A328" s="12">
        <v>380</v>
      </c>
      <c r="B328" t="s">
        <v>1238</v>
      </c>
      <c r="C328" t="s">
        <v>2605</v>
      </c>
      <c r="D328" s="3">
        <f t="shared" si="30"/>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WayshrineInfo'!$K$3:$N$9971,4,FALSE),"")))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WayshrineInfo'!$K$3:$L$9971,2,FALSE),"")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WayshrineInfo'!$K$3:$L$9971,2,FALSE),"")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 t="shared" si="31"/>
        <v>[380] = {wayshrines={-1,-1,-1,}, dlcId=DLC_BASE_GAME</v>
      </c>
      <c r="BF328" s="21" t="str">
        <f t="shared" si="32"/>
        <v>, zoneIds={-99}, veteran=false</v>
      </c>
      <c r="BG328" s="21" t="str">
        <f t="shared" si="33"/>
        <v>, setType=LIBSETS_SETTYPE_SPECIAL</v>
      </c>
      <c r="BH328" s="21" t="str">
        <f t="shared" si="34"/>
        <v>, dropMechanic={LIBSETS_DROP_MECHANIC_LEVEL_UP_REWARD}</v>
      </c>
      <c r="BI328" s="21" t="str">
        <f t="shared" si="35"/>
        <v>}, --Prophet\'s / Prophet   [!Level up advisor]</v>
      </c>
    </row>
    <row r="329" spans="1:61" x14ac:dyDescent="0.25">
      <c r="A329" s="12">
        <v>381</v>
      </c>
      <c r="B329" t="s">
        <v>1239</v>
      </c>
      <c r="C329" t="s">
        <v>1240</v>
      </c>
      <c r="D329" s="3">
        <f t="shared" si="30"/>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WayshrineInfo'!$K$3:$N$9971,4,FALSE),"")))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WayshrineInfo'!$K$3:$L$9971,2,FALSE),"")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WayshrineInfo'!$K$3:$L$9971,2,FALSE),"")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 t="shared" si="31"/>
        <v>[381] = {wayshrines={-1,-1,-1,}, dlcId=DLC_BASE_GAME</v>
      </c>
      <c r="BF329" s="21" t="str">
        <f t="shared" si="32"/>
        <v>, zoneIds={-99}, veteran=false</v>
      </c>
      <c r="BG329" s="21" t="str">
        <f t="shared" si="33"/>
        <v>, setType=LIBSETS_SETTYPE_SPECIAL</v>
      </c>
      <c r="BH329" s="21" t="str">
        <f t="shared" si="34"/>
        <v>, dropMechanic={LIBSETS_DROP_MECHANIC_LEVEL_UP_REWARD}</v>
      </c>
      <c r="BI329" s="21" t="str">
        <f t="shared" si="35"/>
        <v>}, --Broken Soul / Zerbrochene Seele   [!Level up advisor]</v>
      </c>
    </row>
    <row r="330" spans="1:61" x14ac:dyDescent="0.25">
      <c r="A330" s="12">
        <v>382</v>
      </c>
      <c r="B330" t="s">
        <v>1241</v>
      </c>
      <c r="C330" t="s">
        <v>1242</v>
      </c>
      <c r="D330" s="3">
        <f t="shared" si="30"/>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WayshrineInfo'!$K$3:$N$9971,4,FALSE),"")))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WayshrineInfo'!$K$3:$L$9971,2,FALSE),"")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WayshrineInfo'!$K$3:$L$9971,2,FALSE),"")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 t="shared" si="31"/>
        <v>[382] = {wayshrines={355,355,355,}, dlcId=DLC_NECROM</v>
      </c>
      <c r="BF330" s="21" t="str">
        <f t="shared" si="32"/>
        <v>, zoneIds={1011,1011,1011,1011,1027,1027}, veteran=false</v>
      </c>
      <c r="BG330" s="21" t="str">
        <f t="shared" si="33"/>
        <v>, setType=LIBSETS_SETTYPE_OVERLAND</v>
      </c>
      <c r="BH330"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5"/>
        <v>}, --Grace of Gloom / Anmut der Gräue   [Summerset, Summerset, Summerset, Summerset, Artaeum, Artaeum]</v>
      </c>
    </row>
    <row r="331" spans="1:61" x14ac:dyDescent="0.25">
      <c r="A331" s="12">
        <v>383</v>
      </c>
      <c r="B331" t="s">
        <v>1243</v>
      </c>
      <c r="C331" t="s">
        <v>2606</v>
      </c>
      <c r="D331" s="3">
        <f t="shared" si="30"/>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WayshrineInfo'!$K$3:$N$9971,4,FALSE),"")))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WayshrineInfo'!$K$3:$L$9971,2,FALSE),"")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WayshrineInfo'!$K$3:$L$9971,2,FALSE),"")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 t="shared" si="31"/>
        <v>[383] = {wayshrines={355,355,355,}, dlcId=DLC_NECROM</v>
      </c>
      <c r="BF331" s="21" t="str">
        <f t="shared" si="32"/>
        <v>, zoneIds={1011,1011,1011,1011,1027,1027}, veteran=false</v>
      </c>
      <c r="BG331" s="21" t="str">
        <f t="shared" si="33"/>
        <v>, setType=LIBSETS_SETTYPE_OVERLAND</v>
      </c>
      <c r="BH331"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5"/>
        <v>}, --Gryphon\'s Ferocity / Wildheit des Greifen   [Summerset, Summerset, Summerset, Summerset, Artaeum, Artaeum]</v>
      </c>
    </row>
    <row r="332" spans="1:61" x14ac:dyDescent="0.25">
      <c r="A332" s="12">
        <v>384</v>
      </c>
      <c r="B332" t="s">
        <v>1244</v>
      </c>
      <c r="C332" t="s">
        <v>1245</v>
      </c>
      <c r="D332" s="3">
        <f t="shared" si="30"/>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WayshrineInfo'!$K$3:$N$9971,4,FALSE),"")))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WayshrineInfo'!$K$3:$L$9971,2,FALSE),"")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WayshrineInfo'!$K$3:$L$9971,2,FALSE),"")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 t="shared" si="31"/>
        <v>[384] = {wayshrines={355,355,355,}, dlcId=DLC_NECROM</v>
      </c>
      <c r="BF332" s="21" t="str">
        <f t="shared" si="32"/>
        <v>, zoneIds={1011,1011,1011,1011,1027,1027}, veteran=false</v>
      </c>
      <c r="BG332" s="21" t="str">
        <f t="shared" si="33"/>
        <v>, setType=LIBSETS_SETTYPE_OVERLAND</v>
      </c>
      <c r="BH332"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5"/>
        <v>}, --Wisdom of Vanus / Weisheit von Vanus   [Summerset, Summerset, Summerset, Summerset, Artaeum, Artaeum]</v>
      </c>
    </row>
    <row r="333" spans="1:61" x14ac:dyDescent="0.25">
      <c r="A333" s="5">
        <v>385</v>
      </c>
      <c r="B333" t="s">
        <v>1246</v>
      </c>
      <c r="C333" t="s">
        <v>1247</v>
      </c>
      <c r="D333" s="3">
        <f t="shared" si="30"/>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WayshrineInfo'!$K$3:$N$9971,4,FALSE),"")))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WayshrineInfo'!$K$3:$L$9971,2,FALSE),"")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WayshrineInfo'!$K$3:$L$9971,2,FALSE),"")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 t="shared" si="31"/>
        <v>[385] = {wayshrines={359,359,359,}, traitsNeeded=3, dlcId=DLC_NECROM</v>
      </c>
      <c r="BF333" s="21" t="str">
        <f t="shared" si="32"/>
        <v>, zoneIds={1011,1011,1011}, veteran=false</v>
      </c>
      <c r="BG333" s="21" t="str">
        <f t="shared" si="33"/>
        <v>, setType=LIBSETS_SETTYPE_CRAFTED</v>
      </c>
      <c r="BH333" s="21" t="str">
        <f t="shared" si="34"/>
        <v>, dropMechanic={LIBSETS_DROP_MECHANIC_CRAFTED,LIBSETS_DROP_MECHANIC_CRAFTED,LIBSETS_DROP_MECHANIC_CRAFTED}</v>
      </c>
      <c r="BI333" s="21" t="str">
        <f t="shared" si="35"/>
        <v>}, --Adept Rider / Versierter Reiter   [Summerset, Summerset, Summerset]</v>
      </c>
    </row>
    <row r="334" spans="1:61" x14ac:dyDescent="0.25">
      <c r="A334" s="5">
        <v>386</v>
      </c>
      <c r="B334" t="s">
        <v>1248</v>
      </c>
      <c r="C334" t="s">
        <v>2607</v>
      </c>
      <c r="D334" s="3">
        <f t="shared" si="30"/>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WayshrineInfo'!$K$3:$N$9971,4,FALSE),"")))</f>
        <v>Artaeum</v>
      </c>
      <c r="T334" s="19" t="str">
        <f>IF(AND(S334&lt;&gt;"",NOT(ISERROR(S334))),S334,IF(Q334&lt;&gt;"",IF(NOT(ISERROR(VLOOKUP(Q334,'ESO Dungeon constants'!$D$3:$H$9999,5,FALSE))),VLOOKUP(Q334,'ESO Dungeon constants'!$D$3:$I$9999,6,FALSE),VLOOKUP(Q334,'ESO zone constants'!$H$3:$K$9989,4,FALSE)),""))</f>
        <v>DLC_SUMMERSET</v>
      </c>
      <c r="U334" s="3" t="str">
        <f>IF(T334&lt;&gt;"",VLOOKUP(T334,'LibSets constants'!$B$4:$C$1017,2,FALSE),"")</f>
        <v>Summerset</v>
      </c>
      <c r="V334" s="33" t="s">
        <v>3276</v>
      </c>
      <c r="Y334" s="61"/>
      <c r="Z334" s="3">
        <f>IF(AND(G334&lt;&gt;"LIBSETS_SETTYPE_BATTLEGROUND",G334&lt;&gt;"LIBSETS_SETTYPE_SPECIAL"),
IF(AND(Y334&lt;&gt;"",ISNUMBER(Y334),NOT(ISNA(Y334))),Y334,
   IF(AND(L334&lt;&gt;"",ISNUMBER(L334),L334&gt;0,NOT(ISNA(L334))),VLOOKUP(L334,'ESO dumped WayshrineInfo'!$K$3:$L$9971,2,FALSE),"")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WayshrineInfo'!$K$3:$L$9971,2,FALSE),"")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 t="shared" si="31"/>
        <v>[386] = {wayshrines={360,360,360,}, traitsNeeded=6, dlcId=DLC_SUMMERSET</v>
      </c>
      <c r="BF334" s="21" t="str">
        <f t="shared" si="32"/>
        <v>, zoneIds={1027,1027,1027}, veteran=false</v>
      </c>
      <c r="BG334" s="21" t="str">
        <f t="shared" si="33"/>
        <v>, setType=LIBSETS_SETTYPE_CRAFTED</v>
      </c>
      <c r="BH334" s="21" t="str">
        <f t="shared" si="34"/>
        <v>, dropMechanic={LIBSETS_DROP_MECHANIC_CRAFTED,LIBSETS_DROP_MECHANIC_CRAFTED,LIBSETS_DROP_MECHANIC_CRAFTED}</v>
      </c>
      <c r="BI334" s="21" t="str">
        <f t="shared" si="35"/>
        <v>}, --Sload\'s Semblance / Kreckenantlitz   [Artaeum, Artaeum, Artaeum]</v>
      </c>
    </row>
    <row r="335" spans="1:61" x14ac:dyDescent="0.25">
      <c r="A335" s="5">
        <v>387</v>
      </c>
      <c r="B335" t="s">
        <v>1249</v>
      </c>
      <c r="C335" t="s">
        <v>2608</v>
      </c>
      <c r="D335" s="3">
        <f t="shared" si="30"/>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WayshrineInfo'!$K$3:$N$9971,4,FALSE),"")))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WayshrineInfo'!$K$3:$L$9971,2,FALSE),"")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WayshrineInfo'!$K$3:$L$9971,2,FALSE),"")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 t="shared" si="31"/>
        <v>[387] = {wayshrines={354,354,354,}, traitsNeeded=9, dlcId=DLC_NECROM</v>
      </c>
      <c r="BF335" s="21" t="str">
        <f t="shared" si="32"/>
        <v>, zoneIds={1011,1011,1011}, veteran=false</v>
      </c>
      <c r="BG335" s="21" t="str">
        <f t="shared" si="33"/>
        <v>, setType=LIBSETS_SETTYPE_CRAFTED</v>
      </c>
      <c r="BH335" s="21" t="str">
        <f t="shared" si="34"/>
        <v>, dropMechanic={LIBSETS_DROP_MECHANIC_CRAFTED,LIBSETS_DROP_MECHANIC_CRAFTED,LIBSETS_DROP_MECHANIC_CRAFTED}</v>
      </c>
      <c r="BI335" s="21" t="str">
        <f t="shared" si="35"/>
        <v>}, --Nocturnal\'s Favor / Nocturnals Gunst   [Summerset, Summerset, Summerset]</v>
      </c>
    </row>
    <row r="336" spans="1:61" x14ac:dyDescent="0.25">
      <c r="A336" s="12">
        <v>388</v>
      </c>
      <c r="B336" t="s">
        <v>1250</v>
      </c>
      <c r="C336" t="s">
        <v>1251</v>
      </c>
      <c r="D336" s="3">
        <f t="shared" si="30"/>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WayshrineInfo'!$K$3:$N$9971,4,FALSE),"")))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WayshrineInfo'!$K$3:$L$9971,2,FALSE),"")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WayshrineInfo'!$K$3:$L$9971,2,FALSE),"")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 t="shared" si="31"/>
        <v>[388] = {wayshrines={364,364,364,}, dlcId=DLC_SUMMERSET</v>
      </c>
      <c r="BF336" s="21" t="str">
        <f t="shared" si="32"/>
        <v>, zoneIds={1051,1051,1051}, veteran=false</v>
      </c>
      <c r="BG336" s="21" t="str">
        <f t="shared" si="33"/>
        <v>, setType=LIBSETS_SETTYPE_TRIAL</v>
      </c>
      <c r="BH336" s="21" t="str">
        <f t="shared" si="34"/>
        <v>, dropMechanic={LIBSETS_DROP_MECHANIC_TRIAL_BOSS,LIBSETS_DROP_MECHANIC_TRIAL_BOSS,LIBSETS_DROP_MECHANIC_TRIAL_BOSS}, perfectedSetId=392</v>
      </c>
      <c r="BI336" s="21" t="str">
        <f t="shared" si="35"/>
        <v>}, --Aegis of Galenwe / Ägis von Galenwe   [Cloudrest, Cloudrest, Cloudrest]</v>
      </c>
    </row>
    <row r="337" spans="1:61" x14ac:dyDescent="0.25">
      <c r="A337" s="12">
        <v>389</v>
      </c>
      <c r="B337" t="s">
        <v>1252</v>
      </c>
      <c r="C337" t="s">
        <v>1253</v>
      </c>
      <c r="D337" s="3">
        <f t="shared" si="30"/>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WayshrineInfo'!$K$3:$N$9971,4,FALSE),"")))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WayshrineInfo'!$K$3:$L$9971,2,FALSE),"")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WayshrineInfo'!$K$3:$L$9971,2,FALSE),"")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 t="shared" si="31"/>
        <v>[389] = {wayshrines={364,364,364,}, dlcId=DLC_SUMMERSET</v>
      </c>
      <c r="BF337" s="21" t="str">
        <f t="shared" si="32"/>
        <v>, zoneIds={1051,1051,1051}, veteran=false</v>
      </c>
      <c r="BG337" s="21" t="str">
        <f t="shared" si="33"/>
        <v>, setType=LIBSETS_SETTYPE_TRIAL</v>
      </c>
      <c r="BH337" s="21" t="str">
        <f t="shared" si="34"/>
        <v>, dropMechanic={LIBSETS_DROP_MECHANIC_TRIAL_BOSS,LIBSETS_DROP_MECHANIC_TRIAL_BOSS,LIBSETS_DROP_MECHANIC_TRIAL_BOSS}, perfectedSetId=393</v>
      </c>
      <c r="BI337" s="21" t="str">
        <f t="shared" si="35"/>
        <v>}, --Arms of Relequen / Waffen von Relequen   [Cloudrest, Cloudrest, Cloudrest]</v>
      </c>
    </row>
    <row r="338" spans="1:61" x14ac:dyDescent="0.25">
      <c r="A338" s="12">
        <v>390</v>
      </c>
      <c r="B338" t="s">
        <v>1254</v>
      </c>
      <c r="C338" t="s">
        <v>1255</v>
      </c>
      <c r="D338" s="3">
        <f t="shared" si="30"/>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WayshrineInfo'!$K$3:$N$9971,4,FALSE),"")))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WayshrineInfo'!$K$3:$L$9971,2,FALSE),"")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WayshrineInfo'!$K$3:$L$9971,2,FALSE),"")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 t="shared" si="31"/>
        <v>[390] = {wayshrines={364,364,364,}, dlcId=DLC_SUMMERSET</v>
      </c>
      <c r="BF338" s="21" t="str">
        <f t="shared" si="32"/>
        <v>, zoneIds={1051,1051,1051}, veteran=false</v>
      </c>
      <c r="BG338" s="21" t="str">
        <f t="shared" si="33"/>
        <v>, setType=LIBSETS_SETTYPE_TRIAL</v>
      </c>
      <c r="BH338" s="21" t="str">
        <f t="shared" si="34"/>
        <v>, dropMechanic={LIBSETS_DROP_MECHANIC_TRIAL_BOSS,LIBSETS_DROP_MECHANIC_TRIAL_BOSS,LIBSETS_DROP_MECHANIC_TRIAL_BOSS}, perfectedSetId=394</v>
      </c>
      <c r="BI338" s="21" t="str">
        <f t="shared" si="35"/>
        <v>}, --Mantle of Siroria / Mantel von Siroria   [Cloudrest, Cloudrest, Cloudrest]</v>
      </c>
    </row>
    <row r="339" spans="1:61" x14ac:dyDescent="0.25">
      <c r="A339" s="12">
        <v>391</v>
      </c>
      <c r="B339" t="s">
        <v>1256</v>
      </c>
      <c r="C339" t="s">
        <v>1257</v>
      </c>
      <c r="D339" s="3">
        <f t="shared" si="30"/>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WayshrineInfo'!$K$3:$N$9971,4,FALSE),"")))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WayshrineInfo'!$K$3:$L$9971,2,FALSE),"")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WayshrineInfo'!$K$3:$L$9971,2,FALSE),"")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 t="shared" si="31"/>
        <v>[391] = {wayshrines={364,364,364,}, dlcId=DLC_SUMMERSET</v>
      </c>
      <c r="BF339" s="21" t="str">
        <f t="shared" si="32"/>
        <v>, zoneIds={1051,1051,1051}, veteran=false</v>
      </c>
      <c r="BG339" s="21" t="str">
        <f t="shared" si="33"/>
        <v>, setType=LIBSETS_SETTYPE_TRIAL</v>
      </c>
      <c r="BH339" s="21" t="str">
        <f t="shared" si="34"/>
        <v>, dropMechanic={LIBSETS_DROP_MECHANIC_TRIAL_BOSS,LIBSETS_DROP_MECHANIC_TRIAL_BOSS,LIBSETS_DROP_MECHANIC_TRIAL_BOSS}, perfectedSetId=395</v>
      </c>
      <c r="BI339" s="21" t="str">
        <f t="shared" si="35"/>
        <v>}, --Vestment of Olorime / Gewandung von Olorime   [Cloudrest, Cloudrest, Cloudrest]</v>
      </c>
    </row>
    <row r="340" spans="1:61" x14ac:dyDescent="0.25">
      <c r="A340" s="12">
        <v>392</v>
      </c>
      <c r="B340" t="s">
        <v>1258</v>
      </c>
      <c r="C340" t="s">
        <v>1259</v>
      </c>
      <c r="D340" s="3">
        <f t="shared" si="30"/>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WayshrineInfo'!$K$3:$N$9971,4,FALSE),"")))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WayshrineInfo'!$K$3:$L$9971,2,FALSE),"")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WayshrineInfo'!$K$3:$L$9971,2,FALSE),"")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 t="shared" si="31"/>
        <v>[392] = {wayshrines={364,364,364,}, dlcId=DLC_SUMMERSET</v>
      </c>
      <c r="BF340" s="21" t="str">
        <f t="shared" si="32"/>
        <v>, zoneIds={1051,1051,1051}, veteran=true</v>
      </c>
      <c r="BG340" s="21" t="str">
        <f t="shared" si="33"/>
        <v>, setType=LIBSETS_SETTYPE_TRIAL</v>
      </c>
      <c r="BH340" s="21" t="str">
        <f t="shared" si="34"/>
        <v>, dropMechanic={LIBSETS_DROP_MECHANIC_TRIAL_BOSS,LIBSETS_DROP_MECHANIC_TRIAL_BOSS,LIBSETS_DROP_MECHANIC_TRIAL_BOSS}, isPerfectedSet=1</v>
      </c>
      <c r="BI340" s="21" t="str">
        <f t="shared" si="35"/>
        <v>}, --Perfect Aegis of Galenwe / Perfekte Ägis von Galenwe   [Cloudrest, Cloudrest, Cloudrest]</v>
      </c>
    </row>
    <row r="341" spans="1:61" x14ac:dyDescent="0.25">
      <c r="A341" s="43">
        <v>393</v>
      </c>
      <c r="B341" t="s">
        <v>1260</v>
      </c>
      <c r="C341" t="s">
        <v>1261</v>
      </c>
      <c r="D341" s="3">
        <f t="shared" si="30"/>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WayshrineInfo'!$K$3:$N$9971,4,FALSE),"")))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WayshrineInfo'!$K$3:$L$9971,2,FALSE),"")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WayshrineInfo'!$K$3:$L$9971,2,FALSE),"")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 t="shared" si="31"/>
        <v>[393] = {wayshrines={364,364,364,}, dlcId=DLC_SUMMERSET</v>
      </c>
      <c r="BF341" s="21" t="str">
        <f t="shared" si="32"/>
        <v>, zoneIds={1051,1051,1051}, veteran=true</v>
      </c>
      <c r="BG341" s="21" t="str">
        <f t="shared" si="33"/>
        <v>, setType=LIBSETS_SETTYPE_TRIAL</v>
      </c>
      <c r="BH341" s="21" t="str">
        <f t="shared" si="34"/>
        <v>, dropMechanic={LIBSETS_DROP_MECHANIC_TRIAL_BOSS,LIBSETS_DROP_MECHANIC_TRIAL_BOSS,LIBSETS_DROP_MECHANIC_TRIAL_BOSS}, isPerfectedSet=1</v>
      </c>
      <c r="BI341" s="21" t="str">
        <f t="shared" si="35"/>
        <v>}, --Perfect Arms of Relequen / Perfekte Waffen von Relequen   [Cloudrest, Cloudrest, Cloudrest]</v>
      </c>
    </row>
    <row r="342" spans="1:61" x14ac:dyDescent="0.25">
      <c r="A342" s="12">
        <v>394</v>
      </c>
      <c r="B342" t="s">
        <v>1262</v>
      </c>
      <c r="C342" t="s">
        <v>1263</v>
      </c>
      <c r="D342" s="3">
        <f t="shared" si="30"/>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WayshrineInfo'!$K$3:$N$9971,4,FALSE),"")))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WayshrineInfo'!$K$3:$L$9971,2,FALSE),"")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WayshrineInfo'!$K$3:$L$9971,2,FALSE),"")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 t="shared" si="31"/>
        <v>[394] = {wayshrines={364,364,364,}, dlcId=DLC_SUMMERSET</v>
      </c>
      <c r="BF342" s="21" t="str">
        <f t="shared" si="32"/>
        <v>, zoneIds={1051,1051,1051}, veteran=true</v>
      </c>
      <c r="BG342" s="21" t="str">
        <f t="shared" si="33"/>
        <v>, setType=LIBSETS_SETTYPE_TRIAL</v>
      </c>
      <c r="BH342" s="21" t="str">
        <f t="shared" si="34"/>
        <v>, dropMechanic={LIBSETS_DROP_MECHANIC_TRIAL_BOSS,LIBSETS_DROP_MECHANIC_TRIAL_BOSS,LIBSETS_DROP_MECHANIC_TRIAL_BOSS}, isPerfectedSet=1</v>
      </c>
      <c r="BI342" s="21" t="str">
        <f t="shared" si="35"/>
        <v>}, --Perfect Mantle of Siroria / Perfekter Mantel von Siroria   [Cloudrest, Cloudrest, Cloudrest]</v>
      </c>
    </row>
    <row r="343" spans="1:61" x14ac:dyDescent="0.25">
      <c r="A343" s="12">
        <v>395</v>
      </c>
      <c r="B343" t="s">
        <v>1264</v>
      </c>
      <c r="C343" t="s">
        <v>1265</v>
      </c>
      <c r="D343" s="3">
        <f t="shared" si="30"/>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WayshrineInfo'!$K$3:$N$9971,4,FALSE),"")))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WayshrineInfo'!$K$3:$L$9971,2,FALSE),"")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WayshrineInfo'!$K$3:$L$9971,2,FALSE),"")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 t="shared" si="31"/>
        <v>[395] = {wayshrines={364,364,364,}, dlcId=DLC_SUMMERSET</v>
      </c>
      <c r="BF343" s="21" t="str">
        <f t="shared" si="32"/>
        <v>, zoneIds={1051,1051,1051}, veteran=true</v>
      </c>
      <c r="BG343" s="21" t="str">
        <f t="shared" si="33"/>
        <v>, setType=LIBSETS_SETTYPE_TRIAL</v>
      </c>
      <c r="BH343" s="21" t="str">
        <f t="shared" si="34"/>
        <v>, dropMechanic={LIBSETS_DROP_MECHANIC_TRIAL_BOSS,LIBSETS_DROP_MECHANIC_TRIAL_BOSS,LIBSETS_DROP_MECHANIC_TRIAL_BOSS}, isPerfectedSet=1</v>
      </c>
      <c r="BI343" s="21" t="str">
        <f t="shared" si="35"/>
        <v>}, --Perfect Vestment of Olorime / Perfekte Gewandung von Olorime   [Cloudrest, Cloudrest, Cloudrest]</v>
      </c>
    </row>
    <row r="344" spans="1:61" x14ac:dyDescent="0.25">
      <c r="A344" s="5">
        <v>397</v>
      </c>
      <c r="B344" t="s">
        <v>0</v>
      </c>
      <c r="C344" t="s">
        <v>0</v>
      </c>
      <c r="D344" s="3">
        <f t="shared" si="30"/>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WayshrineInfo'!$K$3:$N$9971,4,FALSE),"")))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WayshrineInfo'!$K$3:$L$9971,2,FALSE),"")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WayshrineInfo'!$K$3:$L$9971,2,FALSE),"")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 t="shared" si="31"/>
        <v>[397] = {wayshrines={370,370,370,}, dlcId=DLC_WOLFHUNTER</v>
      </c>
      <c r="BF344" s="21" t="str">
        <f t="shared" si="32"/>
        <v>, zoneIds={1055,108,108}, veteran={[EQUIP_TYPE_HEAD]=true, [EQUIP_TYPE_SHOULDERS]=false}</v>
      </c>
      <c r="BG344" s="21" t="str">
        <f t="shared" si="33"/>
        <v>, setType=LIBSETS_SETTYPE_MONSTER, undauntedChestId=3</v>
      </c>
      <c r="BH344" s="21" t="str">
        <f t="shared" si="34"/>
        <v>, dropMechanic={LIBSETS_DROP_MECHANIC_MONSTER_NAME}, dropMechanicDropLocationNames={['en']={'Balorgh','','','','','',},['de']={'Balorgh','','','','','',},}</v>
      </c>
      <c r="BI344" s="21" t="str">
        <f t="shared" si="35"/>
        <v>}, --Balorgh / Balorgh   [March of Sacrifices, Greenshade, Greenshade]</v>
      </c>
    </row>
    <row r="345" spans="1:61" x14ac:dyDescent="0.25">
      <c r="A345" s="5">
        <v>398</v>
      </c>
      <c r="B345" t="s">
        <v>33</v>
      </c>
      <c r="C345" t="s">
        <v>33</v>
      </c>
      <c r="D345" s="3">
        <f t="shared" si="30"/>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WayshrineInfo'!$K$3:$N$9971,4,FALSE),"")))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WayshrineInfo'!$K$3:$L$9971,2,FALSE),"")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WayshrineInfo'!$K$3:$L$9971,2,FALSE),"")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 t="shared" si="31"/>
        <v>[398] = {wayshrines={371,371,371,}, dlcId=DLC_WOLFHUNTER</v>
      </c>
      <c r="BF345" s="21" t="str">
        <f t="shared" si="32"/>
        <v>, zoneIds={1052,382,382}, veteran={[EQUIP_TYPE_HEAD]=true, [EQUIP_TYPE_SHOULDERS]=false}</v>
      </c>
      <c r="BG345" s="21" t="str">
        <f t="shared" si="33"/>
        <v>, setType=LIBSETS_SETTYPE_MONSTER, undauntedChestId=3</v>
      </c>
      <c r="BH345" s="21" t="str">
        <f t="shared" si="34"/>
        <v>, dropMechanic={LIBSETS_DROP_MECHANIC_MONSTER_NAME}, dropMechanicDropLocationNames={['en']={'Vykosa','','','','','',},['de']={'Vykosa','','','','','',},}</v>
      </c>
      <c r="BI345" s="21" t="str">
        <f t="shared" si="35"/>
        <v>}, --Vykosa / Vykosa   [Moon Hunter Keep, Reaper's March, Reaper's March]</v>
      </c>
    </row>
    <row r="346" spans="1:61" x14ac:dyDescent="0.25">
      <c r="A346" s="12">
        <v>399</v>
      </c>
      <c r="B346" t="s">
        <v>1266</v>
      </c>
      <c r="C346" t="s">
        <v>2609</v>
      </c>
      <c r="D346" s="3">
        <f t="shared" si="30"/>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WayshrineInfo'!$K$3:$N$9971,4,FALSE),"")))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WayshrineInfo'!$K$3:$L$9971,2,FALSE),"")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WayshrineInfo'!$K$3:$L$9971,2,FALSE),"")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 t="shared" si="31"/>
        <v>[399] = {wayshrines={370,370,370,}, dlcId=DLC_WOLFHUNTER</v>
      </c>
      <c r="BF346" s="21" t="str">
        <f t="shared" si="32"/>
        <v>, zoneIds={1055,108,108}, veteran=false</v>
      </c>
      <c r="BG346" s="21" t="str">
        <f t="shared" si="33"/>
        <v>, setType=LIBSETS_SETTYPE_DUNGEON</v>
      </c>
      <c r="BH346" s="21" t="str">
        <f t="shared" si="34"/>
        <v>, dropMechanic={LIBSETS_DROP_MECHANIC_GROUP_DUNGEON_BOSS}</v>
      </c>
      <c r="BI346" s="21" t="str">
        <f t="shared" si="35"/>
        <v>}, --Hanu\'s Compassion / Hanus Mitgefühl   [March of Sacrifices, Greenshade, Greenshade]</v>
      </c>
    </row>
    <row r="347" spans="1:61" x14ac:dyDescent="0.25">
      <c r="A347" s="12">
        <v>400</v>
      </c>
      <c r="B347" t="s">
        <v>1267</v>
      </c>
      <c r="C347" t="s">
        <v>1268</v>
      </c>
      <c r="D347" s="3">
        <f t="shared" si="30"/>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WayshrineInfo'!$K$3:$N$9971,4,FALSE),"")))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WayshrineInfo'!$K$3:$L$9971,2,FALSE),"")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WayshrineInfo'!$K$3:$L$9971,2,FALSE),"")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 t="shared" si="31"/>
        <v>[400] = {wayshrines={370,370,370,}, dlcId=DLC_WOLFHUNTER</v>
      </c>
      <c r="BF347" s="21" t="str">
        <f t="shared" si="32"/>
        <v>, zoneIds={1055,108,108}, veteran=false</v>
      </c>
      <c r="BG347" s="21" t="str">
        <f t="shared" si="33"/>
        <v>, setType=LIBSETS_SETTYPE_DUNGEON</v>
      </c>
      <c r="BH347" s="21" t="str">
        <f t="shared" si="34"/>
        <v>, dropMechanic={LIBSETS_DROP_MECHANIC_GROUP_DUNGEON_BOSS}</v>
      </c>
      <c r="BI347" s="21" t="str">
        <f t="shared" si="35"/>
        <v>}, --Blood Moon / Blutmond   [March of Sacrifices, Greenshade, Greenshade]</v>
      </c>
    </row>
    <row r="348" spans="1:61" x14ac:dyDescent="0.25">
      <c r="A348" s="12">
        <v>401</v>
      </c>
      <c r="B348" t="s">
        <v>1269</v>
      </c>
      <c r="C348" t="s">
        <v>1270</v>
      </c>
      <c r="D348" s="3">
        <f t="shared" si="30"/>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WayshrineInfo'!$K$3:$N$9971,4,FALSE),"")))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WayshrineInfo'!$K$3:$L$9971,2,FALSE),"")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WayshrineInfo'!$K$3:$L$9971,2,FALSE),"")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 t="shared" si="31"/>
        <v>[401] = {wayshrines={370,370,370,}, dlcId=DLC_WOLFHUNTER</v>
      </c>
      <c r="BF348" s="21" t="str">
        <f t="shared" si="32"/>
        <v>, zoneIds={1055,108,108}, veteran=false</v>
      </c>
      <c r="BG348" s="21" t="str">
        <f t="shared" si="33"/>
        <v>, setType=LIBSETS_SETTYPE_DUNGEON</v>
      </c>
      <c r="BH348" s="21" t="str">
        <f t="shared" si="34"/>
        <v>, dropMechanic={LIBSETS_DROP_MECHANIC_GROUP_DUNGEON_BOSS}</v>
      </c>
      <c r="BI348" s="21" t="str">
        <f t="shared" si="35"/>
        <v>}, --Haven of Ursus / Zuflucht von Ursus   [March of Sacrifices, Greenshade, Greenshade]</v>
      </c>
    </row>
    <row r="349" spans="1:61" x14ac:dyDescent="0.25">
      <c r="A349" s="12">
        <v>402</v>
      </c>
      <c r="B349" t="s">
        <v>1271</v>
      </c>
      <c r="C349" t="s">
        <v>1272</v>
      </c>
      <c r="D349" s="3">
        <f t="shared" si="30"/>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WayshrineInfo'!$K$3:$N$9971,4,FALSE),"")))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WayshrineInfo'!$K$3:$L$9971,2,FALSE),"")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WayshrineInfo'!$K$3:$L$9971,2,FALSE),"")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 t="shared" si="31"/>
        <v>[402] = {wayshrines={371,371,371,}, dlcId=DLC_WOLFHUNTER</v>
      </c>
      <c r="BF349" s="21" t="str">
        <f t="shared" si="32"/>
        <v>, zoneIds={1052,382,382}, veteran=false</v>
      </c>
      <c r="BG349" s="21" t="str">
        <f t="shared" si="33"/>
        <v>, setType=LIBSETS_SETTYPE_DUNGEON</v>
      </c>
      <c r="BH349" s="21" t="str">
        <f t="shared" si="34"/>
        <v>, dropMechanic={LIBSETS_DROP_MECHANIC_GROUP_DUNGEON_BOSS}</v>
      </c>
      <c r="BI349" s="21" t="str">
        <f t="shared" si="35"/>
        <v>}, --Moon Hunter / Mondjäger   [Moon Hunter Keep, Reaper's March, Reaper's March]</v>
      </c>
    </row>
    <row r="350" spans="1:61" x14ac:dyDescent="0.25">
      <c r="A350" s="12">
        <v>403</v>
      </c>
      <c r="B350" t="s">
        <v>1273</v>
      </c>
      <c r="C350" t="s">
        <v>1274</v>
      </c>
      <c r="D350" s="3">
        <f t="shared" si="30"/>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WayshrineInfo'!$K$3:$N$9971,4,FALSE),"")))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WayshrineInfo'!$K$3:$L$9971,2,FALSE),"")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WayshrineInfo'!$K$3:$L$9971,2,FALSE),"")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 t="shared" si="31"/>
        <v>[403] = {wayshrines={371,371,371,}, dlcId=DLC_WOLFHUNTER</v>
      </c>
      <c r="BF350" s="21" t="str">
        <f t="shared" si="32"/>
        <v>, zoneIds={1052,382,382}, veteran=false</v>
      </c>
      <c r="BG350" s="21" t="str">
        <f t="shared" si="33"/>
        <v>, setType=LIBSETS_SETTYPE_DUNGEON</v>
      </c>
      <c r="BH350" s="21" t="str">
        <f t="shared" si="34"/>
        <v>, dropMechanic={LIBSETS_DROP_MECHANIC_GROUP_DUNGEON_BOSS}</v>
      </c>
      <c r="BI350" s="21" t="str">
        <f t="shared" si="35"/>
        <v>}, --Savage Werewolf / Wilder Werwolf   [Moon Hunter Keep, Reaper's March, Reaper's March]</v>
      </c>
    </row>
    <row r="351" spans="1:61" x14ac:dyDescent="0.25">
      <c r="A351" s="12">
        <v>404</v>
      </c>
      <c r="B351" t="s">
        <v>1275</v>
      </c>
      <c r="C351" t="s">
        <v>2610</v>
      </c>
      <c r="D351" s="3">
        <f t="shared" si="30"/>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WayshrineInfo'!$K$3:$N$9971,4,FALSE),"")))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WayshrineInfo'!$K$3:$L$9971,2,FALSE),"")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WayshrineInfo'!$K$3:$L$9971,2,FALSE),"")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 t="shared" si="31"/>
        <v>[404] = {wayshrines={371,371,371,}, dlcId=DLC_WOLFHUNTER</v>
      </c>
      <c r="BF351" s="21" t="str">
        <f t="shared" si="32"/>
        <v>, zoneIds={1052,382,382}, veteran=false</v>
      </c>
      <c r="BG351" s="21" t="str">
        <f t="shared" si="33"/>
        <v>, setType=LIBSETS_SETTYPE_DUNGEON</v>
      </c>
      <c r="BH351" s="21" t="str">
        <f t="shared" si="34"/>
        <v>, dropMechanic={LIBSETS_DROP_MECHANIC_GROUP_DUNGEON_BOSS}</v>
      </c>
      <c r="BI351" s="21" t="str">
        <f t="shared" si="35"/>
        <v>}, --Jailer\'s Tenacity / Tenazität des Kerkermeisters   [Moon Hunter Keep, Reaper's March, Reaper's March]</v>
      </c>
    </row>
    <row r="352" spans="1:61" x14ac:dyDescent="0.25">
      <c r="A352" s="12">
        <v>405</v>
      </c>
      <c r="B352" t="s">
        <v>1276</v>
      </c>
      <c r="C352" t="s">
        <v>2611</v>
      </c>
      <c r="D352" s="3">
        <f t="shared" si="30"/>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WayshrineInfo'!$K$3:$N$9971,4,FALSE),"")))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WayshrineInfo'!$K$3:$L$9971,2,FALSE),"")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WayshrineInfo'!$K$3:$L$9971,2,FALSE),"")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 t="shared" si="31"/>
        <v>[405] = {wayshrines={374,374,374,}, dlcId=DLC_ELSWEYR</v>
      </c>
      <c r="BF352" s="21" t="str">
        <f t="shared" si="32"/>
        <v>, zoneIds={726,726,726}, veteran=false</v>
      </c>
      <c r="BG352" s="21" t="str">
        <f t="shared" si="33"/>
        <v>, setType=LIBSETS_SETTYPE_OVERLAND</v>
      </c>
      <c r="BH352" s="21" t="str">
        <f t="shared" si="34"/>
        <v>, dropMechanic={LIBSETS_DROP_MECHANIC_OVERLAND_BOSS_DELVE,LIBSETS_DROP_MECHANIC_OVERLAND_WORLDBOSS,LIBSETS_DROP_MECHANIC_OVERLAND_CHEST}</v>
      </c>
      <c r="BI352" s="21" t="str">
        <f t="shared" si="35"/>
        <v>}, --Bright-Throat\'s Boast / Hellhalsstolz   [Murkmire, Murkmire, Murkmire]</v>
      </c>
    </row>
    <row r="353" spans="1:61" x14ac:dyDescent="0.25">
      <c r="A353" s="12">
        <v>406</v>
      </c>
      <c r="B353" t="s">
        <v>1277</v>
      </c>
      <c r="C353" t="s">
        <v>2612</v>
      </c>
      <c r="D353" s="3">
        <f t="shared" si="30"/>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WayshrineInfo'!$K$3:$N$9971,4,FALSE),"")))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WayshrineInfo'!$K$3:$L$9971,2,FALSE),"")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WayshrineInfo'!$K$3:$L$9971,2,FALSE),"")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 t="shared" si="31"/>
        <v>[406] = {wayshrines={374,374,374,}, dlcId=DLC_ELSWEYR</v>
      </c>
      <c r="BF353" s="21" t="str">
        <f t="shared" si="32"/>
        <v>, zoneIds={726,726,726}, veteran=false</v>
      </c>
      <c r="BG353" s="21" t="str">
        <f t="shared" si="33"/>
        <v>, setType=LIBSETS_SETTYPE_OVERLAND</v>
      </c>
      <c r="BH353" s="21" t="str">
        <f t="shared" si="34"/>
        <v>, dropMechanic={LIBSETS_DROP_MECHANIC_OVERLAND_BOSS_DELVE,LIBSETS_DROP_MECHANIC_OVERLAND_WORLDBOSS,LIBSETS_DROP_MECHANIC_OVERLAND_CHEST}</v>
      </c>
      <c r="BI353" s="21" t="str">
        <f t="shared" si="35"/>
        <v>}, --Dead-Water\'s Guile / Totwassertücke   [Murkmire, Murkmire, Murkmire]</v>
      </c>
    </row>
    <row r="354" spans="1:61" x14ac:dyDescent="0.25">
      <c r="A354" s="12">
        <v>407</v>
      </c>
      <c r="B354" t="s">
        <v>1278</v>
      </c>
      <c r="C354" t="s">
        <v>1279</v>
      </c>
      <c r="D354" s="3">
        <f t="shared" si="30"/>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WayshrineInfo'!$K$3:$N$9971,4,FALSE),"")))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WayshrineInfo'!$K$3:$L$9971,2,FALSE),"")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WayshrineInfo'!$K$3:$L$9971,2,FALSE),"")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 t="shared" si="31"/>
        <v>[407] = {wayshrines={374,374,374,}, dlcId=DLC_ELSWEYR</v>
      </c>
      <c r="BF354" s="21" t="str">
        <f t="shared" si="32"/>
        <v>, zoneIds={726,726,726}, veteran=false</v>
      </c>
      <c r="BG354" s="21" t="str">
        <f t="shared" si="33"/>
        <v>, setType=LIBSETS_SETTYPE_OVERLAND</v>
      </c>
      <c r="BH354" s="21" t="str">
        <f t="shared" si="34"/>
        <v>, dropMechanic={LIBSETS_DROP_MECHANIC_OVERLAND_BOSS_DELVE,LIBSETS_DROP_MECHANIC_OVERLAND_WORLDBOSS,LIBSETS_DROP_MECHANIC_OVERLAND_CHEST}</v>
      </c>
      <c r="BI354" s="21" t="str">
        <f t="shared" si="35"/>
        <v>}, --Champion of the Hist / Histchampion   [Murkmire, Murkmire, Murkmire]</v>
      </c>
    </row>
    <row r="355" spans="1:61" x14ac:dyDescent="0.25">
      <c r="A355" s="5">
        <v>408</v>
      </c>
      <c r="B355" t="s">
        <v>1280</v>
      </c>
      <c r="C355" t="s">
        <v>1281</v>
      </c>
      <c r="D355" s="3">
        <f t="shared" si="30"/>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WayshrineInfo'!$K$3:$N$9971,4,FALSE),"")))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WayshrineInfo'!$K$3:$L$9971,2,FALSE),"")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WayshrineInfo'!$K$3:$L$9971,2,FALSE),"")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 t="shared" si="31"/>
        <v>[408] = {wayshrines={375,375,375,}, traitsNeeded=7, dlcId=DLC_ELSWEYR</v>
      </c>
      <c r="BF355" s="21" t="str">
        <f t="shared" si="32"/>
        <v>, zoneIds={726,726,726}, veteran=false</v>
      </c>
      <c r="BG355" s="21" t="str">
        <f t="shared" si="33"/>
        <v>, setType=LIBSETS_SETTYPE_CRAFTED</v>
      </c>
      <c r="BH355" s="21" t="str">
        <f t="shared" si="34"/>
        <v>, dropMechanic={LIBSETS_DROP_MECHANIC_CRAFTED,LIBSETS_DROP_MECHANIC_CRAFTED}</v>
      </c>
      <c r="BI355" s="21" t="str">
        <f t="shared" si="35"/>
        <v>}, --Grave-Stake Collector / Grabpflocksammler   [Murkmire, Murkmire, Murkmire]</v>
      </c>
    </row>
    <row r="356" spans="1:61" x14ac:dyDescent="0.25">
      <c r="A356" s="5">
        <v>409</v>
      </c>
      <c r="B356" t="s">
        <v>1282</v>
      </c>
      <c r="C356" t="s">
        <v>1283</v>
      </c>
      <c r="D356" s="3">
        <f t="shared" si="30"/>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WayshrineInfo'!$K$3:$N$9971,4,FALSE),"")))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WayshrineInfo'!$K$3:$L$9971,2,FALSE),"")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WayshrineInfo'!$K$3:$L$9971,2,FALSE),"")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 t="shared" si="31"/>
        <v>[409] = {wayshrines={379,379,379,}, traitsNeeded=2, dlcId=DLC_ELSWEYR</v>
      </c>
      <c r="BF356" s="21" t="str">
        <f t="shared" si="32"/>
        <v>, zoneIds={726,726,726}, veteran=false</v>
      </c>
      <c r="BG356" s="21" t="str">
        <f t="shared" si="33"/>
        <v>, setType=LIBSETS_SETTYPE_CRAFTED</v>
      </c>
      <c r="BH356" s="21" t="str">
        <f t="shared" si="34"/>
        <v>, dropMechanic={LIBSETS_DROP_MECHANIC_CRAFTED,LIBSETS_DROP_MECHANIC_CRAFTED}</v>
      </c>
      <c r="BI356" s="21" t="str">
        <f t="shared" si="35"/>
        <v>}, --Naga Shaman / Nagaschamane   [Murkmire, Murkmire, Murkmire]</v>
      </c>
    </row>
    <row r="357" spans="1:61" x14ac:dyDescent="0.25">
      <c r="A357" s="5">
        <v>410</v>
      </c>
      <c r="B357" t="s">
        <v>1284</v>
      </c>
      <c r="C357" t="s">
        <v>1285</v>
      </c>
      <c r="D357" s="3">
        <f t="shared" si="30"/>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WayshrineInfo'!$K$3:$N$9971,4,FALSE),"")))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WayshrineInfo'!$K$3:$L$9971,2,FALSE),"")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WayshrineInfo'!$K$3:$L$9971,2,FALSE),"")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 t="shared" si="31"/>
        <v>[410] = {wayshrines={379,379,379,}, traitsNeeded=4, dlcId=DLC_ELSWEYR</v>
      </c>
      <c r="BF357" s="21" t="str">
        <f t="shared" si="32"/>
        <v>, zoneIds={726,726,726}, veteran=false</v>
      </c>
      <c r="BG357" s="21" t="str">
        <f t="shared" si="33"/>
        <v>, setType=LIBSETS_SETTYPE_CRAFTED</v>
      </c>
      <c r="BH357" s="21" t="str">
        <f t="shared" si="34"/>
        <v>, dropMechanic={LIBSETS_DROP_MECHANIC_CRAFTED,LIBSETS_DROP_MECHANIC_CRAFTED}</v>
      </c>
      <c r="BI357" s="21" t="str">
        <f t="shared" si="35"/>
        <v>}, --Might of the Lost Legion / Macht der Verlorenen Legion   [Murkmire, Murkmire, Murkmire]</v>
      </c>
    </row>
    <row r="358" spans="1:61" x14ac:dyDescent="0.25">
      <c r="A358" s="12">
        <v>411</v>
      </c>
      <c r="B358" t="s">
        <v>1286</v>
      </c>
      <c r="C358" t="s">
        <v>1287</v>
      </c>
      <c r="D358" s="3">
        <f t="shared" si="30"/>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WayshrineInfo'!$K$3:$N$9971,4,FALSE),"")))</f>
        <v>Blackrose Prison</v>
      </c>
      <c r="T358" s="19" t="str">
        <f>IF(AND(S358&lt;&gt;"",NOT(ISERROR(S358))),S358,IF(Q358&lt;&gt;"",IF(NOT(ISERROR(VLOOKUP(Q358,'ESO Dungeon constants'!$D$3:$H$9999,5,FALSE))),VLOOKUP(Q358,'ESO Dungeon constants'!$D$3:$I$9999,6,FALSE),VLOOKUP(Q358,'ESO zone constants'!$H$3:$K$9989,4,FALSE)),""))</f>
        <v>DLC_MURKMIRE</v>
      </c>
      <c r="U358" s="3" t="str">
        <f>IF(T358&lt;&gt;"",VLOOKUP(T358,'LibSets constants'!$B$4:$C$1017,2,FALSE),"")</f>
        <v>Murkmire</v>
      </c>
      <c r="V358" s="33" t="s">
        <v>1547</v>
      </c>
      <c r="Y358" s="61"/>
      <c r="Z358" s="3">
        <f>IF(AND(G358&lt;&gt;"LIBSETS_SETTYPE_BATTLEGROUND",G358&lt;&gt;"LIBSETS_SETTYPE_SPECIAL"),
IF(AND(Y358&lt;&gt;"",ISNUMBER(Y358),NOT(ISNA(Y358))),Y358,
   IF(AND(L358&lt;&gt;"",ISNUMBER(L358),L358&gt;0,NOT(ISNA(L358))),VLOOKUP(L358,'ESO dumped WayshrineInfo'!$K$3:$L$9971,2,FALSE),"")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WayshrineInfo'!$K$3:$L$9971,2,FALSE),"")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 t="shared" si="31"/>
        <v>[411] = {wayshrines={378,378,378,}, dlcId=DLC_MURKMIRE</v>
      </c>
      <c r="BF358" s="21" t="str">
        <f t="shared" si="32"/>
        <v>, zoneIds={1082,726,726}, veteran=false</v>
      </c>
      <c r="BG358" s="21" t="str">
        <f t="shared" si="33"/>
        <v>, setType=LIBSETS_SETTYPE_ARENA</v>
      </c>
      <c r="BH358" s="21" t="str">
        <f t="shared" si="34"/>
        <v>, dropMechanic={LIBSETS_DROP_MECHANIC_ARENA_STAGE_CHEST,LIBSETS_DROP_MECHANIC_ARENA_STAGE_CHEST}, perfectedSetId=423</v>
      </c>
      <c r="BI358" s="21" t="str">
        <f t="shared" si="35"/>
        <v>}, --Gallant Charge / Galanter Ansturm   [Blackrose Prison, Murkmire, Murkmire]</v>
      </c>
    </row>
    <row r="359" spans="1:61" x14ac:dyDescent="0.25">
      <c r="A359" s="12">
        <v>412</v>
      </c>
      <c r="B359" t="s">
        <v>1288</v>
      </c>
      <c r="C359" t="s">
        <v>1289</v>
      </c>
      <c r="D359" s="3">
        <f t="shared" si="30"/>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WayshrineInfo'!$K$3:$N$9971,4,FALSE),"")))</f>
        <v>Blackrose Prison</v>
      </c>
      <c r="T359" s="19" t="str">
        <f>IF(AND(S359&lt;&gt;"",NOT(ISERROR(S359))),S359,IF(Q359&lt;&gt;"",IF(NOT(ISERROR(VLOOKUP(Q359,'ESO Dungeon constants'!$D$3:$H$9999,5,FALSE))),VLOOKUP(Q359,'ESO Dungeon constants'!$D$3:$I$9999,6,FALSE),VLOOKUP(Q359,'ESO zone constants'!$H$3:$K$9989,4,FALSE)),""))</f>
        <v>DLC_MURKMIRE</v>
      </c>
      <c r="U359" s="3" t="str">
        <f>IF(T359&lt;&gt;"",VLOOKUP(T359,'LibSets constants'!$B$4:$C$1017,2,FALSE),"")</f>
        <v>Murkmire</v>
      </c>
      <c r="V359" s="33" t="s">
        <v>1547</v>
      </c>
      <c r="Y359" s="61"/>
      <c r="Z359" s="3">
        <f>IF(AND(G359&lt;&gt;"LIBSETS_SETTYPE_BATTLEGROUND",G359&lt;&gt;"LIBSETS_SETTYPE_SPECIAL"),
IF(AND(Y359&lt;&gt;"",ISNUMBER(Y359),NOT(ISNA(Y359))),Y359,
   IF(AND(L359&lt;&gt;"",ISNUMBER(L359),L359&gt;0,NOT(ISNA(L359))),VLOOKUP(L359,'ESO dumped WayshrineInfo'!$K$3:$L$9971,2,FALSE),"")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WayshrineInfo'!$K$3:$L$9971,2,FALSE),"")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 t="shared" si="31"/>
        <v>[412] = {wayshrines={378,378,378,}, dlcId=DLC_MURKMIRE</v>
      </c>
      <c r="BF359" s="21" t="str">
        <f t="shared" si="32"/>
        <v>, zoneIds={1082,726,726}, veteran=false</v>
      </c>
      <c r="BG359" s="21" t="str">
        <f t="shared" si="33"/>
        <v>, setType=LIBSETS_SETTYPE_ARENA</v>
      </c>
      <c r="BH359" s="21" t="str">
        <f t="shared" si="34"/>
        <v>, dropMechanic={LIBSETS_DROP_MECHANIC_ARENA_STAGE_CHEST,LIBSETS_DROP_MECHANIC_ARENA_STAGE_CHEST}, perfectedSetId=424</v>
      </c>
      <c r="BI359" s="21" t="str">
        <f t="shared" si="35"/>
        <v>}, --Radial Uppercut / Rundum-Aufwärtsschnitt   [Blackrose Prison, Murkmire, Murkmire]</v>
      </c>
    </row>
    <row r="360" spans="1:61" x14ac:dyDescent="0.25">
      <c r="A360" s="12">
        <v>413</v>
      </c>
      <c r="B360" t="s">
        <v>1290</v>
      </c>
      <c r="C360" t="s">
        <v>1291</v>
      </c>
      <c r="D360" s="3">
        <f t="shared" si="30"/>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WayshrineInfo'!$K$3:$N$9971,4,FALSE),"")))</f>
        <v>Blackrose Prison</v>
      </c>
      <c r="T360" s="19" t="str">
        <f>IF(AND(S360&lt;&gt;"",NOT(ISERROR(S360))),S360,IF(Q360&lt;&gt;"",IF(NOT(ISERROR(VLOOKUP(Q360,'ESO Dungeon constants'!$D$3:$H$9999,5,FALSE))),VLOOKUP(Q360,'ESO Dungeon constants'!$D$3:$I$9999,6,FALSE),VLOOKUP(Q360,'ESO zone constants'!$H$3:$K$9989,4,FALSE)),""))</f>
        <v>DLC_MURKMIRE</v>
      </c>
      <c r="U360" s="3" t="str">
        <f>IF(T360&lt;&gt;"",VLOOKUP(T360,'LibSets constants'!$B$4:$C$1017,2,FALSE),"")</f>
        <v>Murkmire</v>
      </c>
      <c r="V360" s="33" t="s">
        <v>1547</v>
      </c>
      <c r="Y360" s="61"/>
      <c r="Z360" s="3">
        <f>IF(AND(G360&lt;&gt;"LIBSETS_SETTYPE_BATTLEGROUND",G360&lt;&gt;"LIBSETS_SETTYPE_SPECIAL"),
IF(AND(Y360&lt;&gt;"",ISNUMBER(Y360),NOT(ISNA(Y360))),Y360,
   IF(AND(L360&lt;&gt;"",ISNUMBER(L360),L360&gt;0,NOT(ISNA(L360))),VLOOKUP(L360,'ESO dumped WayshrineInfo'!$K$3:$L$9971,2,FALSE),"")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WayshrineInfo'!$K$3:$L$9971,2,FALSE),"")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 t="shared" si="31"/>
        <v>[413] = {wayshrines={378,378,378,}, dlcId=DLC_MURKMIRE</v>
      </c>
      <c r="BF360" s="21" t="str">
        <f t="shared" si="32"/>
        <v>, zoneIds={1082,726,726}, veteran=false</v>
      </c>
      <c r="BG360" s="21" t="str">
        <f t="shared" si="33"/>
        <v>, setType=LIBSETS_SETTYPE_ARENA</v>
      </c>
      <c r="BH360" s="21" t="str">
        <f t="shared" si="34"/>
        <v>, dropMechanic={LIBSETS_DROP_MECHANIC_ARENA_STAGE_CHEST,LIBSETS_DROP_MECHANIC_ARENA_STAGE_CHEST}, perfectedSetId=425</v>
      </c>
      <c r="BI360" s="21" t="str">
        <f t="shared" si="35"/>
        <v>}, --Spectral Cloak / Spektraler Mantel   [Blackrose Prison, Murkmire, Murkmire]</v>
      </c>
    </row>
    <row r="361" spans="1:61" x14ac:dyDescent="0.25">
      <c r="A361" s="12">
        <v>414</v>
      </c>
      <c r="B361" t="s">
        <v>1292</v>
      </c>
      <c r="C361" t="s">
        <v>1293</v>
      </c>
      <c r="D361" s="3">
        <f t="shared" si="30"/>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WayshrineInfo'!$K$3:$N$9971,4,FALSE),"")))</f>
        <v>Blackrose Prison</v>
      </c>
      <c r="T361" s="19" t="str">
        <f>IF(AND(S361&lt;&gt;"",NOT(ISERROR(S361))),S361,IF(Q361&lt;&gt;"",IF(NOT(ISERROR(VLOOKUP(Q361,'ESO Dungeon constants'!$D$3:$H$9999,5,FALSE))),VLOOKUP(Q361,'ESO Dungeon constants'!$D$3:$I$9999,6,FALSE),VLOOKUP(Q361,'ESO zone constants'!$H$3:$K$9989,4,FALSE)),""))</f>
        <v>DLC_MURKMIRE</v>
      </c>
      <c r="U361" s="3" t="str">
        <f>IF(T361&lt;&gt;"",VLOOKUP(T361,'LibSets constants'!$B$4:$C$1017,2,FALSE),"")</f>
        <v>Murkmire</v>
      </c>
      <c r="V361" s="33" t="s">
        <v>1547</v>
      </c>
      <c r="Y361" s="61"/>
      <c r="Z361" s="3">
        <f>IF(AND(G361&lt;&gt;"LIBSETS_SETTYPE_BATTLEGROUND",G361&lt;&gt;"LIBSETS_SETTYPE_SPECIAL"),
IF(AND(Y361&lt;&gt;"",ISNUMBER(Y361),NOT(ISNA(Y361))),Y361,
   IF(AND(L361&lt;&gt;"",ISNUMBER(L361),L361&gt;0,NOT(ISNA(L361))),VLOOKUP(L361,'ESO dumped WayshrineInfo'!$K$3:$L$9971,2,FALSE),"")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WayshrineInfo'!$K$3:$L$9971,2,FALSE),"")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 t="shared" si="31"/>
        <v>[414] = {wayshrines={378,378,378,}, dlcId=DLC_MURKMIRE</v>
      </c>
      <c r="BF361" s="21" t="str">
        <f t="shared" si="32"/>
        <v>, zoneIds={1082,726,726}, veteran=false</v>
      </c>
      <c r="BG361" s="21" t="str">
        <f t="shared" si="33"/>
        <v>, setType=LIBSETS_SETTYPE_ARENA</v>
      </c>
      <c r="BH361" s="21" t="str">
        <f t="shared" si="34"/>
        <v>, dropMechanic={LIBSETS_DROP_MECHANIC_ARENA_STAGE_CHEST,LIBSETS_DROP_MECHANIC_ARENA_STAGE_CHEST}, perfectedSetId=426</v>
      </c>
      <c r="BI361" s="21" t="str">
        <f t="shared" si="35"/>
        <v>}, --Virulent Shot / Virulenter Schuss   [Blackrose Prison, Murkmire, Murkmire]</v>
      </c>
    </row>
    <row r="362" spans="1:61" x14ac:dyDescent="0.25">
      <c r="A362" s="12">
        <v>415</v>
      </c>
      <c r="B362" t="s">
        <v>1294</v>
      </c>
      <c r="C362" t="s">
        <v>1295</v>
      </c>
      <c r="D362" s="3">
        <f t="shared" si="30"/>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WayshrineInfo'!$K$3:$N$9971,4,FALSE),"")))</f>
        <v>Blackrose Prison</v>
      </c>
      <c r="T362" s="19" t="str">
        <f>IF(AND(S362&lt;&gt;"",NOT(ISERROR(S362))),S362,IF(Q362&lt;&gt;"",IF(NOT(ISERROR(VLOOKUP(Q362,'ESO Dungeon constants'!$D$3:$H$9999,5,FALSE))),VLOOKUP(Q362,'ESO Dungeon constants'!$D$3:$I$9999,6,FALSE),VLOOKUP(Q362,'ESO zone constants'!$H$3:$K$9989,4,FALSE)),""))</f>
        <v>DLC_MURKMIRE</v>
      </c>
      <c r="U362" s="3" t="str">
        <f>IF(T362&lt;&gt;"",VLOOKUP(T362,'LibSets constants'!$B$4:$C$1017,2,FALSE),"")</f>
        <v>Murkmire</v>
      </c>
      <c r="V362" s="33" t="s">
        <v>1547</v>
      </c>
      <c r="Y362" s="61"/>
      <c r="Z362" s="3">
        <f>IF(AND(G362&lt;&gt;"LIBSETS_SETTYPE_BATTLEGROUND",G362&lt;&gt;"LIBSETS_SETTYPE_SPECIAL"),
IF(AND(Y362&lt;&gt;"",ISNUMBER(Y362),NOT(ISNA(Y362))),Y362,
   IF(AND(L362&lt;&gt;"",ISNUMBER(L362),L362&gt;0,NOT(ISNA(L362))),VLOOKUP(L362,'ESO dumped WayshrineInfo'!$K$3:$L$9971,2,FALSE),"")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WayshrineInfo'!$K$3:$L$9971,2,FALSE),"")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 t="shared" si="31"/>
        <v>[415] = {wayshrines={378,378,378,}, dlcId=DLC_MURKMIRE</v>
      </c>
      <c r="BF362" s="21" t="str">
        <f t="shared" si="32"/>
        <v>, zoneIds={1082,726,726}, veteran=false</v>
      </c>
      <c r="BG362" s="21" t="str">
        <f t="shared" si="33"/>
        <v>, setType=LIBSETS_SETTYPE_ARENA</v>
      </c>
      <c r="BH362" s="21" t="str">
        <f t="shared" si="34"/>
        <v>, dropMechanic={LIBSETS_DROP_MECHANIC_ARENA_STAGE_CHEST,LIBSETS_DROP_MECHANIC_ARENA_STAGE_CHEST}, perfectedSetId=427</v>
      </c>
      <c r="BI362" s="21" t="str">
        <f t="shared" si="35"/>
        <v>}, --Wild Impulse / Wilder Impuls   [Blackrose Prison, Murkmire, Murkmire]</v>
      </c>
    </row>
    <row r="363" spans="1:61" x14ac:dyDescent="0.25">
      <c r="A363" s="12">
        <v>416</v>
      </c>
      <c r="B363" t="s">
        <v>1296</v>
      </c>
      <c r="C363" t="s">
        <v>2613</v>
      </c>
      <c r="D363" s="3">
        <f t="shared" si="30"/>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WayshrineInfo'!$K$3:$N$9971,4,FALSE),"")))</f>
        <v>Blackrose Prison</v>
      </c>
      <c r="T363" s="19" t="str">
        <f>IF(AND(S363&lt;&gt;"",NOT(ISERROR(S363))),S363,IF(Q363&lt;&gt;"",IF(NOT(ISERROR(VLOOKUP(Q363,'ESO Dungeon constants'!$D$3:$H$9999,5,FALSE))),VLOOKUP(Q363,'ESO Dungeon constants'!$D$3:$I$9999,6,FALSE),VLOOKUP(Q363,'ESO zone constants'!$H$3:$K$9989,4,FALSE)),""))</f>
        <v>DLC_MURKMIRE</v>
      </c>
      <c r="U363" s="3" t="str">
        <f>IF(T363&lt;&gt;"",VLOOKUP(T363,'LibSets constants'!$B$4:$C$1017,2,FALSE),"")</f>
        <v>Murkmire</v>
      </c>
      <c r="V363" s="33" t="s">
        <v>1547</v>
      </c>
      <c r="Y363" s="61"/>
      <c r="Z363" s="3">
        <f>IF(AND(G363&lt;&gt;"LIBSETS_SETTYPE_BATTLEGROUND",G363&lt;&gt;"LIBSETS_SETTYPE_SPECIAL"),
IF(AND(Y363&lt;&gt;"",ISNUMBER(Y363),NOT(ISNA(Y363))),Y363,
   IF(AND(L363&lt;&gt;"",ISNUMBER(L363),L363&gt;0,NOT(ISNA(L363))),VLOOKUP(L363,'ESO dumped WayshrineInfo'!$K$3:$L$9971,2,FALSE),"")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WayshrineInfo'!$K$3:$L$9971,2,FALSE),"")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 t="shared" si="31"/>
        <v>[416] = {wayshrines={378,378,378,}, dlcId=DLC_MURKMIRE</v>
      </c>
      <c r="BF363" s="21" t="str">
        <f t="shared" si="32"/>
        <v>, zoneIds={1082,726,726}, veteran=false</v>
      </c>
      <c r="BG363" s="21" t="str">
        <f t="shared" si="33"/>
        <v>, setType=LIBSETS_SETTYPE_ARENA</v>
      </c>
      <c r="BH363" s="21" t="str">
        <f t="shared" si="34"/>
        <v>, dropMechanic={LIBSETS_DROP_MECHANIC_ARENA_STAGE_CHEST,LIBSETS_DROP_MECHANIC_ARENA_STAGE_CHEST}, perfectedSetId=428</v>
      </c>
      <c r="BI363" s="21" t="str">
        <f t="shared" si="35"/>
        <v>}, --Mender\'s Ward / Schutz des Pflegers   [Blackrose Prison, Murkmire, Murkmire]</v>
      </c>
    </row>
    <row r="364" spans="1:61" x14ac:dyDescent="0.25">
      <c r="A364" s="12">
        <v>417</v>
      </c>
      <c r="B364" t="s">
        <v>1297</v>
      </c>
      <c r="C364" t="s">
        <v>1298</v>
      </c>
      <c r="D364" s="3">
        <f t="shared" si="30"/>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WayshrineInfo'!$K$3:$N$9971,4,FALSE),"")))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WayshrineInfo'!$K$3:$L$9971,2,FALSE),"")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WayshrineInfo'!$K$3:$L$9971,2,FALSE),"")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 t="shared" si="31"/>
        <v>[417] = {wayshrines={-1,-1,-1,}, dlcId=DLC_BASE_GAME</v>
      </c>
      <c r="BF364" s="21" t="str">
        <f t="shared" si="32"/>
        <v>, zoneIds={181,181,181,181,181,181}, veteran=false</v>
      </c>
      <c r="BG364" s="21" t="str">
        <f t="shared" si="33"/>
        <v>, setType=LIBSETS_SETTYPE_CYRODIIL</v>
      </c>
      <c r="BH364"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5"/>
        <v>}, --Indomitable Fury / Unbeugsamer Zorn   [Cyrodiil, Cyrodiil, Cyrodiil, Cyrodiil, Cyrodiil, Cyrodiil]</v>
      </c>
    </row>
    <row r="365" spans="1:61" x14ac:dyDescent="0.25">
      <c r="A365" s="12">
        <v>418</v>
      </c>
      <c r="B365" t="s">
        <v>1299</v>
      </c>
      <c r="C365" t="s">
        <v>1300</v>
      </c>
      <c r="D365" s="3">
        <f t="shared" si="30"/>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WayshrineInfo'!$K$3:$N$9971,4,FALSE),"")))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WayshrineInfo'!$K$3:$L$9971,2,FALSE),"")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WayshrineInfo'!$K$3:$L$9971,2,FALSE),"")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 t="shared" si="31"/>
        <v>[418] = {wayshrines={-1,-1,-1,}, dlcId=DLC_BASE_GAME</v>
      </c>
      <c r="BF365" s="21" t="str">
        <f t="shared" si="32"/>
        <v>, zoneIds={181,181,181,181,181,181}, veteran=false</v>
      </c>
      <c r="BG365" s="21" t="str">
        <f t="shared" si="33"/>
        <v>, setType=LIBSETS_SETTYPE_CYRODIIL</v>
      </c>
      <c r="BH365"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5"/>
        <v>}, --Spell Strategist / Zauberstratege   [Cyrodiil, Cyrodiil, Cyrodiil, Cyrodiil, Cyrodiil, Cyrodiil]</v>
      </c>
    </row>
    <row r="366" spans="1:61" x14ac:dyDescent="0.25">
      <c r="A366" s="12">
        <v>419</v>
      </c>
      <c r="B366" t="s">
        <v>1301</v>
      </c>
      <c r="C366" t="s">
        <v>1302</v>
      </c>
      <c r="D366" s="3">
        <f t="shared" si="30"/>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WayshrineInfo'!$K$3:$N$9971,4,FALSE),"")))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WayshrineInfo'!$K$3:$L$9971,2,FALSE),"")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WayshrineInfo'!$K$3:$L$9971,2,FALSE),"")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 t="shared" si="31"/>
        <v>[419] = {wayshrines={-1,-1,-1,}, dlcId=DLC_BASE_GAME</v>
      </c>
      <c r="BF366" s="21" t="str">
        <f t="shared" si="32"/>
        <v>, zoneIds={181,181,181,181,181,181}, veteran=false</v>
      </c>
      <c r="BG366" s="21" t="str">
        <f t="shared" si="33"/>
        <v>, setType=LIBSETS_SETTYPE_CYRODIIL</v>
      </c>
      <c r="BH366" s="21"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5"/>
        <v>}, --Battlefield Acrobat / Schlachtfeldakrobat   [Cyrodiil, Cyrodiil, Cyrodiil, Cyrodiil, Cyrodiil, Cyrodiil]</v>
      </c>
    </row>
    <row r="367" spans="1:61" x14ac:dyDescent="0.25">
      <c r="A367" s="12">
        <v>420</v>
      </c>
      <c r="B367" t="s">
        <v>1303</v>
      </c>
      <c r="C367" t="s">
        <v>1304</v>
      </c>
      <c r="D367" s="3">
        <f t="shared" si="30"/>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WayshrineInfo'!$K$3:$N$9971,4,FALSE),"")))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WayshrineInfo'!$K$3:$L$9971,2,FALSE),"")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WayshrineInfo'!$K$3:$L$9971,2,FALSE),"")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 t="shared" si="31"/>
        <v>[420] = {wayshrines={-1,-1,-1,}, dlcId=DLC_BASE_GAME</v>
      </c>
      <c r="BF367" s="21" t="str">
        <f t="shared" si="32"/>
        <v>, zoneIds={181,181,181,181,181,181}, veteran=false</v>
      </c>
      <c r="BG367" s="21" t="str">
        <f t="shared" si="33"/>
        <v>, setType=LIBSETS_SETTYPE_CYRODIIL</v>
      </c>
      <c r="BH367"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5"/>
        <v>}, --Soldier of Anguish / Soldat der Pein   [Cyrodiil, Cyrodiil, Cyrodiil, Cyrodiil, Cyrodiil, Cyrodiil]</v>
      </c>
    </row>
    <row r="368" spans="1:61" x14ac:dyDescent="0.25">
      <c r="A368" s="12">
        <v>421</v>
      </c>
      <c r="B368" t="s">
        <v>1305</v>
      </c>
      <c r="C368" t="s">
        <v>1306</v>
      </c>
      <c r="D368" s="3">
        <f t="shared" si="30"/>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WayshrineInfo'!$K$3:$N$9971,4,FALSE),"")))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WayshrineInfo'!$K$3:$L$9971,2,FALSE),"")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WayshrineInfo'!$K$3:$L$9971,2,FALSE),"")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 t="shared" si="31"/>
        <v>[421] = {wayshrines={-1,-1,-1,}, dlcId=DLC_BASE_GAME</v>
      </c>
      <c r="BF368" s="21" t="str">
        <f t="shared" si="32"/>
        <v>, zoneIds={181,181,181,181,181,181}, veteran=false</v>
      </c>
      <c r="BG368" s="21" t="str">
        <f t="shared" si="33"/>
        <v>, setType=LIBSETS_SETTYPE_CYRODIIL</v>
      </c>
      <c r="BH368"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5"/>
        <v>}, --Steadfast Hero / Standhafter Held   [Cyrodiil, Cyrodiil, Cyrodiil, Cyrodiil, Cyrodiil, Cyrodiil]</v>
      </c>
    </row>
    <row r="369" spans="1:61" x14ac:dyDescent="0.25">
      <c r="A369" s="12">
        <v>422</v>
      </c>
      <c r="B369" t="s">
        <v>1307</v>
      </c>
      <c r="C369" t="s">
        <v>1308</v>
      </c>
      <c r="D369" s="3">
        <f t="shared" si="30"/>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WayshrineInfo'!$K$3:$N$9971,4,FALSE),"")))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WayshrineInfo'!$K$3:$L$9971,2,FALSE),"")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WayshrineInfo'!$K$3:$L$9971,2,FALSE),"")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 t="shared" si="31"/>
        <v>[422] = {wayshrines={-1,-1,-1,}, dlcId=DLC_BASE_GAME</v>
      </c>
      <c r="BF369" s="21" t="str">
        <f t="shared" si="32"/>
        <v>, zoneIds={181,181,181,181,181,181}, veteran=false</v>
      </c>
      <c r="BG369" s="21" t="str">
        <f t="shared" si="33"/>
        <v>, setType=LIBSETS_SETTYPE_CYRODIIL</v>
      </c>
      <c r="BH369"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5"/>
        <v>}, --Battalion Defender / Bataillonsverteidiger   [Cyrodiil, Cyrodiil, Cyrodiil, Cyrodiil, Cyrodiil, Cyrodiil]</v>
      </c>
    </row>
    <row r="370" spans="1:61" x14ac:dyDescent="0.25">
      <c r="A370" s="12">
        <v>423</v>
      </c>
      <c r="B370" t="s">
        <v>1309</v>
      </c>
      <c r="C370" t="s">
        <v>1310</v>
      </c>
      <c r="D370" s="3">
        <f t="shared" si="30"/>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WayshrineInfo'!$K$3:$N$9971,4,FALSE),"")))</f>
        <v>Blackrose Prison</v>
      </c>
      <c r="T370" s="19" t="str">
        <f>IF(AND(S370&lt;&gt;"",NOT(ISERROR(S370))),S370,IF(Q370&lt;&gt;"",IF(NOT(ISERROR(VLOOKUP(Q370,'ESO Dungeon constants'!$D$3:$H$9999,5,FALSE))),VLOOKUP(Q370,'ESO Dungeon constants'!$D$3:$I$9999,6,FALSE),VLOOKUP(Q370,'ESO zone constants'!$H$3:$K$9989,4,FALSE)),""))</f>
        <v>DLC_MURKMIRE</v>
      </c>
      <c r="U370" s="3" t="str">
        <f>IF(T370&lt;&gt;"",VLOOKUP(T370,'LibSets constants'!$B$4:$C$1017,2,FALSE),"")</f>
        <v>Murkmire</v>
      </c>
      <c r="V370" s="33" t="s">
        <v>1547</v>
      </c>
      <c r="Y370" s="61"/>
      <c r="Z370" s="3">
        <f>IF(AND(G370&lt;&gt;"LIBSETS_SETTYPE_BATTLEGROUND",G370&lt;&gt;"LIBSETS_SETTYPE_SPECIAL"),
IF(AND(Y370&lt;&gt;"",ISNUMBER(Y370),NOT(ISNA(Y370))),Y370,
   IF(AND(L370&lt;&gt;"",ISNUMBER(L370),L370&gt;0,NOT(ISNA(L370))),VLOOKUP(L370,'ESO dumped WayshrineInfo'!$K$3:$L$9971,2,FALSE),"")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WayshrineInfo'!$K$3:$L$9971,2,FALSE),"")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 t="shared" si="31"/>
        <v>[423] = {wayshrines={378,378,378,}, dlcId=DLC_MURKMIRE</v>
      </c>
      <c r="BF370" s="21" t="str">
        <f t="shared" si="32"/>
        <v>, zoneIds={1082,726,726}, veteran=true</v>
      </c>
      <c r="BG370" s="21" t="str">
        <f t="shared" si="33"/>
        <v>, setType=LIBSETS_SETTYPE_ARENA</v>
      </c>
      <c r="BH370" s="21" t="str">
        <f t="shared" si="34"/>
        <v>, dropMechanic={LIBSETS_DROP_MECHANIC_ARENA_STAGE_CHEST,LIBSETS_DROP_MECHANIC_ARENA_STAGE_CHEST}, isPerfectedSet=1</v>
      </c>
      <c r="BI370" s="21" t="str">
        <f t="shared" si="35"/>
        <v>}, --Perfect Gallant Charge / Perfekter galanter Ansturm   [Blackrose Prison, Murkmire, Murkmire]</v>
      </c>
    </row>
    <row r="371" spans="1:61" x14ac:dyDescent="0.25">
      <c r="A371" s="12">
        <v>424</v>
      </c>
      <c r="B371" t="s">
        <v>1311</v>
      </c>
      <c r="C371" t="s">
        <v>1312</v>
      </c>
      <c r="D371" s="3">
        <f t="shared" si="30"/>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WayshrineInfo'!$K$3:$N$9971,4,FALSE),"")))</f>
        <v>Blackrose Prison</v>
      </c>
      <c r="T371" s="19" t="str">
        <f>IF(AND(S371&lt;&gt;"",NOT(ISERROR(S371))),S371,IF(Q371&lt;&gt;"",IF(NOT(ISERROR(VLOOKUP(Q371,'ESO Dungeon constants'!$D$3:$H$9999,5,FALSE))),VLOOKUP(Q371,'ESO Dungeon constants'!$D$3:$I$9999,6,FALSE),VLOOKUP(Q371,'ESO zone constants'!$H$3:$K$9989,4,FALSE)),""))</f>
        <v>DLC_MURKMIRE</v>
      </c>
      <c r="U371" s="3" t="str">
        <f>IF(T371&lt;&gt;"",VLOOKUP(T371,'LibSets constants'!$B$4:$C$1017,2,FALSE),"")</f>
        <v>Murkmire</v>
      </c>
      <c r="V371" s="33" t="s">
        <v>1547</v>
      </c>
      <c r="Y371" s="61"/>
      <c r="Z371" s="3">
        <f>IF(AND(G371&lt;&gt;"LIBSETS_SETTYPE_BATTLEGROUND",G371&lt;&gt;"LIBSETS_SETTYPE_SPECIAL"),
IF(AND(Y371&lt;&gt;"",ISNUMBER(Y371),NOT(ISNA(Y371))),Y371,
   IF(AND(L371&lt;&gt;"",ISNUMBER(L371),L371&gt;0,NOT(ISNA(L371))),VLOOKUP(L371,'ESO dumped WayshrineInfo'!$K$3:$L$9971,2,FALSE),"")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WayshrineInfo'!$K$3:$L$9971,2,FALSE),"")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 t="shared" si="31"/>
        <v>[424] = {wayshrines={378,378,378,}, dlcId=DLC_MURKMIRE</v>
      </c>
      <c r="BF371" s="21" t="str">
        <f t="shared" si="32"/>
        <v>, zoneIds={1082,726,726}, veteran=true</v>
      </c>
      <c r="BG371" s="21" t="str">
        <f t="shared" si="33"/>
        <v>, setType=LIBSETS_SETTYPE_ARENA</v>
      </c>
      <c r="BH371" s="21" t="str">
        <f t="shared" si="34"/>
        <v>, dropMechanic={LIBSETS_DROP_MECHANIC_ARENA_STAGE_CHEST,LIBSETS_DROP_MECHANIC_ARENA_STAGE_CHEST}, isPerfectedSet=1</v>
      </c>
      <c r="BI371" s="21" t="str">
        <f t="shared" si="35"/>
        <v>}, --Perfect Radial Uppercut / Perfekter Rundum-Aufwärtsschnitt   [Blackrose Prison, Murkmire, Murkmire]</v>
      </c>
    </row>
    <row r="372" spans="1:61" x14ac:dyDescent="0.25">
      <c r="A372" s="12">
        <v>425</v>
      </c>
      <c r="B372" t="s">
        <v>1313</v>
      </c>
      <c r="C372" t="s">
        <v>1314</v>
      </c>
      <c r="D372" s="3">
        <f t="shared" si="30"/>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WayshrineInfo'!$K$3:$N$9971,4,FALSE),"")))</f>
        <v>Blackrose Prison</v>
      </c>
      <c r="T372" s="19" t="str">
        <f>IF(AND(S372&lt;&gt;"",NOT(ISERROR(S372))),S372,IF(Q372&lt;&gt;"",IF(NOT(ISERROR(VLOOKUP(Q372,'ESO Dungeon constants'!$D$3:$H$9999,5,FALSE))),VLOOKUP(Q372,'ESO Dungeon constants'!$D$3:$I$9999,6,FALSE),VLOOKUP(Q372,'ESO zone constants'!$H$3:$K$9989,4,FALSE)),""))</f>
        <v>DLC_MURKMIRE</v>
      </c>
      <c r="U372" s="3" t="str">
        <f>IF(T372&lt;&gt;"",VLOOKUP(T372,'LibSets constants'!$B$4:$C$1017,2,FALSE),"")</f>
        <v>Murkmire</v>
      </c>
      <c r="V372" s="33" t="s">
        <v>1547</v>
      </c>
      <c r="Y372" s="61"/>
      <c r="Z372" s="3">
        <f>IF(AND(G372&lt;&gt;"LIBSETS_SETTYPE_BATTLEGROUND",G372&lt;&gt;"LIBSETS_SETTYPE_SPECIAL"),
IF(AND(Y372&lt;&gt;"",ISNUMBER(Y372),NOT(ISNA(Y372))),Y372,
   IF(AND(L372&lt;&gt;"",ISNUMBER(L372),L372&gt;0,NOT(ISNA(L372))),VLOOKUP(L372,'ESO dumped WayshrineInfo'!$K$3:$L$9971,2,FALSE),"")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WayshrineInfo'!$K$3:$L$9971,2,FALSE),"")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 t="shared" si="31"/>
        <v>[425] = {wayshrines={378,378,378,}, dlcId=DLC_MURKMIRE</v>
      </c>
      <c r="BF372" s="21" t="str">
        <f t="shared" si="32"/>
        <v>, zoneIds={1082,726,726}, veteran=true</v>
      </c>
      <c r="BG372" s="21" t="str">
        <f t="shared" si="33"/>
        <v>, setType=LIBSETS_SETTYPE_ARENA</v>
      </c>
      <c r="BH372" s="21" t="str">
        <f t="shared" si="34"/>
        <v>, dropMechanic={LIBSETS_DROP_MECHANIC_ARENA_STAGE_CHEST,LIBSETS_DROP_MECHANIC_ARENA_STAGE_CHEST}, isPerfectedSet=1</v>
      </c>
      <c r="BI372" s="21" t="str">
        <f t="shared" si="35"/>
        <v>}, --Perfect Spectral Cloak / Perfekter spektraler Mantel   [Blackrose Prison, Murkmire, Murkmire]</v>
      </c>
    </row>
    <row r="373" spans="1:61" x14ac:dyDescent="0.25">
      <c r="A373" s="12">
        <v>426</v>
      </c>
      <c r="B373" t="s">
        <v>1315</v>
      </c>
      <c r="C373" t="s">
        <v>1316</v>
      </c>
      <c r="D373" s="3">
        <f t="shared" si="30"/>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WayshrineInfo'!$K$3:$N$9971,4,FALSE),"")))</f>
        <v>Blackrose Prison</v>
      </c>
      <c r="T373" s="19" t="str">
        <f>IF(AND(S373&lt;&gt;"",NOT(ISERROR(S373))),S373,IF(Q373&lt;&gt;"",IF(NOT(ISERROR(VLOOKUP(Q373,'ESO Dungeon constants'!$D$3:$H$9999,5,FALSE))),VLOOKUP(Q373,'ESO Dungeon constants'!$D$3:$I$9999,6,FALSE),VLOOKUP(Q373,'ESO zone constants'!$H$3:$K$9989,4,FALSE)),""))</f>
        <v>DLC_MURKMIRE</v>
      </c>
      <c r="U373" s="3" t="str">
        <f>IF(T373&lt;&gt;"",VLOOKUP(T373,'LibSets constants'!$B$4:$C$1017,2,FALSE),"")</f>
        <v>Murkmire</v>
      </c>
      <c r="V373" s="33" t="s">
        <v>1547</v>
      </c>
      <c r="Y373" s="61"/>
      <c r="Z373" s="3">
        <f>IF(AND(G373&lt;&gt;"LIBSETS_SETTYPE_BATTLEGROUND",G373&lt;&gt;"LIBSETS_SETTYPE_SPECIAL"),
IF(AND(Y373&lt;&gt;"",ISNUMBER(Y373),NOT(ISNA(Y373))),Y373,
   IF(AND(L373&lt;&gt;"",ISNUMBER(L373),L373&gt;0,NOT(ISNA(L373))),VLOOKUP(L373,'ESO dumped WayshrineInfo'!$K$3:$L$9971,2,FALSE),"")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WayshrineInfo'!$K$3:$L$9971,2,FALSE),"")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 t="shared" si="31"/>
        <v>[426] = {wayshrines={378,378,378,}, dlcId=DLC_MURKMIRE</v>
      </c>
      <c r="BF373" s="21" t="str">
        <f t="shared" si="32"/>
        <v>, zoneIds={1082,726,726}, veteran=true</v>
      </c>
      <c r="BG373" s="21" t="str">
        <f t="shared" si="33"/>
        <v>, setType=LIBSETS_SETTYPE_ARENA</v>
      </c>
      <c r="BH373" s="21" t="str">
        <f t="shared" si="34"/>
        <v>, dropMechanic={LIBSETS_DROP_MECHANIC_ARENA_STAGE_CHEST,LIBSETS_DROP_MECHANIC_ARENA_STAGE_CHEST}, isPerfectedSet=1</v>
      </c>
      <c r="BI373" s="21" t="str">
        <f t="shared" si="35"/>
        <v>}, --Perfect Virulent Shot / Perfekter virulenter Schuss   [Blackrose Prison, Murkmire, Murkmire]</v>
      </c>
    </row>
    <row r="374" spans="1:61" x14ac:dyDescent="0.25">
      <c r="A374" s="12">
        <v>427</v>
      </c>
      <c r="B374" t="s">
        <v>1317</v>
      </c>
      <c r="C374" t="s">
        <v>1318</v>
      </c>
      <c r="D374" s="3">
        <f t="shared" si="30"/>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WayshrineInfo'!$K$3:$N$9971,4,FALSE),"")))</f>
        <v>Blackrose Prison</v>
      </c>
      <c r="T374" s="19" t="str">
        <f>IF(AND(S374&lt;&gt;"",NOT(ISERROR(S374))),S374,IF(Q374&lt;&gt;"",IF(NOT(ISERROR(VLOOKUP(Q374,'ESO Dungeon constants'!$D$3:$H$9999,5,FALSE))),VLOOKUP(Q374,'ESO Dungeon constants'!$D$3:$I$9999,6,FALSE),VLOOKUP(Q374,'ESO zone constants'!$H$3:$K$9989,4,FALSE)),""))</f>
        <v>DLC_MURKMIRE</v>
      </c>
      <c r="U374" s="3" t="str">
        <f>IF(T374&lt;&gt;"",VLOOKUP(T374,'LibSets constants'!$B$4:$C$1017,2,FALSE),"")</f>
        <v>Murkmire</v>
      </c>
      <c r="V374" s="33" t="s">
        <v>1547</v>
      </c>
      <c r="Y374" s="61"/>
      <c r="Z374" s="3">
        <f>IF(AND(G374&lt;&gt;"LIBSETS_SETTYPE_BATTLEGROUND",G374&lt;&gt;"LIBSETS_SETTYPE_SPECIAL"),
IF(AND(Y374&lt;&gt;"",ISNUMBER(Y374),NOT(ISNA(Y374))),Y374,
   IF(AND(L374&lt;&gt;"",ISNUMBER(L374),L374&gt;0,NOT(ISNA(L374))),VLOOKUP(L374,'ESO dumped WayshrineInfo'!$K$3:$L$9971,2,FALSE),"")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WayshrineInfo'!$K$3:$L$9971,2,FALSE),"")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 t="shared" si="31"/>
        <v>[427] = {wayshrines={378,378,378,}, dlcId=DLC_MURKMIRE</v>
      </c>
      <c r="BF374" s="21" t="str">
        <f t="shared" si="32"/>
        <v>, zoneIds={1082,726,726}, veteran=true</v>
      </c>
      <c r="BG374" s="21" t="str">
        <f t="shared" si="33"/>
        <v>, setType=LIBSETS_SETTYPE_ARENA</v>
      </c>
      <c r="BH374" s="21" t="str">
        <f t="shared" si="34"/>
        <v>, dropMechanic={LIBSETS_DROP_MECHANIC_ARENA_STAGE_CHEST,LIBSETS_DROP_MECHANIC_ARENA_STAGE_CHEST}, isPerfectedSet=1</v>
      </c>
      <c r="BI374" s="21" t="str">
        <f t="shared" si="35"/>
        <v>}, --Perfect Wild Impulse / Perfekter wilder Impuls   [Blackrose Prison, Murkmire, Murkmire]</v>
      </c>
    </row>
    <row r="375" spans="1:61" x14ac:dyDescent="0.25">
      <c r="A375" s="12">
        <v>428</v>
      </c>
      <c r="B375" t="s">
        <v>1319</v>
      </c>
      <c r="C375" t="s">
        <v>2614</v>
      </c>
      <c r="D375" s="3">
        <f t="shared" si="30"/>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WayshrineInfo'!$K$3:$N$9971,4,FALSE),"")))</f>
        <v>Blackrose Prison</v>
      </c>
      <c r="T375" s="19" t="str">
        <f>IF(AND(S375&lt;&gt;"",NOT(ISERROR(S375))),S375,IF(Q375&lt;&gt;"",IF(NOT(ISERROR(VLOOKUP(Q375,'ESO Dungeon constants'!$D$3:$H$9999,5,FALSE))),VLOOKUP(Q375,'ESO Dungeon constants'!$D$3:$I$9999,6,FALSE),VLOOKUP(Q375,'ESO zone constants'!$H$3:$K$9989,4,FALSE)),""))</f>
        <v>DLC_MURKMIRE</v>
      </c>
      <c r="U375" s="3" t="str">
        <f>IF(T375&lt;&gt;"",VLOOKUP(T375,'LibSets constants'!$B$4:$C$1017,2,FALSE),"")</f>
        <v>Murkmire</v>
      </c>
      <c r="V375" s="33" t="s">
        <v>1547</v>
      </c>
      <c r="Y375" s="61"/>
      <c r="Z375" s="3">
        <f>IF(AND(G375&lt;&gt;"LIBSETS_SETTYPE_BATTLEGROUND",G375&lt;&gt;"LIBSETS_SETTYPE_SPECIAL"),
IF(AND(Y375&lt;&gt;"",ISNUMBER(Y375),NOT(ISNA(Y375))),Y375,
   IF(AND(L375&lt;&gt;"",ISNUMBER(L375),L375&gt;0,NOT(ISNA(L375))),VLOOKUP(L375,'ESO dumped WayshrineInfo'!$K$3:$L$9971,2,FALSE),"")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WayshrineInfo'!$K$3:$L$9971,2,FALSE),"")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 t="shared" si="31"/>
        <v>[428] = {wayshrines={378,378,378,}, dlcId=DLC_MURKMIRE</v>
      </c>
      <c r="BF375" s="21" t="str">
        <f t="shared" si="32"/>
        <v>, zoneIds={1082,726,726}, veteran=true</v>
      </c>
      <c r="BG375" s="21" t="str">
        <f t="shared" si="33"/>
        <v>, setType=LIBSETS_SETTYPE_ARENA</v>
      </c>
      <c r="BH375" s="21" t="str">
        <f t="shared" si="34"/>
        <v>, dropMechanic={LIBSETS_DROP_MECHANIC_ARENA_STAGE_CHEST,LIBSETS_DROP_MECHANIC_ARENA_STAGE_CHEST}, isPerfectedSet=1</v>
      </c>
      <c r="BI375" s="21" t="str">
        <f t="shared" si="35"/>
        <v>}, --Perfect Mender\'s Ward / Perfekter Schutz des Pflegers   [Blackrose Prison, Murkmire, Murkmire]</v>
      </c>
    </row>
    <row r="376" spans="1:61" x14ac:dyDescent="0.25">
      <c r="A376" s="12">
        <v>429</v>
      </c>
      <c r="B376" t="s">
        <v>1320</v>
      </c>
      <c r="C376" t="s">
        <v>1321</v>
      </c>
      <c r="D376" s="3">
        <f t="shared" si="30"/>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WayshrineInfo'!$K$3:$N$9971,4,FALSE),"")))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WayshrineInfo'!$K$3:$L$9971,2,FALSE),"")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WayshrineInfo'!$K$3:$L$9971,2,FALSE),"")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 t="shared" si="31"/>
        <v>[429] = {wayshrines={389,389,389,}, dlcId=DLC_WRATHSTONE</v>
      </c>
      <c r="BF376" s="21" t="str">
        <f t="shared" si="32"/>
        <v>, zoneIds={1080,101,101}, veteran=false</v>
      </c>
      <c r="BG376" s="21" t="str">
        <f t="shared" si="33"/>
        <v>, setType=LIBSETS_SETTYPE_DUNGEON</v>
      </c>
      <c r="BH376" s="21" t="str">
        <f t="shared" si="34"/>
        <v>, dropMechanic={LIBSETS_DROP_MECHANIC_GROUP_DUNGEON_BOSS}</v>
      </c>
      <c r="BI376" s="21" t="str">
        <f t="shared" si="35"/>
        <v>}, --Mighty Glacier / Mächtiger Gletscher   [Frostvault, Eastmarch, Eastmarch]</v>
      </c>
    </row>
    <row r="377" spans="1:61" x14ac:dyDescent="0.25">
      <c r="A377" s="12">
        <v>430</v>
      </c>
      <c r="B377" t="s">
        <v>1322</v>
      </c>
      <c r="C377" t="s">
        <v>2615</v>
      </c>
      <c r="D377" s="3">
        <f t="shared" si="30"/>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WayshrineInfo'!$K$3:$N$9971,4,FALSE),"")))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WayshrineInfo'!$K$3:$L$9971,2,FALSE),"")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WayshrineInfo'!$K$3:$L$9971,2,FALSE),"")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 t="shared" si="31"/>
        <v>[430] = {wayshrines={389,389,389,}, dlcId=DLC_WRATHSTONE</v>
      </c>
      <c r="BF377" s="21" t="str">
        <f t="shared" si="32"/>
        <v>, zoneIds={1080,101,101}, veteran=false</v>
      </c>
      <c r="BG377" s="21" t="str">
        <f t="shared" si="33"/>
        <v>, setType=LIBSETS_SETTYPE_DUNGEON</v>
      </c>
      <c r="BH377" s="21" t="str">
        <f t="shared" si="34"/>
        <v>, dropMechanic={LIBSETS_DROP_MECHANIC_GROUP_DUNGEON_BOSS}</v>
      </c>
      <c r="BI377" s="21" t="str">
        <f t="shared" si="35"/>
        <v>}, --Tzogvin\'s Warband / Tzogvins Kriegstrupp   [Frostvault, Eastmarch, Eastmarch]</v>
      </c>
    </row>
    <row r="378" spans="1:61" x14ac:dyDescent="0.25">
      <c r="A378" s="12">
        <v>431</v>
      </c>
      <c r="B378" t="s">
        <v>1323</v>
      </c>
      <c r="C378" t="s">
        <v>1324</v>
      </c>
      <c r="D378" s="3">
        <f t="shared" si="30"/>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WayshrineInfo'!$K$3:$N$9971,4,FALSE),"")))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WayshrineInfo'!$K$3:$L$9971,2,FALSE),"")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WayshrineInfo'!$K$3:$L$9971,2,FALSE),"")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 t="shared" si="31"/>
        <v>[431] = {wayshrines={389,389,389,}, dlcId=DLC_WRATHSTONE</v>
      </c>
      <c r="BF378" s="21" t="str">
        <f t="shared" si="32"/>
        <v>, zoneIds={1080,101,101}, veteran=false</v>
      </c>
      <c r="BG378" s="21" t="str">
        <f t="shared" si="33"/>
        <v>, setType=LIBSETS_SETTYPE_DUNGEON</v>
      </c>
      <c r="BH378" s="21" t="str">
        <f t="shared" si="34"/>
        <v>, dropMechanic={LIBSETS_DROP_MECHANIC_GROUP_DUNGEON_BOSS}</v>
      </c>
      <c r="BI378" s="21" t="str">
        <f t="shared" si="35"/>
        <v>}, --Icy Conjuror / Eisiger Anrufer   [Frostvault, Eastmarch, Eastmarch]</v>
      </c>
    </row>
    <row r="379" spans="1:61" x14ac:dyDescent="0.25">
      <c r="A379" s="5">
        <v>432</v>
      </c>
      <c r="B379" t="s">
        <v>1325</v>
      </c>
      <c r="C379" t="s">
        <v>25</v>
      </c>
      <c r="D379" s="3">
        <f t="shared" si="30"/>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WayshrineInfo'!$K$3:$N$9971,4,FALSE),"")))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WayshrineInfo'!$K$3:$L$9971,2,FALSE),"")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WayshrineInfo'!$K$3:$L$9971,2,FALSE),"")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 t="shared" si="31"/>
        <v>[432] = {wayshrines={389,389,389,}, dlcId=DLC_WRATHSTONE</v>
      </c>
      <c r="BF379" s="21" t="str">
        <f t="shared" si="32"/>
        <v>, zoneIds={1080,101,101}, veteran={[EQUIP_TYPE_HEAD]=true, [EQUIP_TYPE_SHOULDERS]=false}</v>
      </c>
      <c r="BG379" s="21" t="str">
        <f t="shared" si="33"/>
        <v>, setType=LIBSETS_SETTYPE_MONSTER, undauntedChestId=3</v>
      </c>
      <c r="BH379" s="21" t="str">
        <f t="shared" si="34"/>
        <v>, dropMechanic={LIBSETS_DROP_MECHANIC_MONSTER_NAME}, dropMechanicDropLocationNames={['en']={'The Stonekeeper','','','','','',},['de']={'Der Steinwahrer','','','','','',},}</v>
      </c>
      <c r="BI379" s="21" t="str">
        <f t="shared" si="35"/>
        <v>}, --Stonekeeper / Steinwahrer   [Frostvault, Eastmarch, Eastmarch]</v>
      </c>
    </row>
    <row r="380" spans="1:61" x14ac:dyDescent="0.25">
      <c r="A380" s="12">
        <v>433</v>
      </c>
      <c r="B380" t="s">
        <v>1326</v>
      </c>
      <c r="C380" t="s">
        <v>1327</v>
      </c>
      <c r="D380" s="3">
        <f t="shared" si="30"/>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WayshrineInfo'!$K$3:$N$9971,4,FALSE),"")))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WayshrineInfo'!$K$3:$L$9971,2,FALSE),"")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WayshrineInfo'!$K$3:$L$9971,2,FALSE),"")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 t="shared" si="31"/>
        <v>[433] = {wayshrines={390,390,390,}, dlcId=DLC_WRATHSTONE</v>
      </c>
      <c r="BF380" s="21" t="str">
        <f t="shared" si="32"/>
        <v>, zoneIds={1081,823,823}, veteran=false</v>
      </c>
      <c r="BG380" s="21" t="str">
        <f t="shared" si="33"/>
        <v>, setType=LIBSETS_SETTYPE_DUNGEON</v>
      </c>
      <c r="BH380" s="21" t="str">
        <f t="shared" si="34"/>
        <v>, dropMechanic={LIBSETS_DROP_MECHANIC_GROUP_DUNGEON_BOSS}</v>
      </c>
      <c r="BI380" s="21" t="str">
        <f t="shared" si="35"/>
        <v>}, --Frozen Watcher / Gefrorener Beobachter   [Depths of Malatar, Gold Coast, Gold Coast]</v>
      </c>
    </row>
    <row r="381" spans="1:61" x14ac:dyDescent="0.25">
      <c r="A381" s="12">
        <v>434</v>
      </c>
      <c r="B381" t="s">
        <v>1328</v>
      </c>
      <c r="C381" t="s">
        <v>1329</v>
      </c>
      <c r="D381" s="3">
        <f t="shared" si="30"/>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WayshrineInfo'!$K$3:$N$9971,4,FALSE),"")))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WayshrineInfo'!$K$3:$L$9971,2,FALSE),"")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WayshrineInfo'!$K$3:$L$9971,2,FALSE),"")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 t="shared" si="31"/>
        <v>[434] = {wayshrines={390,390,390,}, dlcId=DLC_WRATHSTONE</v>
      </c>
      <c r="BF381" s="21" t="str">
        <f t="shared" si="32"/>
        <v>, zoneIds={1081,823,823}, veteran=false</v>
      </c>
      <c r="BG381" s="21" t="str">
        <f t="shared" si="33"/>
        <v>, setType=LIBSETS_SETTYPE_DUNGEON</v>
      </c>
      <c r="BH381" s="21" t="str">
        <f t="shared" si="34"/>
        <v>, dropMechanic={LIBSETS_DROP_MECHANIC_GROUP_DUNGEON_BOSS}</v>
      </c>
      <c r="BI381" s="21" t="str">
        <f t="shared" si="35"/>
        <v>}, --Scavenging Demise / Ausbeutender Niedergang   [Depths of Malatar, Gold Coast, Gold Coast]</v>
      </c>
    </row>
    <row r="382" spans="1:61" x14ac:dyDescent="0.25">
      <c r="A382" s="12">
        <v>435</v>
      </c>
      <c r="B382" t="s">
        <v>1330</v>
      </c>
      <c r="C382" t="s">
        <v>2616</v>
      </c>
      <c r="D382" s="3">
        <f t="shared" si="30"/>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WayshrineInfo'!$K$3:$N$9971,4,FALSE),"")))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WayshrineInfo'!$K$3:$L$9971,2,FALSE),"")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WayshrineInfo'!$K$3:$L$9971,2,FALSE),"")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 t="shared" si="31"/>
        <v>[435] = {wayshrines={390,390,390,}, dlcId=DLC_WRATHSTONE</v>
      </c>
      <c r="BF382" s="21" t="str">
        <f t="shared" si="32"/>
        <v>, zoneIds={1081,823,823}, veteran=false</v>
      </c>
      <c r="BG382" s="21" t="str">
        <f t="shared" si="33"/>
        <v>, setType=LIBSETS_SETTYPE_DUNGEON</v>
      </c>
      <c r="BH382" s="21" t="str">
        <f t="shared" si="34"/>
        <v>, dropMechanic={LIBSETS_DROP_MECHANIC_GROUP_DUNGEON_BOSS}</v>
      </c>
      <c r="BI382" s="21" t="str">
        <f t="shared" si="35"/>
        <v>}, --Auroran\'s Thunder / Donner des Auroraners   [Depths of Malatar, Gold Coast, Gold Coast]</v>
      </c>
    </row>
    <row r="383" spans="1:61" x14ac:dyDescent="0.25">
      <c r="A383" s="5">
        <v>436</v>
      </c>
      <c r="B383" t="s">
        <v>1331</v>
      </c>
      <c r="C383" t="s">
        <v>28</v>
      </c>
      <c r="D383" s="3">
        <f t="shared" si="30"/>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WayshrineInfo'!$K$3:$N$9971,4,FALSE),"")))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WayshrineInfo'!$K$3:$L$9971,2,FALSE),"")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WayshrineInfo'!$K$3:$L$9971,2,FALSE),"")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 t="shared" si="31"/>
        <v>[436] = {wayshrines={390,390,390,}, dlcId=DLC_WRATHSTONE</v>
      </c>
      <c r="BF383" s="21" t="str">
        <f t="shared" si="32"/>
        <v>, zoneIds={1081,823,823}, veteran={[EQUIP_TYPE_HEAD]=true, [EQUIP_TYPE_SHOULDERS]=false}</v>
      </c>
      <c r="BG383" s="21" t="str">
        <f t="shared" si="33"/>
        <v>, setType=LIBSETS_SETTYPE_MONSTER, undauntedChestId=3</v>
      </c>
      <c r="BH383" s="21" t="str">
        <f t="shared" si="34"/>
        <v>, dropMechanic={LIBSETS_DROP_MECHANIC_MONSTER_NAME}, dropMechanicDropLocationNames={['en']={'Symphony of Blades','','','','','',},['de']={'Die Sinfonie der Klingen','','','','','',},}</v>
      </c>
      <c r="BI383" s="21" t="str">
        <f t="shared" si="35"/>
        <v>}, --Symphony of Blades / Sinfonie der Klingen   [Depths of Malatar, Gold Coast, Gold Coast]</v>
      </c>
    </row>
    <row r="384" spans="1:61" x14ac:dyDescent="0.25">
      <c r="A384" s="12">
        <v>437</v>
      </c>
      <c r="B384" t="s">
        <v>1422</v>
      </c>
      <c r="C384" t="s">
        <v>2617</v>
      </c>
      <c r="D384" s="3">
        <f t="shared" si="30"/>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WayshrineInfo'!$K$3:$N$9971,4,FALSE),"")))</f>
        <v>Northern Elsweyr</v>
      </c>
      <c r="T384" s="19" t="str">
        <f>IF(AND(S384&lt;&gt;"",NOT(ISERROR(S384))),S384,IF(Q384&lt;&gt;"",IF(NOT(ISERROR(VLOOKUP(Q384,'ESO Dungeon constants'!$D$3:$H$9999,5,FALSE))),VLOOKUP(Q384,'ESO Dungeon constants'!$D$3:$I$9999,6,FALSE),VLOOKUP(Q384,'ESO zone constants'!$H$3:$K$9989,4,FALSE)),""))</f>
        <v>DLC_DARK_BROTHERHOOD</v>
      </c>
      <c r="U384" s="3" t="str">
        <f>IF(T384&lt;&gt;"",VLOOKUP(T384,'LibSets constants'!$B$4:$C$1017,2,FALSE),"")</f>
        <v>Dark Brotherhood</v>
      </c>
      <c r="V384" s="33" t="s">
        <v>3276</v>
      </c>
      <c r="Y384" s="61"/>
      <c r="Z384" s="3">
        <f>IF(AND(G384&lt;&gt;"LIBSETS_SETTYPE_BATTLEGROUND",G384&lt;&gt;"LIBSETS_SETTYPE_SPECIAL"),
IF(AND(Y384&lt;&gt;"",ISNUMBER(Y384),NOT(ISNA(Y384))),Y384,
   IF(AND(L384&lt;&gt;"",ISNUMBER(L384),L384&gt;0,NOT(ISNA(L384))),VLOOKUP(L384,'ESO dumped WayshrineInfo'!$K$3:$L$9971,2,FALSE),"")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WayshrineInfo'!$K$3:$L$9971,2,FALSE),"")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 t="shared" si="31"/>
        <v>[437] = {wayshrines={386,386,386,}, traitsNeeded=8, dlcId=DLC_DARK_BROTHERHOOD</v>
      </c>
      <c r="BF384" s="21" t="str">
        <f t="shared" si="32"/>
        <v>, zoneIds={1086,1086,1086}, veteran=false</v>
      </c>
      <c r="BG384" s="21" t="str">
        <f t="shared" si="33"/>
        <v>, setType=LIBSETS_SETTYPE_CRAFTED</v>
      </c>
      <c r="BH384" s="21" t="str">
        <f t="shared" si="34"/>
        <v>, dropMechanic={LIBSETS_DROP_MECHANIC_CRAFTED,LIBSETS_DROP_MECHANIC_CRAFTED}</v>
      </c>
      <c r="BI384" s="21" t="str">
        <f t="shared" si="35"/>
        <v>}, --Coldharbour\'s Favorite / Kalthafens Günstling   [Northern Elsweyr, Northern Elsweyr, Northern Elsweyr]</v>
      </c>
    </row>
    <row r="385" spans="1:61" x14ac:dyDescent="0.25">
      <c r="A385" s="12">
        <v>438</v>
      </c>
      <c r="B385" t="s">
        <v>1423</v>
      </c>
      <c r="C385" t="s">
        <v>2618</v>
      </c>
      <c r="D385" s="3">
        <f t="shared" si="30"/>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WayshrineInfo'!$K$3:$N$9971,4,FALSE),"")))</f>
        <v>Northern Elsweyr</v>
      </c>
      <c r="T385" s="19" t="str">
        <f>IF(AND(S385&lt;&gt;"",NOT(ISERROR(S385))),S385,IF(Q385&lt;&gt;"",IF(NOT(ISERROR(VLOOKUP(Q385,'ESO Dungeon constants'!$D$3:$H$9999,5,FALSE))),VLOOKUP(Q385,'ESO Dungeon constants'!$D$3:$I$9999,6,FALSE),VLOOKUP(Q385,'ESO zone constants'!$H$3:$K$9989,4,FALSE)),""))</f>
        <v>DLC_DARK_BROTHERHOOD</v>
      </c>
      <c r="U385" s="3" t="str">
        <f>IF(T385&lt;&gt;"",VLOOKUP(T385,'LibSets constants'!$B$4:$C$1017,2,FALSE),"")</f>
        <v>Dark Brotherhood</v>
      </c>
      <c r="V385" s="33" t="s">
        <v>3276</v>
      </c>
      <c r="Y385" s="61"/>
      <c r="Z385" s="3">
        <f>IF(AND(G385&lt;&gt;"LIBSETS_SETTYPE_BATTLEGROUND",G385&lt;&gt;"LIBSETS_SETTYPE_SPECIAL"),
IF(AND(Y385&lt;&gt;"",ISNUMBER(Y385),NOT(ISNA(Y385))),Y385,
   IF(AND(L385&lt;&gt;"",ISNUMBER(L385),L385&gt;0,NOT(ISNA(L385))),VLOOKUP(L385,'ESO dumped WayshrineInfo'!$K$3:$L$9971,2,FALSE),"")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WayshrineInfo'!$K$3:$L$9971,2,FALSE),"")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 t="shared" si="31"/>
        <v>[438] = {wayshrines={397,397,397,}, traitsNeeded=5, dlcId=DLC_DARK_BROTHERHOOD</v>
      </c>
      <c r="BF385" s="21" t="str">
        <f t="shared" si="32"/>
        <v>, zoneIds={1086,1086,1086}, veteran=false</v>
      </c>
      <c r="BG385" s="21" t="str">
        <f t="shared" si="33"/>
        <v>, setType=LIBSETS_SETTYPE_CRAFTED</v>
      </c>
      <c r="BH385" s="21" t="str">
        <f t="shared" si="34"/>
        <v>, dropMechanic={LIBSETS_DROP_MECHANIC_CRAFTED,LIBSETS_DROP_MECHANIC_CRAFTED}</v>
      </c>
      <c r="BI385" s="21" t="str">
        <f t="shared" si="35"/>
        <v>}, --Senche-raht\'s Grit / Mut des Senche-raht   [Northern Elsweyr, Northern Elsweyr, Northern Elsweyr]</v>
      </c>
    </row>
    <row r="386" spans="1:61" x14ac:dyDescent="0.25">
      <c r="A386" s="5">
        <v>439</v>
      </c>
      <c r="B386" t="s">
        <v>1424</v>
      </c>
      <c r="C386" t="s">
        <v>2619</v>
      </c>
      <c r="D386" s="3">
        <f t="shared" si="30"/>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WayshrineInfo'!$K$3:$N$9971,4,FALSE),"")))</f>
        <v>Northern Elsweyr</v>
      </c>
      <c r="T386" s="19" t="str">
        <f>IF(AND(S386&lt;&gt;"",NOT(ISERROR(S386))),S386,IF(Q386&lt;&gt;"",IF(NOT(ISERROR(VLOOKUP(Q386,'ESO Dungeon constants'!$D$3:$H$9999,5,FALSE))),VLOOKUP(Q386,'ESO Dungeon constants'!$D$3:$I$9999,6,FALSE),VLOOKUP(Q386,'ESO zone constants'!$H$3:$K$9989,4,FALSE)),""))</f>
        <v>DLC_DARK_BROTHERHOOD</v>
      </c>
      <c r="U386" s="3" t="str">
        <f>IF(T386&lt;&gt;"",VLOOKUP(T386,'LibSets constants'!$B$4:$C$1017,2,FALSE),"")</f>
        <v>Dark Brotherhood</v>
      </c>
      <c r="V386" s="33" t="s">
        <v>3276</v>
      </c>
      <c r="Y386" s="61"/>
      <c r="Z386" s="3">
        <f>IF(AND(G386&lt;&gt;"LIBSETS_SETTYPE_BATTLEGROUND",G386&lt;&gt;"LIBSETS_SETTYPE_SPECIAL"),
IF(AND(Y386&lt;&gt;"",ISNUMBER(Y386),NOT(ISNA(Y386))),Y386,
   IF(AND(L386&lt;&gt;"",ISNUMBER(L386),L386&gt;0,NOT(ISNA(L386))),VLOOKUP(L386,'ESO dumped WayshrineInfo'!$K$3:$L$9971,2,FALSE),"")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WayshrineInfo'!$K$3:$L$9971,2,FALSE),"")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 t="shared" si="31"/>
        <v>[439] = {wayshrines={382,382,382,}, traitsNeeded=3, dlcId=DLC_DARK_BROTHERHOOD</v>
      </c>
      <c r="BF386" s="21" t="str">
        <f t="shared" si="32"/>
        <v>, zoneIds={1086,1086,1086}, veteran=false</v>
      </c>
      <c r="BG386" s="21" t="str">
        <f t="shared" si="33"/>
        <v>, setType=LIBSETS_SETTYPE_CRAFTED</v>
      </c>
      <c r="BH386" s="21" t="str">
        <f t="shared" si="34"/>
        <v>, dropMechanic={LIBSETS_DROP_MECHANIC_CRAFTED,LIBSETS_DROP_MECHANIC_CRAFTED}</v>
      </c>
      <c r="BI386" s="21" t="str">
        <f t="shared" si="35"/>
        <v>}, --Vastarie\'s Tutelage / Vastaries Vormundschaft   [Northern Elsweyr, Northern Elsweyr, Northern Elsweyr]</v>
      </c>
    </row>
    <row r="387" spans="1:61" x14ac:dyDescent="0.25">
      <c r="A387" s="5">
        <v>440</v>
      </c>
      <c r="B387" t="s">
        <v>1430</v>
      </c>
      <c r="C387" t="s">
        <v>1343</v>
      </c>
      <c r="D387" s="3">
        <f t="shared" ref="D387:D450" si="36">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WayshrineInfo'!$K$3:$N$9971,4,FALSE),"")))</f>
        <v>Northern Elsweyr</v>
      </c>
      <c r="T387" s="19" t="str">
        <f>IF(AND(S387&lt;&gt;"",NOT(ISERROR(S387))),S387,IF(Q387&lt;&gt;"",IF(NOT(ISERROR(VLOOKUP(Q387,'ESO Dungeon constants'!$D$3:$H$9999,5,FALSE))),VLOOKUP(Q387,'ESO Dungeon constants'!$D$3:$I$9999,6,FALSE),VLOOKUP(Q387,'ESO zone constants'!$H$3:$K$9989,4,FALSE)),""))</f>
        <v>DLC_DARK_BROTHERHOOD</v>
      </c>
      <c r="U387" s="3" t="str">
        <f>IF(T387&lt;&gt;"",VLOOKUP(T387,'LibSets constants'!$B$4:$C$1017,2,FALSE),"")</f>
        <v>Dark Brotherhood</v>
      </c>
      <c r="V387" s="33" t="s">
        <v>1551</v>
      </c>
      <c r="Y387" s="61"/>
      <c r="Z387" s="3">
        <f>IF(AND(G387&lt;&gt;"LIBSETS_SETTYPE_BATTLEGROUND",G387&lt;&gt;"LIBSETS_SETTYPE_SPECIAL"),
IF(AND(Y387&lt;&gt;"",ISNUMBER(Y387),NOT(ISNA(Y387))),Y387,
   IF(AND(L387&lt;&gt;"",ISNUMBER(L387),L387&gt;0,NOT(ISNA(L387))),VLOOKUP(L387,'ESO dumped WayshrineInfo'!$K$3:$L$9971,2,FALSE),"")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WayshrineInfo'!$K$3:$L$9971,2,FALSE),"")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dlcId=DLC_DARK_BROTHERHOOD</v>
      </c>
      <c r="BF387" s="21"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 t="shared" ref="BG387:BG450" si="39">IF(A387&lt;&gt;"",IF(F387&lt;&gt;"Not in the game (anymore)",IF(A387&lt;&gt;"",", setType="&amp;G387,"")&amp;IF(G387="LIBSETS_SETTYPE_CLASS",", classId="&amp;BC387,"")&amp;IF(J387="true",", multiTrialSet=true",""),"")
&amp; IF(AND(H387&lt;&gt;"",ISNUMBER(H387)),", undauntedChestId=" &amp; H387,""),"")</f>
        <v>, setType=LIBSETS_SETTYPE_OVERLAND</v>
      </c>
      <c r="BH387" s="21" t="str">
        <f t="shared" ref="BH387:BH450" si="40">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 t="shared" ref="BI387:BI450" si="41">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 t="shared" si="36"/>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WayshrineInfo'!$K$3:$N$9971,4,FALSE),"")))</f>
        <v>Northern Elsweyr</v>
      </c>
      <c r="T388" s="19" t="str">
        <f>IF(AND(S388&lt;&gt;"",NOT(ISERROR(S388))),S388,IF(Q388&lt;&gt;"",IF(NOT(ISERROR(VLOOKUP(Q388,'ESO Dungeon constants'!$D$3:$H$9999,5,FALSE))),VLOOKUP(Q388,'ESO Dungeon constants'!$D$3:$I$9999,6,FALSE),VLOOKUP(Q388,'ESO zone constants'!$H$3:$K$9989,4,FALSE)),""))</f>
        <v>DLC_DARK_BROTHERHOOD</v>
      </c>
      <c r="U388" s="3" t="str">
        <f>IF(T388&lt;&gt;"",VLOOKUP(T388,'LibSets constants'!$B$4:$C$1017,2,FALSE),"")</f>
        <v>Dark Brotherhood</v>
      </c>
      <c r="V388" s="33" t="s">
        <v>1551</v>
      </c>
      <c r="Y388" s="61"/>
      <c r="Z388" s="3">
        <f>IF(AND(G388&lt;&gt;"LIBSETS_SETTYPE_BATTLEGROUND",G388&lt;&gt;"LIBSETS_SETTYPE_SPECIAL"),
IF(AND(Y388&lt;&gt;"",ISNUMBER(Y388),NOT(ISNA(Y388))),Y388,
   IF(AND(L388&lt;&gt;"",ISNUMBER(L388),L388&gt;0,NOT(ISNA(L388))),VLOOKUP(L388,'ESO dumped WayshrineInfo'!$K$3:$L$9971,2,FALSE),"")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WayshrineInfo'!$K$3:$L$9971,2,FALSE),"")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 t="shared" si="37"/>
        <v>[441] = {wayshrines={382,382,382,}, dlcId=DLC_DARK_BROTHERHOOD</v>
      </c>
      <c r="BF388" s="21" t="str">
        <f t="shared" si="38"/>
        <v>, zoneIds={1086,1086,1086,1086}, veteran=false</v>
      </c>
      <c r="BG388" s="21" t="str">
        <f t="shared" si="39"/>
        <v>, setType=LIBSETS_SETTYPE_OVERLAND</v>
      </c>
      <c r="BH388" s="21" t="str">
        <f t="shared" si="40"/>
        <v>, isProcSetAllowedInPvP=1, dropMechanic={LIBSETS_DROP_MECHANIC_OVERLAND_BOSS_DELVE,LIBSETS_DROP_MECHANIC_OVERLAND_WORLDBOSS,LIBSETS_DROP_MECHANIC_OVERLAND_BOSS_PUBLIC_DUNGEON,LIBSETS_DROP_MECHANIC_OVERLAND_CHEST}</v>
      </c>
      <c r="BI388" s="21" t="str">
        <f t="shared" si="41"/>
        <v>}, --Vesture of Darloc Brae / Gewandung von Darloc Brae   [Northern Elsweyr, Northern Elsweyr, Northern Elsweyr, Northern Elsweyr]</v>
      </c>
    </row>
    <row r="389" spans="1:61" x14ac:dyDescent="0.25">
      <c r="A389" s="5">
        <v>442</v>
      </c>
      <c r="B389" t="s">
        <v>1428</v>
      </c>
      <c r="C389" t="s">
        <v>1345</v>
      </c>
      <c r="D389" s="3">
        <f t="shared" si="36"/>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WayshrineInfo'!$K$3:$N$9971,4,FALSE),"")))</f>
        <v>Northern Elsweyr</v>
      </c>
      <c r="T389" s="19" t="str">
        <f>IF(AND(S389&lt;&gt;"",NOT(ISERROR(S389))),S389,IF(Q389&lt;&gt;"",IF(NOT(ISERROR(VLOOKUP(Q389,'ESO Dungeon constants'!$D$3:$H$9999,5,FALSE))),VLOOKUP(Q389,'ESO Dungeon constants'!$D$3:$I$9999,6,FALSE),VLOOKUP(Q389,'ESO zone constants'!$H$3:$K$9989,4,FALSE)),""))</f>
        <v>DLC_DARK_BROTHERHOOD</v>
      </c>
      <c r="U389" s="3" t="str">
        <f>IF(T389&lt;&gt;"",VLOOKUP(T389,'LibSets constants'!$B$4:$C$1017,2,FALSE),"")</f>
        <v>Dark Brotherhood</v>
      </c>
      <c r="V389" s="33" t="s">
        <v>1551</v>
      </c>
      <c r="Y389" s="61"/>
      <c r="Z389" s="3">
        <f>IF(AND(G389&lt;&gt;"LIBSETS_SETTYPE_BATTLEGROUND",G389&lt;&gt;"LIBSETS_SETTYPE_SPECIAL"),
IF(AND(Y389&lt;&gt;"",ISNUMBER(Y389),NOT(ISNA(Y389))),Y389,
   IF(AND(L389&lt;&gt;"",ISNUMBER(L389),L389&gt;0,NOT(ISNA(L389))),VLOOKUP(L389,'ESO dumped WayshrineInfo'!$K$3:$L$9971,2,FALSE),"")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WayshrineInfo'!$K$3:$L$9971,2,FALSE),"")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 t="shared" si="37"/>
        <v>[442] = {wayshrines={382,382,382,}, dlcId=DLC_DARK_BROTHERHOOD</v>
      </c>
      <c r="BF389" s="21" t="str">
        <f t="shared" si="38"/>
        <v>, zoneIds={1086,1086,1086,1086}, veteran=false</v>
      </c>
      <c r="BG389" s="21" t="str">
        <f t="shared" si="39"/>
        <v>, setType=LIBSETS_SETTYPE_OVERLAND</v>
      </c>
      <c r="BH389" s="21" t="str">
        <f t="shared" si="40"/>
        <v>, dropMechanic={LIBSETS_DROP_MECHANIC_OVERLAND_BOSS_DELVE,LIBSETS_DROP_MECHANIC_OVERLAND_WORLDBOSS,LIBSETS_DROP_MECHANIC_OVERLAND_BOSS_PUBLIC_DUNGEON,LIBSETS_DROP_MECHANIC_OVERLAND_CHEST}</v>
      </c>
      <c r="BI389" s="21" t="str">
        <f t="shared" si="41"/>
        <v>}, --Call of the Undertaker / Ruf des Totengräbers   [Northern Elsweyr, Northern Elsweyr, Northern Elsweyr, Northern Elsweyr]</v>
      </c>
    </row>
    <row r="390" spans="1:61" x14ac:dyDescent="0.25">
      <c r="A390" s="5">
        <v>443</v>
      </c>
      <c r="B390" t="s">
        <v>1455</v>
      </c>
      <c r="C390" t="s">
        <v>1348</v>
      </c>
      <c r="D390" s="3">
        <f t="shared" si="36"/>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WayshrineInfo'!$K$3:$N$9971,4,FALSE),"")))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WayshrineInfo'!$K$3:$L$9971,2,FALSE),"")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WayshrineInfo'!$K$3:$L$9971,2,FALSE),"")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 t="shared" si="37"/>
        <v>[443] = {wayshrines={399,399,399,}, dlcId=DLC_ELSWEYR</v>
      </c>
      <c r="BF390" s="21" t="str">
        <f t="shared" si="38"/>
        <v>, zoneIds={1121,1121,1121}, veteran=false</v>
      </c>
      <c r="BG390" s="21" t="str">
        <f t="shared" si="39"/>
        <v>, setType=LIBSETS_SETTYPE_TRIAL</v>
      </c>
      <c r="BH390" s="21" t="str">
        <f t="shared" si="40"/>
        <v>, dropMechanic={LIBSETS_DROP_MECHANIC_TRIAL_BOSS,LIBSETS_DROP_MECHANIC_TRIAL_BOSS,LIBSETS_DROP_MECHANIC_TRIAL_BOSS}, perfectedSetId=448</v>
      </c>
      <c r="BI390" s="21" t="str">
        <f t="shared" si="41"/>
        <v>}, --Eye of Nahviintaas / Auge von Nahviintaas   [Sunspire, Sunspire, Sunspire]</v>
      </c>
    </row>
    <row r="391" spans="1:61" x14ac:dyDescent="0.25">
      <c r="A391" s="5">
        <v>444</v>
      </c>
      <c r="B391" t="s">
        <v>1427</v>
      </c>
      <c r="C391" t="s">
        <v>2620</v>
      </c>
      <c r="D391" s="3">
        <f t="shared" si="36"/>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WayshrineInfo'!$K$3:$N$9971,4,FALSE),"")))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WayshrineInfo'!$K$3:$L$9971,2,FALSE),"")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WayshrineInfo'!$K$3:$L$9971,2,FALSE),"")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 t="shared" si="37"/>
        <v>[444] = {wayshrines={399,399,399,}, dlcId=DLC_ELSWEYR</v>
      </c>
      <c r="BF391" s="21" t="str">
        <f t="shared" si="38"/>
        <v>, zoneIds={1121,1121,1121}, veteran=false</v>
      </c>
      <c r="BG391" s="21" t="str">
        <f t="shared" si="39"/>
        <v>, setType=LIBSETS_SETTYPE_TRIAL</v>
      </c>
      <c r="BH391" s="21" t="str">
        <f t="shared" si="40"/>
        <v>, dropMechanic={LIBSETS_DROP_MECHANIC_TRIAL_BOSS,LIBSETS_DROP_MECHANIC_TRIAL_BOSS,LIBSETS_DROP_MECHANIC_TRIAL_BOSS}, perfectedSetId=449</v>
      </c>
      <c r="BI391" s="21" t="str">
        <f t="shared" si="41"/>
        <v>}, --False God\'s Devotion / Ergebenheit des falschen Gottes   [Sunspire, Sunspire, Sunspire]</v>
      </c>
    </row>
    <row r="392" spans="1:61" x14ac:dyDescent="0.25">
      <c r="A392" s="5">
        <v>445</v>
      </c>
      <c r="B392" t="s">
        <v>1426</v>
      </c>
      <c r="C392" t="s">
        <v>1349</v>
      </c>
      <c r="D392" s="3">
        <f t="shared" si="36"/>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WayshrineInfo'!$K$3:$N$9971,4,FALSE),"")))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WayshrineInfo'!$K$3:$L$9971,2,FALSE),"")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WayshrineInfo'!$K$3:$L$9971,2,FALSE),"")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 t="shared" si="37"/>
        <v>[445] = {wayshrines={399,399,399,}, dlcId=DLC_ELSWEYR</v>
      </c>
      <c r="BF392" s="21" t="str">
        <f t="shared" si="38"/>
        <v>, zoneIds={1121,1121,1121}, veteran=false</v>
      </c>
      <c r="BG392" s="21" t="str">
        <f t="shared" si="39"/>
        <v>, setType=LIBSETS_SETTYPE_TRIAL</v>
      </c>
      <c r="BH392" s="21" t="str">
        <f t="shared" si="40"/>
        <v>, dropMechanic={LIBSETS_DROP_MECHANIC_TRIAL_BOSS,LIBSETS_DROP_MECHANIC_TRIAL_BOSS,LIBSETS_DROP_MECHANIC_TRIAL_BOSS}, perfectedSetId=450</v>
      </c>
      <c r="BI392" s="21" t="str">
        <f t="shared" si="41"/>
        <v>}, --Tooth of Lokkestiiz / Zahn von Lokkestiiz   [Sunspire, Sunspire, Sunspire]</v>
      </c>
    </row>
    <row r="393" spans="1:61" x14ac:dyDescent="0.25">
      <c r="A393" s="12">
        <v>446</v>
      </c>
      <c r="B393" t="s">
        <v>1425</v>
      </c>
      <c r="C393" t="s">
        <v>1350</v>
      </c>
      <c r="D393" s="3">
        <f t="shared" si="36"/>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WayshrineInfo'!$K$3:$N$9971,4,FALSE),"")))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WayshrineInfo'!$K$3:$L$9971,2,FALSE),"")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WayshrineInfo'!$K$3:$L$9971,2,FALSE),"")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 t="shared" si="37"/>
        <v>[446] = {wayshrines={399,399,399,}, dlcId=DLC_ELSWEYR</v>
      </c>
      <c r="BF393" s="21" t="str">
        <f t="shared" si="38"/>
        <v>, zoneIds={1121,1121,1121}, veteran=false</v>
      </c>
      <c r="BG393" s="21" t="str">
        <f t="shared" si="39"/>
        <v>, setType=LIBSETS_SETTYPE_TRIAL</v>
      </c>
      <c r="BH393" s="21" t="str">
        <f t="shared" si="40"/>
        <v>, dropMechanic={LIBSETS_DROP_MECHANIC_TRIAL_BOSS,LIBSETS_DROP_MECHANIC_TRIAL_BOSS,LIBSETS_DROP_MECHANIC_TRIAL_BOSS}, perfectedSetId=451</v>
      </c>
      <c r="BI393" s="21" t="str">
        <f t="shared" si="41"/>
        <v>}, --Claw of Yolnakhriin / Kralle von Yolnahkriin   [Sunspire, Sunspire, Sunspire]</v>
      </c>
    </row>
    <row r="394" spans="1:61" x14ac:dyDescent="0.25">
      <c r="A394" s="5">
        <v>448</v>
      </c>
      <c r="B394" t="s">
        <v>1456</v>
      </c>
      <c r="C394" t="s">
        <v>2755</v>
      </c>
      <c r="D394" s="3">
        <f t="shared" si="36"/>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WayshrineInfo'!$K$3:$N$9971,4,FALSE),"")))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WayshrineInfo'!$K$3:$L$9971,2,FALSE),"")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WayshrineInfo'!$K$3:$L$9971,2,FALSE),"")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 t="shared" si="37"/>
        <v>[448] = {wayshrines={399,399,399,}, dlcId=DLC_ELSWEYR</v>
      </c>
      <c r="BF394" s="21" t="str">
        <f t="shared" si="38"/>
        <v>, zoneIds={1121,1121,1121}, veteran=true</v>
      </c>
      <c r="BG394" s="21" t="str">
        <f t="shared" si="39"/>
        <v>, setType=LIBSETS_SETTYPE_TRIAL</v>
      </c>
      <c r="BH394" s="21" t="str">
        <f t="shared" si="40"/>
        <v>, dropMechanic={LIBSETS_DROP_MECHANIC_TRIAL_BOSS,LIBSETS_DROP_MECHANIC_TRIAL_BOSS,LIBSETS_DROP_MECHANIC_TRIAL_BOSS}, isPerfectedSet=1</v>
      </c>
      <c r="BI394" s="21" t="str">
        <f t="shared" si="41"/>
        <v>}, --Perfected Eye of Nahviintaas / Perfektioniertes Auge von Nahviintaas   [Sunspire, Sunspire, Sunspire]</v>
      </c>
    </row>
    <row r="395" spans="1:61" x14ac:dyDescent="0.25">
      <c r="A395" s="5">
        <v>449</v>
      </c>
      <c r="B395" t="s">
        <v>1453</v>
      </c>
      <c r="C395" t="s">
        <v>2621</v>
      </c>
      <c r="D395" s="3">
        <f t="shared" si="36"/>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WayshrineInfo'!$K$3:$N$9971,4,FALSE),"")))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WayshrineInfo'!$K$3:$L$9971,2,FALSE),"")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WayshrineInfo'!$K$3:$L$9971,2,FALSE),"")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 t="shared" si="37"/>
        <v>[449] = {wayshrines={399,399,399,}, dlcId=DLC_ELSWEYR</v>
      </c>
      <c r="BF395" s="21" t="str">
        <f t="shared" si="38"/>
        <v>, zoneIds={1121,1121,1121}, veteran=true</v>
      </c>
      <c r="BG395" s="21" t="str">
        <f t="shared" si="39"/>
        <v>, setType=LIBSETS_SETTYPE_TRIAL</v>
      </c>
      <c r="BH395" s="21" t="str">
        <f t="shared" si="40"/>
        <v>, dropMechanic={LIBSETS_DROP_MECHANIC_TRIAL_BOSS,LIBSETS_DROP_MECHANIC_TRIAL_BOSS,LIBSETS_DROP_MECHANIC_TRIAL_BOSS}, isPerfectedSet=1</v>
      </c>
      <c r="BI395" s="21" t="str">
        <f t="shared" si="41"/>
        <v>}, --Perfected False God\'s Devotion / Perfektionierte Ergebenheit zum falschen Gott   [Sunspire, Sunspire, Sunspire]</v>
      </c>
    </row>
    <row r="396" spans="1:61" x14ac:dyDescent="0.25">
      <c r="A396" s="5">
        <v>450</v>
      </c>
      <c r="B396" t="s">
        <v>1454</v>
      </c>
      <c r="C396" t="s">
        <v>1351</v>
      </c>
      <c r="D396" s="3">
        <f t="shared" si="36"/>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WayshrineInfo'!$K$3:$N$9971,4,FALSE),"")))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WayshrineInfo'!$K$3:$L$9971,2,FALSE),"")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WayshrineInfo'!$K$3:$L$9971,2,FALSE),"")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 t="shared" si="37"/>
        <v>[450] = {wayshrines={399,399,399,}, dlcId=DLC_ELSWEYR</v>
      </c>
      <c r="BF396" s="21" t="str">
        <f t="shared" si="38"/>
        <v>, zoneIds={1121,1121,1121}, veteran=true</v>
      </c>
      <c r="BG396" s="21" t="str">
        <f t="shared" si="39"/>
        <v>, setType=LIBSETS_SETTYPE_TRIAL</v>
      </c>
      <c r="BH396" s="21" t="str">
        <f t="shared" si="40"/>
        <v>, dropMechanic={LIBSETS_DROP_MECHANIC_TRIAL_BOSS,LIBSETS_DROP_MECHANIC_TRIAL_BOSS,LIBSETS_DROP_MECHANIC_TRIAL_BOSS}, isPerfectedSet=1</v>
      </c>
      <c r="BI396" s="21" t="str">
        <f t="shared" si="41"/>
        <v>}, --Perfected Tooth of Lokkestiiz / Perfektionierter Zahn von Lokkestiiz   [Sunspire, Sunspire, Sunspire]</v>
      </c>
    </row>
    <row r="397" spans="1:61" x14ac:dyDescent="0.25">
      <c r="A397" s="5">
        <v>451</v>
      </c>
      <c r="B397" t="s">
        <v>1452</v>
      </c>
      <c r="C397" t="s">
        <v>1352</v>
      </c>
      <c r="D397" s="3">
        <f t="shared" si="36"/>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WayshrineInfo'!$K$3:$N$9971,4,FALSE),"")))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WayshrineInfo'!$K$3:$L$9971,2,FALSE),"")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WayshrineInfo'!$K$3:$L$9971,2,FALSE),"")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 t="shared" si="37"/>
        <v>[451] = {wayshrines={399,399,399,}, dlcId=DLC_ELSWEYR</v>
      </c>
      <c r="BF397" s="21" t="str">
        <f t="shared" si="38"/>
        <v>, zoneIds={1121,1121,1121}, veteran=true</v>
      </c>
      <c r="BG397" s="21" t="str">
        <f t="shared" si="39"/>
        <v>, setType=LIBSETS_SETTYPE_TRIAL</v>
      </c>
      <c r="BH397" s="21" t="str">
        <f t="shared" si="40"/>
        <v>, dropMechanic={LIBSETS_DROP_MECHANIC_TRIAL_BOSS,LIBSETS_DROP_MECHANIC_TRIAL_BOSS,LIBSETS_DROP_MECHANIC_TRIAL_BOSS}, isPerfectedSet=1</v>
      </c>
      <c r="BI397" s="21" t="str">
        <f t="shared" si="41"/>
        <v>}, --Perfected Claw of Yolnakhriin / Perfektionierte Kralle von Yolnahkriin   [Sunspire, Sunspire, Sunspire]</v>
      </c>
    </row>
    <row r="398" spans="1:61" x14ac:dyDescent="0.25">
      <c r="A398" s="5">
        <v>452</v>
      </c>
      <c r="B398" t="s">
        <v>1493</v>
      </c>
      <c r="C398" t="s">
        <v>1492</v>
      </c>
      <c r="D398" s="3">
        <f t="shared" si="36"/>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WayshrineInfo'!$K$3:$N$9971,4,FALSE),"")))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WayshrineInfo'!$K$3:$L$9971,2,FALSE),"")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WayshrineInfo'!$K$3:$L$9971,2,FALSE),"")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 t="shared" si="37"/>
        <v>[452] = {wayshrines={391,391,391,}, dlcId=DLC_SCALEBREAKER</v>
      </c>
      <c r="BF398" s="21" t="str">
        <f t="shared" si="38"/>
        <v>, zoneIds={1122,1086,1086}, veteran=false</v>
      </c>
      <c r="BG398" s="21" t="str">
        <f t="shared" si="39"/>
        <v>, setType=LIBSETS_SETTYPE_DUNGEON</v>
      </c>
      <c r="BH398" s="21" t="str">
        <f t="shared" si="40"/>
        <v>, dropMechanic={LIBSETS_DROP_MECHANIC_GROUP_DUNGEON_BOSS}</v>
      </c>
      <c r="BI398" s="21" t="str">
        <f t="shared" si="41"/>
        <v>}, --Hollowfang Thirst / Hohlzahndurst   [Moongrave Fane, Northern Elsweyr, Northern Elsweyr]</v>
      </c>
    </row>
    <row r="399" spans="1:61" x14ac:dyDescent="0.25">
      <c r="A399" s="5">
        <v>453</v>
      </c>
      <c r="B399" t="s">
        <v>1494</v>
      </c>
      <c r="C399" t="s">
        <v>2622</v>
      </c>
      <c r="D399" s="3">
        <f t="shared" si="36"/>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WayshrineInfo'!$K$3:$N$9971,4,FALSE),"")))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WayshrineInfo'!$K$3:$L$9971,2,FALSE),"")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WayshrineInfo'!$K$3:$L$9971,2,FALSE),"")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 t="shared" si="37"/>
        <v>[453] = {wayshrines={391,391,391,}, dlcId=DLC_SCALEBREAKER</v>
      </c>
      <c r="BF399" s="21" t="str">
        <f t="shared" si="38"/>
        <v>, zoneIds={1122,1086,1086}, veteran=false</v>
      </c>
      <c r="BG399" s="21" t="str">
        <f t="shared" si="39"/>
        <v>, setType=LIBSETS_SETTYPE_DUNGEON</v>
      </c>
      <c r="BH399" s="21" t="str">
        <f t="shared" si="40"/>
        <v>, dropMechanic={LIBSETS_DROP_MECHANIC_GROUP_DUNGEON_BOSS}</v>
      </c>
      <c r="BI399" s="21" t="str">
        <f t="shared" si="41"/>
        <v>}, --Dro\'Zakar\'s Claws / Dro'Zakars Krallen   [Moongrave Fane, Northern Elsweyr, Northern Elsweyr]</v>
      </c>
    </row>
    <row r="400" spans="1:61" x14ac:dyDescent="0.25">
      <c r="A400" s="5">
        <v>454</v>
      </c>
      <c r="B400" t="s">
        <v>1495</v>
      </c>
      <c r="C400" t="s">
        <v>2623</v>
      </c>
      <c r="D400" s="3">
        <f t="shared" si="36"/>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WayshrineInfo'!$K$3:$N$9971,4,FALSE),"")))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WayshrineInfo'!$K$3:$L$9971,2,FALSE),"")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WayshrineInfo'!$K$3:$L$9971,2,FALSE),"")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 t="shared" si="37"/>
        <v>[454] = {wayshrines={391,391,391,}, dlcId=DLC_SCALEBREAKER</v>
      </c>
      <c r="BF400" s="21" t="str">
        <f t="shared" si="38"/>
        <v>, zoneIds={1122,1086,1086}, veteran=false</v>
      </c>
      <c r="BG400" s="21" t="str">
        <f t="shared" si="39"/>
        <v>, setType=LIBSETS_SETTYPE_DUNGEON</v>
      </c>
      <c r="BH400" s="21" t="str">
        <f t="shared" si="40"/>
        <v>, dropMechanic={LIBSETS_DROP_MECHANIC_GROUP_DUNGEON_BOSS}</v>
      </c>
      <c r="BI400" s="21" t="str">
        <f t="shared" si="41"/>
        <v>}, --Renald\'s Resolve / Renalds Entschlossenheit   [Moongrave Fane, Northern Elsweyr, Northern Elsweyr]</v>
      </c>
    </row>
    <row r="401" spans="1:61" x14ac:dyDescent="0.25">
      <c r="A401" s="5">
        <v>455</v>
      </c>
      <c r="B401" t="s">
        <v>1496</v>
      </c>
      <c r="C401" t="s">
        <v>2624</v>
      </c>
      <c r="D401" s="3">
        <f t="shared" si="36"/>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WayshrineInfo'!$K$3:$N$9971,4,FALSE),"")))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WayshrineInfo'!$K$3:$L$9971,2,FALSE),"")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WayshrineInfo'!$K$3:$L$9971,2,FALSE),"")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 t="shared" si="37"/>
        <v>[455] = {wayshrines={398,398,398,}, dlcId=DLC_SCALEBREAKER</v>
      </c>
      <c r="BF401" s="21" t="str">
        <f t="shared" si="38"/>
        <v>, zoneIds={1123,383,383}, veteran=false</v>
      </c>
      <c r="BG401" s="21" t="str">
        <f t="shared" si="39"/>
        <v>, setType=LIBSETS_SETTYPE_DUNGEON</v>
      </c>
      <c r="BH401" s="21" t="str">
        <f t="shared" si="40"/>
        <v>, dropMechanic={LIBSETS_DROP_MECHANIC_GROUP_DUNGEON_BOSS}</v>
      </c>
      <c r="BI401" s="21" t="str">
        <f t="shared" si="41"/>
        <v>}, --Z\'en\'s Redress / Z'ens Wiedergutmachung   [Lair of Maarselok, Grahtwood, Grahtwood]</v>
      </c>
    </row>
    <row r="402" spans="1:61" x14ac:dyDescent="0.25">
      <c r="A402" s="5">
        <v>456</v>
      </c>
      <c r="B402" t="s">
        <v>1498</v>
      </c>
      <c r="C402" t="s">
        <v>1497</v>
      </c>
      <c r="D402" s="3">
        <f t="shared" si="36"/>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WayshrineInfo'!$K$3:$N$9971,4,FALSE),"")))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WayshrineInfo'!$K$3:$L$9971,2,FALSE),"")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WayshrineInfo'!$K$3:$L$9971,2,FALSE),"")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 t="shared" si="37"/>
        <v>[456] = {wayshrines={398,398,398,}, dlcId=DLC_SCALEBREAKER</v>
      </c>
      <c r="BF402" s="21" t="str">
        <f t="shared" si="38"/>
        <v>, zoneIds={1123,383,383}, veteran=false</v>
      </c>
      <c r="BG402" s="21" t="str">
        <f t="shared" si="39"/>
        <v>, setType=LIBSETS_SETTYPE_DUNGEON</v>
      </c>
      <c r="BH402" s="21" t="str">
        <f t="shared" si="40"/>
        <v>, dropMechanic={LIBSETS_DROP_MECHANIC_GROUP_DUNGEON_BOSS}</v>
      </c>
      <c r="BI402" s="21" t="str">
        <f t="shared" si="41"/>
        <v>}, --Azureblight Reaper / Azurfäuleschnitter   [Lair of Maarselok, Grahtwood, Grahtwood]</v>
      </c>
    </row>
    <row r="403" spans="1:61" x14ac:dyDescent="0.25">
      <c r="A403" s="5">
        <v>457</v>
      </c>
      <c r="B403" t="s">
        <v>1499</v>
      </c>
      <c r="C403" t="s">
        <v>2625</v>
      </c>
      <c r="D403" s="3">
        <f t="shared" si="36"/>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WayshrineInfo'!$K$3:$N$9971,4,FALSE),"")))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WayshrineInfo'!$K$3:$L$9971,2,FALSE),"")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WayshrineInfo'!$K$3:$L$9971,2,FALSE),"")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 t="shared" si="37"/>
        <v>[457] = {wayshrines={398,398,398,}, dlcId=DLC_SCALEBREAKER</v>
      </c>
      <c r="BF403" s="21" t="str">
        <f t="shared" si="38"/>
        <v>, zoneIds={1123,383,383}, veteran=false</v>
      </c>
      <c r="BG403" s="21" t="str">
        <f t="shared" si="39"/>
        <v>, setType=LIBSETS_SETTYPE_DUNGEON</v>
      </c>
      <c r="BH403" s="21" t="str">
        <f t="shared" si="40"/>
        <v>, dropMechanic={LIBSETS_DROP_MECHANIC_GROUP_DUNGEON_BOSS}</v>
      </c>
      <c r="BI403" s="21" t="str">
        <f t="shared" si="41"/>
        <v>}, --Dragon\'s Defilement / Drachenschändung   [Lair of Maarselok, Grahtwood, Grahtwood]</v>
      </c>
    </row>
    <row r="404" spans="1:61" x14ac:dyDescent="0.25">
      <c r="A404" s="5">
        <v>458</v>
      </c>
      <c r="B404" t="s">
        <v>1500</v>
      </c>
      <c r="C404" t="s">
        <v>1500</v>
      </c>
      <c r="D404" s="3">
        <f t="shared" si="36"/>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WayshrineInfo'!$K$3:$N$9971,4,FALSE),"")))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WayshrineInfo'!$K$3:$L$9971,2,FALSE),"")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WayshrineInfo'!$K$3:$L$9971,2,FALSE),"")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 t="shared" si="37"/>
        <v>[458] = {wayshrines={391,391,391,}, dlcId=DLC_SCALEBREAKER</v>
      </c>
      <c r="BF404" s="21" t="str">
        <f t="shared" si="38"/>
        <v>, zoneIds={1122,1086,1086}, veteran={[EQUIP_TYPE_HEAD]=true, [EQUIP_TYPE_SHOULDERS]=false}</v>
      </c>
      <c r="BG404" s="21" t="str">
        <f t="shared" si="39"/>
        <v>, setType=LIBSETS_SETTYPE_MONSTER, undauntedChestId=3</v>
      </c>
      <c r="BH404" s="21" t="str">
        <f t="shared" si="40"/>
        <v>, dropMechanic={LIBSETS_DROP_MECHANIC_MONSTER_NAME}, dropMechanicDropLocationNames={['en']={'Grundwulf','','','','','',},['de']={'Grundwulf','','','','','',},}</v>
      </c>
      <c r="BI404" s="21" t="str">
        <f t="shared" si="41"/>
        <v>}, --Grundwulf / Grundwulf   [Moongrave Fane, Northern Elsweyr, Northern Elsweyr]</v>
      </c>
    </row>
    <row r="405" spans="1:61" x14ac:dyDescent="0.25">
      <c r="A405" s="5">
        <v>459</v>
      </c>
      <c r="B405" t="s">
        <v>1501</v>
      </c>
      <c r="C405" t="s">
        <v>1501</v>
      </c>
      <c r="D405" s="3">
        <f t="shared" si="36"/>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WayshrineInfo'!$K$3:$N$9971,4,FALSE),"")))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WayshrineInfo'!$K$3:$L$9971,2,FALSE),"")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WayshrineInfo'!$K$3:$L$9971,2,FALSE),"")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 t="shared" si="37"/>
        <v>[459] = {wayshrines={398,398,398,}, dlcId=DLC_SCALEBREAKER</v>
      </c>
      <c r="BF405" s="21" t="str">
        <f t="shared" si="38"/>
        <v>, zoneIds={1123,383,383}, veteran={[EQUIP_TYPE_HEAD]=true, [EQUIP_TYPE_SHOULDERS]=false}</v>
      </c>
      <c r="BG405" s="21" t="str">
        <f t="shared" si="39"/>
        <v>, setType=LIBSETS_SETTYPE_MONSTER, undauntedChestId=3</v>
      </c>
      <c r="BH405" s="21" t="str">
        <f t="shared" si="40"/>
        <v>, dropMechanic={LIBSETS_DROP_MECHANIC_MONSTER_NAME}, dropMechanicDropLocationNames={['en']={'Maarselok','','','','','',},['de']={'Maarselok','','','','','',},}</v>
      </c>
      <c r="BI405" s="21" t="str">
        <f t="shared" si="41"/>
        <v>}, --Maarselok / Maarselok   [Lair of Maarselok, Grahtwood, Grahtwood]</v>
      </c>
    </row>
    <row r="406" spans="1:61" x14ac:dyDescent="0.25">
      <c r="A406" s="5">
        <v>465</v>
      </c>
      <c r="B406" t="s">
        <v>1592</v>
      </c>
      <c r="C406" t="s">
        <v>1593</v>
      </c>
      <c r="D406" s="3">
        <f t="shared" si="36"/>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WayshrineInfo'!$K$3:$N$9971,4,FALSE),"")))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WayshrineInfo'!$K$3:$L$9971,2,FALSE),"")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WayshrineInfo'!$K$3:$L$9971,2,FALSE),"")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 t="shared" si="37"/>
        <v>[465] = {wayshrines={402,402,402,}, dlcId=DLC_BASE_GAME</v>
      </c>
      <c r="BF406" s="21" t="str">
        <f t="shared" si="38"/>
        <v>, zoneIds={1133,1133,1133}, veteran=false</v>
      </c>
      <c r="BG406" s="21" t="str">
        <f t="shared" si="39"/>
        <v>, setType=LIBSETS_SETTYPE_OVERLAND</v>
      </c>
      <c r="BH406" s="21" t="str">
        <f t="shared" si="40"/>
        <v>, dropMechanic={LIBSETS_DROP_MECHANIC_OVERLAND_BOSS_DELVE,LIBSETS_DROP_MECHANIC_OVERLAND_BOSS_DELVE,LIBSETS_DROP_MECHANIC_OVERLAND_CHEST}</v>
      </c>
      <c r="BI406" s="21" t="str">
        <f t="shared" si="41"/>
        <v>}, --Senchal Defender / Verteidiger von Senchal   [Southern Elsweyr, Southern Elsweyr, Southern Elsweyr]</v>
      </c>
    </row>
    <row r="407" spans="1:61" x14ac:dyDescent="0.25">
      <c r="A407" s="5">
        <v>466</v>
      </c>
      <c r="B407" t="s">
        <v>1602</v>
      </c>
      <c r="C407" t="s">
        <v>2626</v>
      </c>
      <c r="D407" s="3">
        <f t="shared" si="36"/>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WayshrineInfo'!$K$3:$N$9971,4,FALSE),"")))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WayshrineInfo'!$K$3:$L$9971,2,FALSE),"")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WayshrineInfo'!$K$3:$L$9971,2,FALSE),"")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 t="shared" si="37"/>
        <v>[466] = {wayshrines={402,402,402,}, dlcId=DLC_BASE_GAME</v>
      </c>
      <c r="BF407" s="21" t="str">
        <f t="shared" si="38"/>
        <v>, zoneIds={1133,1133,1133}, veteran=false</v>
      </c>
      <c r="BG407" s="21" t="str">
        <f t="shared" si="39"/>
        <v>, setType=LIBSETS_SETTYPE_OVERLAND</v>
      </c>
      <c r="BH407" s="21" t="str">
        <f t="shared" si="40"/>
        <v>, dropMechanic={LIBSETS_DROP_MECHANIC_OVERLAND_BOSS_DELVE,LIBSETS_DROP_MECHANIC_OVERLAND_BOSS_DELVE,LIBSETS_DROP_MECHANIC_OVERLAND_CHEST}</v>
      </c>
      <c r="BI407" s="21" t="str">
        <f t="shared" si="41"/>
        <v>}, --Marauder\'s Haste / Marodeurshast   [Southern Elsweyr, Southern Elsweyr, Southern Elsweyr]</v>
      </c>
    </row>
    <row r="408" spans="1:61" x14ac:dyDescent="0.25">
      <c r="A408" s="5">
        <v>467</v>
      </c>
      <c r="B408" t="s">
        <v>1601</v>
      </c>
      <c r="C408" t="s">
        <v>1594</v>
      </c>
      <c r="D408" s="3">
        <f t="shared" si="36"/>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WayshrineInfo'!$K$3:$N$9971,4,FALSE),"")))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WayshrineInfo'!$K$3:$L$9971,2,FALSE),"")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WayshrineInfo'!$K$3:$L$9971,2,FALSE),"")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 t="shared" si="37"/>
        <v>[467] = {wayshrines={402,402,402,}, dlcId=DLC_BASE_GAME</v>
      </c>
      <c r="BF408" s="21" t="str">
        <f t="shared" si="38"/>
        <v>, zoneIds={1133,1133,1133}, veteran=false</v>
      </c>
      <c r="BG408" s="21" t="str">
        <f t="shared" si="39"/>
        <v>, setType=LIBSETS_SETTYPE_OVERLAND</v>
      </c>
      <c r="BH408" s="21" t="str">
        <f t="shared" si="40"/>
        <v>, dropMechanic={LIBSETS_DROP_MECHANIC_OVERLAND_BOSS_DELVE,LIBSETS_DROP_MECHANIC_OVERLAND_BOSS_DELVE,LIBSETS_DROP_MECHANIC_OVERLAND_CHEST}</v>
      </c>
      <c r="BI408" s="21" t="str">
        <f t="shared" si="41"/>
        <v>}, --Dragonguard Elite / Drachengardeelite   [Southern Elsweyr, Southern Elsweyr, Southern Elsweyr]</v>
      </c>
    </row>
    <row r="409" spans="1:61" x14ac:dyDescent="0.25">
      <c r="A409" s="5">
        <v>468</v>
      </c>
      <c r="B409" t="s">
        <v>1600</v>
      </c>
      <c r="C409" t="s">
        <v>1595</v>
      </c>
      <c r="D409" s="3">
        <f t="shared" si="36"/>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WayshrineInfo'!$K$3:$N$9971,4,FALSE),"")))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WayshrineInfo'!$K$3:$L$9971,2,FALSE),"")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WayshrineInfo'!$K$3:$L$9971,2,FALSE),"")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 t="shared" si="37"/>
        <v>[468] = {wayshrines={403,403,403,}, traitsNeeded=3, dlcId=DLC_BASE_GAME</v>
      </c>
      <c r="BF409" s="21" t="str">
        <f t="shared" si="38"/>
        <v>, zoneIds={1133,1133,1133}, veteran=false</v>
      </c>
      <c r="BG409" s="21" t="str">
        <f t="shared" si="39"/>
        <v>, setType=LIBSETS_SETTYPE_CRAFTED</v>
      </c>
      <c r="BH409" s="21" t="str">
        <f t="shared" si="40"/>
        <v>, dropMechanic={LIBSETS_DROP_MECHANIC_CRAFTED,LIBSETS_DROP_MECHANIC_CRAFTED}</v>
      </c>
      <c r="BI409" s="21" t="str">
        <f t="shared" si="41"/>
        <v>}, --Daring Corsair / Kühner Korsar   [Southern Elsweyr, Southern Elsweyr, Southern Elsweyr]</v>
      </c>
    </row>
    <row r="410" spans="1:61" x14ac:dyDescent="0.25">
      <c r="A410" s="5">
        <v>469</v>
      </c>
      <c r="B410" t="s">
        <v>1599</v>
      </c>
      <c r="C410" t="s">
        <v>1596</v>
      </c>
      <c r="D410" s="3">
        <f t="shared" si="36"/>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WayshrineInfo'!$K$3:$N$9971,4,FALSE),"")))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WayshrineInfo'!$K$3:$L$9971,2,FALSE),"")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WayshrineInfo'!$K$3:$L$9971,2,FALSE),"")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 t="shared" si="37"/>
        <v>[469] = {wayshrines={407,407,407,}, traitsNeeded=6, dlcId=DLC_BASE_GAME</v>
      </c>
      <c r="BF410" s="21" t="str">
        <f t="shared" si="38"/>
        <v>, zoneIds={1133,1133,1133}, veteran=false</v>
      </c>
      <c r="BG410" s="21" t="str">
        <f t="shared" si="39"/>
        <v>, setType=LIBSETS_SETTYPE_CRAFTED</v>
      </c>
      <c r="BH410" s="21" t="str">
        <f t="shared" si="40"/>
        <v>, dropMechanic={LIBSETS_DROP_MECHANIC_CRAFTED,LIBSETS_DROP_MECHANIC_CRAFTED}</v>
      </c>
      <c r="BI410" s="21" t="str">
        <f t="shared" si="41"/>
        <v>}, --Ancient Dragonguard / Alte Drachengarde   [Southern Elsweyr, Southern Elsweyr, Southern Elsweyr]</v>
      </c>
    </row>
    <row r="411" spans="1:61" x14ac:dyDescent="0.25">
      <c r="A411" s="5">
        <v>470</v>
      </c>
      <c r="B411" t="s">
        <v>1598</v>
      </c>
      <c r="C411" t="s">
        <v>1597</v>
      </c>
      <c r="D411" s="3">
        <f t="shared" si="36"/>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WayshrineInfo'!$K$3:$N$9971,4,FALSE),"")))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WayshrineInfo'!$K$3:$L$9971,2,FALSE),"")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WayshrineInfo'!$K$3:$L$9971,2,FALSE),"")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 t="shared" si="37"/>
        <v>[470] = {wayshrines={406,406,406,}, traitsNeeded=9, dlcId=DLC_BASE_GAME</v>
      </c>
      <c r="BF411" s="21" t="str">
        <f t="shared" si="38"/>
        <v>, zoneIds={1133,1133,1133}, veteran=false</v>
      </c>
      <c r="BG411" s="21" t="str">
        <f t="shared" si="39"/>
        <v>, setType=LIBSETS_SETTYPE_CRAFTED</v>
      </c>
      <c r="BH411" s="21" t="str">
        <f t="shared" si="40"/>
        <v>, dropMechanic={LIBSETS_DROP_MECHANIC_CRAFTED,LIBSETS_DROP_MECHANIC_CRAFTED,LIBSETS_DROP_MECHANIC_CRAFTED}</v>
      </c>
      <c r="BI411" s="21" t="str">
        <f t="shared" si="41"/>
        <v>}, --New Moon Acolyte / Akolythin des Neuen Mondes   [Southern Elsweyr, Southern Elsweyr, Southern Elsweyr]</v>
      </c>
    </row>
    <row r="412" spans="1:61" x14ac:dyDescent="0.25">
      <c r="A412" s="5">
        <v>471</v>
      </c>
      <c r="B412" t="s">
        <v>1652</v>
      </c>
      <c r="C412" t="s">
        <v>1651</v>
      </c>
      <c r="D412" s="3">
        <f t="shared" si="36"/>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WayshrineInfo'!$K$3:$N$9971,4,FALSE),"")))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WayshrineInfo'!$K$3:$L$9971,2,FALSE),"")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WayshrineInfo'!$K$3:$L$9971,2,FALSE),"")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 t="shared" si="37"/>
        <v>[471] = {wayshrines={424,424,424,}, dlcId=DLC_HARROWSTORM</v>
      </c>
      <c r="BF412" s="21" t="str">
        <f t="shared" si="38"/>
        <v>, zoneIds={1152,684,684}, veteran=false</v>
      </c>
      <c r="BG412" s="21" t="str">
        <f t="shared" si="39"/>
        <v>, setType=LIBSETS_SETTYPE_DUNGEON</v>
      </c>
      <c r="BH412" s="21" t="str">
        <f t="shared" si="40"/>
        <v>, dropMechanic={LIBSETS_DROP_MECHANIC_GROUP_DUNGEON_BOSS}</v>
      </c>
      <c r="BI412" s="21" t="str">
        <f t="shared" si="41"/>
        <v>}, --Hiti\'s Hearth / Hitis Feuerstelle   [Icereach, Wrothgar, Wrothgar]</v>
      </c>
    </row>
    <row r="413" spans="1:61" x14ac:dyDescent="0.25">
      <c r="A413" s="5">
        <v>472</v>
      </c>
      <c r="B413" t="s">
        <v>1653</v>
      </c>
      <c r="C413" t="s">
        <v>1639</v>
      </c>
      <c r="D413" s="3">
        <f t="shared" si="36"/>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WayshrineInfo'!$K$3:$N$9971,4,FALSE),"")))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WayshrineInfo'!$K$3:$L$9971,2,FALSE),"")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WayshrineInfo'!$K$3:$L$9971,2,FALSE),"")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 t="shared" si="37"/>
        <v>[472] = {wayshrines={424,424,424,}, dlcId=DLC_HARROWSTORM</v>
      </c>
      <c r="BF413" s="21" t="str">
        <f t="shared" si="38"/>
        <v>, zoneIds={1152,684,684}, veteran=false</v>
      </c>
      <c r="BG413" s="21" t="str">
        <f t="shared" si="39"/>
        <v>, setType=LIBSETS_SETTYPE_DUNGEON</v>
      </c>
      <c r="BH413" s="21" t="str">
        <f t="shared" si="40"/>
        <v>, dropMechanic={LIBSETS_DROP_MECHANIC_GROUP_DUNGEON_BOSS}</v>
      </c>
      <c r="BI413" s="21" t="str">
        <f t="shared" si="41"/>
        <v>}, --Titanborn Strength / Titanenkinds Stärke   [Icereach, Wrothgar, Wrothgar]</v>
      </c>
    </row>
    <row r="414" spans="1:61" x14ac:dyDescent="0.25">
      <c r="A414" s="5">
        <v>473</v>
      </c>
      <c r="B414" t="s">
        <v>1654</v>
      </c>
      <c r="C414" t="s">
        <v>2746</v>
      </c>
      <c r="D414" s="3">
        <f t="shared" si="36"/>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WayshrineInfo'!$K$3:$N$9971,4,FALSE),"")))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WayshrineInfo'!$K$3:$L$9971,2,FALSE),"")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WayshrineInfo'!$K$3:$L$9971,2,FALSE),"")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 t="shared" si="37"/>
        <v>[473] = {wayshrines={424,424,424,}, dlcId=DLC_HARROWSTORM</v>
      </c>
      <c r="BF414" s="21" t="str">
        <f t="shared" si="38"/>
        <v>, zoneIds={1152,684,684}, veteran=false</v>
      </c>
      <c r="BG414" s="21" t="str">
        <f t="shared" si="39"/>
        <v>, setType=LIBSETS_SETTYPE_DUNGEON</v>
      </c>
      <c r="BH414" s="21" t="str">
        <f t="shared" si="40"/>
        <v>, dropMechanic={LIBSETS_DROP_MECHANIC_GROUP_DUNGEON_BOSS}</v>
      </c>
      <c r="BI414" s="21" t="str">
        <f t="shared" si="41"/>
        <v>}, --Bani\'s Torment / Banis Qual   [Icereach, Wrothgar, Wrothgar]</v>
      </c>
    </row>
    <row r="415" spans="1:61" x14ac:dyDescent="0.25">
      <c r="A415" s="5">
        <v>474</v>
      </c>
      <c r="B415" t="s">
        <v>1655</v>
      </c>
      <c r="C415" t="s">
        <v>2745</v>
      </c>
      <c r="D415" s="3">
        <f t="shared" si="36"/>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WayshrineInfo'!$K$3:$N$9971,4,FALSE),"")))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WayshrineInfo'!$K$3:$L$9971,2,FALSE),"")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WayshrineInfo'!$K$3:$L$9971,2,FALSE),"")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 t="shared" si="37"/>
        <v>[474] = {wayshrines={425,425,425,}, dlcId=DLC_HARROWSTORM</v>
      </c>
      <c r="BF415" s="21" t="str">
        <f t="shared" si="38"/>
        <v>, zoneIds={1153,92,92}, veteran=false</v>
      </c>
      <c r="BG415" s="21" t="str">
        <f t="shared" si="39"/>
        <v>, setType=LIBSETS_SETTYPE_DUNGEON</v>
      </c>
      <c r="BH415" s="21" t="str">
        <f t="shared" si="40"/>
        <v>, dropMechanic={LIBSETS_DROP_MECHANIC_GROUP_DUNGEON_BOSS}</v>
      </c>
      <c r="BI415" s="21" t="str">
        <f t="shared" si="41"/>
        <v>}, --Draugrkin\'s Grip / Griff der Draugrbrut   [Unhallowed Grave, Bangkorai, Bangkorai]</v>
      </c>
    </row>
    <row r="416" spans="1:61" x14ac:dyDescent="0.25">
      <c r="A416" s="5">
        <v>475</v>
      </c>
      <c r="B416" t="s">
        <v>1656</v>
      </c>
      <c r="C416" t="s">
        <v>1641</v>
      </c>
      <c r="D416" s="3">
        <f t="shared" si="36"/>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WayshrineInfo'!$K$3:$N$9971,4,FALSE),"")))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WayshrineInfo'!$K$3:$L$9971,2,FALSE),"")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WayshrineInfo'!$K$3:$L$9971,2,FALSE),"")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 t="shared" si="37"/>
        <v>[475] = {wayshrines={425,425,425,}, dlcId=DLC_HARROWSTORM</v>
      </c>
      <c r="BF416" s="21" t="str">
        <f t="shared" si="38"/>
        <v>, zoneIds={1153,92,92}, veteran=false</v>
      </c>
      <c r="BG416" s="21" t="str">
        <f t="shared" si="39"/>
        <v>, setType=LIBSETS_SETTYPE_DUNGEON</v>
      </c>
      <c r="BH416" s="21" t="str">
        <f t="shared" si="40"/>
        <v>, dropMechanic={LIBSETS_DROP_MECHANIC_GROUP_DUNGEON_BOSS}</v>
      </c>
      <c r="BI416" s="21" t="str">
        <f t="shared" si="41"/>
        <v>}, --Aegis Caller / Ägisrufer   [Unhallowed Grave, Bangkorai, Bangkorai]</v>
      </c>
    </row>
    <row r="417" spans="1:61" x14ac:dyDescent="0.25">
      <c r="A417" s="5">
        <v>476</v>
      </c>
      <c r="B417" t="s">
        <v>1657</v>
      </c>
      <c r="C417" t="s">
        <v>1642</v>
      </c>
      <c r="D417" s="3">
        <f t="shared" si="36"/>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WayshrineInfo'!$K$3:$N$9971,4,FALSE),"")))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WayshrineInfo'!$K$3:$L$9971,2,FALSE),"")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WayshrineInfo'!$K$3:$L$9971,2,FALSE),"")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 t="shared" si="37"/>
        <v>[476] = {wayshrines={425,425,425,}, dlcId=DLC_HARROWSTORM</v>
      </c>
      <c r="BF417" s="21" t="str">
        <f t="shared" si="38"/>
        <v>, zoneIds={1153,92,92}, veteran=false</v>
      </c>
      <c r="BG417" s="21" t="str">
        <f t="shared" si="39"/>
        <v>, setType=LIBSETS_SETTYPE_DUNGEON</v>
      </c>
      <c r="BH417" s="21" t="str">
        <f t="shared" si="40"/>
        <v>, dropMechanic={LIBSETS_DROP_MECHANIC_GROUP_DUNGEON_BOSS}</v>
      </c>
      <c r="BI417" s="21" t="str">
        <f t="shared" si="41"/>
        <v>}, --Grave Guardian  / Grabwächter   [Unhallowed Grave, Bangkorai, Bangkorai]</v>
      </c>
    </row>
    <row r="418" spans="1:61" x14ac:dyDescent="0.25">
      <c r="A418" s="5">
        <v>478</v>
      </c>
      <c r="B418" t="s">
        <v>1646</v>
      </c>
      <c r="C418" t="s">
        <v>1640</v>
      </c>
      <c r="D418" s="3">
        <f t="shared" si="36"/>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WayshrineInfo'!$K$3:$N$9971,4,FALSE),"")))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WayshrineInfo'!$K$3:$L$9971,2,FALSE),"")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WayshrineInfo'!$K$3:$L$9971,2,FALSE),"")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 t="shared" si="37"/>
        <v>[478] = {wayshrines={424,424,424,}, dlcId=DLC_HARROWSTORM</v>
      </c>
      <c r="BF418" s="21" t="str">
        <f t="shared" si="38"/>
        <v>, zoneIds={1152,684,684}, veteran={[EQUIP_TYPE_HEAD]=true, [EQUIP_TYPE_SHOULDERS]=false}</v>
      </c>
      <c r="BG418" s="21" t="str">
        <f t="shared" si="39"/>
        <v>, setType=LIBSETS_SETTYPE_MONSTER, undauntedChestId=3</v>
      </c>
      <c r="BH418" s="21" t="str">
        <f t="shared" si="40"/>
        <v>, dropMechanic={LIBSETS_DROP_MECHANIC_MONSTER_NAME}, dropMechanicDropLocationNames={['en']={'Mother Ciannait','','','','','',},['de']={'Mutter Ciannait','','','','','',},}</v>
      </c>
      <c r="BI418" s="21" t="str">
        <f t="shared" si="41"/>
        <v>}, --Mother Ciannait / Mutter Ciannait   [Icereach, Wrothgar, Wrothgar]</v>
      </c>
    </row>
    <row r="419" spans="1:61" x14ac:dyDescent="0.25">
      <c r="A419" s="5">
        <v>479</v>
      </c>
      <c r="B419" t="s">
        <v>3911</v>
      </c>
      <c r="C419" t="s">
        <v>3912</v>
      </c>
      <c r="D419" s="3">
        <f t="shared" si="36"/>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WayshrineInfo'!$K$3:$N$9971,4,FALSE),"")))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3912</v>
      </c>
      <c r="X419" s="3" t="s">
        <v>3911</v>
      </c>
      <c r="Y419" s="61"/>
      <c r="Z419" s="3">
        <f>IF(AND(G419&lt;&gt;"LIBSETS_SETTYPE_BATTLEGROUND",G419&lt;&gt;"LIBSETS_SETTYPE_SPECIAL"),
IF(AND(Y419&lt;&gt;"",ISNUMBER(Y419),NOT(ISNA(Y419))),Y419,
   IF(AND(L419&lt;&gt;"",ISNUMBER(L419),L419&gt;0,NOT(ISNA(L419))),VLOOKUP(L419,'ESO dumped WayshrineInfo'!$K$3:$L$9971,2,FALSE),"")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WayshrineInfo'!$K$3:$L$9971,2,FALSE),"")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 t="shared" si="37"/>
        <v>[479] = {wayshrines={425,425,425,}, dlcId=DLC_HARROWSTORM</v>
      </c>
      <c r="BF419" s="21" t="str">
        <f t="shared" si="38"/>
        <v>, zoneIds={1153,92,92}, veteran={[EQUIP_TYPE_HEAD]=true, [EQUIP_TYPE_SHOULDERS]=false}</v>
      </c>
      <c r="BG419" s="21" t="str">
        <f t="shared" si="39"/>
        <v>, setType=LIBSETS_SETTYPE_MONSTER, undauntedChestId=3</v>
      </c>
      <c r="BH419" s="21" t="str">
        <f t="shared" si="40"/>
        <v>, dropMechanic={LIBSETS_DROP_MECHANIC_MONSTER_NAME}, dropMechanicDropLocationNames={['en']={'Kjalnar\'s Nightmare','','','','','',},['de']={'Kjalnar\'s Albtraum','','','','','',},}</v>
      </c>
      <c r="BI419" s="21" t="str">
        <f t="shared" si="41"/>
        <v>}, --Kjalnar\'s Nightmare / Kjalnar\'s Albtraum   [Unhallowed Grave, Bangkorai, Bangkorai]</v>
      </c>
    </row>
    <row r="420" spans="1:61" x14ac:dyDescent="0.25">
      <c r="A420" s="5">
        <v>480</v>
      </c>
      <c r="B420" t="s">
        <v>1658</v>
      </c>
      <c r="C420" t="s">
        <v>1643</v>
      </c>
      <c r="D420" s="3">
        <f t="shared" si="36"/>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WayshrineInfo'!$K$3:$N$9971,4,FALSE),"")))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WayshrineInfo'!$K$3:$L$9971,2,FALSE),"")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WayshrineInfo'!$K$3:$L$9971,2,FALSE),"")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 t="shared" si="37"/>
        <v>[480] = {wayshrines={-1,-1,-1,}, traitsNeeded=3, dlcId=DLC_BASE_GAME</v>
      </c>
      <c r="BF420" s="21" t="str">
        <f t="shared" si="38"/>
        <v>, zoneIds={181,181}, veteran=false</v>
      </c>
      <c r="BG420" s="21" t="str">
        <f t="shared" si="39"/>
        <v>, setType=LIBSETS_SETTYPE_CRAFTED</v>
      </c>
      <c r="BH420" s="21" t="str">
        <f t="shared" si="40"/>
        <v>, dropMechanic={LIBSETS_DROP_MECHANIC_CRAFTED,LIBSETS_DROP_MECHANIC_CITY_CYRODIIL_VLASTARUS}, dropMechanicDropLocationNames={['en']={'','City Vlastarus (quartermaster)','','','','',},['de']={'','Stadt Vlastarus (Quartiermeister)','','','','',},}</v>
      </c>
      <c r="BI420" s="21" t="str">
        <f t="shared" si="41"/>
        <v>}, --Critical Riposte / Kritischer Konter   [Cyrodiil, Cyrodiil]</v>
      </c>
    </row>
    <row r="421" spans="1:61" x14ac:dyDescent="0.25">
      <c r="A421" s="5">
        <v>481</v>
      </c>
      <c r="B421" t="s">
        <v>1659</v>
      </c>
      <c r="C421" t="s">
        <v>1644</v>
      </c>
      <c r="D421" s="3">
        <f t="shared" si="36"/>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WayshrineInfo'!$K$3:$N$9971,4,FALSE),"")))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WayshrineInfo'!$K$3:$L$9971,2,FALSE),"")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WayshrineInfo'!$K$3:$L$9971,2,FALSE),"")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 t="shared" si="37"/>
        <v>[481] = {wayshrines={-1,-1,-1,}, traitsNeeded=3, dlcId=DLC_BASE_GAME</v>
      </c>
      <c r="BF421" s="21" t="str">
        <f t="shared" si="38"/>
        <v>, zoneIds={181,181}, veteran=false</v>
      </c>
      <c r="BG421" s="21" t="str">
        <f t="shared" si="39"/>
        <v>, setType=LIBSETS_SETTYPE_CRAFTED</v>
      </c>
      <c r="BH421" s="21" t="str">
        <f t="shared" si="40"/>
        <v>, dropMechanic={LIBSETS_DROP_MECHANIC_CRAFTED,LIBSETS_DROP_MECHANIC_CITY_CYRODIIL_BRUMA}, dropMechanicDropLocationNames={['en']={'','City Bruma (quartermaster)','','','','',},['de']={'','Stadt Bruma (Quartiermeister)','','','','',},}</v>
      </c>
      <c r="BI421" s="21" t="str">
        <f t="shared" si="41"/>
        <v>}, --Unchained Aggressor / Entfesselter Aggressor   [Cyrodiil, Cyrodiil]</v>
      </c>
    </row>
    <row r="422" spans="1:61" x14ac:dyDescent="0.25">
      <c r="A422" s="5">
        <v>482</v>
      </c>
      <c r="B422" t="s">
        <v>1660</v>
      </c>
      <c r="C422" t="s">
        <v>1645</v>
      </c>
      <c r="D422" s="3">
        <f t="shared" si="36"/>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WayshrineInfo'!$K$3:$N$9971,4,FALSE),"")))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WayshrineInfo'!$K$3:$L$9971,2,FALSE),"")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WayshrineInfo'!$K$3:$L$9971,2,FALSE),"")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 t="shared" si="37"/>
        <v>[482] = {wayshrines={-1,-1,-1,}, traitsNeeded=3, dlcId=DLC_BASE_GAME</v>
      </c>
      <c r="BF422" s="21" t="str">
        <f t="shared" si="38"/>
        <v>, zoneIds={181,181}, veteran=false</v>
      </c>
      <c r="BG422" s="21" t="str">
        <f t="shared" si="39"/>
        <v>, setType=LIBSETS_SETTYPE_CRAFTED</v>
      </c>
      <c r="BH422" s="21" t="str">
        <f t="shared" si="40"/>
        <v>, dropMechanic={LIBSETS_DROP_MECHANIC_CRAFTED,LIBSETS_DROP_MECHANIC_CITY_CYRODIIL_CROPSFORD}, dropMechanicDropLocationNames={['en']={'','City Cropsford (quartermaster)','','','','',},['de']={'','Stadt Erntefurt (Quartiermeister)','','','','',},}</v>
      </c>
      <c r="BI422" s="21" t="str">
        <f t="shared" si="41"/>
        <v>}, --Dauntless Combatant / Furchtloser Kombattant   [Cyrodiil, Cyrodiil]</v>
      </c>
    </row>
    <row r="423" spans="1:61" x14ac:dyDescent="0.25">
      <c r="A423" s="5">
        <v>483</v>
      </c>
      <c r="B423" t="s">
        <v>1716</v>
      </c>
      <c r="C423" t="s">
        <v>1716</v>
      </c>
      <c r="D423" s="3">
        <f t="shared" si="36"/>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WayshrineInfo'!$K$3:$N$9971,4,FALSE),"")))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WayshrineInfo'!$K$3:$L$9971,2,FALSE),"")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WayshrineInfo'!$K$3:$L$9971,2,FALSE),"")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 t="shared" si="37"/>
        <v/>
      </c>
      <c r="BF423" s="21" t="str">
        <f t="shared" si="38"/>
        <v/>
      </c>
      <c r="BG423" s="21" t="str">
        <f t="shared" si="39"/>
        <v/>
      </c>
      <c r="BH423" s="21" t="str">
        <f t="shared" si="40"/>
        <v/>
      </c>
      <c r="BI423" s="21" t="str">
        <f t="shared" si="41"/>
        <v/>
      </c>
    </row>
    <row r="424" spans="1:61" x14ac:dyDescent="0.25">
      <c r="A424" s="5">
        <v>484</v>
      </c>
      <c r="B424" t="s">
        <v>1717</v>
      </c>
      <c r="C424" t="s">
        <v>1717</v>
      </c>
      <c r="D424" s="3">
        <f t="shared" si="36"/>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WayshrineInfo'!$K$3:$N$9971,4,FALSE),"")))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WayshrineInfo'!$K$3:$L$9971,2,FALSE),"")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WayshrineInfo'!$K$3:$L$9971,2,FALSE),"")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 t="shared" si="37"/>
        <v/>
      </c>
      <c r="BF424" s="21" t="str">
        <f t="shared" si="38"/>
        <v/>
      </c>
      <c r="BG424" s="21" t="str">
        <f t="shared" si="39"/>
        <v/>
      </c>
      <c r="BH424" s="21" t="str">
        <f t="shared" si="40"/>
        <v/>
      </c>
      <c r="BI424" s="21" t="str">
        <f t="shared" si="41"/>
        <v/>
      </c>
    </row>
    <row r="425" spans="1:61" x14ac:dyDescent="0.25">
      <c r="A425" s="5">
        <v>485</v>
      </c>
      <c r="B425" t="s">
        <v>1718</v>
      </c>
      <c r="C425" t="s">
        <v>1718</v>
      </c>
      <c r="D425" s="3">
        <f t="shared" si="36"/>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WayshrineInfo'!$K$3:$N$9971,4,FALSE),"")))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WayshrineInfo'!$K$3:$L$9971,2,FALSE),"")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WayshrineInfo'!$K$3:$L$9971,2,FALSE),"")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 t="shared" si="37"/>
        <v/>
      </c>
      <c r="BF425" s="21" t="str">
        <f t="shared" si="38"/>
        <v/>
      </c>
      <c r="BG425" s="21" t="str">
        <f t="shared" si="39"/>
        <v/>
      </c>
      <c r="BH425" s="21" t="str">
        <f t="shared" si="40"/>
        <v/>
      </c>
      <c r="BI425" s="21" t="str">
        <f t="shared" si="41"/>
        <v/>
      </c>
    </row>
    <row r="426" spans="1:61" x14ac:dyDescent="0.25">
      <c r="A426" s="5">
        <v>486</v>
      </c>
      <c r="B426" t="s">
        <v>1719</v>
      </c>
      <c r="C426" t="s">
        <v>1719</v>
      </c>
      <c r="D426" s="3">
        <f t="shared" si="36"/>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WayshrineInfo'!$K$3:$N$9971,4,FALSE),"")))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WayshrineInfo'!$K$3:$L$9971,2,FALSE),"")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WayshrineInfo'!$K$3:$L$9971,2,FALSE),"")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 t="shared" si="37"/>
        <v/>
      </c>
      <c r="BF426" s="21" t="str">
        <f t="shared" si="38"/>
        <v/>
      </c>
      <c r="BG426" s="21" t="str">
        <f t="shared" si="39"/>
        <v/>
      </c>
      <c r="BH426" s="21" t="str">
        <f t="shared" si="40"/>
        <v/>
      </c>
      <c r="BI426" s="21" t="str">
        <f t="shared" si="41"/>
        <v/>
      </c>
    </row>
    <row r="427" spans="1:61" x14ac:dyDescent="0.25">
      <c r="A427" s="5">
        <v>487</v>
      </c>
      <c r="B427" t="s">
        <v>1720</v>
      </c>
      <c r="C427" t="s">
        <v>2627</v>
      </c>
      <c r="D427" s="3">
        <f t="shared" si="36"/>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WayshrineInfo'!$K$3:$N$9971,4,FALSE),"")))</f>
        <v>Western Skyrim</v>
      </c>
      <c r="T427" s="19" t="str">
        <f>IF(AND(S427&lt;&gt;"",NOT(ISERROR(S427))),S427,IF(Q427&lt;&gt;"",IF(NOT(ISERROR(VLOOKUP(Q427,'ESO Dungeon constants'!$D$3:$H$9999,5,FALSE))),VLOOKUP(Q427,'ESO Dungeon constants'!$D$3:$I$9999,6,FALSE),VLOOKUP(Q427,'ESO zone constants'!$H$3:$K$9989,4,FALSE)),""))</f>
        <v>DLC_MARKARTH</v>
      </c>
      <c r="U427" s="3" t="str">
        <f>IF(T427&lt;&gt;"",VLOOKUP(T427,'LibSets constants'!$B$4:$C$1017,2,FALSE),"")</f>
        <v>Markarth</v>
      </c>
      <c r="V427" s="33" t="s">
        <v>1551</v>
      </c>
      <c r="Y427" s="61"/>
      <c r="Z427" s="3">
        <f>IF(AND(G427&lt;&gt;"LIBSETS_SETTYPE_BATTLEGROUND",G427&lt;&gt;"LIBSETS_SETTYPE_SPECIAL"),
IF(AND(Y427&lt;&gt;"",ISNUMBER(Y427),NOT(ISNA(Y427))),Y427,
   IF(AND(L427&lt;&gt;"",ISNUMBER(L427),L427&gt;0,NOT(ISNA(L427))),VLOOKUP(L427,'ESO dumped WayshrineInfo'!$K$3:$L$9971,2,FALSE),"")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WayshrineInfo'!$K$3:$L$9971,2,FALSE),"")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 t="shared" si="37"/>
        <v>[487] = {wayshrines={418,419,421,}, dlcId=DLC_MARKARTH</v>
      </c>
      <c r="BF427" s="21" t="str">
        <f t="shared" si="38"/>
        <v>, zoneIds={1160,1160,1186,1160}, veteran=false</v>
      </c>
      <c r="BG427" s="21" t="str">
        <f t="shared" si="39"/>
        <v>, setType=LIBSETS_SETTYPE_OVERLAND</v>
      </c>
      <c r="BH427" s="21" t="str">
        <f t="shared" si="40"/>
        <v>, dropMechanic={LIBSETS_DROP_MECHANIC_OVERLAND_BOSS_DELVE,LIBSETS_DROP_MECHANIC_OVERLAND_BOSS_DELVE,LIBSETS_DROP_MECHANIC_OVERLAND_BOSS_PUBLIC_DUNGEON,LIBSETS_DROP_MECHANIC_OVERLAND_CHEST}</v>
      </c>
      <c r="BI427" s="21" t="str">
        <f t="shared" si="41"/>
        <v>}, --Winter\'s Respite / Winterruhe   [Western Skyrim, Western Skyrim, Labyrinthian, Western Skyrim]</v>
      </c>
    </row>
    <row r="428" spans="1:61" x14ac:dyDescent="0.25">
      <c r="A428" s="5">
        <v>488</v>
      </c>
      <c r="B428" t="s">
        <v>1721</v>
      </c>
      <c r="C428" t="s">
        <v>1722</v>
      </c>
      <c r="D428" s="3">
        <f t="shared" si="36"/>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WayshrineInfo'!$K$3:$N$9971,4,FALSE),"")))</f>
        <v>Western Skyrim</v>
      </c>
      <c r="T428" s="19" t="str">
        <f>IF(AND(S428&lt;&gt;"",NOT(ISERROR(S428))),S428,IF(Q428&lt;&gt;"",IF(NOT(ISERROR(VLOOKUP(Q428,'ESO Dungeon constants'!$D$3:$H$9999,5,FALSE))),VLOOKUP(Q428,'ESO Dungeon constants'!$D$3:$I$9999,6,FALSE),VLOOKUP(Q428,'ESO zone constants'!$H$3:$K$9989,4,FALSE)),""))</f>
        <v>DLC_MARKARTH</v>
      </c>
      <c r="U428" s="3" t="str">
        <f>IF(T428&lt;&gt;"",VLOOKUP(T428,'LibSets constants'!$B$4:$C$1017,2,FALSE),"")</f>
        <v>Markarth</v>
      </c>
      <c r="V428" s="33" t="s">
        <v>1551</v>
      </c>
      <c r="Y428" s="61"/>
      <c r="Z428" s="3">
        <f>IF(AND(G428&lt;&gt;"LIBSETS_SETTYPE_BATTLEGROUND",G428&lt;&gt;"LIBSETS_SETTYPE_SPECIAL"),
IF(AND(Y428&lt;&gt;"",ISNUMBER(Y428),NOT(ISNA(Y428))),Y428,
   IF(AND(L428&lt;&gt;"",ISNUMBER(L428),L428&gt;0,NOT(ISNA(L428))),VLOOKUP(L428,'ESO dumped WayshrineInfo'!$K$3:$L$9971,2,FALSE),"")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WayshrineInfo'!$K$3:$L$9971,2,FALSE),"")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 t="shared" si="37"/>
        <v>[488] = {wayshrines={418,419,421,}, dlcId=DLC_MARKARTH</v>
      </c>
      <c r="BF428" s="21" t="str">
        <f t="shared" si="38"/>
        <v>, zoneIds={1160,1160,1186,1160}, veteran=false</v>
      </c>
      <c r="BG428" s="21" t="str">
        <f t="shared" si="39"/>
        <v>, setType=LIBSETS_SETTYPE_OVERLAND</v>
      </c>
      <c r="BH428" s="21" t="str">
        <f t="shared" si="40"/>
        <v>, dropMechanic={LIBSETS_DROP_MECHANIC_OVERLAND_BOSS_DELVE,LIBSETS_DROP_MECHANIC_OVERLAND_BOSS_DELVE,LIBSETS_DROP_MECHANIC_OVERLAND_BOSS_PUBLIC_DUNGEON,LIBSETS_DROP_MECHANIC_OVERLAND_CHEST}</v>
      </c>
      <c r="BI428" s="21" t="str">
        <f t="shared" si="41"/>
        <v>}, --Venomous Smite / Giftschlag   [Western Skyrim, Western Skyrim, Labyrinthian, Western Skyrim]</v>
      </c>
    </row>
    <row r="429" spans="1:61" x14ac:dyDescent="0.25">
      <c r="A429" s="5">
        <v>489</v>
      </c>
      <c r="B429" t="s">
        <v>1723</v>
      </c>
      <c r="C429" t="s">
        <v>1724</v>
      </c>
      <c r="D429" s="3">
        <f t="shared" si="36"/>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WayshrineInfo'!$K$3:$N$9971,4,FALSE),"")))</f>
        <v>Western Skyrim</v>
      </c>
      <c r="T429" s="19" t="str">
        <f>IF(AND(S429&lt;&gt;"",NOT(ISERROR(S429))),S429,IF(Q429&lt;&gt;"",IF(NOT(ISERROR(VLOOKUP(Q429,'ESO Dungeon constants'!$D$3:$H$9999,5,FALSE))),VLOOKUP(Q429,'ESO Dungeon constants'!$D$3:$I$9999,6,FALSE),VLOOKUP(Q429,'ESO zone constants'!$H$3:$K$9989,4,FALSE)),""))</f>
        <v>DLC_MARKARTH</v>
      </c>
      <c r="U429" s="3" t="str">
        <f>IF(T429&lt;&gt;"",VLOOKUP(T429,'LibSets constants'!$B$4:$C$1017,2,FALSE),"")</f>
        <v>Markarth</v>
      </c>
      <c r="V429" s="33" t="s">
        <v>1551</v>
      </c>
      <c r="Y429" s="61"/>
      <c r="Z429" s="3">
        <f>IF(AND(G429&lt;&gt;"LIBSETS_SETTYPE_BATTLEGROUND",G429&lt;&gt;"LIBSETS_SETTYPE_SPECIAL"),
IF(AND(Y429&lt;&gt;"",ISNUMBER(Y429),NOT(ISNA(Y429))),Y429,
   IF(AND(L429&lt;&gt;"",ISNUMBER(L429),L429&gt;0,NOT(ISNA(L429))),VLOOKUP(L429,'ESO dumped WayshrineInfo'!$K$3:$L$9971,2,FALSE),"")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WayshrineInfo'!$K$3:$L$9971,2,FALSE),"")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 t="shared" si="37"/>
        <v>[489] = {wayshrines={418,419,421,}, dlcId=DLC_MARKARTH</v>
      </c>
      <c r="BF429" s="21" t="str">
        <f t="shared" si="38"/>
        <v>, zoneIds={1160,1160,1186,1160}, veteran=false</v>
      </c>
      <c r="BG429" s="21" t="str">
        <f t="shared" si="39"/>
        <v>, setType=LIBSETS_SETTYPE_OVERLAND</v>
      </c>
      <c r="BH429" s="21" t="str">
        <f t="shared" si="40"/>
        <v>, dropMechanic={LIBSETS_DROP_MECHANIC_OVERLAND_BOSS_DELVE,LIBSETS_DROP_MECHANIC_OVERLAND_BOSS_DELVE,LIBSETS_DROP_MECHANIC_OVERLAND_BOSS_PUBLIC_DUNGEON,LIBSETS_DROP_MECHANIC_OVERLAND_CHEST}</v>
      </c>
      <c r="BI429" s="21" t="str">
        <f t="shared" si="41"/>
        <v>}, --Eternal Vigor / Ewiger Elan   [Western Skyrim, Western Skyrim, Labyrinthian, Western Skyrim]</v>
      </c>
    </row>
    <row r="430" spans="1:61" x14ac:dyDescent="0.25">
      <c r="A430" s="5">
        <v>490</v>
      </c>
      <c r="B430" t="s">
        <v>1725</v>
      </c>
      <c r="C430" t="s">
        <v>2628</v>
      </c>
      <c r="D430" s="3">
        <f t="shared" si="36"/>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WayshrineInfo'!$K$3:$N$9971,4,FALSE),"")))</f>
        <v>Western Skyrim</v>
      </c>
      <c r="T430" s="19" t="str">
        <f>IF(AND(S430&lt;&gt;"",NOT(ISERROR(S430))),S430,IF(Q430&lt;&gt;"",IF(NOT(ISERROR(VLOOKUP(Q430,'ESO Dungeon constants'!$D$3:$H$9999,5,FALSE))),VLOOKUP(Q430,'ESO Dungeon constants'!$D$3:$I$9999,6,FALSE),VLOOKUP(Q430,'ESO zone constants'!$H$3:$K$9989,4,FALSE)),""))</f>
        <v>DLC_MARKARTH</v>
      </c>
      <c r="U430" s="3" t="str">
        <f>IF(T430&lt;&gt;"",VLOOKUP(T430,'LibSets constants'!$B$4:$C$1017,2,FALSE),"")</f>
        <v>Markarth</v>
      </c>
      <c r="V430" s="33" t="s">
        <v>3276</v>
      </c>
      <c r="W430" s="41"/>
      <c r="X430" s="41"/>
      <c r="Y430" s="61"/>
      <c r="Z430" s="3">
        <f>IF(AND(G430&lt;&gt;"LIBSETS_SETTYPE_BATTLEGROUND",G430&lt;&gt;"LIBSETS_SETTYPE_SPECIAL"),
IF(AND(Y430&lt;&gt;"",ISNUMBER(Y430),NOT(ISNA(Y430))),Y430,
   IF(AND(L430&lt;&gt;"",ISNUMBER(L430),L430&gt;0,NOT(ISNA(L430))),VLOOKUP(L430,'ESO dumped WayshrineInfo'!$K$3:$L$9971,2,FALSE),"")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WayshrineInfo'!$K$3:$L$9971,2,FALSE),"")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 t="shared" si="37"/>
        <v>[490] = {wayshrines={418,418,418,}, traitsNeeded=5, dlcId=DLC_MARKARTH</v>
      </c>
      <c r="BF430" s="21" t="str">
        <f t="shared" si="38"/>
        <v>, zoneIds={1160,1160,1160}, veteran=false</v>
      </c>
      <c r="BG430" s="21" t="str">
        <f t="shared" si="39"/>
        <v>, setType=LIBSETS_SETTYPE_CRAFTED</v>
      </c>
      <c r="BH430" s="21" t="str">
        <f t="shared" si="40"/>
        <v>, dropMechanic={LIBSETS_DROP_MECHANIC_CRAFTED,LIBSETS_DROP_MECHANIC_CRAFTED,LIBSETS_DROP_MECHANIC_CRAFTED}</v>
      </c>
      <c r="BI430" s="21" t="str">
        <f t="shared" si="41"/>
        <v>}, --Stuhn\'s Favor / Stuhns Gunst   [Western Skyrim, Western Skyrim, Western Skyrim]</v>
      </c>
    </row>
    <row r="431" spans="1:61" x14ac:dyDescent="0.25">
      <c r="A431" s="5">
        <v>491</v>
      </c>
      <c r="B431" t="s">
        <v>1726</v>
      </c>
      <c r="C431" t="s">
        <v>2629</v>
      </c>
      <c r="D431" s="3">
        <f t="shared" si="36"/>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WayshrineInfo'!$K$3:$N$9971,4,FALSE),"")))</f>
        <v>Western Skyrim</v>
      </c>
      <c r="T431" s="19" t="str">
        <f>IF(AND(S431&lt;&gt;"",NOT(ISERROR(S431))),S431,IF(Q431&lt;&gt;"",IF(NOT(ISERROR(VLOOKUP(Q431,'ESO Dungeon constants'!$D$3:$H$9999,5,FALSE))),VLOOKUP(Q431,'ESO Dungeon constants'!$D$3:$I$9999,6,FALSE),VLOOKUP(Q431,'ESO zone constants'!$H$3:$K$9989,4,FALSE)),""))</f>
        <v>DLC_MARKARTH</v>
      </c>
      <c r="U431" s="3" t="str">
        <f>IF(T431&lt;&gt;"",VLOOKUP(T431,'LibSets constants'!$B$4:$C$1017,2,FALSE),"")</f>
        <v>Markarth</v>
      </c>
      <c r="V431" s="33" t="s">
        <v>3276</v>
      </c>
      <c r="Y431" s="61"/>
      <c r="Z431" s="3">
        <f>IF(AND(G431&lt;&gt;"LIBSETS_SETTYPE_BATTLEGROUND",G431&lt;&gt;"LIBSETS_SETTYPE_SPECIAL"),
IF(AND(Y431&lt;&gt;"",ISNUMBER(Y431),NOT(ISNA(Y431))),Y431,
   IF(AND(L431&lt;&gt;"",ISNUMBER(L431),L431&gt;0,NOT(ISNA(L431))),VLOOKUP(L431,'ESO dumped WayshrineInfo'!$K$3:$L$9971,2,FALSE),"")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WayshrineInfo'!$K$3:$L$9971,2,FALSE),"")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 t="shared" si="37"/>
        <v>[491] = {wayshrines={417,417,417,}, traitsNeeded=7, dlcId=DLC_MARKARTH</v>
      </c>
      <c r="BF431" s="21" t="str">
        <f t="shared" si="38"/>
        <v>, zoneIds={1160,1160,1160}, veteran=false</v>
      </c>
      <c r="BG431" s="21" t="str">
        <f t="shared" si="39"/>
        <v>, setType=LIBSETS_SETTYPE_CRAFTED</v>
      </c>
      <c r="BH431" s="21" t="str">
        <f t="shared" si="40"/>
        <v>, dropMechanic={LIBSETS_DROP_MECHANIC_CRAFTED,LIBSETS_DROP_MECHANIC_CRAFTED,LIBSETS_DROP_MECHANIC_CRAFTED}</v>
      </c>
      <c r="BI431" s="21" t="str">
        <f t="shared" si="41"/>
        <v>}, --Dragon\'s Appetite / Appetit des Drachen   [Western Skyrim, Western Skyrim, Western Skyrim]</v>
      </c>
    </row>
    <row r="432" spans="1:61" x14ac:dyDescent="0.25">
      <c r="A432" s="5">
        <v>492</v>
      </c>
      <c r="B432" t="s">
        <v>1727</v>
      </c>
      <c r="C432" t="s">
        <v>2630</v>
      </c>
      <c r="D432" s="3">
        <f t="shared" si="36"/>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WayshrineInfo'!$K$3:$N$9971,4,FALSE),"")))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WayshrineInfo'!$K$3:$L$9971,2,FALSE),"")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WayshrineInfo'!$K$3:$L$9971,2,FALSE),"")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 t="shared" si="37"/>
        <v>[492] = {wayshrines={434,434,434,}, dlcId=DLC_GREYMOOR</v>
      </c>
      <c r="BF432" s="21" t="str">
        <f t="shared" si="38"/>
        <v>, zoneIds={1196,1196,1196}, veteran=false</v>
      </c>
      <c r="BG432" s="21" t="str">
        <f t="shared" si="39"/>
        <v>, setType=LIBSETS_SETTYPE_TRIAL</v>
      </c>
      <c r="BH432" s="21" t="str">
        <f t="shared" si="40"/>
        <v>, dropMechanic={LIBSETS_DROP_MECHANIC_TRIAL_BOSS,LIBSETS_DROP_MECHANIC_TRIAL_BOSS,LIBSETS_DROP_MECHANIC_TRIAL_BOSS}, perfectedSetId=493</v>
      </c>
      <c r="BI432" s="21" t="str">
        <f t="shared" si="41"/>
        <v>}, --Kyne\'s Wind / Kynes Wind   [Kyne's Aegis, Kyne's Aegis, Kyne's Aegis]</v>
      </c>
    </row>
    <row r="433" spans="1:61" x14ac:dyDescent="0.25">
      <c r="A433" s="5">
        <v>493</v>
      </c>
      <c r="B433" t="s">
        <v>1728</v>
      </c>
      <c r="C433" t="s">
        <v>2631</v>
      </c>
      <c r="D433" s="3">
        <f t="shared" si="36"/>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WayshrineInfo'!$K$3:$N$9971,4,FALSE),"")))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WayshrineInfo'!$K$3:$L$9971,2,FALSE),"")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WayshrineInfo'!$K$3:$L$9971,2,FALSE),"")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 t="shared" si="37"/>
        <v>[493] = {wayshrines={434,434,434,}, dlcId=DLC_GREYMOOR</v>
      </c>
      <c r="BF433" s="21" t="str">
        <f t="shared" si="38"/>
        <v>, zoneIds={1196,1196,1196}, veteran=true</v>
      </c>
      <c r="BG433" s="21" t="str">
        <f t="shared" si="39"/>
        <v>, setType=LIBSETS_SETTYPE_TRIAL</v>
      </c>
      <c r="BH433" s="21" t="str">
        <f t="shared" si="40"/>
        <v>, dropMechanic={LIBSETS_DROP_MECHANIC_TRIAL_BOSS,LIBSETS_DROP_MECHANIC_TRIAL_BOSS,LIBSETS_DROP_MECHANIC_TRIAL_BOSS}, isPerfectedSet=1</v>
      </c>
      <c r="BI433" s="21" t="str">
        <f t="shared" si="41"/>
        <v>}, --Perfected Kyne\'s Wind / Kynes perfektionierter Wind   [Kyne's Aegis, Kyne's Aegis, Kyne's Aegis]</v>
      </c>
    </row>
    <row r="434" spans="1:61" x14ac:dyDescent="0.25">
      <c r="A434" s="5">
        <v>494</v>
      </c>
      <c r="B434" t="s">
        <v>1729</v>
      </c>
      <c r="C434" t="s">
        <v>2632</v>
      </c>
      <c r="D434" s="3">
        <f t="shared" si="36"/>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WayshrineInfo'!$K$3:$N$9971,4,FALSE),"")))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WayshrineInfo'!$K$3:$L$9971,2,FALSE),"")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WayshrineInfo'!$K$3:$L$9971,2,FALSE),"")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 t="shared" si="37"/>
        <v>[494] = {wayshrines={434,434,434,}, dlcId=DLC_GREYMOOR</v>
      </c>
      <c r="BF434" s="21" t="str">
        <f t="shared" si="38"/>
        <v>, zoneIds={1196,1196,1196}, veteran=false</v>
      </c>
      <c r="BG434" s="21" t="str">
        <f t="shared" si="39"/>
        <v>, setType=LIBSETS_SETTYPE_TRIAL</v>
      </c>
      <c r="BH434" s="21" t="str">
        <f t="shared" si="40"/>
        <v>, dropMechanic={LIBSETS_DROP_MECHANIC_TRIAL_BOSS,LIBSETS_DROP_MECHANIC_TRIAL_BOSS,LIBSETS_DROP_MECHANIC_TRIAL_BOSS}, perfectedSetId=495</v>
      </c>
      <c r="BI434" s="21" t="str">
        <f t="shared" si="41"/>
        <v>}, --Vrol\'s Command / Vrols Befehl   [Kyne's Aegis, Kyne's Aegis, Kyne's Aegis]</v>
      </c>
    </row>
    <row r="435" spans="1:61" x14ac:dyDescent="0.25">
      <c r="A435" s="5">
        <v>495</v>
      </c>
      <c r="B435" t="s">
        <v>1730</v>
      </c>
      <c r="C435" t="s">
        <v>2633</v>
      </c>
      <c r="D435" s="3">
        <f t="shared" si="36"/>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WayshrineInfo'!$K$3:$N$9971,4,FALSE),"")))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WayshrineInfo'!$K$3:$L$9971,2,FALSE),"")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WayshrineInfo'!$K$3:$L$9971,2,FALSE),"")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 t="shared" si="37"/>
        <v>[495] = {wayshrines={434,434,434,}, dlcId=DLC_GREYMOOR</v>
      </c>
      <c r="BF435" s="21" t="str">
        <f t="shared" si="38"/>
        <v>, zoneIds={1196,1196,1196}, veteran=true</v>
      </c>
      <c r="BG435" s="21" t="str">
        <f t="shared" si="39"/>
        <v>, setType=LIBSETS_SETTYPE_TRIAL</v>
      </c>
      <c r="BH435" s="21" t="str">
        <f t="shared" si="40"/>
        <v>, dropMechanic={LIBSETS_DROP_MECHANIC_TRIAL_BOSS,LIBSETS_DROP_MECHANIC_TRIAL_BOSS,LIBSETS_DROP_MECHANIC_TRIAL_BOSS}, isPerfectedSet=1</v>
      </c>
      <c r="BI435" s="21" t="str">
        <f t="shared" si="41"/>
        <v>}, --Perfected Vrol\'s Command / Vrols perfektionierter Befehl   [Kyne's Aegis, Kyne's Aegis, Kyne's Aegis]</v>
      </c>
    </row>
    <row r="436" spans="1:61" x14ac:dyDescent="0.25">
      <c r="A436" s="5">
        <v>496</v>
      </c>
      <c r="B436" t="s">
        <v>1731</v>
      </c>
      <c r="C436" t="s">
        <v>1732</v>
      </c>
      <c r="D436" s="3">
        <f t="shared" si="36"/>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WayshrineInfo'!$K$3:$N$9971,4,FALSE),"")))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WayshrineInfo'!$K$3:$L$9971,2,FALSE),"")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WayshrineInfo'!$K$3:$L$9971,2,FALSE),"")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 t="shared" si="37"/>
        <v>[496] = {wayshrines={434,434,434,}, dlcId=DLC_GREYMOOR</v>
      </c>
      <c r="BF436" s="21" t="str">
        <f t="shared" si="38"/>
        <v>, zoneIds={1196,1196,1196}, veteran=false</v>
      </c>
      <c r="BG436" s="21" t="str">
        <f t="shared" si="39"/>
        <v>, setType=LIBSETS_SETTYPE_TRIAL</v>
      </c>
      <c r="BH436" s="21" t="str">
        <f t="shared" si="40"/>
        <v>, dropMechanic={LIBSETS_DROP_MECHANIC_TRIAL_BOSS,LIBSETS_DROP_MECHANIC_TRIAL_BOSS,LIBSETS_DROP_MECHANIC_TRIAL_BOSS}, perfectedSetId=497</v>
      </c>
      <c r="BI436" s="21" t="str">
        <f t="shared" si="41"/>
        <v>}, --Roaring Opportunist / Brüllender Opportunist   [Kyne's Aegis, Kyne's Aegis, Kyne's Aegis]</v>
      </c>
    </row>
    <row r="437" spans="1:61" x14ac:dyDescent="0.25">
      <c r="A437" s="5">
        <v>497</v>
      </c>
      <c r="B437" t="s">
        <v>1733</v>
      </c>
      <c r="C437" t="s">
        <v>1734</v>
      </c>
      <c r="D437" s="3">
        <f t="shared" si="36"/>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WayshrineInfo'!$K$3:$N$9971,4,FALSE),"")))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WayshrineInfo'!$K$3:$L$9971,2,FALSE),"")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WayshrineInfo'!$K$3:$L$9971,2,FALSE),"")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 t="shared" si="37"/>
        <v>[497] = {wayshrines={434,434,434,}, dlcId=DLC_GREYMOOR</v>
      </c>
      <c r="BF437" s="21" t="str">
        <f t="shared" si="38"/>
        <v>, zoneIds={1196,1196,1196}, veteran=true</v>
      </c>
      <c r="BG437" s="21" t="str">
        <f t="shared" si="39"/>
        <v>, setType=LIBSETS_SETTYPE_TRIAL</v>
      </c>
      <c r="BH437" s="21" t="str">
        <f t="shared" si="40"/>
        <v>, dropMechanic={LIBSETS_DROP_MECHANIC_TRIAL_BOSS,LIBSETS_DROP_MECHANIC_TRIAL_BOSS,LIBSETS_DROP_MECHANIC_TRIAL_BOSS}, isPerfectedSet=1</v>
      </c>
      <c r="BI437" s="21" t="str">
        <f t="shared" si="41"/>
        <v>}, --Perfected Roaring Opportunist / Perfektionierter brüllender Opportunist   [Kyne's Aegis, Kyne's Aegis, Kyne's Aegis]</v>
      </c>
    </row>
    <row r="438" spans="1:61" x14ac:dyDescent="0.25">
      <c r="A438" s="5">
        <v>498</v>
      </c>
      <c r="B438" t="s">
        <v>1735</v>
      </c>
      <c r="C438" t="s">
        <v>2634</v>
      </c>
      <c r="D438" s="3">
        <f t="shared" si="36"/>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WayshrineInfo'!$K$3:$N$9971,4,FALSE),"")))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WayshrineInfo'!$K$3:$L$9971,2,FALSE),"")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WayshrineInfo'!$K$3:$L$9971,2,FALSE),"")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 t="shared" si="37"/>
        <v>[498] = {wayshrines={434,434,434,}, dlcId=DLC_GREYMOOR</v>
      </c>
      <c r="BF438" s="21" t="str">
        <f t="shared" si="38"/>
        <v>, zoneIds={1196,1196,1196}, veteran=false</v>
      </c>
      <c r="BG438" s="21" t="str">
        <f t="shared" si="39"/>
        <v>, setType=LIBSETS_SETTYPE_TRIAL</v>
      </c>
      <c r="BH438" s="21" t="str">
        <f t="shared" si="40"/>
        <v>, dropMechanic={LIBSETS_DROP_MECHANIC_TRIAL_BOSS,LIBSETS_DROP_MECHANIC_TRIAL_BOSS,LIBSETS_DROP_MECHANIC_TRIAL_BOSS}, perfectedSetId=499</v>
      </c>
      <c r="BI438" s="21" t="str">
        <f t="shared" si="41"/>
        <v>}, --Yandir\'s Might / Yandirs Macht   [Kyne's Aegis, Kyne's Aegis, Kyne's Aegis]</v>
      </c>
    </row>
    <row r="439" spans="1:61" x14ac:dyDescent="0.25">
      <c r="A439" s="5">
        <v>499</v>
      </c>
      <c r="B439" t="s">
        <v>1736</v>
      </c>
      <c r="C439" t="s">
        <v>2635</v>
      </c>
      <c r="D439" s="3">
        <f t="shared" si="36"/>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WayshrineInfo'!$K$3:$N$9971,4,FALSE),"")))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WayshrineInfo'!$K$3:$L$9971,2,FALSE),"")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WayshrineInfo'!$K$3:$L$9971,2,FALSE),"")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 t="shared" si="37"/>
        <v>[499] = {wayshrines={434,434,434,}, dlcId=DLC_GREYMOOR</v>
      </c>
      <c r="BF439" s="21" t="str">
        <f t="shared" si="38"/>
        <v>, zoneIds={1196,1196,1196}, veteran=true</v>
      </c>
      <c r="BG439" s="21" t="str">
        <f t="shared" si="39"/>
        <v>, setType=LIBSETS_SETTYPE_TRIAL</v>
      </c>
      <c r="BH439" s="21" t="str">
        <f t="shared" si="40"/>
        <v>, dropMechanic={LIBSETS_DROP_MECHANIC_TRIAL_BOSS,LIBSETS_DROP_MECHANIC_TRIAL_BOSS,LIBSETS_DROP_MECHANIC_TRIAL_BOSS}, isPerfectedSet=1</v>
      </c>
      <c r="BI439" s="21" t="str">
        <f t="shared" si="41"/>
        <v>}, --Perfected Yandir\'s Might / Yandirs perfektionierte Macht   [Kyne's Aegis, Kyne's Aegis, Kyne's Aegis]</v>
      </c>
    </row>
    <row r="440" spans="1:61" x14ac:dyDescent="0.25">
      <c r="A440" s="5">
        <v>500</v>
      </c>
      <c r="B440" t="s">
        <v>1737</v>
      </c>
      <c r="C440" t="s">
        <v>2636</v>
      </c>
      <c r="D440" s="3">
        <f t="shared" si="36"/>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WayshrineInfo'!$K$3:$N$9971,4,FALSE),"")))</f>
        <v>Western Skyrim</v>
      </c>
      <c r="T440" s="19" t="str">
        <f>IF(AND(S440&lt;&gt;"",NOT(ISERROR(S440))),S440,IF(Q440&lt;&gt;"",IF(NOT(ISERROR(VLOOKUP(Q440,'ESO Dungeon constants'!$D$3:$H$9999,5,FALSE))),VLOOKUP(Q440,'ESO Dungeon constants'!$D$3:$I$9999,6,FALSE),VLOOKUP(Q440,'ESO zone constants'!$H$3:$K$9989,4,FALSE)),""))</f>
        <v>DLC_MARKARTH</v>
      </c>
      <c r="U440" s="3" t="str">
        <f>IF(T440&lt;&gt;"",VLOOKUP(T440,'LibSets constants'!$B$4:$C$1017,2,FALSE),"")</f>
        <v>Markarth</v>
      </c>
      <c r="Y440" s="61">
        <v>643</v>
      </c>
      <c r="Z440" s="3">
        <f>IF(AND(G440&lt;&gt;"LIBSETS_SETTYPE_BATTLEGROUND",G440&lt;&gt;"LIBSETS_SETTYPE_SPECIAL"),
IF(AND(Y440&lt;&gt;"",ISNUMBER(Y440),NOT(ISNA(Y440))),Y440,
   IF(AND(L440&lt;&gt;"",ISNUMBER(L440),L440&gt;0,NOT(ISNA(L440))),VLOOKUP(L440,'ESO dumped WayshrineInfo'!$K$3:$L$9971,2,FALSE),"")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WayshrineInfo'!$K$3:$L$9971,2,FALSE),"")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 t="shared" si="37"/>
        <v/>
      </c>
      <c r="BF440" s="21" t="str">
        <f t="shared" si="38"/>
        <v/>
      </c>
      <c r="BG440" s="21" t="str">
        <f t="shared" si="39"/>
        <v/>
      </c>
      <c r="BH440" s="21" t="str">
        <f t="shared" si="40"/>
        <v/>
      </c>
      <c r="BI440" s="21" t="str">
        <f t="shared" si="41"/>
        <v/>
      </c>
    </row>
    <row r="441" spans="1:61" x14ac:dyDescent="0.25">
      <c r="A441" s="5">
        <v>501</v>
      </c>
      <c r="B441" t="s">
        <v>1739</v>
      </c>
      <c r="C441" t="s">
        <v>1738</v>
      </c>
      <c r="D441" s="3">
        <f t="shared" si="36"/>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WayshrineInfo'!$K$3:$N$9971,4,FALSE),"")))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WayshrineInfo'!$K$3:$L$9971,2,FALSE),"")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WayshrineInfo'!$K$3:$L$9971,2,FALSE),"")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4018</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 t="shared" si="37"/>
        <v>[501] = {wayshrines={176,360,179,}, dlcId=DLC_GREYMOOR</v>
      </c>
      <c r="BF441" s="21" t="str">
        <f t="shared" si="38"/>
        <v>, zoneIds={381,1027,534,1020,1027}, veteran=false</v>
      </c>
      <c r="BG441" s="21" t="str">
        <f t="shared" si="39"/>
        <v>, setType=LIBSETS_SETTYPE_MYTHIC</v>
      </c>
      <c r="BH441" s="21"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1"/>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36"/>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WayshrineInfo'!$K$3:$N$9971,4,FALSE),"")))</f>
        <v>Western Skyrim</v>
      </c>
      <c r="T442" s="19" t="str">
        <f>IF(AND(S442&lt;&gt;"",NOT(ISERROR(S442))),S442,IF(Q442&lt;&gt;"",IF(NOT(ISERROR(VLOOKUP(Q442,'ESO Dungeon constants'!$D$3:$H$9999,5,FALSE))),VLOOKUP(Q442,'ESO Dungeon constants'!$D$3:$I$9999,6,FALSE),VLOOKUP(Q442,'ESO zone constants'!$H$3:$K$9989,4,FALSE)),""))</f>
        <v>DLC_MARKARTH</v>
      </c>
      <c r="U442" s="3" t="str">
        <f>IF(T442&lt;&gt;"",VLOOKUP(T442,'LibSets constants'!$B$4:$C$1017,2,FALSE),"")</f>
        <v>Markarth</v>
      </c>
      <c r="Y442" s="61">
        <v>643</v>
      </c>
      <c r="Z442" s="3">
        <f>IF(AND(G442&lt;&gt;"LIBSETS_SETTYPE_BATTLEGROUND",G442&lt;&gt;"LIBSETS_SETTYPE_SPECIAL"),
IF(AND(Y442&lt;&gt;"",ISNUMBER(Y442),NOT(ISNA(Y442))),Y442,
   IF(AND(L442&lt;&gt;"",ISNUMBER(L442),L442&gt;0,NOT(ISNA(L442))),VLOOKUP(L442,'ESO dumped WayshrineInfo'!$K$3:$L$9971,2,FALSE),"")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WayshrineInfo'!$K$3:$L$9971,2,FALSE),"")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 t="shared" si="37"/>
        <v/>
      </c>
      <c r="BF442" s="21" t="str">
        <f t="shared" si="38"/>
        <v/>
      </c>
      <c r="BG442" s="21" t="str">
        <f t="shared" si="39"/>
        <v/>
      </c>
      <c r="BH442" s="21" t="str">
        <f t="shared" si="40"/>
        <v/>
      </c>
      <c r="BI442" s="21" t="str">
        <f t="shared" si="41"/>
        <v/>
      </c>
    </row>
    <row r="443" spans="1:61" x14ac:dyDescent="0.25">
      <c r="A443" s="5">
        <v>503</v>
      </c>
      <c r="B443" t="s">
        <v>1741</v>
      </c>
      <c r="C443" t="s">
        <v>1742</v>
      </c>
      <c r="D443" s="3">
        <f t="shared" si="36"/>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WayshrineInfo'!$K$3:$N$9971,4,FALSE),"")))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WayshrineInfo'!$K$3:$L$9971,2,FALSE),"")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WayshrineInfo'!$K$3:$L$9971,2,FALSE),"")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 t="shared" si="37"/>
        <v>[503] = {wayshrines={62,374,107,}, dlcId=DLC_GREYMOOR</v>
      </c>
      <c r="BF443" s="21" t="str">
        <f t="shared" si="38"/>
        <v>, zoneIds={3,726,58,931,108,726}, veteran=false</v>
      </c>
      <c r="BG443" s="21" t="str">
        <f t="shared" si="39"/>
        <v>, setType=LIBSETS_SETTYPE_MYTHIC</v>
      </c>
      <c r="BH443" s="21"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36"/>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WayshrineInfo'!$K$3:$N$9971,4,FALSE),"")))</f>
        <v>Western Skyrim</v>
      </c>
      <c r="T444" s="19" t="str">
        <f>IF(AND(S444&lt;&gt;"",NOT(ISERROR(S444))),S444,IF(Q444&lt;&gt;"",IF(NOT(ISERROR(VLOOKUP(Q444,'ESO Dungeon constants'!$D$3:$H$9999,5,FALSE))),VLOOKUP(Q444,'ESO Dungeon constants'!$D$3:$I$9999,6,FALSE),VLOOKUP(Q444,'ESO zone constants'!$H$3:$K$9989,4,FALSE)),""))</f>
        <v>DLC_MARKARTH</v>
      </c>
      <c r="U444" s="3" t="str">
        <f>IF(T444&lt;&gt;"",VLOOKUP(T444,'LibSets constants'!$B$4:$C$1017,2,FALSE),"")</f>
        <v>Markarth</v>
      </c>
      <c r="Y444" s="61">
        <v>643</v>
      </c>
      <c r="Z444" s="3">
        <f>IF(AND(G444&lt;&gt;"LIBSETS_SETTYPE_BATTLEGROUND",G444&lt;&gt;"LIBSETS_SETTYPE_SPECIAL"),
IF(AND(Y444&lt;&gt;"",ISNUMBER(Y444),NOT(ISNA(Y444))),Y444,
   IF(AND(L444&lt;&gt;"",ISNUMBER(L444),L444&gt;0,NOT(ISNA(L444))),VLOOKUP(L444,'ESO dumped WayshrineInfo'!$K$3:$L$9971,2,FALSE),"")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WayshrineInfo'!$K$3:$L$9971,2,FALSE),"")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 t="shared" si="37"/>
        <v/>
      </c>
      <c r="BF444" s="21" t="str">
        <f t="shared" si="38"/>
        <v/>
      </c>
      <c r="BG444" s="21" t="str">
        <f t="shared" si="39"/>
        <v/>
      </c>
      <c r="BH444" s="21" t="str">
        <f t="shared" si="40"/>
        <v/>
      </c>
      <c r="BI444" s="21" t="str">
        <f t="shared" si="41"/>
        <v/>
      </c>
    </row>
    <row r="445" spans="1:61" x14ac:dyDescent="0.25">
      <c r="A445" s="5">
        <v>505</v>
      </c>
      <c r="B445" t="s">
        <v>1745</v>
      </c>
      <c r="C445" t="s">
        <v>1744</v>
      </c>
      <c r="D445" s="3">
        <f t="shared" si="36"/>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WayshrineInfo'!$K$3:$N$9971,4,FALSE),"")))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WayshrineInfo'!$K$3:$L$9971,2,FALSE),"")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WayshrineInfo'!$K$3:$L$9971,2,FALSE),"")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 t="shared" si="37"/>
        <v>[505] = {wayshrines={57,26,186,}, dlcId=DLC_GREYMOOR</v>
      </c>
      <c r="BF445" s="21" t="str">
        <f t="shared" si="38"/>
        <v>, zoneIds={104,57,38,216,888}, veteran=false</v>
      </c>
      <c r="BG445" s="21" t="str">
        <f t="shared" si="39"/>
        <v>, setType=LIBSETS_SETTYPE_MYTHIC</v>
      </c>
      <c r="BH445" s="21"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36"/>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WayshrineInfo'!$K$3:$N$9971,4,FALSE),"")))</f>
        <v>Blackreach: Greymoor Caverns</v>
      </c>
      <c r="T446" s="19" t="str">
        <f>IF(AND(S446&lt;&gt;"",NOT(ISERROR(S446))),S446,IF(Q446&lt;&gt;"",IF(NOT(ISERROR(VLOOKUP(Q446,'ESO Dungeon constants'!$D$3:$H$9999,5,FALSE))),VLOOKUP(Q446,'ESO Dungeon constants'!$D$3:$I$9999,6,FALSE),VLOOKUP(Q446,'ESO zone constants'!$H$3:$K$9989,4,FALSE)),""))</f>
        <v>DLC_BASE_GAME</v>
      </c>
      <c r="U446" s="3" t="str">
        <f>IF(T446&lt;&gt;"",VLOOKUP(T446,'LibSets constants'!$B$4:$C$1017,2,FALSE),"")</f>
        <v>Included in base game</v>
      </c>
      <c r="V446" s="33" t="s">
        <v>3276</v>
      </c>
      <c r="Y446" s="61">
        <v>1161</v>
      </c>
      <c r="Z446" s="3">
        <f>IF(AND(G446&lt;&gt;"LIBSETS_SETTYPE_BATTLEGROUND",G446&lt;&gt;"LIBSETS_SETTYPE_SPECIAL"),
IF(AND(Y446&lt;&gt;"",ISNUMBER(Y446),NOT(ISNA(Y446))),Y446,
   IF(AND(L446&lt;&gt;"",ISNUMBER(L446),L446&gt;0,NOT(ISNA(L446))),VLOOKUP(L446,'ESO dumped WayshrineInfo'!$K$3:$L$9971,2,FALSE),"")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WayshrineInfo'!$K$3:$L$9971,2,FALSE),"")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 t="shared" si="37"/>
        <v>[506] = {wayshrines={430,430,430,}, traitsNeeded=3, dlcId=DLC_BASE_GAME</v>
      </c>
      <c r="BF446" s="21" t="str">
        <f t="shared" si="38"/>
        <v>, zoneIds={1161,1161,1161}, veteran=false</v>
      </c>
      <c r="BG446" s="21" t="str">
        <f t="shared" si="39"/>
        <v>, setType=LIBSETS_SETTYPE_CRAFTED</v>
      </c>
      <c r="BH446" s="21" t="str">
        <f t="shared" si="40"/>
        <v>, dropMechanic={LIBSETS_DROP_MECHANIC_CRAFTED,LIBSETS_DROP_MECHANIC_CRAFTED,LIBSETS_DROP_MECHANIC_CRAFTED}</v>
      </c>
      <c r="BI446" s="21" t="str">
        <f t="shared" si="41"/>
        <v>}, --Spell Parasite / Magieparasit   [Blackreach: Greymoor Caverns, Blackreach: Greymoor Caverns, Blackreach: Greymoor Caverns]</v>
      </c>
    </row>
    <row r="447" spans="1:61" ht="15" customHeight="1" x14ac:dyDescent="0.25">
      <c r="A447" s="76">
        <v>509</v>
      </c>
      <c r="B447" s="77" t="s">
        <v>1748</v>
      </c>
      <c r="C447" t="s">
        <v>1748</v>
      </c>
      <c r="D447" s="3">
        <f t="shared" si="36"/>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WayshrineInfo'!$K$3:$N$9971,4,FALSE),"")))</f>
        <v>Western Skyrim</v>
      </c>
      <c r="T447" s="19" t="str">
        <f>IF(AND(S447&lt;&gt;"",NOT(ISERROR(S447))),S447,IF(Q447&lt;&gt;"",IF(NOT(ISERROR(VLOOKUP(Q447,'ESO Dungeon constants'!$D$3:$H$9999,5,FALSE))),VLOOKUP(Q447,'ESO Dungeon constants'!$D$3:$I$9999,6,FALSE),VLOOKUP(Q447,'ESO zone constants'!$H$3:$K$9989,4,FALSE)),""))</f>
        <v>DLC_MARKARTH</v>
      </c>
      <c r="U447" s="3" t="str">
        <f>IF(T447&lt;&gt;"",VLOOKUP(T447,'LibSets constants'!$B$4:$C$1017,2,FALSE),"")</f>
        <v>Markarth</v>
      </c>
      <c r="V447" s="33" t="s">
        <v>1788</v>
      </c>
      <c r="Y447" s="61"/>
      <c r="Z447" s="3" t="str">
        <f>IF(AND(G447&lt;&gt;"LIBSETS_SETTYPE_BATTLEGROUND",G447&lt;&gt;"LIBSETS_SETTYPE_SPECIAL"),
IF(AND(Y447&lt;&gt;"",ISNUMBER(Y447),NOT(ISNA(Y447))),Y447,
   IF(AND(L447&lt;&gt;"",ISNUMBER(L447),L447&gt;0,NOT(ISNA(L447))),VLOOKUP(L447,'ESO dumped WayshrineInfo'!$K$3:$L$9971,2,FALSE),"")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WayshrineInfo'!$K$3:$L$9971,2,FALSE),"")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 t="shared" si="37"/>
        <v/>
      </c>
      <c r="BF447" s="21" t="str">
        <f t="shared" si="38"/>
        <v/>
      </c>
      <c r="BG447" s="21" t="str">
        <f t="shared" si="39"/>
        <v/>
      </c>
      <c r="BH447" s="21" t="str">
        <f t="shared" si="40"/>
        <v/>
      </c>
      <c r="BI447" s="21" t="str">
        <f t="shared" si="41"/>
        <v/>
      </c>
    </row>
    <row r="448" spans="1:61" ht="15" customHeight="1" x14ac:dyDescent="0.25">
      <c r="A448" s="76">
        <v>510</v>
      </c>
      <c r="B448" s="77" t="s">
        <v>1749</v>
      </c>
      <c r="C448" t="s">
        <v>1749</v>
      </c>
      <c r="D448" s="3">
        <f t="shared" si="36"/>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WayshrineInfo'!$K$3:$N$9971,4,FALSE),"")))</f>
        <v>Western Skyrim</v>
      </c>
      <c r="T448" s="19" t="str">
        <f>IF(AND(S448&lt;&gt;"",NOT(ISERROR(S448))),S448,IF(Q448&lt;&gt;"",IF(NOT(ISERROR(VLOOKUP(Q448,'ESO Dungeon constants'!$D$3:$H$9999,5,FALSE))),VLOOKUP(Q448,'ESO Dungeon constants'!$D$3:$I$9999,6,FALSE),VLOOKUP(Q448,'ESO zone constants'!$H$3:$K$9989,4,FALSE)),""))</f>
        <v>DLC_MARKARTH</v>
      </c>
      <c r="U448" s="3" t="str">
        <f>IF(T448&lt;&gt;"",VLOOKUP(T448,'LibSets constants'!$B$4:$C$1017,2,FALSE),"")</f>
        <v>Markarth</v>
      </c>
      <c r="V448" s="33" t="s">
        <v>1788</v>
      </c>
      <c r="Y448" s="61"/>
      <c r="Z448" s="3" t="str">
        <f>IF(AND(G448&lt;&gt;"LIBSETS_SETTYPE_BATTLEGROUND",G448&lt;&gt;"LIBSETS_SETTYPE_SPECIAL"),
IF(AND(Y448&lt;&gt;"",ISNUMBER(Y448),NOT(ISNA(Y448))),Y448,
   IF(AND(L448&lt;&gt;"",ISNUMBER(L448),L448&gt;0,NOT(ISNA(L448))),VLOOKUP(L448,'ESO dumped WayshrineInfo'!$K$3:$L$9971,2,FALSE),"")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WayshrineInfo'!$K$3:$L$9971,2,FALSE),"")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 t="shared" si="37"/>
        <v/>
      </c>
      <c r="BF448" s="21" t="str">
        <f t="shared" si="38"/>
        <v/>
      </c>
      <c r="BG448" s="21" t="str">
        <f t="shared" si="39"/>
        <v/>
      </c>
      <c r="BH448" s="21" t="str">
        <f t="shared" si="40"/>
        <v/>
      </c>
      <c r="BI448" s="21" t="str">
        <f t="shared" si="41"/>
        <v/>
      </c>
    </row>
    <row r="449" spans="1:61" ht="15" customHeight="1" x14ac:dyDescent="0.25">
      <c r="A449" s="76">
        <v>511</v>
      </c>
      <c r="B449" s="77" t="s">
        <v>1750</v>
      </c>
      <c r="C449" t="s">
        <v>1750</v>
      </c>
      <c r="D449" s="3">
        <f t="shared" si="36"/>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WayshrineInfo'!$K$3:$N$9971,4,FALSE),"")))</f>
        <v>Western Skyrim</v>
      </c>
      <c r="T449" s="19" t="str">
        <f>IF(AND(S449&lt;&gt;"",NOT(ISERROR(S449))),S449,IF(Q449&lt;&gt;"",IF(NOT(ISERROR(VLOOKUP(Q449,'ESO Dungeon constants'!$D$3:$H$9999,5,FALSE))),VLOOKUP(Q449,'ESO Dungeon constants'!$D$3:$I$9999,6,FALSE),VLOOKUP(Q449,'ESO zone constants'!$H$3:$K$9989,4,FALSE)),""))</f>
        <v>DLC_MARKARTH</v>
      </c>
      <c r="U449" s="3" t="str">
        <f>IF(T449&lt;&gt;"",VLOOKUP(T449,'LibSets constants'!$B$4:$C$1017,2,FALSE),"")</f>
        <v>Markarth</v>
      </c>
      <c r="V449" s="33" t="s">
        <v>1788</v>
      </c>
      <c r="Y449" s="61"/>
      <c r="Z449" s="3" t="str">
        <f>IF(AND(G449&lt;&gt;"LIBSETS_SETTYPE_BATTLEGROUND",G449&lt;&gt;"LIBSETS_SETTYPE_SPECIAL"),
IF(AND(Y449&lt;&gt;"",ISNUMBER(Y449),NOT(ISNA(Y449))),Y449,
   IF(AND(L449&lt;&gt;"",ISNUMBER(L449),L449&gt;0,NOT(ISNA(L449))),VLOOKUP(L449,'ESO dumped WayshrineInfo'!$K$3:$L$9971,2,FALSE),"")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WayshrineInfo'!$K$3:$L$9971,2,FALSE),"")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 t="shared" si="37"/>
        <v/>
      </c>
      <c r="BF449" s="21" t="str">
        <f t="shared" si="38"/>
        <v/>
      </c>
      <c r="BG449" s="21" t="str">
        <f t="shared" si="39"/>
        <v/>
      </c>
      <c r="BH449" s="21" t="str">
        <f t="shared" si="40"/>
        <v/>
      </c>
      <c r="BI449" s="21" t="str">
        <f t="shared" si="41"/>
        <v/>
      </c>
    </row>
    <row r="450" spans="1:61" ht="15" customHeight="1" x14ac:dyDescent="0.25">
      <c r="A450" s="76">
        <v>512</v>
      </c>
      <c r="B450" s="77" t="s">
        <v>1751</v>
      </c>
      <c r="C450" t="s">
        <v>1751</v>
      </c>
      <c r="D450" s="3">
        <f t="shared" si="36"/>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WayshrineInfo'!$K$3:$N$9971,4,FALSE),"")))</f>
        <v>Western Skyrim</v>
      </c>
      <c r="T450" s="19" t="str">
        <f>IF(AND(S450&lt;&gt;"",NOT(ISERROR(S450))),S450,IF(Q450&lt;&gt;"",IF(NOT(ISERROR(VLOOKUP(Q450,'ESO Dungeon constants'!$D$3:$H$9999,5,FALSE))),VLOOKUP(Q450,'ESO Dungeon constants'!$D$3:$I$9999,6,FALSE),VLOOKUP(Q450,'ESO zone constants'!$H$3:$K$9989,4,FALSE)),""))</f>
        <v>DLC_MARKARTH</v>
      </c>
      <c r="U450" s="3" t="str">
        <f>IF(T450&lt;&gt;"",VLOOKUP(T450,'LibSets constants'!$B$4:$C$1017,2,FALSE),"")</f>
        <v>Markarth</v>
      </c>
      <c r="V450" s="33" t="s">
        <v>1788</v>
      </c>
      <c r="Y450" s="61"/>
      <c r="Z450" s="3" t="str">
        <f>IF(AND(G450&lt;&gt;"LIBSETS_SETTYPE_BATTLEGROUND",G450&lt;&gt;"LIBSETS_SETTYPE_SPECIAL"),
IF(AND(Y450&lt;&gt;"",ISNUMBER(Y450),NOT(ISNA(Y450))),Y450,
   IF(AND(L450&lt;&gt;"",ISNUMBER(L450),L450&gt;0,NOT(ISNA(L450))),VLOOKUP(L450,'ESO dumped WayshrineInfo'!$K$3:$L$9971,2,FALSE),"")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WayshrineInfo'!$K$3:$L$9971,2,FALSE),"")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 t="shared" si="37"/>
        <v/>
      </c>
      <c r="BF450" s="21" t="str">
        <f t="shared" si="38"/>
        <v/>
      </c>
      <c r="BG450" s="21" t="str">
        <f t="shared" si="39"/>
        <v/>
      </c>
      <c r="BH450" s="21" t="str">
        <f t="shared" si="40"/>
        <v/>
      </c>
      <c r="BI450" s="21" t="str">
        <f t="shared" si="41"/>
        <v/>
      </c>
    </row>
    <row r="451" spans="1:61" ht="15" customHeight="1" x14ac:dyDescent="0.25">
      <c r="A451" s="5">
        <v>513</v>
      </c>
      <c r="B451" t="s">
        <v>2145</v>
      </c>
      <c r="C451" t="s">
        <v>2744</v>
      </c>
      <c r="D451" s="3">
        <f t="shared" ref="D451:D514" si="42">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WayshrineInfo'!$K$3:$N$9971,4,FALSE),"")))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WayshrineInfo'!$K$3:$L$9971,2,FALSE),"")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WayshrineInfo'!$K$3:$L$9971,2,FALSE),"")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 t="shared" ref="BG451:BG514" si="45">IF(A451&lt;&gt;"",IF(F451&lt;&gt;"Not in the game (anymore)",IF(A451&lt;&gt;"",", setType="&amp;G451,"")&amp;IF(G451="LIBSETS_SETTYPE_CLASS",", classId="&amp;BC451,"")&amp;IF(J451="true",", multiTrialSet=true",""),"")
&amp; IF(AND(H451&lt;&gt;"",ISNUMBER(H451)),", undauntedChestId=" &amp; H451,""),"")</f>
        <v>, setType=LIBSETS_SETTYPE_DUNGEON</v>
      </c>
      <c r="BH451" s="21" t="str">
        <f t="shared" ref="BH451:BH514" si="46">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 t="shared" ref="BI451:BI514" si="47">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 t="shared" si="42"/>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WayshrineInfo'!$K$3:$N$9971,4,FALSE),"")))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WayshrineInfo'!$K$3:$L$9971,2,FALSE),"")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WayshrineInfo'!$K$3:$L$9971,2,FALSE),"")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 t="shared" si="43"/>
        <v>[514] = {wayshrines={436,436,436,}, dlcId=DLC_STONETHORN</v>
      </c>
      <c r="BF452" s="21" t="str">
        <f t="shared" si="44"/>
        <v>, zoneIds={1201,1160,1160}, veteran=false</v>
      </c>
      <c r="BG452" s="21" t="str">
        <f t="shared" si="45"/>
        <v>, setType=LIBSETS_SETTYPE_DUNGEON</v>
      </c>
      <c r="BH452" s="21" t="str">
        <f t="shared" si="46"/>
        <v>, dropMechanic={LIBSETS_DROP_MECHANIC_GROUP_DUNGEON_BOSS}</v>
      </c>
      <c r="BI452" s="21" t="str">
        <f t="shared" si="47"/>
        <v>}, --Unleashed Terror / Entfesselter Schrecken   [Castle Thorn, Western Skyrim, Western Skyrim]</v>
      </c>
    </row>
    <row r="453" spans="1:61" ht="15" customHeight="1" x14ac:dyDescent="0.25">
      <c r="A453" s="5">
        <v>515</v>
      </c>
      <c r="B453" t="s">
        <v>2147</v>
      </c>
      <c r="C453" t="s">
        <v>1794</v>
      </c>
      <c r="D453" s="3">
        <f t="shared" si="42"/>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WayshrineInfo'!$K$3:$N$9971,4,FALSE),"")))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WayshrineInfo'!$K$3:$L$9971,2,FALSE),"")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WayshrineInfo'!$K$3:$L$9971,2,FALSE),"")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 t="shared" si="43"/>
        <v>[515] = {wayshrines={436,436,436,}, dlcId=DLC_STONETHORN</v>
      </c>
      <c r="BF453" s="21" t="str">
        <f t="shared" si="44"/>
        <v>, zoneIds={1201,1160,1160}, veteran=false</v>
      </c>
      <c r="BG453" s="21" t="str">
        <f t="shared" si="45"/>
        <v>, setType=LIBSETS_SETTYPE_DUNGEON</v>
      </c>
      <c r="BH453" s="21" t="str">
        <f t="shared" si="46"/>
        <v>, dropMechanic={LIBSETS_DROP_MECHANIC_GROUP_DUNGEON_BOSS}</v>
      </c>
      <c r="BI453" s="21" t="str">
        <f t="shared" si="47"/>
        <v>}, --Crimson Twilight / Scharlachrotes Zwielicht   [Castle Thorn, Western Skyrim, Western Skyrim]</v>
      </c>
    </row>
    <row r="454" spans="1:61" ht="15" customHeight="1" x14ac:dyDescent="0.25">
      <c r="A454" s="5">
        <v>516</v>
      </c>
      <c r="B454" t="s">
        <v>2148</v>
      </c>
      <c r="C454" t="s">
        <v>1796</v>
      </c>
      <c r="D454" s="3">
        <f t="shared" si="42"/>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WayshrineInfo'!$K$3:$N$9971,4,FALSE),"")))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WayshrineInfo'!$K$3:$L$9971,2,FALSE),"")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WayshrineInfo'!$K$3:$L$9971,2,FALSE),"")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 t="shared" si="43"/>
        <v>[516] = {wayshrines={433,433,433,}, dlcId=DLC_STONETHORN</v>
      </c>
      <c r="BF454" s="21" t="str">
        <f t="shared" si="44"/>
        <v>, zoneIds={1197,0,0}, veteran=false</v>
      </c>
      <c r="BG454" s="21" t="str">
        <f t="shared" si="45"/>
        <v>, setType=LIBSETS_SETTYPE_DUNGEON</v>
      </c>
      <c r="BH454" s="21" t="str">
        <f t="shared" si="46"/>
        <v>, dropMechanic={LIBSETS_DROP_MECHANIC_GROUP_DUNGEON_BOSS}</v>
      </c>
      <c r="BI454" s="21" t="str">
        <f t="shared" si="47"/>
        <v>}, --Elemental Catalyst / Elementarer Katalysator   [Stone Garden, Tamriel Map, Tamriel Map]</v>
      </c>
    </row>
    <row r="455" spans="1:61" ht="15" customHeight="1" x14ac:dyDescent="0.25">
      <c r="A455" s="5">
        <v>517</v>
      </c>
      <c r="B455" t="s">
        <v>2149</v>
      </c>
      <c r="C455" t="s">
        <v>2743</v>
      </c>
      <c r="D455" s="3">
        <f t="shared" si="42"/>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WayshrineInfo'!$K$3:$N$9971,4,FALSE),"")))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WayshrineInfo'!$K$3:$L$9971,2,FALSE),"")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WayshrineInfo'!$K$3:$L$9971,2,FALSE),"")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 t="shared" si="43"/>
        <v>[517] = {wayshrines={433,433,433,}, dlcId=DLC_STONETHORN</v>
      </c>
      <c r="BF455" s="21" t="str">
        <f t="shared" si="44"/>
        <v>, zoneIds={1197,0,0}, veteran=false</v>
      </c>
      <c r="BG455" s="21" t="str">
        <f t="shared" si="45"/>
        <v>, setType=LIBSETS_SETTYPE_DUNGEON</v>
      </c>
      <c r="BH455" s="21" t="str">
        <f t="shared" si="46"/>
        <v>, dropMechanic={LIBSETS_DROP_MECHANIC_GROUP_DUNGEON_BOSS}</v>
      </c>
      <c r="BI455" s="21" t="str">
        <f t="shared" si="47"/>
        <v>}, --Kraglen\'s Howl / Kraglens Heulen   [Stone Garden, Tamriel Map, Tamriel Map]</v>
      </c>
    </row>
    <row r="456" spans="1:61" x14ac:dyDescent="0.25">
      <c r="A456" s="5">
        <v>518</v>
      </c>
      <c r="B456" t="s">
        <v>2150</v>
      </c>
      <c r="C456" t="s">
        <v>2742</v>
      </c>
      <c r="D456" s="3">
        <f t="shared" si="42"/>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WayshrineInfo'!$K$3:$N$9971,4,FALSE),"")))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WayshrineInfo'!$K$3:$L$9971,2,FALSE),"")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WayshrineInfo'!$K$3:$L$9971,2,FALSE),"")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 t="shared" si="43"/>
        <v>[518] = {wayshrines={433,433,433,}, dlcId=DLC_STONETHORN</v>
      </c>
      <c r="BF456" s="21" t="str">
        <f t="shared" si="44"/>
        <v>, zoneIds={1197,0,0}, veteran=false</v>
      </c>
      <c r="BG456" s="21" t="str">
        <f t="shared" si="45"/>
        <v>, setType=LIBSETS_SETTYPE_DUNGEON</v>
      </c>
      <c r="BH456" s="21" t="str">
        <f t="shared" si="46"/>
        <v>, dropMechanic={LIBSETS_DROP_MECHANIC_GROUP_DUNGEON_BOSS}</v>
      </c>
      <c r="BI456" s="21" t="str">
        <f t="shared" si="47"/>
        <v>}, --Arkasis\'s Genius / Arkasis' Genie   [Stone Garden, Tamriel Map, Tamriel Map]</v>
      </c>
    </row>
    <row r="457" spans="1:61" x14ac:dyDescent="0.25">
      <c r="A457" s="5">
        <v>519</v>
      </c>
      <c r="B457" t="s">
        <v>1752</v>
      </c>
      <c r="C457" t="s">
        <v>1753</v>
      </c>
      <c r="D457" s="3">
        <f t="shared" si="42"/>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WayshrineInfo'!$K$3:$N$9971,4,FALSE),"")))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WayshrineInfo'!$K$3:$L$9971,2,FALSE),"")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WayshrineInfo'!$K$3:$L$9971,2,FALSE),"")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 t="shared" si="43"/>
        <v>[519] = {wayshrines={416,172,109,}, dlcId=DLC_GREYMOOR</v>
      </c>
      <c r="BF457" s="21" t="str">
        <f t="shared" si="44"/>
        <v>, zoneIds={1160,280,103,449,181}, veteran=false</v>
      </c>
      <c r="BG457" s="21" t="str">
        <f t="shared" si="45"/>
        <v>, setType=LIBSETS_SETTYPE_MYTHIC</v>
      </c>
      <c r="BH457" s="21"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47"/>
        <v>, addTooltip={['en']='https://en.uesp.net/wiki/Online:Snow_Treaders',},}, --Snow Treaders / Schneetreter   [Western Skyrim, Bleakrock Isle, The Rift, Direfrost Keep, Cyrodiil]</v>
      </c>
    </row>
    <row r="458" spans="1:61" x14ac:dyDescent="0.25">
      <c r="A458" s="5">
        <v>520</v>
      </c>
      <c r="B458" t="s">
        <v>1754</v>
      </c>
      <c r="C458" t="s">
        <v>2638</v>
      </c>
      <c r="D458" s="3">
        <f t="shared" si="42"/>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WayshrineInfo'!$K$3:$N$9971,4,FALSE),"")))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WayshrineInfo'!$K$3:$L$9971,2,FALSE),"")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WayshrineInfo'!$K$3:$L$9971,2,FALSE),"")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 t="shared" si="43"/>
        <v>[520] = {wayshrines={241,144,17,}, dlcId=DLC_GREYMOOR</v>
      </c>
      <c r="BF458" s="21" t="str">
        <f t="shared" si="44"/>
        <v>, zoneIds={684,382,142,584,535}, veteran=false</v>
      </c>
      <c r="BG458" s="21" t="str">
        <f t="shared" si="45"/>
        <v>, setType=LIBSETS_SETTYPE_MYTHIC</v>
      </c>
      <c r="BH458" s="21"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2"/>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WayshrineInfo'!$K$3:$N$9971,4,FALSE),"")))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WayshrineInfo'!$K$3:$L$9971,2,FALSE),"")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WayshrineInfo'!$K$3:$L$9971,2,FALSE),"")
),"")</f>
        <v>130</v>
      </c>
      <c r="AG459" t="str">
        <f>IF(AND(AF459&lt;&gt;"",ISNUMBER(AF459),NOT(ISNA(AF459))),VLOOKUP(AF459,'ESO zone constants'!$A$5:$D$10001,4,FALSE),"")</f>
        <v>Crypt of Hearts I</v>
      </c>
      <c r="AH459" s="42" t="s">
        <v>3273</v>
      </c>
      <c r="AI459" s="3" t="s">
        <v>4020</v>
      </c>
      <c r="AJ459" s="3" t="s">
        <v>4017</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 t="shared" si="43"/>
        <v>[521] = {wayshrines={48,133,190,}, dlcId=DLC_GREYMOOR</v>
      </c>
      <c r="BF459" s="21" t="str">
        <f t="shared" si="44"/>
        <v>, zoneIds={117,557,130,144,643}, veteran=false</v>
      </c>
      <c r="BG459" s="21" t="str">
        <f t="shared" si="45"/>
        <v>, setType=LIBSETS_SETTYPE_MYTHIC</v>
      </c>
      <c r="BH459" s="21"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2"/>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WayshrineInfo'!$K$3:$N$9971,4,FALSE),"")))</f>
        <v>Maelstrom Arena</v>
      </c>
      <c r="T460" s="19" t="str">
        <f>IF(AND(S460&lt;&gt;"",NOT(ISERROR(S460))),S460,IF(Q460&lt;&gt;"",IF(NOT(ISERROR(VLOOKUP(Q460,'ESO Dungeon constants'!$D$3:$H$9999,5,FALSE))),VLOOKUP(Q460,'ESO Dungeon constants'!$D$3:$I$9999,6,FALSE),VLOOKUP(Q460,'ESO zone constants'!$H$3:$K$9989,4,FALSE)),""))</f>
        <v>DLC_ORSINIUM</v>
      </c>
      <c r="U460" s="3" t="str">
        <f>IF(T460&lt;&gt;"",VLOOKUP(T460,'LibSets constants'!$B$4:$C$1017,2,FALSE),"")</f>
        <v>Orsinium</v>
      </c>
      <c r="V460" s="33" t="s">
        <v>1547</v>
      </c>
      <c r="Y460" s="61"/>
      <c r="Z460" s="3">
        <f>IF(AND(G460&lt;&gt;"LIBSETS_SETTYPE_BATTLEGROUND",G460&lt;&gt;"LIBSETS_SETTYPE_SPECIAL"),
IF(AND(Y460&lt;&gt;"",ISNUMBER(Y460),NOT(ISNA(Y460))),Y460,
   IF(AND(L460&lt;&gt;"",ISNUMBER(L460),L460&gt;0,NOT(ISNA(L460))),VLOOKUP(L460,'ESO dumped WayshrineInfo'!$K$3:$L$9971,2,FALSE),"")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WayshrineInfo'!$K$3:$L$9971,2,FALSE),"")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 t="shared" si="43"/>
        <v>[522] = {wayshrines={249,249,249,}, dlcId=DLC_ORSINIUM</v>
      </c>
      <c r="BF460" s="21" t="str">
        <f t="shared" si="44"/>
        <v>, zoneIds={677,684,684}, veteran=true</v>
      </c>
      <c r="BG460" s="21" t="str">
        <f t="shared" si="45"/>
        <v>, setType=LIBSETS_SETTYPE_ARENA</v>
      </c>
      <c r="BH460" s="21" t="str">
        <f t="shared" si="46"/>
        <v>, dropMechanic={LIBSETS_DROP_MECHANIC_ARENA_STAGE_CHEST,LIBSETS_DROP_MECHANIC_ARENA_STAGE_CHEST}, isPerfectedSet=1</v>
      </c>
      <c r="BI460" s="21" t="str">
        <f t="shared" si="47"/>
        <v>}, --Perfected Merciless Charge / Perfektionierter gnadenloser Ansturm   [Maelstrom Arena, Wrothgar, Wrothgar]</v>
      </c>
    </row>
    <row r="461" spans="1:61" x14ac:dyDescent="0.25">
      <c r="A461" s="5">
        <v>523</v>
      </c>
      <c r="B461" t="s">
        <v>1758</v>
      </c>
      <c r="C461" t="s">
        <v>1759</v>
      </c>
      <c r="D461" s="3">
        <f t="shared" si="42"/>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WayshrineInfo'!$K$3:$N$9971,4,FALSE),"")))</f>
        <v>Maelstrom Arena</v>
      </c>
      <c r="T461" s="19" t="str">
        <f>IF(AND(S461&lt;&gt;"",NOT(ISERROR(S461))),S461,IF(Q461&lt;&gt;"",IF(NOT(ISERROR(VLOOKUP(Q461,'ESO Dungeon constants'!$D$3:$H$9999,5,FALSE))),VLOOKUP(Q461,'ESO Dungeon constants'!$D$3:$I$9999,6,FALSE),VLOOKUP(Q461,'ESO zone constants'!$H$3:$K$9989,4,FALSE)),""))</f>
        <v>DLC_ORSINIUM</v>
      </c>
      <c r="U461" s="3" t="str">
        <f>IF(T461&lt;&gt;"",VLOOKUP(T461,'LibSets constants'!$B$4:$C$1017,2,FALSE),"")</f>
        <v>Orsinium</v>
      </c>
      <c r="V461" s="33" t="s">
        <v>1547</v>
      </c>
      <c r="Y461" s="61"/>
      <c r="Z461" s="3">
        <f>IF(AND(G461&lt;&gt;"LIBSETS_SETTYPE_BATTLEGROUND",G461&lt;&gt;"LIBSETS_SETTYPE_SPECIAL"),
IF(AND(Y461&lt;&gt;"",ISNUMBER(Y461),NOT(ISNA(Y461))),Y461,
   IF(AND(L461&lt;&gt;"",ISNUMBER(L461),L461&gt;0,NOT(ISNA(L461))),VLOOKUP(L461,'ESO dumped WayshrineInfo'!$K$3:$L$9971,2,FALSE),"")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WayshrineInfo'!$K$3:$L$9971,2,FALSE),"")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 t="shared" si="43"/>
        <v>[523] = {wayshrines={249,249,249,}, dlcId=DLC_ORSINIUM</v>
      </c>
      <c r="BF461" s="21" t="str">
        <f t="shared" si="44"/>
        <v>, zoneIds={677,684,684}, veteran=true</v>
      </c>
      <c r="BG461" s="21" t="str">
        <f t="shared" si="45"/>
        <v>, setType=LIBSETS_SETTYPE_ARENA</v>
      </c>
      <c r="BH461" s="21" t="str">
        <f t="shared" si="46"/>
        <v>, dropMechanic={LIBSETS_DROP_MECHANIC_ARENA_STAGE_CHEST,LIBSETS_DROP_MECHANIC_ARENA_STAGE_CHEST}, isPerfectedSet=1</v>
      </c>
      <c r="BI461" s="21" t="str">
        <f t="shared" si="47"/>
        <v>}, --Perfected Rampaging Slash / Perfektionierter tobender Schnitt   [Maelstrom Arena, Wrothgar, Wrothgar]</v>
      </c>
    </row>
    <row r="462" spans="1:61" x14ac:dyDescent="0.25">
      <c r="A462" s="5">
        <v>524</v>
      </c>
      <c r="B462" t="s">
        <v>1761</v>
      </c>
      <c r="C462" t="s">
        <v>1760</v>
      </c>
      <c r="D462" s="3">
        <f t="shared" si="42"/>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WayshrineInfo'!$K$3:$N$9971,4,FALSE),"")))</f>
        <v>Maelstrom Arena</v>
      </c>
      <c r="T462" s="19" t="str">
        <f>IF(AND(S462&lt;&gt;"",NOT(ISERROR(S462))),S462,IF(Q462&lt;&gt;"",IF(NOT(ISERROR(VLOOKUP(Q462,'ESO Dungeon constants'!$D$3:$H$9999,5,FALSE))),VLOOKUP(Q462,'ESO Dungeon constants'!$D$3:$I$9999,6,FALSE),VLOOKUP(Q462,'ESO zone constants'!$H$3:$K$9989,4,FALSE)),""))</f>
        <v>DLC_ORSINIUM</v>
      </c>
      <c r="U462" s="3" t="str">
        <f>IF(T462&lt;&gt;"",VLOOKUP(T462,'LibSets constants'!$B$4:$C$1017,2,FALSE),"")</f>
        <v>Orsinium</v>
      </c>
      <c r="V462" s="33" t="s">
        <v>1547</v>
      </c>
      <c r="Y462" s="61"/>
      <c r="Z462" s="3">
        <f>IF(AND(G462&lt;&gt;"LIBSETS_SETTYPE_BATTLEGROUND",G462&lt;&gt;"LIBSETS_SETTYPE_SPECIAL"),
IF(AND(Y462&lt;&gt;"",ISNUMBER(Y462),NOT(ISNA(Y462))),Y462,
   IF(AND(L462&lt;&gt;"",ISNUMBER(L462),L462&gt;0,NOT(ISNA(L462))),VLOOKUP(L462,'ESO dumped WayshrineInfo'!$K$3:$L$9971,2,FALSE),"")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WayshrineInfo'!$K$3:$L$9971,2,FALSE),"")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 t="shared" si="43"/>
        <v>[524] = {wayshrines={249,249,249,}, dlcId=DLC_ORSINIUM</v>
      </c>
      <c r="BF462" s="21" t="str">
        <f t="shared" si="44"/>
        <v>, zoneIds={677,684,684}, veteran=true</v>
      </c>
      <c r="BG462" s="21" t="str">
        <f t="shared" si="45"/>
        <v>, setType=LIBSETS_SETTYPE_ARENA</v>
      </c>
      <c r="BH462" s="21" t="str">
        <f t="shared" si="46"/>
        <v>, dropMechanic={LIBSETS_DROP_MECHANIC_ARENA_STAGE_CHEST,LIBSETS_DROP_MECHANIC_ARENA_STAGE_CHEST}, isPerfectedSet=1</v>
      </c>
      <c r="BI462" s="21" t="str">
        <f t="shared" si="47"/>
        <v>}, --Perfected Cruel Flurry / Perfektionierter grausamer Schlaghagel   [Maelstrom Arena, Wrothgar, Wrothgar]</v>
      </c>
    </row>
    <row r="463" spans="1:61" x14ac:dyDescent="0.25">
      <c r="A463" s="5">
        <v>525</v>
      </c>
      <c r="B463" t="s">
        <v>1763</v>
      </c>
      <c r="C463" t="s">
        <v>1762</v>
      </c>
      <c r="D463" s="3">
        <f t="shared" si="42"/>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WayshrineInfo'!$K$3:$N$9971,4,FALSE),"")))</f>
        <v>Maelstrom Arena</v>
      </c>
      <c r="T463" s="19" t="str">
        <f>IF(AND(S463&lt;&gt;"",NOT(ISERROR(S463))),S463,IF(Q463&lt;&gt;"",IF(NOT(ISERROR(VLOOKUP(Q463,'ESO Dungeon constants'!$D$3:$H$9999,5,FALSE))),VLOOKUP(Q463,'ESO Dungeon constants'!$D$3:$I$9999,6,FALSE),VLOOKUP(Q463,'ESO zone constants'!$H$3:$K$9989,4,FALSE)),""))</f>
        <v>DLC_ORSINIUM</v>
      </c>
      <c r="U463" s="3" t="str">
        <f>IF(T463&lt;&gt;"",VLOOKUP(T463,'LibSets constants'!$B$4:$C$1017,2,FALSE),"")</f>
        <v>Orsinium</v>
      </c>
      <c r="V463" s="33" t="s">
        <v>1547</v>
      </c>
      <c r="Y463" s="61"/>
      <c r="Z463" s="3">
        <f>IF(AND(G463&lt;&gt;"LIBSETS_SETTYPE_BATTLEGROUND",G463&lt;&gt;"LIBSETS_SETTYPE_SPECIAL"),
IF(AND(Y463&lt;&gt;"",ISNUMBER(Y463),NOT(ISNA(Y463))),Y463,
   IF(AND(L463&lt;&gt;"",ISNUMBER(L463),L463&gt;0,NOT(ISNA(L463))),VLOOKUP(L463,'ESO dumped WayshrineInfo'!$K$3:$L$9971,2,FALSE),"")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WayshrineInfo'!$K$3:$L$9971,2,FALSE),"")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 t="shared" si="43"/>
        <v>[525] = {wayshrines={249,249,249,}, dlcId=DLC_ORSINIUM</v>
      </c>
      <c r="BF463" s="21" t="str">
        <f t="shared" si="44"/>
        <v>, zoneIds={677,684,684}, veteran=true</v>
      </c>
      <c r="BG463" s="21" t="str">
        <f t="shared" si="45"/>
        <v>, setType=LIBSETS_SETTYPE_ARENA</v>
      </c>
      <c r="BH463" s="21" t="str">
        <f t="shared" si="46"/>
        <v>, dropMechanic={LIBSETS_DROP_MECHANIC_ARENA_STAGE_CHEST,LIBSETS_DROP_MECHANIC_ARENA_STAGE_CHEST}, isPerfectedSet=1</v>
      </c>
      <c r="BI463" s="21" t="str">
        <f t="shared" si="47"/>
        <v>}, --Perfected Thunderous Volley / Perfektionierte donnernde Salve   [Maelstrom Arena, Wrothgar, Wrothgar]</v>
      </c>
    </row>
    <row r="464" spans="1:61" x14ac:dyDescent="0.25">
      <c r="A464" s="5">
        <v>526</v>
      </c>
      <c r="B464" t="s">
        <v>1765</v>
      </c>
      <c r="C464" t="s">
        <v>1764</v>
      </c>
      <c r="D464" s="3">
        <f t="shared" si="42"/>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WayshrineInfo'!$K$3:$N$9971,4,FALSE),"")))</f>
        <v>Maelstrom Arena</v>
      </c>
      <c r="T464" s="19" t="str">
        <f>IF(AND(S464&lt;&gt;"",NOT(ISERROR(S464))),S464,IF(Q464&lt;&gt;"",IF(NOT(ISERROR(VLOOKUP(Q464,'ESO Dungeon constants'!$D$3:$H$9999,5,FALSE))),VLOOKUP(Q464,'ESO Dungeon constants'!$D$3:$I$9999,6,FALSE),VLOOKUP(Q464,'ESO zone constants'!$H$3:$K$9989,4,FALSE)),""))</f>
        <v>DLC_ORSINIUM</v>
      </c>
      <c r="U464" s="3" t="str">
        <f>IF(T464&lt;&gt;"",VLOOKUP(T464,'LibSets constants'!$B$4:$C$1017,2,FALSE),"")</f>
        <v>Orsinium</v>
      </c>
      <c r="V464" s="33" t="s">
        <v>1547</v>
      </c>
      <c r="Y464" s="61"/>
      <c r="Z464" s="3">
        <f>IF(AND(G464&lt;&gt;"LIBSETS_SETTYPE_BATTLEGROUND",G464&lt;&gt;"LIBSETS_SETTYPE_SPECIAL"),
IF(AND(Y464&lt;&gt;"",ISNUMBER(Y464),NOT(ISNA(Y464))),Y464,
   IF(AND(L464&lt;&gt;"",ISNUMBER(L464),L464&gt;0,NOT(ISNA(L464))),VLOOKUP(L464,'ESO dumped WayshrineInfo'!$K$3:$L$9971,2,FALSE),"")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WayshrineInfo'!$K$3:$L$9971,2,FALSE),"")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 t="shared" si="43"/>
        <v>[526] = {wayshrines={249,249,249,}, dlcId=DLC_ORSINIUM</v>
      </c>
      <c r="BF464" s="21" t="str">
        <f t="shared" si="44"/>
        <v>, zoneIds={677,684,684}, veteran=true</v>
      </c>
      <c r="BG464" s="21" t="str">
        <f t="shared" si="45"/>
        <v>, setType=LIBSETS_SETTYPE_ARENA</v>
      </c>
      <c r="BH464" s="21" t="str">
        <f t="shared" si="46"/>
        <v>, isProcSetAllowedInPvP=1, dropMechanic={LIBSETS_DROP_MECHANIC_ARENA_STAGE_CHEST,LIBSETS_DROP_MECHANIC_ARENA_STAGE_CHEST}, isPerfectedSet=1</v>
      </c>
      <c r="BI464" s="21" t="str">
        <f t="shared" si="47"/>
        <v>}, --Perfected Crushing Wall / Perfektionierte zermalmende Mauer   [Maelstrom Arena, Wrothgar, Wrothgar]</v>
      </c>
    </row>
    <row r="465" spans="1:61" x14ac:dyDescent="0.25">
      <c r="A465" s="5">
        <v>527</v>
      </c>
      <c r="B465" t="s">
        <v>1766</v>
      </c>
      <c r="C465" t="s">
        <v>1767</v>
      </c>
      <c r="D465" s="3">
        <f t="shared" si="42"/>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WayshrineInfo'!$K$3:$N$9971,4,FALSE),"")))</f>
        <v>Maelstrom Arena</v>
      </c>
      <c r="T465" s="19" t="str">
        <f>IF(AND(S465&lt;&gt;"",NOT(ISERROR(S465))),S465,IF(Q465&lt;&gt;"",IF(NOT(ISERROR(VLOOKUP(Q465,'ESO Dungeon constants'!$D$3:$H$9999,5,FALSE))),VLOOKUP(Q465,'ESO Dungeon constants'!$D$3:$I$9999,6,FALSE),VLOOKUP(Q465,'ESO zone constants'!$H$3:$K$9989,4,FALSE)),""))</f>
        <v>DLC_ORSINIUM</v>
      </c>
      <c r="U465" s="3" t="str">
        <f>IF(T465&lt;&gt;"",VLOOKUP(T465,'LibSets constants'!$B$4:$C$1017,2,FALSE),"")</f>
        <v>Orsinium</v>
      </c>
      <c r="V465" s="33" t="s">
        <v>1547</v>
      </c>
      <c r="Y465" s="61"/>
      <c r="Z465" s="3">
        <f>IF(AND(G465&lt;&gt;"LIBSETS_SETTYPE_BATTLEGROUND",G465&lt;&gt;"LIBSETS_SETTYPE_SPECIAL"),
IF(AND(Y465&lt;&gt;"",ISNUMBER(Y465),NOT(ISNA(Y465))),Y465,
   IF(AND(L465&lt;&gt;"",ISNUMBER(L465),L465&gt;0,NOT(ISNA(L465))),VLOOKUP(L465,'ESO dumped WayshrineInfo'!$K$3:$L$9971,2,FALSE),"")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WayshrineInfo'!$K$3:$L$9971,2,FALSE),"")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 t="shared" si="43"/>
        <v>[527] = {wayshrines={249,249,249,}, dlcId=DLC_ORSINIUM</v>
      </c>
      <c r="BF465" s="21" t="str">
        <f t="shared" si="44"/>
        <v>, zoneIds={677,684,684}, veteran=true</v>
      </c>
      <c r="BG465" s="21" t="str">
        <f t="shared" si="45"/>
        <v>, setType=LIBSETS_SETTYPE_ARENA</v>
      </c>
      <c r="BH465" s="21" t="str">
        <f t="shared" si="46"/>
        <v>, dropMechanic={LIBSETS_DROP_MECHANIC_ARENA_STAGE_CHEST,LIBSETS_DROP_MECHANIC_ARENA_STAGE_CHEST}, isPerfectedSet=1</v>
      </c>
      <c r="BI465" s="21" t="str">
        <f t="shared" si="47"/>
        <v>}, --Perfected Precise Regeneration / Perfektionierte präzise Regeneration   [Maelstrom Arena, Wrothgar, Wrothgar]</v>
      </c>
    </row>
    <row r="466" spans="1:61" x14ac:dyDescent="0.25">
      <c r="A466" s="5">
        <v>528</v>
      </c>
      <c r="B466" t="s">
        <v>1769</v>
      </c>
      <c r="C466" t="s">
        <v>1768</v>
      </c>
      <c r="D466" s="3">
        <f t="shared" si="42"/>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WayshrineInfo'!$K$3:$N$9971,4,FALSE),"")))</f>
        <v>Dragonstar Arena</v>
      </c>
      <c r="T466" s="19" t="str">
        <f>IF(AND(S466&lt;&gt;"",NOT(ISERROR(S466))),S466,IF(Q466&lt;&gt;"",IF(NOT(ISERROR(VLOOKUP(Q466,'ESO Dungeon constants'!$D$3:$H$9999,5,FALSE))),VLOOKUP(Q466,'ESO Dungeon constants'!$D$3:$I$9999,6,FALSE),VLOOKUP(Q466,'ESO zone constants'!$H$3:$K$9989,4,FALSE)),""))</f>
        <v>DLC_BASE_GAME</v>
      </c>
      <c r="U466" s="3" t="str">
        <f>IF(T466&lt;&gt;"",VLOOKUP(T466,'LibSets constants'!$B$4:$C$1017,2,FALSE),"")</f>
        <v>Included in base game</v>
      </c>
      <c r="V466" s="33" t="s">
        <v>1547</v>
      </c>
      <c r="Y466" s="61"/>
      <c r="Z466" s="3">
        <f>IF(AND(G466&lt;&gt;"LIBSETS_SETTYPE_BATTLEGROUND",G466&lt;&gt;"LIBSETS_SETTYPE_SPECIAL"),
IF(AND(Y466&lt;&gt;"",ISNUMBER(Y466),NOT(ISNA(Y466))),Y466,
   IF(AND(L466&lt;&gt;"",ISNUMBER(L466),L466&gt;0,NOT(ISNA(L466))),VLOOKUP(L466,'ESO dumped WayshrineInfo'!$K$3:$L$9971,2,FALSE),"")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WayshrineInfo'!$K$3:$L$9971,2,FALSE),"")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 t="shared" si="43"/>
        <v>[528] = {wayshrines={270,270,270,}, dlcId=DLC_BASE_GAME</v>
      </c>
      <c r="BF466" s="21" t="str">
        <f t="shared" si="44"/>
        <v>, zoneIds={635,888,888}, veteran=true</v>
      </c>
      <c r="BG466" s="21" t="str">
        <f t="shared" si="45"/>
        <v>, setType=LIBSETS_SETTYPE_ARENA</v>
      </c>
      <c r="BH466" s="21" t="str">
        <f t="shared" si="46"/>
        <v>, dropMechanic={LIBSETS_DROP_MECHANIC_ARENA_STAGE_CHEST,LIBSETS_DROP_MECHANIC_ARENA_STAGE_CHEST}, isPerfectedSet=1</v>
      </c>
      <c r="BI466" s="21" t="str">
        <f t="shared" si="47"/>
        <v>}, --Perfected Titanic Cleave / Perfektioniertes titanisches Trennen   [Dragonstar Arena, Craglorn, Craglorn]</v>
      </c>
    </row>
    <row r="467" spans="1:61" x14ac:dyDescent="0.25">
      <c r="A467" s="5">
        <v>529</v>
      </c>
      <c r="B467" t="s">
        <v>1771</v>
      </c>
      <c r="C467" t="s">
        <v>1770</v>
      </c>
      <c r="D467" s="3">
        <f t="shared" si="42"/>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WayshrineInfo'!$K$3:$N$9971,4,FALSE),"")))</f>
        <v>Dragonstar Arena</v>
      </c>
      <c r="T467" s="19" t="str">
        <f>IF(AND(S467&lt;&gt;"",NOT(ISERROR(S467))),S467,IF(Q467&lt;&gt;"",IF(NOT(ISERROR(VLOOKUP(Q467,'ESO Dungeon constants'!$D$3:$H$9999,5,FALSE))),VLOOKUP(Q467,'ESO Dungeon constants'!$D$3:$I$9999,6,FALSE),VLOOKUP(Q467,'ESO zone constants'!$H$3:$K$9989,4,FALSE)),""))</f>
        <v>DLC_BASE_GAME</v>
      </c>
      <c r="U467" s="3" t="str">
        <f>IF(T467&lt;&gt;"",VLOOKUP(T467,'LibSets constants'!$B$4:$C$1017,2,FALSE),"")</f>
        <v>Included in base game</v>
      </c>
      <c r="V467" s="33" t="s">
        <v>1547</v>
      </c>
      <c r="Y467" s="61"/>
      <c r="Z467" s="3">
        <f>IF(AND(G467&lt;&gt;"LIBSETS_SETTYPE_BATTLEGROUND",G467&lt;&gt;"LIBSETS_SETTYPE_SPECIAL"),
IF(AND(Y467&lt;&gt;"",ISNUMBER(Y467),NOT(ISNA(Y467))),Y467,
   IF(AND(L467&lt;&gt;"",ISNUMBER(L467),L467&gt;0,NOT(ISNA(L467))),VLOOKUP(L467,'ESO dumped WayshrineInfo'!$K$3:$L$9971,2,FALSE),"")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WayshrineInfo'!$K$3:$L$9971,2,FALSE),"")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 t="shared" si="43"/>
        <v>[529] = {wayshrines={270,270,270,}, dlcId=DLC_BASE_GAME</v>
      </c>
      <c r="BF467" s="21" t="str">
        <f t="shared" si="44"/>
        <v>, zoneIds={635,888,888}, veteran=true</v>
      </c>
      <c r="BG467" s="21" t="str">
        <f t="shared" si="45"/>
        <v>, setType=LIBSETS_SETTYPE_ARENA</v>
      </c>
      <c r="BH467" s="21" t="str">
        <f t="shared" si="46"/>
        <v>, dropMechanic={LIBSETS_DROP_MECHANIC_ARENA_STAGE_CHEST,LIBSETS_DROP_MECHANIC_ARENA_STAGE_CHEST}, isPerfectedSet=1</v>
      </c>
      <c r="BI467" s="21" t="str">
        <f t="shared" si="47"/>
        <v>}, --Perfected Puncturing Remedy / Perfektionierte durchschlagende Genesung   [Dragonstar Arena, Craglorn, Craglorn]</v>
      </c>
    </row>
    <row r="468" spans="1:61" x14ac:dyDescent="0.25">
      <c r="A468" s="5">
        <v>530</v>
      </c>
      <c r="B468" t="s">
        <v>1772</v>
      </c>
      <c r="C468" t="s">
        <v>1773</v>
      </c>
      <c r="D468" s="3">
        <f t="shared" si="42"/>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WayshrineInfo'!$K$3:$N$9971,4,FALSE),"")))</f>
        <v>Dragonstar Arena</v>
      </c>
      <c r="T468" s="19" t="str">
        <f>IF(AND(S468&lt;&gt;"",NOT(ISERROR(S468))),S468,IF(Q468&lt;&gt;"",IF(NOT(ISERROR(VLOOKUP(Q468,'ESO Dungeon constants'!$D$3:$H$9999,5,FALSE))),VLOOKUP(Q468,'ESO Dungeon constants'!$D$3:$I$9999,6,FALSE),VLOOKUP(Q468,'ESO zone constants'!$H$3:$K$9989,4,FALSE)),""))</f>
        <v>DLC_BASE_GAME</v>
      </c>
      <c r="U468" s="3" t="str">
        <f>IF(T468&lt;&gt;"",VLOOKUP(T468,'LibSets constants'!$B$4:$C$1017,2,FALSE),"")</f>
        <v>Included in base game</v>
      </c>
      <c r="V468" s="33" t="s">
        <v>1547</v>
      </c>
      <c r="Y468" s="61"/>
      <c r="Z468" s="3">
        <f>IF(AND(G468&lt;&gt;"LIBSETS_SETTYPE_BATTLEGROUND",G468&lt;&gt;"LIBSETS_SETTYPE_SPECIAL"),
IF(AND(Y468&lt;&gt;"",ISNUMBER(Y468),NOT(ISNA(Y468))),Y468,
   IF(AND(L468&lt;&gt;"",ISNUMBER(L468),L468&gt;0,NOT(ISNA(L468))),VLOOKUP(L468,'ESO dumped WayshrineInfo'!$K$3:$L$9971,2,FALSE),"")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WayshrineInfo'!$K$3:$L$9971,2,FALSE),"")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 t="shared" si="43"/>
        <v>[530] = {wayshrines={270,270,270,}, dlcId=DLC_BASE_GAME</v>
      </c>
      <c r="BF468" s="21" t="str">
        <f t="shared" si="44"/>
        <v>, zoneIds={635,888,888}, veteran=true</v>
      </c>
      <c r="BG468" s="21" t="str">
        <f t="shared" si="45"/>
        <v>, setType=LIBSETS_SETTYPE_ARENA</v>
      </c>
      <c r="BH468" s="21" t="str">
        <f t="shared" si="46"/>
        <v>, dropMechanic={LIBSETS_DROP_MECHANIC_ARENA_STAGE_CHEST,LIBSETS_DROP_MECHANIC_ARENA_STAGE_CHEST}, isPerfectedSet=1</v>
      </c>
      <c r="BI468" s="21" t="str">
        <f t="shared" si="47"/>
        <v>}, --Perfected Stinging Slashes / Perfektionierte stechende Schnitte   [Dragonstar Arena, Craglorn, Craglorn]</v>
      </c>
    </row>
    <row r="469" spans="1:61" x14ac:dyDescent="0.25">
      <c r="A469" s="5">
        <v>531</v>
      </c>
      <c r="B469" t="s">
        <v>1775</v>
      </c>
      <c r="C469" t="s">
        <v>1774</v>
      </c>
      <c r="D469" s="3">
        <f t="shared" si="42"/>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WayshrineInfo'!$K$3:$N$9971,4,FALSE),"")))</f>
        <v>Dragonstar Arena</v>
      </c>
      <c r="T469" s="19" t="str">
        <f>IF(AND(S469&lt;&gt;"",NOT(ISERROR(S469))),S469,IF(Q469&lt;&gt;"",IF(NOT(ISERROR(VLOOKUP(Q469,'ESO Dungeon constants'!$D$3:$H$9999,5,FALSE))),VLOOKUP(Q469,'ESO Dungeon constants'!$D$3:$I$9999,6,FALSE),VLOOKUP(Q469,'ESO zone constants'!$H$3:$K$9989,4,FALSE)),""))</f>
        <v>DLC_BASE_GAME</v>
      </c>
      <c r="U469" s="3" t="str">
        <f>IF(T469&lt;&gt;"",VLOOKUP(T469,'LibSets constants'!$B$4:$C$1017,2,FALSE),"")</f>
        <v>Included in base game</v>
      </c>
      <c r="V469" s="33" t="s">
        <v>1547</v>
      </c>
      <c r="Y469" s="61"/>
      <c r="Z469" s="3">
        <f>IF(AND(G469&lt;&gt;"LIBSETS_SETTYPE_BATTLEGROUND",G469&lt;&gt;"LIBSETS_SETTYPE_SPECIAL"),
IF(AND(Y469&lt;&gt;"",ISNUMBER(Y469),NOT(ISNA(Y469))),Y469,
   IF(AND(L469&lt;&gt;"",ISNUMBER(L469),L469&gt;0,NOT(ISNA(L469))),VLOOKUP(L469,'ESO dumped WayshrineInfo'!$K$3:$L$9971,2,FALSE),"")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WayshrineInfo'!$K$3:$L$9971,2,FALSE),"")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 t="shared" si="43"/>
        <v>[531] = {wayshrines={270,270,270,}, dlcId=DLC_BASE_GAME</v>
      </c>
      <c r="BF469" s="21" t="str">
        <f t="shared" si="44"/>
        <v>, zoneIds={635,888,888}, veteran=true</v>
      </c>
      <c r="BG469" s="21" t="str">
        <f t="shared" si="45"/>
        <v>, setType=LIBSETS_SETTYPE_ARENA</v>
      </c>
      <c r="BH469" s="21" t="str">
        <f t="shared" si="46"/>
        <v>, isProcSetAllowedInPvP=0, dropMechanic={LIBSETS_DROP_MECHANIC_ARENA_STAGE_CHEST,LIBSETS_DROP_MECHANIC_ARENA_STAGE_CHEST}, isPerfectedSet=1</v>
      </c>
      <c r="BI469" s="21" t="str">
        <f t="shared" si="47"/>
        <v>}, --Perfected Caustic Arrow / Perfektionierter beißender Pfeil   [Dragonstar Arena, Craglorn, Craglorn]</v>
      </c>
    </row>
    <row r="470" spans="1:61" x14ac:dyDescent="0.25">
      <c r="A470" s="5">
        <v>532</v>
      </c>
      <c r="B470" t="s">
        <v>1776</v>
      </c>
      <c r="C470" t="s">
        <v>1777</v>
      </c>
      <c r="D470" s="3">
        <f t="shared" si="42"/>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WayshrineInfo'!$K$3:$N$9971,4,FALSE),"")))</f>
        <v>Dragonstar Arena</v>
      </c>
      <c r="T470" s="19" t="str">
        <f>IF(AND(S470&lt;&gt;"",NOT(ISERROR(S470))),S470,IF(Q470&lt;&gt;"",IF(NOT(ISERROR(VLOOKUP(Q470,'ESO Dungeon constants'!$D$3:$H$9999,5,FALSE))),VLOOKUP(Q470,'ESO Dungeon constants'!$D$3:$I$9999,6,FALSE),VLOOKUP(Q470,'ESO zone constants'!$H$3:$K$9989,4,FALSE)),""))</f>
        <v>DLC_BASE_GAME</v>
      </c>
      <c r="U470" s="3" t="str">
        <f>IF(T470&lt;&gt;"",VLOOKUP(T470,'LibSets constants'!$B$4:$C$1017,2,FALSE),"")</f>
        <v>Included in base game</v>
      </c>
      <c r="V470" s="33" t="s">
        <v>1547</v>
      </c>
      <c r="Y470" s="61"/>
      <c r="Z470" s="3">
        <f>IF(AND(G470&lt;&gt;"LIBSETS_SETTYPE_BATTLEGROUND",G470&lt;&gt;"LIBSETS_SETTYPE_SPECIAL"),
IF(AND(Y470&lt;&gt;"",ISNUMBER(Y470),NOT(ISNA(Y470))),Y470,
   IF(AND(L470&lt;&gt;"",ISNUMBER(L470),L470&gt;0,NOT(ISNA(L470))),VLOOKUP(L470,'ESO dumped WayshrineInfo'!$K$3:$L$9971,2,FALSE),"")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WayshrineInfo'!$K$3:$L$9971,2,FALSE),"")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 t="shared" si="43"/>
        <v>[532] = {wayshrines={270,270,270,}, dlcId=DLC_BASE_GAME</v>
      </c>
      <c r="BF470" s="21" t="str">
        <f t="shared" si="44"/>
        <v>, zoneIds={635,888,888}, veteran=true</v>
      </c>
      <c r="BG470" s="21" t="str">
        <f t="shared" si="45"/>
        <v>, setType=LIBSETS_SETTYPE_ARENA</v>
      </c>
      <c r="BH470" s="21" t="str">
        <f t="shared" si="46"/>
        <v>, dropMechanic={LIBSETS_DROP_MECHANIC_ARENA_STAGE_CHEST,LIBSETS_DROP_MECHANIC_ARENA_STAGE_CHEST}, isPerfectedSet=1</v>
      </c>
      <c r="BI470" s="21" t="str">
        <f t="shared" si="47"/>
        <v>}, --Perfected Destructive Impact / Perfektionierter zerstörerischer Einschlag   [Dragonstar Arena, Craglorn, Craglorn]</v>
      </c>
    </row>
    <row r="471" spans="1:61" x14ac:dyDescent="0.25">
      <c r="A471" s="5">
        <v>533</v>
      </c>
      <c r="B471" t="s">
        <v>1787</v>
      </c>
      <c r="C471" t="s">
        <v>1786</v>
      </c>
      <c r="D471" s="3">
        <f t="shared" si="42"/>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WayshrineInfo'!$K$3:$N$9971,4,FALSE),"")))</f>
        <v>Dragonstar Arena</v>
      </c>
      <c r="T471" s="19" t="str">
        <f>IF(AND(S471&lt;&gt;"",NOT(ISERROR(S471))),S471,IF(Q471&lt;&gt;"",IF(NOT(ISERROR(VLOOKUP(Q471,'ESO Dungeon constants'!$D$3:$H$9999,5,FALSE))),VLOOKUP(Q471,'ESO Dungeon constants'!$D$3:$I$9999,6,FALSE),VLOOKUP(Q471,'ESO zone constants'!$H$3:$K$9989,4,FALSE)),""))</f>
        <v>DLC_BASE_GAME</v>
      </c>
      <c r="U471" s="3" t="str">
        <f>IF(T471&lt;&gt;"",VLOOKUP(T471,'LibSets constants'!$B$4:$C$1017,2,FALSE),"")</f>
        <v>Included in base game</v>
      </c>
      <c r="V471" s="33" t="s">
        <v>1547</v>
      </c>
      <c r="Y471" s="61"/>
      <c r="Z471" s="3">
        <f>IF(AND(G471&lt;&gt;"LIBSETS_SETTYPE_BATTLEGROUND",G471&lt;&gt;"LIBSETS_SETTYPE_SPECIAL"),
IF(AND(Y471&lt;&gt;"",ISNUMBER(Y471),NOT(ISNA(Y471))),Y471,
   IF(AND(L471&lt;&gt;"",ISNUMBER(L471),L471&gt;0,NOT(ISNA(L471))),VLOOKUP(L471,'ESO dumped WayshrineInfo'!$K$3:$L$9971,2,FALSE),"")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WayshrineInfo'!$K$3:$L$9971,2,FALSE),"")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 t="shared" si="43"/>
        <v>[533] = {wayshrines={270,270,270,}, dlcId=DLC_BASE_GAME</v>
      </c>
      <c r="BF471" s="21" t="str">
        <f t="shared" si="44"/>
        <v>, zoneIds={635,888,888}, veteran=true</v>
      </c>
      <c r="BG471" s="21" t="str">
        <f t="shared" si="45"/>
        <v>, setType=LIBSETS_SETTYPE_ARENA</v>
      </c>
      <c r="BH471" s="21" t="str">
        <f t="shared" si="46"/>
        <v>, dropMechanic={LIBSETS_DROP_MECHANIC_ARENA_STAGE_CHEST,LIBSETS_DROP_MECHANIC_ARENA_STAGE_CHEST}, isPerfectedSet=1</v>
      </c>
      <c r="BI471" s="21" t="str">
        <f t="shared" si="47"/>
        <v>}, --Perfected Grand Rejuvenation / Pefektionierte Große Verjüngung   [Dragonstar Arena, Craglorn, Craglorn]</v>
      </c>
    </row>
    <row r="472" spans="1:61" x14ac:dyDescent="0.25">
      <c r="A472" s="5">
        <v>534</v>
      </c>
      <c r="B472" t="s">
        <v>2151</v>
      </c>
      <c r="C472" t="s">
        <v>1798</v>
      </c>
      <c r="D472" s="3">
        <f t="shared" si="42"/>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WayshrineInfo'!$K$3:$N$9971,4,FALSE),"")))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WayshrineInfo'!$K$3:$L$9971,2,FALSE),"")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WayshrineInfo'!$K$3:$L$9971,2,FALSE),"")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 t="shared" si="43"/>
        <v>[534] = {wayshrines={435,435,435,}, dlcId=DLC_STONETHORN</v>
      </c>
      <c r="BF472" s="21" t="str">
        <f t="shared" si="44"/>
        <v>, zoneIds={1197,0,0}, veteran={[EQUIP_TYPE_HEAD]=true, [EQUIP_TYPE_SHOULDERS]=false}</v>
      </c>
      <c r="BG472" s="21" t="str">
        <f t="shared" si="45"/>
        <v>, setType=LIBSETS_SETTYPE_MONSTER, undauntedChestId=3</v>
      </c>
      <c r="BH472" s="21" t="str">
        <f t="shared" si="46"/>
        <v>, dropMechanic={LIBSETS_DROP_MECHANIC_MONSTER_NAME}, dropMechanicDropLocationNames={['en']={'Arkasis the Mad Alchemist','','','','','',},['de']={'Arkasis der verrückte Alchemist','','','','','',},}</v>
      </c>
      <c r="BI472" s="21" t="str">
        <f t="shared" si="47"/>
        <v>}, --Stone Husk / Steinhülle   [Stone Garden, Tamriel Map, Tamriel Map]</v>
      </c>
    </row>
    <row r="473" spans="1:61" x14ac:dyDescent="0.25">
      <c r="A473" s="5">
        <v>535</v>
      </c>
      <c r="B473" t="s">
        <v>2152</v>
      </c>
      <c r="C473" t="s">
        <v>1795</v>
      </c>
      <c r="D473" s="3">
        <f t="shared" si="42"/>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WayshrineInfo'!$K$3:$N$9971,4,FALSE),"")))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WayshrineInfo'!$K$3:$L$9971,2,FALSE),"")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WayshrineInfo'!$K$3:$L$9971,2,FALSE),"")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 t="shared" si="43"/>
        <v>[535] = {wayshrines={436,436,436,}, dlcId=DLC_STONETHORN</v>
      </c>
      <c r="BF473" s="21" t="str">
        <f t="shared" si="44"/>
        <v>, zoneIds={1201,1160,1160}, veteran={[EQUIP_TYPE_HEAD]=true, [EQUIP_TYPE_SHOULDERS]=false}</v>
      </c>
      <c r="BG473" s="21" t="str">
        <f t="shared" si="45"/>
        <v>, setType=LIBSETS_SETTYPE_MONSTER, undauntedChestId=3</v>
      </c>
      <c r="BH473" s="21" t="str">
        <f t="shared" si="46"/>
        <v>, dropMechanic={LIBSETS_DROP_MECHANIC_MONSTER_NAME}, dropMechanicDropLocationNames={['en']={'Lady Thorn','','','','','',},['de']={'Fürstin Dorn','','','','','',},}</v>
      </c>
      <c r="BI473" s="21" t="str">
        <f t="shared" si="47"/>
        <v>}, --Lady Thorn / Fürstin Dorn   [Castle Thorn, Western Skyrim, Western Skyrim]</v>
      </c>
    </row>
    <row r="474" spans="1:61" x14ac:dyDescent="0.25">
      <c r="A474" s="5">
        <v>536</v>
      </c>
      <c r="B474" t="s">
        <v>2222</v>
      </c>
      <c r="C474" t="s">
        <v>2221</v>
      </c>
      <c r="D474" s="3">
        <f t="shared" si="42"/>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WayshrineInfo'!$K$3:$N$9971,4,FALSE),"")))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WayshrineInfo'!$K$3:$L$9971,2,FALSE),"")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WayshrineInfo'!$K$3:$L$9971,2,FALSE),"")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 t="shared" si="43"/>
        <v>[536] = {wayshrines={441,441,441,}, dlcId=DLC_BASE_GAME</v>
      </c>
      <c r="BF474" s="21" t="str">
        <f t="shared" si="44"/>
        <v>, zoneIds={1207,1207,1207}, veteran=false</v>
      </c>
      <c r="BG474" s="21" t="str">
        <f t="shared" si="45"/>
        <v>, setType=LIBSETS_SETTYPE_OVERLAND</v>
      </c>
      <c r="BH474" s="21" t="str">
        <f t="shared" si="46"/>
        <v>, dropMechanic={LIBSETS_DROP_MECHANIC_OVERLAND_BOSS_DELVE,LIBSETS_DROP_MECHANIC_OVERLAND_BOSS_DELVE,LIBSETS_DROP_MECHANIC_OVERLAND_CHEST}</v>
      </c>
      <c r="BI474" s="21" t="str">
        <f t="shared" si="47"/>
        <v>}, --Radiant Bastion / Strahlende Bastion   [The Reach, The Reach, The Reach]</v>
      </c>
    </row>
    <row r="475" spans="1:61" x14ac:dyDescent="0.25">
      <c r="A475" s="5">
        <v>537</v>
      </c>
      <c r="B475" t="s">
        <v>2223</v>
      </c>
      <c r="C475" t="s">
        <v>2245</v>
      </c>
      <c r="D475" s="3">
        <f t="shared" si="42"/>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WayshrineInfo'!$K$3:$N$9971,4,FALSE),"")))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WayshrineInfo'!$K$3:$L$9971,2,FALSE),"")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WayshrineInfo'!$K$3:$L$9971,2,FALSE),"")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 t="shared" si="43"/>
        <v>[537] = {wayshrines={441,441,441,}, dlcId=DLC_BASE_GAME</v>
      </c>
      <c r="BF475" s="21" t="str">
        <f t="shared" si="44"/>
        <v>, zoneIds={1207,1207,1207}, veteran=false</v>
      </c>
      <c r="BG475" s="21" t="str">
        <f t="shared" si="45"/>
        <v>, setType=LIBSETS_SETTYPE_OVERLAND</v>
      </c>
      <c r="BH475" s="21" t="str">
        <f t="shared" si="46"/>
        <v>, dropMechanic={LIBSETS_DROP_MECHANIC_OVERLAND_BOSS_DELVE,LIBSETS_DROP_MECHANIC_OVERLAND_BOSS_DELVE,LIBSETS_DROP_MECHANIC_OVERLAND_CHEST}</v>
      </c>
      <c r="BI475" s="21" t="str">
        <f t="shared" si="47"/>
        <v>}, --Voidcaller / Leerenrufer   [The Reach, The Reach, The Reach]</v>
      </c>
    </row>
    <row r="476" spans="1:61" x14ac:dyDescent="0.25">
      <c r="A476" s="5">
        <v>538</v>
      </c>
      <c r="B476" t="s">
        <v>2224</v>
      </c>
      <c r="C476" t="s">
        <v>2640</v>
      </c>
      <c r="D476" s="3">
        <f t="shared" si="42"/>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WayshrineInfo'!$K$3:$N$9971,4,FALSE),"")))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WayshrineInfo'!$K$3:$L$9971,2,FALSE),"")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WayshrineInfo'!$K$3:$L$9971,2,FALSE),"")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 t="shared" si="43"/>
        <v>[538] = {wayshrines={441,441,441,}, dlcId=DLC_BASE_GAME</v>
      </c>
      <c r="BF476" s="21" t="str">
        <f t="shared" si="44"/>
        <v>, zoneIds={1207,1207,1207}, veteran=false</v>
      </c>
      <c r="BG476" s="21" t="str">
        <f t="shared" si="45"/>
        <v>, setType=LIBSETS_SETTYPE_OVERLAND</v>
      </c>
      <c r="BH476" s="21" t="str">
        <f t="shared" si="46"/>
        <v>, isProcSetAllowedInPvP=1, dropMechanic={LIBSETS_DROP_MECHANIC_OVERLAND_BOSS_DELVE,LIBSETS_DROP_MECHANIC_OVERLAND_BOSS_DELVE,LIBSETS_DROP_MECHANIC_OVERLAND_CHEST}</v>
      </c>
      <c r="BI476" s="21" t="str">
        <f t="shared" si="47"/>
        <v>}, --Witch-Knight\'s Defiance / Trotz des Hexenritters   [The Reach, The Reach, The Reach]</v>
      </c>
    </row>
    <row r="477" spans="1:61" x14ac:dyDescent="0.25">
      <c r="A477" s="5">
        <v>539</v>
      </c>
      <c r="B477" t="s">
        <v>2225</v>
      </c>
      <c r="C477" t="s">
        <v>2641</v>
      </c>
      <c r="D477" s="3">
        <f t="shared" si="42"/>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WayshrineInfo'!$K$3:$N$9971,4,FALSE),"")))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WayshrineInfo'!$K$3:$L$9971,2,FALSE),"")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WayshrineInfo'!$K$3:$L$9971,2,FALSE),"")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 t="shared" si="43"/>
        <v>[539] = {wayshrines={447,447,447,}, traitsNeeded=3, dlcId=DLC_BASE_GAME</v>
      </c>
      <c r="BF477" s="21" t="str">
        <f t="shared" si="44"/>
        <v>, zoneIds={1207,1207,1207}, veteran=false</v>
      </c>
      <c r="BG477" s="21" t="str">
        <f t="shared" si="45"/>
        <v>, setType=LIBSETS_SETTYPE_CRAFTED</v>
      </c>
      <c r="BH477" s="21" t="str">
        <f t="shared" si="46"/>
        <v>, isProcSetAllowedInPvP=1, dropMechanic={LIBSETS_DROP_MECHANIC_CRAFTED,LIBSETS_DROP_MECHANIC_CRAFTED,LIBSETS_DROP_MECHANIC_CRAFTED}</v>
      </c>
      <c r="BI477" s="21" t="str">
        <f t="shared" si="47"/>
        <v>}, --Red Eagle\'s Fury / Zorn des Roten Adlers   [The Reach, The Reach, The Reach]</v>
      </c>
    </row>
    <row r="478" spans="1:61" x14ac:dyDescent="0.25">
      <c r="A478" s="5">
        <v>540</v>
      </c>
      <c r="B478" t="s">
        <v>2226</v>
      </c>
      <c r="C478" t="s">
        <v>2246</v>
      </c>
      <c r="D478" s="3">
        <f t="shared" si="42"/>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WayshrineInfo'!$K$3:$N$9971,4,FALSE),"")))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WayshrineInfo'!$K$3:$L$9971,2,FALSE),"")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WayshrineInfo'!$K$3:$L$9971,2,FALSE),"")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 t="shared" si="43"/>
        <v>[540] = {wayshrines={442,442,442,}, traitsNeeded=6, dlcId=DLC_BASE_GAME</v>
      </c>
      <c r="BF478" s="21" t="str">
        <f t="shared" si="44"/>
        <v>, zoneIds={1207,1207,1207}, veteran=false</v>
      </c>
      <c r="BG478" s="21" t="str">
        <f t="shared" si="45"/>
        <v>, setType=LIBSETS_SETTYPE_CRAFTED</v>
      </c>
      <c r="BH478" s="21" t="str">
        <f t="shared" si="46"/>
        <v>, dropMechanic={LIBSETS_DROP_MECHANIC_CRAFTED,LIBSETS_DROP_MECHANIC_CRAFTED,LIBSETS_DROP_MECHANIC_CRAFTED}</v>
      </c>
      <c r="BI478" s="21" t="str">
        <f t="shared" si="47"/>
        <v>}, --Legacy of Karth / Erbe des Karth   [The Reach, The Reach, The Reach]</v>
      </c>
    </row>
    <row r="479" spans="1:61" x14ac:dyDescent="0.25">
      <c r="A479" s="5">
        <v>541</v>
      </c>
      <c r="B479" t="s">
        <v>2227</v>
      </c>
      <c r="C479" t="s">
        <v>2247</v>
      </c>
      <c r="D479" s="3">
        <f t="shared" si="42"/>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WayshrineInfo'!$K$3:$N$9971,4,FALSE),"")))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WayshrineInfo'!$K$3:$L$9971,2,FALSE),"")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WayshrineInfo'!$K$3:$L$9971,2,FALSE),"")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 t="shared" si="43"/>
        <v>[541] = {wayshrines={446,446,446,}, traitsNeeded=9, dlcId=DLC_BASE_GAME</v>
      </c>
      <c r="BF479" s="21" t="str">
        <f t="shared" si="44"/>
        <v>, zoneIds={1208,0,0}, veteran=false</v>
      </c>
      <c r="BG479" s="21" t="str">
        <f t="shared" si="45"/>
        <v>, setType=LIBSETS_SETTYPE_CRAFTED</v>
      </c>
      <c r="BH479" s="21" t="str">
        <f t="shared" si="46"/>
        <v>, isProcSetAllowedInPvP=1, dropMechanic={LIBSETS_DROP_MECHANIC_CRAFTED,LIBSETS_DROP_MECHANIC_CRAFTED,LIBSETS_DROP_MECHANIC_CRAFTED}</v>
      </c>
      <c r="BI479" s="21" t="str">
        <f t="shared" si="47"/>
        <v>}, --Aetherial Ascension / Ätherischer Aufstieg   [Blackreach: Arkthzand Cavern, Tamriel Map, Tamriel Map]</v>
      </c>
    </row>
    <row r="480" spans="1:61" x14ac:dyDescent="0.25">
      <c r="A480" s="5">
        <v>542</v>
      </c>
      <c r="B480" t="s">
        <v>2228</v>
      </c>
      <c r="C480" t="s">
        <v>2248</v>
      </c>
      <c r="D480" s="3">
        <f t="shared" si="42"/>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WayshrineInfo'!$K$3:$N$9971,4,FALSE),"")))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WayshrineInfo'!$K$3:$L$9971,2,FALSE),"")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WayshrineInfo'!$K$3:$L$9971,2,FALSE),"")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 t="shared" si="43"/>
        <v>[542] = {wayshrines={441,441,441,}, dlcId=DLC_BASE_GAME</v>
      </c>
      <c r="BF480" s="21" t="str">
        <f t="shared" si="44"/>
        <v>, zoneIds={1207,1207,1207}, veteran=false</v>
      </c>
      <c r="BG480" s="21" t="str">
        <f t="shared" si="45"/>
        <v>, setType=LIBSETS_SETTYPE_OVERLAND</v>
      </c>
      <c r="BH480" s="21" t="str">
        <f t="shared" si="46"/>
        <v>, dropMechanic={LIBSETS_DROP_MECHANIC_OVERLAND_BOSS_DELVE,LIBSETS_DROP_MECHANIC_OVERLAND_BOSS_DELVE,LIBSETS_DROP_MECHANIC_OVERLAND_CHEST}</v>
      </c>
      <c r="BI480" s="21" t="str">
        <f t="shared" si="47"/>
        <v>}, --Hex Siphon / Fluchsiphon   [The Reach, The Reach, The Reach]</v>
      </c>
    </row>
    <row r="481" spans="1:61" x14ac:dyDescent="0.25">
      <c r="A481" s="5">
        <v>543</v>
      </c>
      <c r="B481" t="s">
        <v>2229</v>
      </c>
      <c r="C481" t="s">
        <v>2249</v>
      </c>
      <c r="D481" s="3">
        <f t="shared" si="42"/>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WayshrineInfo'!$K$3:$N$9971,4,FALSE),"")))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WayshrineInfo'!$K$3:$L$9971,2,FALSE),"")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WayshrineInfo'!$K$3:$L$9971,2,FALSE),"")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 t="shared" si="43"/>
        <v>[543] = {wayshrines={441,441,441,}, dlcId=DLC_BASE_GAME</v>
      </c>
      <c r="BF481" s="21" t="str">
        <f t="shared" si="44"/>
        <v>, zoneIds={1207,1207,1207}, veteran=false</v>
      </c>
      <c r="BG481" s="21" t="str">
        <f t="shared" si="45"/>
        <v>, setType=LIBSETS_SETTYPE_OVERLAND</v>
      </c>
      <c r="BH481" s="21" t="str">
        <f t="shared" si="46"/>
        <v>, dropMechanic={LIBSETS_DROP_MECHANIC_OVERLAND_BOSS_DELVE,LIBSETS_DROP_MECHANIC_OVERLAND_BOSS_DELVE,LIBSETS_DROP_MECHANIC_OVERLAND_CHEST}</v>
      </c>
      <c r="BI481" s="21" t="str">
        <f t="shared" si="47"/>
        <v>}, --Pestilent Host / Pestilenter Wirt   [The Reach, The Reach, The Reach]</v>
      </c>
    </row>
    <row r="482" spans="1:61" x14ac:dyDescent="0.25">
      <c r="A482" s="5">
        <v>544</v>
      </c>
      <c r="B482" t="s">
        <v>2230</v>
      </c>
      <c r="C482" t="s">
        <v>2250</v>
      </c>
      <c r="D482" s="3">
        <f t="shared" si="42"/>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WayshrineInfo'!$K$3:$N$9971,4,FALSE),"")))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WayshrineInfo'!$K$3:$L$9971,2,FALSE),"")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WayshrineInfo'!$K$3:$L$9971,2,FALSE),"")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 t="shared" si="43"/>
        <v>[544] = {wayshrines={441,441,441,}, dlcId=DLC_BASE_GAME</v>
      </c>
      <c r="BF482" s="21" t="str">
        <f t="shared" si="44"/>
        <v>, zoneIds={1207,1207,1207}, veteran=false</v>
      </c>
      <c r="BG482" s="21" t="str">
        <f t="shared" si="45"/>
        <v>, setType=LIBSETS_SETTYPE_OVERLAND</v>
      </c>
      <c r="BH482" s="21" t="str">
        <f t="shared" si="46"/>
        <v>, dropMechanic={LIBSETS_DROP_MECHANIC_OVERLAND_BOSS_DELVE,LIBSETS_DROP_MECHANIC_OVERLAND_BOSS_DELVE,LIBSETS_DROP_MECHANIC_OVERLAND_CHEST}</v>
      </c>
      <c r="BI482" s="21" t="str">
        <f t="shared" si="47"/>
        <v>}, --Explosive Rebuke / Explosiver Tadel   [The Reach, The Reach, The Reach]</v>
      </c>
    </row>
    <row r="483" spans="1:61" x14ac:dyDescent="0.25">
      <c r="A483" s="5">
        <v>557</v>
      </c>
      <c r="B483" t="s">
        <v>2231</v>
      </c>
      <c r="C483" t="s">
        <v>2642</v>
      </c>
      <c r="D483" s="3">
        <f t="shared" si="42"/>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WayshrineInfo'!$K$3:$N$9971,4,FALSE),"")))</f>
        <v>Vateshran Hollows</v>
      </c>
      <c r="T483" s="19" t="str">
        <f>IF(AND(S483&lt;&gt;"",NOT(ISERROR(S483))),S483,IF(Q483&lt;&gt;"",IF(NOT(ISERROR(VLOOKUP(Q483,'ESO Dungeon constants'!$D$3:$H$9999,5,FALSE))),VLOOKUP(Q483,'ESO Dungeon constants'!$D$3:$I$9999,6,FALSE),VLOOKUP(Q483,'ESO zone constants'!$H$3:$K$9989,4,FALSE)),""))</f>
        <v>DLC_MARKARTH</v>
      </c>
      <c r="U483" s="3" t="str">
        <f>IF(T483&lt;&gt;"",VLOOKUP(T483,'LibSets constants'!$B$4:$C$1017,2,FALSE),"")</f>
        <v>Markarth</v>
      </c>
      <c r="V483" s="33" t="s">
        <v>1547</v>
      </c>
      <c r="Y483" s="61"/>
      <c r="Z483" s="3">
        <f>IF(AND(G483&lt;&gt;"LIBSETS_SETTYPE_BATTLEGROUND",G483&lt;&gt;"LIBSETS_SETTYPE_SPECIAL"),
IF(AND(Y483&lt;&gt;"",ISNUMBER(Y483),NOT(ISNA(Y483))),Y483,
   IF(AND(L483&lt;&gt;"",ISNUMBER(L483),L483&gt;0,NOT(ISNA(L483))),VLOOKUP(L483,'ESO dumped WayshrineInfo'!$K$3:$L$9971,2,FALSE),"")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WayshrineInfo'!$K$3:$L$9971,2,FALSE),"")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 t="shared" si="43"/>
        <v>[557] = {wayshrines={457,457,457,}, dlcId=DLC_MARKARTH</v>
      </c>
      <c r="BF483" s="21" t="str">
        <f t="shared" si="44"/>
        <v>, zoneIds={1227,1207,1207}, veteran=false</v>
      </c>
      <c r="BG483" s="21" t="str">
        <f t="shared" si="45"/>
        <v>, setType=LIBSETS_SETTYPE_ARENA</v>
      </c>
      <c r="BH483" s="21" t="str">
        <f t="shared" si="46"/>
        <v>, dropMechanic={LIBSETS_DROP_MECHANIC_ARENA_STAGE_CHEST,LIBSETS_DROP_MECHANIC_ARENA_STAGE_CHEST}, perfectedSetId=563</v>
      </c>
      <c r="BI483" s="21" t="str">
        <f t="shared" si="47"/>
        <v>}, --Executioner\'s Blade / Henkersklinge   [Vateshran Hollows, The Reach, The Reach]</v>
      </c>
    </row>
    <row r="484" spans="1:61" x14ac:dyDescent="0.25">
      <c r="A484" s="5">
        <v>558</v>
      </c>
      <c r="B484" t="s">
        <v>2232</v>
      </c>
      <c r="C484" t="s">
        <v>2251</v>
      </c>
      <c r="D484" s="3">
        <f t="shared" si="42"/>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WayshrineInfo'!$K$3:$N$9971,4,FALSE),"")))</f>
        <v>Vateshran Hollows</v>
      </c>
      <c r="T484" s="19" t="str">
        <f>IF(AND(S484&lt;&gt;"",NOT(ISERROR(S484))),S484,IF(Q484&lt;&gt;"",IF(NOT(ISERROR(VLOOKUP(Q484,'ESO Dungeon constants'!$D$3:$H$9999,5,FALSE))),VLOOKUP(Q484,'ESO Dungeon constants'!$D$3:$I$9999,6,FALSE),VLOOKUP(Q484,'ESO zone constants'!$H$3:$K$9989,4,FALSE)),""))</f>
        <v>DLC_MARKARTH</v>
      </c>
      <c r="U484" s="3" t="str">
        <f>IF(T484&lt;&gt;"",VLOOKUP(T484,'LibSets constants'!$B$4:$C$1017,2,FALSE),"")</f>
        <v>Markarth</v>
      </c>
      <c r="V484" s="33" t="s">
        <v>1547</v>
      </c>
      <c r="Y484" s="61"/>
      <c r="Z484" s="3">
        <f>IF(AND(G484&lt;&gt;"LIBSETS_SETTYPE_BATTLEGROUND",G484&lt;&gt;"LIBSETS_SETTYPE_SPECIAL"),
IF(AND(Y484&lt;&gt;"",ISNUMBER(Y484),NOT(ISNA(Y484))),Y484,
   IF(AND(L484&lt;&gt;"",ISNUMBER(L484),L484&gt;0,NOT(ISNA(L484))),VLOOKUP(L484,'ESO dumped WayshrineInfo'!$K$3:$L$9971,2,FALSE),"")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WayshrineInfo'!$K$3:$L$9971,2,FALSE),"")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 t="shared" si="43"/>
        <v>[558] = {wayshrines={457,457,457,}, dlcId=DLC_MARKARTH</v>
      </c>
      <c r="BF484" s="21" t="str">
        <f t="shared" si="44"/>
        <v>, zoneIds={1227,1207,1207}, veteran=false</v>
      </c>
      <c r="BG484" s="21" t="str">
        <f t="shared" si="45"/>
        <v>, setType=LIBSETS_SETTYPE_ARENA</v>
      </c>
      <c r="BH484" s="21" t="str">
        <f t="shared" si="46"/>
        <v>, dropMechanic={LIBSETS_DROP_MECHANIC_ARENA_STAGE_CHEST,LIBSETS_DROP_MECHANIC_ARENA_STAGE_CHEST}, perfectedSetId=564</v>
      </c>
      <c r="BI484" s="21" t="str">
        <f t="shared" si="47"/>
        <v>}, --Void Bash / LeerenWucht   [Vateshran Hollows, The Reach, The Reach]</v>
      </c>
    </row>
    <row r="485" spans="1:61" x14ac:dyDescent="0.25">
      <c r="A485" s="5">
        <v>559</v>
      </c>
      <c r="B485" t="s">
        <v>2233</v>
      </c>
      <c r="C485" t="s">
        <v>2252</v>
      </c>
      <c r="D485" s="3">
        <f t="shared" si="42"/>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WayshrineInfo'!$K$3:$N$9971,4,FALSE),"")))</f>
        <v>Vateshran Hollows</v>
      </c>
      <c r="T485" s="19" t="str">
        <f>IF(AND(S485&lt;&gt;"",NOT(ISERROR(S485))),S485,IF(Q485&lt;&gt;"",IF(NOT(ISERROR(VLOOKUP(Q485,'ESO Dungeon constants'!$D$3:$H$9999,5,FALSE))),VLOOKUP(Q485,'ESO Dungeon constants'!$D$3:$I$9999,6,FALSE),VLOOKUP(Q485,'ESO zone constants'!$H$3:$K$9989,4,FALSE)),""))</f>
        <v>DLC_MARKARTH</v>
      </c>
      <c r="U485" s="3" t="str">
        <f>IF(T485&lt;&gt;"",VLOOKUP(T485,'LibSets constants'!$B$4:$C$1017,2,FALSE),"")</f>
        <v>Markarth</v>
      </c>
      <c r="V485" s="33" t="s">
        <v>1547</v>
      </c>
      <c r="Y485" s="61"/>
      <c r="Z485" s="3">
        <f>IF(AND(G485&lt;&gt;"LIBSETS_SETTYPE_BATTLEGROUND",G485&lt;&gt;"LIBSETS_SETTYPE_SPECIAL"),
IF(AND(Y485&lt;&gt;"",ISNUMBER(Y485),NOT(ISNA(Y485))),Y485,
   IF(AND(L485&lt;&gt;"",ISNUMBER(L485),L485&gt;0,NOT(ISNA(L485))),VLOOKUP(L485,'ESO dumped WayshrineInfo'!$K$3:$L$9971,2,FALSE),"")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WayshrineInfo'!$K$3:$L$9971,2,FALSE),"")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 t="shared" si="43"/>
        <v>[559] = {wayshrines={457,457,457,}, dlcId=DLC_MARKARTH</v>
      </c>
      <c r="BF485" s="21" t="str">
        <f t="shared" si="44"/>
        <v>, zoneIds={1227,1207,1207}, veteran=false</v>
      </c>
      <c r="BG485" s="21" t="str">
        <f t="shared" si="45"/>
        <v>, setType=LIBSETS_SETTYPE_ARENA</v>
      </c>
      <c r="BH485" s="21" t="str">
        <f t="shared" si="46"/>
        <v>, dropMechanic={LIBSETS_DROP_MECHANIC_ARENA_STAGE_CHEST,LIBSETS_DROP_MECHANIC_ARENA_STAGE_CHEST}, perfectedSetId=565</v>
      </c>
      <c r="BI485" s="21" t="str">
        <f t="shared" si="47"/>
        <v>}, --Frenzied Momentum / Tobendes Momentum   [Vateshran Hollows, The Reach, The Reach]</v>
      </c>
    </row>
    <row r="486" spans="1:61" x14ac:dyDescent="0.25">
      <c r="A486" s="5">
        <v>560</v>
      </c>
      <c r="B486" t="s">
        <v>2234</v>
      </c>
      <c r="C486" t="s">
        <v>2253</v>
      </c>
      <c r="D486" s="3">
        <f t="shared" si="42"/>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WayshrineInfo'!$K$3:$N$9971,4,FALSE),"")))</f>
        <v>Vateshran Hollows</v>
      </c>
      <c r="T486" s="19" t="str">
        <f>IF(AND(S486&lt;&gt;"",NOT(ISERROR(S486))),S486,IF(Q486&lt;&gt;"",IF(NOT(ISERROR(VLOOKUP(Q486,'ESO Dungeon constants'!$D$3:$H$9999,5,FALSE))),VLOOKUP(Q486,'ESO Dungeon constants'!$D$3:$I$9999,6,FALSE),VLOOKUP(Q486,'ESO zone constants'!$H$3:$K$9989,4,FALSE)),""))</f>
        <v>DLC_MARKARTH</v>
      </c>
      <c r="U486" s="3" t="str">
        <f>IF(T486&lt;&gt;"",VLOOKUP(T486,'LibSets constants'!$B$4:$C$1017,2,FALSE),"")</f>
        <v>Markarth</v>
      </c>
      <c r="V486" s="33" t="s">
        <v>1547</v>
      </c>
      <c r="Y486" s="61"/>
      <c r="Z486" s="3">
        <f>IF(AND(G486&lt;&gt;"LIBSETS_SETTYPE_BATTLEGROUND",G486&lt;&gt;"LIBSETS_SETTYPE_SPECIAL"),
IF(AND(Y486&lt;&gt;"",ISNUMBER(Y486),NOT(ISNA(Y486))),Y486,
   IF(AND(L486&lt;&gt;"",ISNUMBER(L486),L486&gt;0,NOT(ISNA(L486))),VLOOKUP(L486,'ESO dumped WayshrineInfo'!$K$3:$L$9971,2,FALSE),"")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WayshrineInfo'!$K$3:$L$9971,2,FALSE),"")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 t="shared" si="43"/>
        <v>[560] = {wayshrines={457,457,457,}, dlcId=DLC_MARKARTH</v>
      </c>
      <c r="BF486" s="21" t="str">
        <f t="shared" si="44"/>
        <v>, zoneIds={1227,1207,1207}, veteran=false</v>
      </c>
      <c r="BG486" s="21" t="str">
        <f t="shared" si="45"/>
        <v>, setType=LIBSETS_SETTYPE_ARENA</v>
      </c>
      <c r="BH486" s="21" t="str">
        <f t="shared" si="46"/>
        <v>, dropMechanic={LIBSETS_DROP_MECHANIC_ARENA_STAGE_CHEST,LIBSETS_DROP_MECHANIC_ARENA_STAGE_CHEST}, perfectedSetId=566</v>
      </c>
      <c r="BI486" s="21" t="str">
        <f t="shared" si="47"/>
        <v>}, --Point-Blank Snipe / Volltreffer   [Vateshran Hollows, The Reach, The Reach]</v>
      </c>
    </row>
    <row r="487" spans="1:61" x14ac:dyDescent="0.25">
      <c r="A487" s="5">
        <v>561</v>
      </c>
      <c r="B487" t="s">
        <v>2235</v>
      </c>
      <c r="C487" t="s">
        <v>2254</v>
      </c>
      <c r="D487" s="3">
        <f t="shared" si="42"/>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WayshrineInfo'!$K$3:$N$9971,4,FALSE),"")))</f>
        <v>Vateshran Hollows</v>
      </c>
      <c r="T487" s="19" t="str">
        <f>IF(AND(S487&lt;&gt;"",NOT(ISERROR(S487))),S487,IF(Q487&lt;&gt;"",IF(NOT(ISERROR(VLOOKUP(Q487,'ESO Dungeon constants'!$D$3:$H$9999,5,FALSE))),VLOOKUP(Q487,'ESO Dungeon constants'!$D$3:$I$9999,6,FALSE),VLOOKUP(Q487,'ESO zone constants'!$H$3:$K$9989,4,FALSE)),""))</f>
        <v>DLC_MARKARTH</v>
      </c>
      <c r="U487" s="3" t="str">
        <f>IF(T487&lt;&gt;"",VLOOKUP(T487,'LibSets constants'!$B$4:$C$1017,2,FALSE),"")</f>
        <v>Markarth</v>
      </c>
      <c r="V487" s="33" t="s">
        <v>1547</v>
      </c>
      <c r="Y487" s="61"/>
      <c r="Z487" s="3">
        <f>IF(AND(G487&lt;&gt;"LIBSETS_SETTYPE_BATTLEGROUND",G487&lt;&gt;"LIBSETS_SETTYPE_SPECIAL"),
IF(AND(Y487&lt;&gt;"",ISNUMBER(Y487),NOT(ISNA(Y487))),Y487,
   IF(AND(L487&lt;&gt;"",ISNUMBER(L487),L487&gt;0,NOT(ISNA(L487))),VLOOKUP(L487,'ESO dumped WayshrineInfo'!$K$3:$L$9971,2,FALSE),"")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WayshrineInfo'!$K$3:$L$9971,2,FALSE),"")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 t="shared" si="43"/>
        <v>[561] = {wayshrines={457,457,457,}, dlcId=DLC_MARKARTH</v>
      </c>
      <c r="BF487" s="21" t="str">
        <f t="shared" si="44"/>
        <v>, zoneIds={1227,1207,1207}, veteran=false</v>
      </c>
      <c r="BG487" s="21" t="str">
        <f t="shared" si="45"/>
        <v>, setType=LIBSETS_SETTYPE_ARENA</v>
      </c>
      <c r="BH487" s="21" t="str">
        <f t="shared" si="46"/>
        <v>, dropMechanic={LIBSETS_DROP_MECHANIC_ARENA_STAGE_CHEST,LIBSETS_DROP_MECHANIC_ARENA_STAGE_CHEST}, perfectedSetId=567</v>
      </c>
      <c r="BI487" s="21" t="str">
        <f t="shared" si="47"/>
        <v>}, --Wrath of Elements / Zorn der Elemente   [Vateshran Hollows, The Reach, The Reach]</v>
      </c>
    </row>
    <row r="488" spans="1:61" x14ac:dyDescent="0.25">
      <c r="A488" s="5">
        <v>562</v>
      </c>
      <c r="B488" t="s">
        <v>2236</v>
      </c>
      <c r="C488" t="s">
        <v>2255</v>
      </c>
      <c r="D488" s="3">
        <f t="shared" si="42"/>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WayshrineInfo'!$K$3:$N$9971,4,FALSE),"")))</f>
        <v>Vateshran Hollows</v>
      </c>
      <c r="T488" s="19" t="str">
        <f>IF(AND(S488&lt;&gt;"",NOT(ISERROR(S488))),S488,IF(Q488&lt;&gt;"",IF(NOT(ISERROR(VLOOKUP(Q488,'ESO Dungeon constants'!$D$3:$H$9999,5,FALSE))),VLOOKUP(Q488,'ESO Dungeon constants'!$D$3:$I$9999,6,FALSE),VLOOKUP(Q488,'ESO zone constants'!$H$3:$K$9989,4,FALSE)),""))</f>
        <v>DLC_MARKARTH</v>
      </c>
      <c r="U488" s="3" t="str">
        <f>IF(T488&lt;&gt;"",VLOOKUP(T488,'LibSets constants'!$B$4:$C$1017,2,FALSE),"")</f>
        <v>Markarth</v>
      </c>
      <c r="V488" s="33" t="s">
        <v>1547</v>
      </c>
      <c r="Y488" s="61"/>
      <c r="Z488" s="3">
        <f>IF(AND(G488&lt;&gt;"LIBSETS_SETTYPE_BATTLEGROUND",G488&lt;&gt;"LIBSETS_SETTYPE_SPECIAL"),
IF(AND(Y488&lt;&gt;"",ISNUMBER(Y488),NOT(ISNA(Y488))),Y488,
   IF(AND(L488&lt;&gt;"",ISNUMBER(L488),L488&gt;0,NOT(ISNA(L488))),VLOOKUP(L488,'ESO dumped WayshrineInfo'!$K$3:$L$9971,2,FALSE),"")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WayshrineInfo'!$K$3:$L$9971,2,FALSE),"")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 t="shared" si="43"/>
        <v>[562] = {wayshrines={457,457,457,}, dlcId=DLC_MARKARTH</v>
      </c>
      <c r="BF488" s="21" t="str">
        <f t="shared" si="44"/>
        <v>, zoneIds={1227,1207,1207}, veteran=false</v>
      </c>
      <c r="BG488" s="21" t="str">
        <f t="shared" si="45"/>
        <v>, setType=LIBSETS_SETTYPE_ARENA</v>
      </c>
      <c r="BH488" s="21" t="str">
        <f t="shared" si="46"/>
        <v>, dropMechanic={LIBSETS_DROP_MECHANIC_ARENA_STAGE_CHEST,LIBSETS_DROP_MECHANIC_ARENA_STAGE_CHEST}, perfectedSetId=568</v>
      </c>
      <c r="BI488" s="21" t="str">
        <f t="shared" si="47"/>
        <v>}, --Force Overflow / Machtüberschuss   [Vateshran Hollows, The Reach, The Reach]</v>
      </c>
    </row>
    <row r="489" spans="1:61" x14ac:dyDescent="0.25">
      <c r="A489" s="5">
        <v>563</v>
      </c>
      <c r="B489" t="s">
        <v>2239</v>
      </c>
      <c r="C489" t="s">
        <v>2643</v>
      </c>
      <c r="D489" s="3">
        <f t="shared" si="42"/>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WayshrineInfo'!$K$3:$N$9971,4,FALSE),"")))</f>
        <v>Vateshran Hollows</v>
      </c>
      <c r="T489" s="19" t="str">
        <f>IF(AND(S489&lt;&gt;"",NOT(ISERROR(S489))),S489,IF(Q489&lt;&gt;"",IF(NOT(ISERROR(VLOOKUP(Q489,'ESO Dungeon constants'!$D$3:$H$9999,5,FALSE))),VLOOKUP(Q489,'ESO Dungeon constants'!$D$3:$I$9999,6,FALSE),VLOOKUP(Q489,'ESO zone constants'!$H$3:$K$9989,4,FALSE)),""))</f>
        <v>DLC_MARKARTH</v>
      </c>
      <c r="U489" s="3" t="str">
        <f>IF(T489&lt;&gt;"",VLOOKUP(T489,'LibSets constants'!$B$4:$C$1017,2,FALSE),"")</f>
        <v>Markarth</v>
      </c>
      <c r="V489" s="33" t="s">
        <v>1547</v>
      </c>
      <c r="Y489" s="61"/>
      <c r="Z489" s="3">
        <f>IF(AND(G489&lt;&gt;"LIBSETS_SETTYPE_BATTLEGROUND",G489&lt;&gt;"LIBSETS_SETTYPE_SPECIAL"),
IF(AND(Y489&lt;&gt;"",ISNUMBER(Y489),NOT(ISNA(Y489))),Y489,
   IF(AND(L489&lt;&gt;"",ISNUMBER(L489),L489&gt;0,NOT(ISNA(L489))),VLOOKUP(L489,'ESO dumped WayshrineInfo'!$K$3:$L$9971,2,FALSE),"")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WayshrineInfo'!$K$3:$L$9971,2,FALSE),"")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 t="shared" si="43"/>
        <v>[563] = {wayshrines={457,457,457,}, dlcId=DLC_MARKARTH</v>
      </c>
      <c r="BF489" s="21" t="str">
        <f t="shared" si="44"/>
        <v>, zoneIds={1227,1207,1207}, veteran=true</v>
      </c>
      <c r="BG489" s="21" t="str">
        <f t="shared" si="45"/>
        <v>, setType=LIBSETS_SETTYPE_ARENA</v>
      </c>
      <c r="BH489" s="21" t="str">
        <f t="shared" si="46"/>
        <v>, dropMechanic={LIBSETS_DROP_MECHANIC_ARENA_STAGE_CHEST,LIBSETS_DROP_MECHANIC_ARENA_STAGE_CHEST}, isPerfectedSet=1</v>
      </c>
      <c r="BI489" s="21" t="str">
        <f t="shared" si="47"/>
        <v>}, --Perfected Executioner\'s Blade / Perfektionierte Klinge des Henkers   [Vateshran Hollows, The Reach, The Reach]</v>
      </c>
    </row>
    <row r="490" spans="1:61" x14ac:dyDescent="0.25">
      <c r="A490" s="5">
        <v>564</v>
      </c>
      <c r="B490" t="s">
        <v>2240</v>
      </c>
      <c r="C490" t="s">
        <v>2256</v>
      </c>
      <c r="D490" s="3">
        <f t="shared" si="42"/>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WayshrineInfo'!$K$3:$N$9971,4,FALSE),"")))</f>
        <v>Vateshran Hollows</v>
      </c>
      <c r="T490" s="19" t="str">
        <f>IF(AND(S490&lt;&gt;"",NOT(ISERROR(S490))),S490,IF(Q490&lt;&gt;"",IF(NOT(ISERROR(VLOOKUP(Q490,'ESO Dungeon constants'!$D$3:$H$9999,5,FALSE))),VLOOKUP(Q490,'ESO Dungeon constants'!$D$3:$I$9999,6,FALSE),VLOOKUP(Q490,'ESO zone constants'!$H$3:$K$9989,4,FALSE)),""))</f>
        <v>DLC_MARKARTH</v>
      </c>
      <c r="U490" s="3" t="str">
        <f>IF(T490&lt;&gt;"",VLOOKUP(T490,'LibSets constants'!$B$4:$C$1017,2,FALSE),"")</f>
        <v>Markarth</v>
      </c>
      <c r="V490" s="33" t="s">
        <v>1547</v>
      </c>
      <c r="Y490" s="61"/>
      <c r="Z490" s="3">
        <f>IF(AND(G490&lt;&gt;"LIBSETS_SETTYPE_BATTLEGROUND",G490&lt;&gt;"LIBSETS_SETTYPE_SPECIAL"),
IF(AND(Y490&lt;&gt;"",ISNUMBER(Y490),NOT(ISNA(Y490))),Y490,
   IF(AND(L490&lt;&gt;"",ISNUMBER(L490),L490&gt;0,NOT(ISNA(L490))),VLOOKUP(L490,'ESO dumped WayshrineInfo'!$K$3:$L$9971,2,FALSE),"")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WayshrineInfo'!$K$3:$L$9971,2,FALSE),"")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 t="shared" si="43"/>
        <v>[564] = {wayshrines={457,457,457,}, dlcId=DLC_MARKARTH</v>
      </c>
      <c r="BF490" s="21" t="str">
        <f t="shared" si="44"/>
        <v>, zoneIds={1227,1207,1207}, veteran=true</v>
      </c>
      <c r="BG490" s="21" t="str">
        <f t="shared" si="45"/>
        <v>, setType=LIBSETS_SETTYPE_ARENA</v>
      </c>
      <c r="BH490" s="21" t="str">
        <f t="shared" si="46"/>
        <v>, dropMechanic={LIBSETS_DROP_MECHANIC_ARENA_STAGE_CHEST,LIBSETS_DROP_MECHANIC_ARENA_STAGE_CHEST}, isPerfectedSet=1</v>
      </c>
      <c r="BI490" s="21" t="str">
        <f t="shared" si="47"/>
        <v>}, --Perfected Void Bash / Perfektionierte Leerenwucht   [Vateshran Hollows, The Reach, The Reach]</v>
      </c>
    </row>
    <row r="491" spans="1:61" x14ac:dyDescent="0.25">
      <c r="A491" s="5">
        <v>565</v>
      </c>
      <c r="B491" t="s">
        <v>2241</v>
      </c>
      <c r="C491" t="s">
        <v>2257</v>
      </c>
      <c r="D491" s="3">
        <f t="shared" si="42"/>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WayshrineInfo'!$K$3:$N$9971,4,FALSE),"")))</f>
        <v>Vateshran Hollows</v>
      </c>
      <c r="T491" s="19" t="str">
        <f>IF(AND(S491&lt;&gt;"",NOT(ISERROR(S491))),S491,IF(Q491&lt;&gt;"",IF(NOT(ISERROR(VLOOKUP(Q491,'ESO Dungeon constants'!$D$3:$H$9999,5,FALSE))),VLOOKUP(Q491,'ESO Dungeon constants'!$D$3:$I$9999,6,FALSE),VLOOKUP(Q491,'ESO zone constants'!$H$3:$K$9989,4,FALSE)),""))</f>
        <v>DLC_MARKARTH</v>
      </c>
      <c r="U491" s="3" t="str">
        <f>IF(T491&lt;&gt;"",VLOOKUP(T491,'LibSets constants'!$B$4:$C$1017,2,FALSE),"")</f>
        <v>Markarth</v>
      </c>
      <c r="V491" s="33" t="s">
        <v>1547</v>
      </c>
      <c r="Y491" s="61"/>
      <c r="Z491" s="3">
        <f>IF(AND(G491&lt;&gt;"LIBSETS_SETTYPE_BATTLEGROUND",G491&lt;&gt;"LIBSETS_SETTYPE_SPECIAL"),
IF(AND(Y491&lt;&gt;"",ISNUMBER(Y491),NOT(ISNA(Y491))),Y491,
   IF(AND(L491&lt;&gt;"",ISNUMBER(L491),L491&gt;0,NOT(ISNA(L491))),VLOOKUP(L491,'ESO dumped WayshrineInfo'!$K$3:$L$9971,2,FALSE),"")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WayshrineInfo'!$K$3:$L$9971,2,FALSE),"")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 t="shared" si="43"/>
        <v>[565] = {wayshrines={457,457,457,}, dlcId=DLC_MARKARTH</v>
      </c>
      <c r="BF491" s="21" t="str">
        <f t="shared" si="44"/>
        <v>, zoneIds={1227,1207,1207}, veteran=true</v>
      </c>
      <c r="BG491" s="21" t="str">
        <f t="shared" si="45"/>
        <v>, setType=LIBSETS_SETTYPE_ARENA</v>
      </c>
      <c r="BH491" s="21" t="str">
        <f t="shared" si="46"/>
        <v>, dropMechanic={LIBSETS_DROP_MECHANIC_ARENA_STAGE_CHEST,LIBSETS_DROP_MECHANIC_ARENA_STAGE_CHEST}, isPerfectedSet=1</v>
      </c>
      <c r="BI491" s="21" t="str">
        <f t="shared" si="47"/>
        <v>}, --Perfected Frenzied Momentum / Perfektioniertes tobendes Momentum   [Vateshran Hollows, The Reach, The Reach]</v>
      </c>
    </row>
    <row r="492" spans="1:61" x14ac:dyDescent="0.25">
      <c r="A492" s="5">
        <v>566</v>
      </c>
      <c r="B492" t="s">
        <v>2242</v>
      </c>
      <c r="C492" t="s">
        <v>2258</v>
      </c>
      <c r="D492" s="3">
        <f t="shared" si="42"/>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WayshrineInfo'!$K$3:$N$9971,4,FALSE),"")))</f>
        <v>Vateshran Hollows</v>
      </c>
      <c r="T492" s="19" t="str">
        <f>IF(AND(S492&lt;&gt;"",NOT(ISERROR(S492))),S492,IF(Q492&lt;&gt;"",IF(NOT(ISERROR(VLOOKUP(Q492,'ESO Dungeon constants'!$D$3:$H$9999,5,FALSE))),VLOOKUP(Q492,'ESO Dungeon constants'!$D$3:$I$9999,6,FALSE),VLOOKUP(Q492,'ESO zone constants'!$H$3:$K$9989,4,FALSE)),""))</f>
        <v>DLC_MARKARTH</v>
      </c>
      <c r="U492" s="3" t="str">
        <f>IF(T492&lt;&gt;"",VLOOKUP(T492,'LibSets constants'!$B$4:$C$1017,2,FALSE),"")</f>
        <v>Markarth</v>
      </c>
      <c r="V492" s="33" t="s">
        <v>1547</v>
      </c>
      <c r="Y492" s="61"/>
      <c r="Z492" s="3">
        <f>IF(AND(G492&lt;&gt;"LIBSETS_SETTYPE_BATTLEGROUND",G492&lt;&gt;"LIBSETS_SETTYPE_SPECIAL"),
IF(AND(Y492&lt;&gt;"",ISNUMBER(Y492),NOT(ISNA(Y492))),Y492,
   IF(AND(L492&lt;&gt;"",ISNUMBER(L492),L492&gt;0,NOT(ISNA(L492))),VLOOKUP(L492,'ESO dumped WayshrineInfo'!$K$3:$L$9971,2,FALSE),"")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WayshrineInfo'!$K$3:$L$9971,2,FALSE),"")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 t="shared" si="43"/>
        <v>[566] = {wayshrines={457,457,457,}, dlcId=DLC_MARKARTH</v>
      </c>
      <c r="BF492" s="21" t="str">
        <f t="shared" si="44"/>
        <v>, zoneIds={1227,1207,1207}, veteran=true</v>
      </c>
      <c r="BG492" s="21" t="str">
        <f t="shared" si="45"/>
        <v>, setType=LIBSETS_SETTYPE_ARENA</v>
      </c>
      <c r="BH492" s="21" t="str">
        <f t="shared" si="46"/>
        <v>, dropMechanic={LIBSETS_DROP_MECHANIC_ARENA_STAGE_CHEST,LIBSETS_DROP_MECHANIC_ARENA_STAGE_CHEST}, isPerfectedSet=1</v>
      </c>
      <c r="BI492" s="21" t="str">
        <f t="shared" si="47"/>
        <v>}, --Perfected Point-Blank Snipe / Perfektionierter Volltreffer   [Vateshran Hollows, The Reach, The Reach]</v>
      </c>
    </row>
    <row r="493" spans="1:61" x14ac:dyDescent="0.25">
      <c r="A493" s="5">
        <v>567</v>
      </c>
      <c r="B493" t="s">
        <v>2243</v>
      </c>
      <c r="C493" t="s">
        <v>2259</v>
      </c>
      <c r="D493" s="3">
        <f t="shared" si="42"/>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WayshrineInfo'!$K$3:$N$9971,4,FALSE),"")))</f>
        <v>Vateshran Hollows</v>
      </c>
      <c r="T493" s="19" t="str">
        <f>IF(AND(S493&lt;&gt;"",NOT(ISERROR(S493))),S493,IF(Q493&lt;&gt;"",IF(NOT(ISERROR(VLOOKUP(Q493,'ESO Dungeon constants'!$D$3:$H$9999,5,FALSE))),VLOOKUP(Q493,'ESO Dungeon constants'!$D$3:$I$9999,6,FALSE),VLOOKUP(Q493,'ESO zone constants'!$H$3:$K$9989,4,FALSE)),""))</f>
        <v>DLC_MARKARTH</v>
      </c>
      <c r="U493" s="3" t="str">
        <f>IF(T493&lt;&gt;"",VLOOKUP(T493,'LibSets constants'!$B$4:$C$1017,2,FALSE),"")</f>
        <v>Markarth</v>
      </c>
      <c r="V493" s="33" t="s">
        <v>1547</v>
      </c>
      <c r="Y493" s="61"/>
      <c r="Z493" s="3">
        <f>IF(AND(G493&lt;&gt;"LIBSETS_SETTYPE_BATTLEGROUND",G493&lt;&gt;"LIBSETS_SETTYPE_SPECIAL"),
IF(AND(Y493&lt;&gt;"",ISNUMBER(Y493),NOT(ISNA(Y493))),Y493,
   IF(AND(L493&lt;&gt;"",ISNUMBER(L493),L493&gt;0,NOT(ISNA(L493))),VLOOKUP(L493,'ESO dumped WayshrineInfo'!$K$3:$L$9971,2,FALSE),"")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WayshrineInfo'!$K$3:$L$9971,2,FALSE),"")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 t="shared" si="43"/>
        <v>[567] = {wayshrines={457,457,457,}, dlcId=DLC_MARKARTH</v>
      </c>
      <c r="BF493" s="21" t="str">
        <f t="shared" si="44"/>
        <v>, zoneIds={1227,1207,1207}, veteran=true</v>
      </c>
      <c r="BG493" s="21" t="str">
        <f t="shared" si="45"/>
        <v>, setType=LIBSETS_SETTYPE_ARENA</v>
      </c>
      <c r="BH493" s="21" t="str">
        <f t="shared" si="46"/>
        <v>, dropMechanic={LIBSETS_DROP_MECHANIC_ARENA_STAGE_CHEST,LIBSETS_DROP_MECHANIC_ARENA_STAGE_CHEST}, isPerfectedSet=1</v>
      </c>
      <c r="BI493" s="21" t="str">
        <f t="shared" si="47"/>
        <v>}, --Perfected Wrath of Elements / Perfektionierter Zorn der Elemente   [Vateshran Hollows, The Reach, The Reach]</v>
      </c>
    </row>
    <row r="494" spans="1:61" x14ac:dyDescent="0.25">
      <c r="A494" s="5">
        <v>568</v>
      </c>
      <c r="B494" t="s">
        <v>2244</v>
      </c>
      <c r="C494" t="s">
        <v>2260</v>
      </c>
      <c r="D494" s="3">
        <f t="shared" si="42"/>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WayshrineInfo'!$K$3:$N$9971,4,FALSE),"")))</f>
        <v>Vateshran Hollows</v>
      </c>
      <c r="T494" s="19" t="str">
        <f>IF(AND(S494&lt;&gt;"",NOT(ISERROR(S494))),S494,IF(Q494&lt;&gt;"",IF(NOT(ISERROR(VLOOKUP(Q494,'ESO Dungeon constants'!$D$3:$H$9999,5,FALSE))),VLOOKUP(Q494,'ESO Dungeon constants'!$D$3:$I$9999,6,FALSE),VLOOKUP(Q494,'ESO zone constants'!$H$3:$K$9989,4,FALSE)),""))</f>
        <v>DLC_MARKARTH</v>
      </c>
      <c r="U494" s="3" t="str">
        <f>IF(T494&lt;&gt;"",VLOOKUP(T494,'LibSets constants'!$B$4:$C$1017,2,FALSE),"")</f>
        <v>Markarth</v>
      </c>
      <c r="V494" s="33" t="s">
        <v>1547</v>
      </c>
      <c r="Y494" s="61"/>
      <c r="Z494" s="3">
        <f>IF(AND(G494&lt;&gt;"LIBSETS_SETTYPE_BATTLEGROUND",G494&lt;&gt;"LIBSETS_SETTYPE_SPECIAL"),
IF(AND(Y494&lt;&gt;"",ISNUMBER(Y494),NOT(ISNA(Y494))),Y494,
   IF(AND(L494&lt;&gt;"",ISNUMBER(L494),L494&gt;0,NOT(ISNA(L494))),VLOOKUP(L494,'ESO dumped WayshrineInfo'!$K$3:$L$9971,2,FALSE),"")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WayshrineInfo'!$K$3:$L$9971,2,FALSE),"")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 t="shared" si="43"/>
        <v>[568] = {wayshrines={457,457,457,}, dlcId=DLC_MARKARTH</v>
      </c>
      <c r="BF494" s="21" t="str">
        <f t="shared" si="44"/>
        <v>, zoneIds={1227,1207,1207}, veteran=true</v>
      </c>
      <c r="BG494" s="21" t="str">
        <f t="shared" si="45"/>
        <v>, setType=LIBSETS_SETTYPE_ARENA</v>
      </c>
      <c r="BH494" s="21" t="str">
        <f t="shared" si="46"/>
        <v>, dropMechanic={LIBSETS_DROP_MECHANIC_ARENA_STAGE_CHEST,LIBSETS_DROP_MECHANIC_ARENA_STAGE_CHEST}, isPerfectedSet=1</v>
      </c>
      <c r="BI494" s="21" t="str">
        <f t="shared" si="47"/>
        <v>}, --Perfected Force Overflow / Perfektionierter Machtüberschuss   [Vateshran Hollows, The Reach, The Reach]</v>
      </c>
    </row>
    <row r="495" spans="1:61" x14ac:dyDescent="0.25">
      <c r="A495" s="5">
        <v>569</v>
      </c>
      <c r="B495" t="s">
        <v>2396</v>
      </c>
      <c r="C495" t="s">
        <v>2381</v>
      </c>
      <c r="D495" s="3">
        <f t="shared" si="42"/>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WayshrineInfo'!$K$3:$N$9971,4,FALSE),"")))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WayshrineInfo'!$K$3:$L$9971,2,FALSE),"")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WayshrineInfo'!$K$3:$L$9971,2,FALSE),"")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 t="shared" si="43"/>
        <v>[569] = {wayshrines={437,437,437,}, dlcId=DLC_FLAMES_OF_AMBITION</v>
      </c>
      <c r="BF495" s="21" t="str">
        <f t="shared" si="44"/>
        <v>, zoneIds={1228,823,823}, veteran=false</v>
      </c>
      <c r="BG495" s="21" t="str">
        <f t="shared" si="45"/>
        <v>, setType=LIBSETS_SETTYPE_DUNGEON</v>
      </c>
      <c r="BH495" s="21" t="str">
        <f t="shared" si="46"/>
        <v>, dropMechanic={LIBSETS_DROP_MECHANIC_GROUP_DUNGEON_BOSS}</v>
      </c>
      <c r="BI495" s="21" t="str">
        <f t="shared" si="47"/>
        <v>}, --True-Sworn Fury  / Wahrgeschworenen-Raserei   [Black Drake Villa, Gold Coast, Gold Coast]</v>
      </c>
    </row>
    <row r="496" spans="1:61" x14ac:dyDescent="0.25">
      <c r="A496" s="5">
        <v>570</v>
      </c>
      <c r="B496" t="s">
        <v>2397</v>
      </c>
      <c r="C496" t="s">
        <v>2741</v>
      </c>
      <c r="D496" s="3">
        <f t="shared" si="42"/>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WayshrineInfo'!$K$3:$N$9971,4,FALSE),"")))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WayshrineInfo'!$K$3:$L$9971,2,FALSE),"")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WayshrineInfo'!$K$3:$L$9971,2,FALSE),"")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 t="shared" si="43"/>
        <v>[570] = {wayshrines={437,437,437,}, dlcId=DLC_FLAMES_OF_AMBITION</v>
      </c>
      <c r="BF496" s="21" t="str">
        <f t="shared" si="44"/>
        <v>, zoneIds={1228,823,823}, veteran=false</v>
      </c>
      <c r="BG496" s="21" t="str">
        <f t="shared" si="45"/>
        <v>, setType=LIBSETS_SETTYPE_DUNGEON</v>
      </c>
      <c r="BH496" s="21" t="str">
        <f t="shared" si="46"/>
        <v>, dropMechanic={LIBSETS_DROP_MECHANIC_GROUP_DUNGEON_BOSS}</v>
      </c>
      <c r="BI496" s="21" t="str">
        <f t="shared" si="47"/>
        <v>}, --Kinras\'s Wrath / Kinra's Zorn   [Black Drake Villa, Gold Coast, Gold Coast]</v>
      </c>
    </row>
    <row r="497" spans="1:61" x14ac:dyDescent="0.25">
      <c r="A497" s="5">
        <v>571</v>
      </c>
      <c r="B497" t="s">
        <v>2398</v>
      </c>
      <c r="C497" t="s">
        <v>2740</v>
      </c>
      <c r="D497" s="3">
        <f t="shared" si="42"/>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WayshrineInfo'!$K$3:$N$9971,4,FALSE),"")))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WayshrineInfo'!$K$3:$L$9971,2,FALSE),"")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WayshrineInfo'!$K$3:$L$9971,2,FALSE),"")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 t="shared" si="43"/>
        <v>[571] = {wayshrines={437,437,437,}, dlcId=DLC_FLAMES_OF_AMBITION</v>
      </c>
      <c r="BF497" s="21" t="str">
        <f t="shared" si="44"/>
        <v>, zoneIds={1228,823,823}, veteran=false</v>
      </c>
      <c r="BG497" s="21" t="str">
        <f t="shared" si="45"/>
        <v>, setType=LIBSETS_SETTYPE_DUNGEON</v>
      </c>
      <c r="BH497" s="21" t="str">
        <f t="shared" si="46"/>
        <v>, dropMechanic={LIBSETS_DROP_MECHANIC_GROUP_DUNGEON_BOSS}</v>
      </c>
      <c r="BI497" s="21" t="str">
        <f t="shared" si="47"/>
        <v>}, --Drake\'s Rush / Dracheneile   [Black Drake Villa, Gold Coast, Gold Coast]</v>
      </c>
    </row>
    <row r="498" spans="1:61" x14ac:dyDescent="0.25">
      <c r="A498" s="5">
        <v>572</v>
      </c>
      <c r="B498" t="s">
        <v>2399</v>
      </c>
      <c r="C498" t="s">
        <v>2382</v>
      </c>
      <c r="D498" s="3">
        <f t="shared" si="42"/>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WayshrineInfo'!$K$3:$N$9971,4,FALSE),"")))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WayshrineInfo'!$K$3:$L$9971,2,FALSE),"")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WayshrineInfo'!$K$3:$L$9971,2,FALSE),"")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 t="shared" si="43"/>
        <v>[572] = {wayshrines={454,454,454,}, dlcId=DLC_BLACKWOOD</v>
      </c>
      <c r="BF498" s="21" t="str">
        <f t="shared" si="44"/>
        <v>, zoneIds={1229,57,57}, veteran=false</v>
      </c>
      <c r="BG498" s="21" t="str">
        <f t="shared" si="45"/>
        <v>, setType=LIBSETS_SETTYPE_DUNGEON</v>
      </c>
      <c r="BH498" s="21" t="str">
        <f t="shared" si="46"/>
        <v>, dropMechanic={LIBSETS_DROP_MECHANIC_GROUP_DUNGEON_BOSS}</v>
      </c>
      <c r="BI498" s="21" t="str">
        <f t="shared" si="47"/>
        <v>}, --Unleashed Ritualist / Entfesselter Ritualist   [The Cauldron, Deshaan, Deshaan]</v>
      </c>
    </row>
    <row r="499" spans="1:61" x14ac:dyDescent="0.25">
      <c r="A499" s="5">
        <v>573</v>
      </c>
      <c r="B499" t="s">
        <v>2400</v>
      </c>
      <c r="C499" t="s">
        <v>2736</v>
      </c>
      <c r="D499" s="3">
        <f t="shared" si="42"/>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WayshrineInfo'!$K$3:$N$9971,4,FALSE),"")))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WayshrineInfo'!$K$3:$L$9971,2,FALSE),"")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WayshrineInfo'!$K$3:$L$9971,2,FALSE),"")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 t="shared" si="43"/>
        <v>[573] = {wayshrines={454,454,454,}, dlcId=DLC_BLACKWOOD</v>
      </c>
      <c r="BF499" s="21" t="str">
        <f t="shared" si="44"/>
        <v>, zoneIds={1229,57,57}, veteran=false</v>
      </c>
      <c r="BG499" s="21" t="str">
        <f t="shared" si="45"/>
        <v>, setType=LIBSETS_SETTYPE_DUNGEON</v>
      </c>
      <c r="BH499" s="21" t="str">
        <f t="shared" si="46"/>
        <v>, isProcSetAllowedInPvP=1, dropMechanic={LIBSETS_DROP_MECHANIC_GROUP_DUNGEON_BOSS}</v>
      </c>
      <c r="BI499" s="21" t="str">
        <f t="shared" si="47"/>
        <v>}, --Dagon\'s Dominion / Dagons Herrschaft   [The Cauldron, Deshaan, Deshaan]</v>
      </c>
    </row>
    <row r="500" spans="1:61" x14ac:dyDescent="0.25">
      <c r="A500" s="5">
        <v>574</v>
      </c>
      <c r="B500" t="s">
        <v>2401</v>
      </c>
      <c r="C500" t="s">
        <v>2737</v>
      </c>
      <c r="D500" s="3">
        <f t="shared" si="42"/>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WayshrineInfo'!$K$3:$N$9971,4,FALSE),"")))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WayshrineInfo'!$K$3:$L$9971,2,FALSE),"")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WayshrineInfo'!$K$3:$L$9971,2,FALSE),"")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 t="shared" si="43"/>
        <v>[574] = {wayshrines={454,454,454,}, dlcId=DLC_BLACKWOOD</v>
      </c>
      <c r="BF500" s="21" t="str">
        <f t="shared" si="44"/>
        <v>, zoneIds={1229,57,57}, veteran=false</v>
      </c>
      <c r="BG500" s="21" t="str">
        <f t="shared" si="45"/>
        <v>, setType=LIBSETS_SETTYPE_DUNGEON</v>
      </c>
      <c r="BH500" s="21" t="str">
        <f t="shared" si="46"/>
        <v>, dropMechanic={LIBSETS_DROP_MECHANIC_GROUP_DUNGEON_BOSS}</v>
      </c>
      <c r="BI500" s="21" t="str">
        <f t="shared" si="47"/>
        <v>}, --Foolkiller\'s Ward / Schutz des Narrentöters   [The Cauldron, Deshaan, Deshaan]</v>
      </c>
    </row>
    <row r="501" spans="1:61" x14ac:dyDescent="0.25">
      <c r="A501" s="5">
        <v>575</v>
      </c>
      <c r="B501" t="s">
        <v>2237</v>
      </c>
      <c r="C501" t="s">
        <v>2219</v>
      </c>
      <c r="D501" s="3">
        <f t="shared" si="42"/>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WayshrineInfo'!$K$3:$N$9971,4,FALSE),"")))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WayshrineInfo'!$K$3:$L$9971,2,FALSE),"")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WayshrineInfo'!$K$3:$L$9971,2,FALSE),"")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 t="shared" si="43"/>
        <v>[575] = {wayshrines={240,137,62,}, dlcId=DLC_MARKARTH</v>
      </c>
      <c r="BF501" s="21" t="str">
        <f t="shared" si="44"/>
        <v>, zoneIds={684,104,284,1224,92}, veteran=false</v>
      </c>
      <c r="BG501" s="21" t="str">
        <f t="shared" si="45"/>
        <v>, setType=LIBSETS_SETTYPE_MYTHIC</v>
      </c>
      <c r="BH501" s="21"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47"/>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2"/>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WayshrineInfo'!$K$3:$N$9971,4,FALSE),"")))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WayshrineInfo'!$K$3:$L$9971,2,FALSE),"")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WayshrineInfo'!$K$3:$L$9971,2,FALSE),"")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 t="shared" si="43"/>
        <v>[576] = {wayshrines={176,169,449,}, dlcId=DLC_MARKARTH</v>
      </c>
      <c r="BF502" s="21" t="str">
        <f t="shared" si="44"/>
        <v>, zoneIds={381,124,1207,380,932}, veteran=false</v>
      </c>
      <c r="BG502" s="21" t="str">
        <f t="shared" si="45"/>
        <v>, setType=LIBSETS_SETTYPE_MYTHIC</v>
      </c>
      <c r="BH502" s="21"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47"/>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2"/>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WayshrineInfo'!$K$3:$N$9971,4,FALSE),"")))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WayshrineInfo'!$K$3:$L$9971,2,FALSE),"")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WayshrineInfo'!$K$3:$L$9971,2,FALSE),"")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 t="shared" si="43"/>
        <v>[577] = {wayshrines={437,437,437,}, dlcId=DLC_FLAMES_OF_AMBITION</v>
      </c>
      <c r="BF503" s="21" t="str">
        <f t="shared" si="44"/>
        <v>, zoneIds={1228,823,823}, veteran={[EQUIP_TYPE_HEAD]=true, [EQUIP_TYPE_SHOULDERS]=false}</v>
      </c>
      <c r="BG503" s="21" t="str">
        <f t="shared" si="45"/>
        <v>, setType=LIBSETS_SETTYPE_MONSTER, undauntedChestId=3</v>
      </c>
      <c r="BH503" s="21" t="str">
        <f t="shared" si="46"/>
        <v>, dropMechanic={LIBSETS_DROP_MECHANIC_MONSTER_NAME}, dropMechanicDropLocationNames={['en']={'Encrati\'s Behemoth','','','','','',},['de']={'Encrati\'s Behemoth','','','','','',},}</v>
      </c>
      <c r="BI503" s="21" t="str">
        <f t="shared" si="47"/>
        <v>}, --Encrati\'s Behemoth / Encrati\'s Behemoth   [Black Drake Villa, Gold Coast, Gold Coast]</v>
      </c>
    </row>
    <row r="504" spans="1:61" x14ac:dyDescent="0.25">
      <c r="A504" s="5">
        <v>578</v>
      </c>
      <c r="B504" t="s">
        <v>2383</v>
      </c>
      <c r="C504" t="s">
        <v>2383</v>
      </c>
      <c r="D504" s="3">
        <f t="shared" si="42"/>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WayshrineInfo'!$K$3:$N$9971,4,FALSE),"")))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WayshrineInfo'!$K$3:$L$9971,2,FALSE),"")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WayshrineInfo'!$K$3:$L$9971,2,FALSE),"")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 t="shared" si="43"/>
        <v>[578] = {wayshrines={454,454,454,}, dlcId=DLC_BLACKWOOD</v>
      </c>
      <c r="BF504" s="21" t="str">
        <f t="shared" si="44"/>
        <v>, zoneIds={1229,57,57}, veteran={[EQUIP_TYPE_HEAD]=true, [EQUIP_TYPE_SHOULDERS]=false}</v>
      </c>
      <c r="BG504" s="21" t="str">
        <f t="shared" si="45"/>
        <v>, setType=LIBSETS_SETTYPE_MONSTER, undauntedChestId=3</v>
      </c>
      <c r="BH504" s="21" t="str">
        <f t="shared" si="46"/>
        <v>, dropMechanic={LIBSETS_DROP_MECHANIC_MONSTER_NAME}, dropMechanicDropLocationNames={['en']={'Baron Zaudrus','','','','','',},['de']={'Baron Zaudrus','','','','','',},}</v>
      </c>
      <c r="BI504" s="21" t="str">
        <f t="shared" si="47"/>
        <v>}, --Baron Zaudrus / Baron Zaudrus   [The Cauldron, Deshaan, Deshaan]</v>
      </c>
    </row>
    <row r="505" spans="1:61" x14ac:dyDescent="0.25">
      <c r="A505" s="5">
        <v>579</v>
      </c>
      <c r="B505" t="s">
        <v>2456</v>
      </c>
      <c r="C505" t="s">
        <v>2455</v>
      </c>
      <c r="D505" s="3">
        <f t="shared" si="42"/>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WayshrineInfo'!$K$3:$N$9971,4,FALSE),"")))</f>
        <v>Blackwood</v>
      </c>
      <c r="T505" s="19" t="str">
        <f>IF(AND(S505&lt;&gt;"",NOT(ISERROR(S505))),S505,IF(Q505&lt;&gt;"",IF(NOT(ISERROR(VLOOKUP(Q505,'ESO Dungeon constants'!$D$3:$H$9999,5,FALSE))),VLOOKUP(Q505,'ESO Dungeon constants'!$D$3:$I$9999,6,FALSE),VLOOKUP(Q505,'ESO zone constants'!$H$3:$K$9989,4,FALSE)),""))</f>
        <v>DLC_ELSWEYR</v>
      </c>
      <c r="U505" s="3" t="str">
        <f>IF(T505&lt;&gt;"",VLOOKUP(T505,'LibSets constants'!$B$4:$C$1017,2,FALSE),"")</f>
        <v>Elsweyr</v>
      </c>
      <c r="V505" s="33" t="s">
        <v>1551</v>
      </c>
      <c r="Y505" s="61"/>
      <c r="Z505" s="3">
        <f>IF(AND(G505&lt;&gt;"LIBSETS_SETTYPE_BATTLEGROUND",G505&lt;&gt;"LIBSETS_SETTYPE_SPECIAL"),
IF(AND(Y505&lt;&gt;"",ISNUMBER(Y505),NOT(ISNA(Y505))),Y505,
   IF(AND(L505&lt;&gt;"",ISNUMBER(L505),L505&gt;0,NOT(ISNA(L505))),VLOOKUP(L505,'ESO dumped WayshrineInfo'!$K$3:$L$9971,2,FALSE),"")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WayshrineInfo'!$K$3:$L$9971,2,FALSE),"")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 t="shared" si="43"/>
        <v>[579] = {wayshrines={458,458,458,}, dlcId=DLC_ELSWEYR</v>
      </c>
      <c r="BF505" s="21" t="str">
        <f t="shared" si="44"/>
        <v>, zoneIds={1261,1261,1261,1261}, veteran=false</v>
      </c>
      <c r="BG505" s="21" t="str">
        <f t="shared" si="45"/>
        <v>, setType=LIBSETS_SETTYPE_OVERLAND</v>
      </c>
      <c r="BH505" s="21" t="str">
        <f t="shared" si="46"/>
        <v>, isProcSetAllowedInPvP=1, dropMechanic={LIBSETS_DROP_MECHANIC_OVERLAND_BOSS_DELVE,LIBSETS_DROP_MECHANIC_OVERLAND_BOSS_DELVE,LIBSETS_DROP_MECHANIC_OVERLAND_BOSS_PUBLIC_DUNGEON,LIBSETS_DROP_MECHANIC_OVERLAND_CHEST}</v>
      </c>
      <c r="BI505" s="21" t="str">
        <f t="shared" si="47"/>
        <v>}, --Frostbite / Frostbiss   [Blackwood, Blackwood, Blackwood, Blackwood]</v>
      </c>
    </row>
    <row r="506" spans="1:61" x14ac:dyDescent="0.25">
      <c r="A506" s="5">
        <v>580</v>
      </c>
      <c r="B506" t="s">
        <v>2452</v>
      </c>
      <c r="C506" t="s">
        <v>2453</v>
      </c>
      <c r="D506" s="3">
        <f t="shared" si="42"/>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WayshrineInfo'!$K$3:$N$9971,4,FALSE),"")))</f>
        <v>Blackwood</v>
      </c>
      <c r="T506" s="19" t="str">
        <f>IF(AND(S506&lt;&gt;"",NOT(ISERROR(S506))),S506,IF(Q506&lt;&gt;"",IF(NOT(ISERROR(VLOOKUP(Q506,'ESO Dungeon constants'!$D$3:$H$9999,5,FALSE))),VLOOKUP(Q506,'ESO Dungeon constants'!$D$3:$I$9999,6,FALSE),VLOOKUP(Q506,'ESO zone constants'!$H$3:$K$9989,4,FALSE)),""))</f>
        <v>DLC_ELSWEYR</v>
      </c>
      <c r="U506" s="3" t="str">
        <f>IF(T506&lt;&gt;"",VLOOKUP(T506,'LibSets constants'!$B$4:$C$1017,2,FALSE),"")</f>
        <v>Elsweyr</v>
      </c>
      <c r="V506" s="33" t="s">
        <v>1551</v>
      </c>
      <c r="Y506" s="61"/>
      <c r="Z506" s="3">
        <f>IF(AND(G506&lt;&gt;"LIBSETS_SETTYPE_BATTLEGROUND",G506&lt;&gt;"LIBSETS_SETTYPE_SPECIAL"),
IF(AND(Y506&lt;&gt;"",ISNUMBER(Y506),NOT(ISNA(Y506))),Y506,
   IF(AND(L506&lt;&gt;"",ISNUMBER(L506),L506&gt;0,NOT(ISNA(L506))),VLOOKUP(L506,'ESO dumped WayshrineInfo'!$K$3:$L$9971,2,FALSE),"")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WayshrineInfo'!$K$3:$L$9971,2,FALSE),"")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 t="shared" si="43"/>
        <v>[580] = {wayshrines={458,458,458,}, dlcId=DLC_ELSWEYR</v>
      </c>
      <c r="BF506" s="21" t="str">
        <f t="shared" si="44"/>
        <v>, zoneIds={1261,1261,1261,1261}, veteran=false</v>
      </c>
      <c r="BG506" s="21" t="str">
        <f t="shared" si="45"/>
        <v>, setType=LIBSETS_SETTYPE_OVERLAND</v>
      </c>
      <c r="BH506" s="21" t="str">
        <f t="shared" si="46"/>
        <v>, dropMechanic={LIBSETS_DROP_MECHANIC_OVERLAND_BOSS_DELVE,LIBSETS_DROP_MECHANIC_OVERLAND_BOSS_DELVE,LIBSETS_DROP_MECHANIC_OVERLAND_BOSS_PUBLIC_DUNGEON,LIBSETS_DROP_MECHANIC_OVERLAND_CHEST}</v>
      </c>
      <c r="BI506" s="21" t="str">
        <f t="shared" si="47"/>
        <v>}, --Deadlands Assassin / Totenländer-Assassine   [Blackwood, Blackwood, Blackwood, Blackwood]</v>
      </c>
    </row>
    <row r="507" spans="1:61" x14ac:dyDescent="0.25">
      <c r="A507" s="5">
        <v>581</v>
      </c>
      <c r="B507" t="s">
        <v>2450</v>
      </c>
      <c r="C507" t="s">
        <v>2451</v>
      </c>
      <c r="D507" s="3">
        <f t="shared" si="42"/>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WayshrineInfo'!$K$3:$N$9971,4,FALSE),"")))</f>
        <v>Blackwood</v>
      </c>
      <c r="T507" s="19" t="str">
        <f>IF(AND(S507&lt;&gt;"",NOT(ISERROR(S507))),S507,IF(Q507&lt;&gt;"",IF(NOT(ISERROR(VLOOKUP(Q507,'ESO Dungeon constants'!$D$3:$H$9999,5,FALSE))),VLOOKUP(Q507,'ESO Dungeon constants'!$D$3:$I$9999,6,FALSE),VLOOKUP(Q507,'ESO zone constants'!$H$3:$K$9989,4,FALSE)),""))</f>
        <v>DLC_ELSWEYR</v>
      </c>
      <c r="U507" s="3" t="str">
        <f>IF(T507&lt;&gt;"",VLOOKUP(T507,'LibSets constants'!$B$4:$C$1017,2,FALSE),"")</f>
        <v>Elsweyr</v>
      </c>
      <c r="V507" s="33" t="s">
        <v>1551</v>
      </c>
      <c r="Y507" s="61"/>
      <c r="Z507" s="3">
        <f>IF(AND(G507&lt;&gt;"LIBSETS_SETTYPE_BATTLEGROUND",G507&lt;&gt;"LIBSETS_SETTYPE_SPECIAL"),
IF(AND(Y507&lt;&gt;"",ISNUMBER(Y507),NOT(ISNA(Y507))),Y507,
   IF(AND(L507&lt;&gt;"",ISNUMBER(L507),L507&gt;0,NOT(ISNA(L507))),VLOOKUP(L507,'ESO dumped WayshrineInfo'!$K$3:$L$9971,2,FALSE),"")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WayshrineInfo'!$K$3:$L$9971,2,FALSE),"")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 t="shared" si="43"/>
        <v>[581] = {wayshrines={458,458,458,}, dlcId=DLC_ELSWEYR</v>
      </c>
      <c r="BF507" s="21" t="str">
        <f t="shared" si="44"/>
        <v>, zoneIds={1261,1261,1261,1261}, veteran=false</v>
      </c>
      <c r="BG507" s="21" t="str">
        <f t="shared" si="45"/>
        <v>, setType=LIBSETS_SETTYPE_OVERLAND</v>
      </c>
      <c r="BH507" s="21" t="str">
        <f t="shared" si="46"/>
        <v>, dropMechanic={LIBSETS_DROP_MECHANIC_OVERLAND_BOSS_DELVE,LIBSETS_DROP_MECHANIC_OVERLAND_BOSS_DELVE,LIBSETS_DROP_MECHANIC_OVERLAND_BOSS_PUBLIC_DUNGEON,LIBSETS_DROP_MECHANIC_OVERLAND_CHEST}</v>
      </c>
      <c r="BI507" s="21" t="str">
        <f t="shared" si="47"/>
        <v>}, --Bog Raider / Moorräuber   [Blackwood, Blackwood, Blackwood, Blackwood]</v>
      </c>
    </row>
    <row r="508" spans="1:61" x14ac:dyDescent="0.25">
      <c r="A508" s="5">
        <v>582</v>
      </c>
      <c r="B508" t="s">
        <v>2449</v>
      </c>
      <c r="C508" t="s">
        <v>2446</v>
      </c>
      <c r="D508" s="3">
        <f t="shared" si="42"/>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WayshrineInfo'!$K$3:$N$9971,4,FALSE),"")))</f>
        <v>Blackwood</v>
      </c>
      <c r="T508" s="19" t="str">
        <f>IF(AND(S508&lt;&gt;"",NOT(ISERROR(S508))),S508,IF(Q508&lt;&gt;"",IF(NOT(ISERROR(VLOOKUP(Q508,'ESO Dungeon constants'!$D$3:$H$9999,5,FALSE))),VLOOKUP(Q508,'ESO Dungeon constants'!$D$3:$I$9999,6,FALSE),VLOOKUP(Q508,'ESO zone constants'!$H$3:$K$9989,4,FALSE)),""))</f>
        <v>DLC_ELSWEYR</v>
      </c>
      <c r="U508" s="3" t="str">
        <f>IF(T508&lt;&gt;"",VLOOKUP(T508,'LibSets constants'!$B$4:$C$1017,2,FALSE),"")</f>
        <v>Elsweyr</v>
      </c>
      <c r="V508" s="33" t="s">
        <v>3276</v>
      </c>
      <c r="Y508" s="61"/>
      <c r="Z508" s="3">
        <f>IF(AND(G508&lt;&gt;"LIBSETS_SETTYPE_BATTLEGROUND",G508&lt;&gt;"LIBSETS_SETTYPE_SPECIAL"),
IF(AND(Y508&lt;&gt;"",ISNUMBER(Y508),NOT(ISNA(Y508))),Y508,
   IF(AND(L508&lt;&gt;"",ISNUMBER(L508),L508&gt;0,NOT(ISNA(L508))),VLOOKUP(L508,'ESO dumped WayshrineInfo'!$K$3:$L$9971,2,FALSE),"")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WayshrineInfo'!$K$3:$L$9971,2,FALSE),"")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 t="shared" si="43"/>
        <v>[582] = {wayshrines={484,484,484,}, traitsNeeded=3, dlcId=DLC_ELSWEYR</v>
      </c>
      <c r="BF508" s="21" t="str">
        <f t="shared" si="44"/>
        <v>, zoneIds={1261,1261,1261}, veteran=false</v>
      </c>
      <c r="BG508" s="21" t="str">
        <f t="shared" si="45"/>
        <v>, setType=LIBSETS_SETTYPE_CRAFTED</v>
      </c>
      <c r="BH508" s="21" t="str">
        <f t="shared" si="46"/>
        <v>, dropMechanic={LIBSETS_DROP_MECHANIC_CRAFTED,LIBSETS_DROP_MECHANIC_CRAFTED,LIBSETS_DROP_MECHANIC_CRAFTED}</v>
      </c>
      <c r="BI508" s="21" t="str">
        <f t="shared" si="47"/>
        <v>}, --Hist Whisperer / Histflüsterer   [Blackwood, Blackwood, Blackwood]</v>
      </c>
    </row>
    <row r="509" spans="1:61" x14ac:dyDescent="0.25">
      <c r="A509" s="5">
        <v>583</v>
      </c>
      <c r="B509" t="s">
        <v>2448</v>
      </c>
      <c r="C509" t="s">
        <v>2447</v>
      </c>
      <c r="D509" s="3">
        <f t="shared" si="42"/>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WayshrineInfo'!$K$3:$N$9971,4,FALSE),"")))</f>
        <v>Blackwood</v>
      </c>
      <c r="T509" s="19" t="str">
        <f>IF(AND(S509&lt;&gt;"",NOT(ISERROR(S509))),S509,IF(Q509&lt;&gt;"",IF(NOT(ISERROR(VLOOKUP(Q509,'ESO Dungeon constants'!$D$3:$H$9999,5,FALSE))),VLOOKUP(Q509,'ESO Dungeon constants'!$D$3:$I$9999,6,FALSE),VLOOKUP(Q509,'ESO zone constants'!$H$3:$K$9989,4,FALSE)),""))</f>
        <v>DLC_ELSWEYR</v>
      </c>
      <c r="U509" s="3" t="str">
        <f>IF(T509&lt;&gt;"",VLOOKUP(T509,'LibSets constants'!$B$4:$C$1017,2,FALSE),"")</f>
        <v>Elsweyr</v>
      </c>
      <c r="V509" s="33" t="s">
        <v>3276</v>
      </c>
      <c r="Y509" s="61"/>
      <c r="Z509" s="3">
        <f>IF(AND(G509&lt;&gt;"LIBSETS_SETTYPE_BATTLEGROUND",G509&lt;&gt;"LIBSETS_SETTYPE_SPECIAL"),
IF(AND(Y509&lt;&gt;"",ISNUMBER(Y509),NOT(ISNA(Y509))),Y509,
   IF(AND(L509&lt;&gt;"",ISNUMBER(L509),L509&gt;0,NOT(ISNA(L509))),VLOOKUP(L509,'ESO dumped WayshrineInfo'!$K$3:$L$9971,2,FALSE),"")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WayshrineInfo'!$K$3:$L$9971,2,FALSE),"")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 t="shared" si="43"/>
        <v>[583] = {wayshrines={483,483,483,}, traitsNeeded=7, dlcId=DLC_ELSWEYR</v>
      </c>
      <c r="BF509" s="21" t="str">
        <f t="shared" si="44"/>
        <v>, zoneIds={1261,1261,1261}, veteran=false</v>
      </c>
      <c r="BG509" s="21" t="str">
        <f t="shared" si="45"/>
        <v>, setType=LIBSETS_SETTYPE_CRAFTED</v>
      </c>
      <c r="BH509" s="21" t="str">
        <f t="shared" si="46"/>
        <v>, dropMechanic={LIBSETS_DROP_MECHANIC_CRAFTED,LIBSETS_DROP_MECHANIC_CRAFTED,LIBSETS_DROP_MECHANIC_CRAFTED}</v>
      </c>
      <c r="BI509" s="21" t="str">
        <f t="shared" si="47"/>
        <v>}, --Heartland Conqueror / Herzlanderoberer   [Blackwood, Blackwood, Blackwood]</v>
      </c>
    </row>
    <row r="510" spans="1:61" x14ac:dyDescent="0.25">
      <c r="A510" s="5">
        <v>584</v>
      </c>
      <c r="B510" t="s">
        <v>2454</v>
      </c>
      <c r="C510" t="s">
        <v>2476</v>
      </c>
      <c r="D510" s="3">
        <f t="shared" si="42"/>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WayshrineInfo'!$K$3:$N$9971,4,FALSE),"")))</f>
        <v>Blackwood</v>
      </c>
      <c r="T510" s="19" t="str">
        <f>IF(AND(S510&lt;&gt;"",NOT(ISERROR(S510))),S510,IF(Q510&lt;&gt;"",IF(NOT(ISERROR(VLOOKUP(Q510,'ESO Dungeon constants'!$D$3:$H$9999,5,FALSE))),VLOOKUP(Q510,'ESO Dungeon constants'!$D$3:$I$9999,6,FALSE),VLOOKUP(Q510,'ESO zone constants'!$H$3:$K$9989,4,FALSE)),""))</f>
        <v>DLC_ELSWEYR</v>
      </c>
      <c r="U510" s="3" t="str">
        <f>IF(T510&lt;&gt;"",VLOOKUP(T510,'LibSets constants'!$B$4:$C$1017,2,FALSE),"")</f>
        <v>Elsweyr</v>
      </c>
      <c r="V510" s="33" t="s">
        <v>3276</v>
      </c>
      <c r="Y510" s="61"/>
      <c r="Z510" s="3">
        <f>IF(AND(G510&lt;&gt;"LIBSETS_SETTYPE_BATTLEGROUND",G510&lt;&gt;"LIBSETS_SETTYPE_SPECIAL"),
IF(AND(Y510&lt;&gt;"",ISNUMBER(Y510),NOT(ISNA(Y510))),Y510,
   IF(AND(L510&lt;&gt;"",ISNUMBER(L510),L510&gt;0,NOT(ISNA(L510))),VLOOKUP(L510,'ESO dumped WayshrineInfo'!$K$3:$L$9971,2,FALSE),"")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WayshrineInfo'!$K$3:$L$9971,2,FALSE),"")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 t="shared" si="43"/>
        <v>[584] = {wayshrines={461,461,461,}, traitsNeeded=5, dlcId=DLC_ELSWEYR</v>
      </c>
      <c r="BF510" s="21" t="str">
        <f t="shared" si="44"/>
        <v>, zoneIds={1261,1261,1261}, veteran=false</v>
      </c>
      <c r="BG510" s="21" t="str">
        <f t="shared" si="45"/>
        <v>, setType=LIBSETS_SETTYPE_CRAFTED</v>
      </c>
      <c r="BH510" s="21" t="str">
        <f t="shared" si="46"/>
        <v>, dropMechanic={LIBSETS_DROP_MECHANIC_CRAFTED,LIBSETS_DROP_MECHANIC_CRAFTED,LIBSETS_DROP_MECHANIC_CRAFTED}</v>
      </c>
      <c r="BI510" s="21" t="str">
        <f t="shared" si="47"/>
        <v>}, --Diamond\'s Victory / Sieg des Diamanten   [Blackwood, Blackwood, Blackwood]</v>
      </c>
    </row>
    <row r="511" spans="1:61" x14ac:dyDescent="0.25">
      <c r="A511" s="5">
        <v>585</v>
      </c>
      <c r="B511" t="s">
        <v>2465</v>
      </c>
      <c r="C511" t="s">
        <v>2466</v>
      </c>
      <c r="D511" s="3">
        <f t="shared" si="42"/>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WayshrineInfo'!$K$3:$N$9971,4,FALSE),"")))</f>
        <v>Rockgrove</v>
      </c>
      <c r="T511" s="19" t="str">
        <f>IF(AND(S511&lt;&gt;"",NOT(ISERROR(S511))),S511,IF(Q511&lt;&gt;"",IF(NOT(ISERROR(VLOOKUP(Q511,'ESO Dungeon constants'!$D$3:$H$9999,5,FALSE))),VLOOKUP(Q511,'ESO Dungeon constants'!$D$3:$I$9999,6,FALSE),VLOOKUP(Q511,'ESO zone constants'!$H$3:$K$9989,4,FALSE)),""))</f>
        <v>DLC_BLACKWOOD</v>
      </c>
      <c r="U511" s="3" t="str">
        <f>IF(T511&lt;&gt;"",VLOOKUP(T511,'LibSets constants'!$B$4:$C$1017,2,FALSE),"")</f>
        <v>Blackwood</v>
      </c>
      <c r="V511" s="33" t="s">
        <v>3254</v>
      </c>
      <c r="Y511" s="61">
        <v>1263</v>
      </c>
      <c r="Z511" s="3">
        <f>IF(AND(G511&lt;&gt;"LIBSETS_SETTYPE_BATTLEGROUND",G511&lt;&gt;"LIBSETS_SETTYPE_SPECIAL"),
IF(AND(Y511&lt;&gt;"",ISNUMBER(Y511),NOT(ISNA(Y511))),Y511,
   IF(AND(L511&lt;&gt;"",ISNUMBER(L511),L511&gt;0,NOT(ISNA(L511))),VLOOKUP(L511,'ESO dumped WayshrineInfo'!$K$3:$L$9971,2,FALSE),"")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WayshrineInfo'!$K$3:$L$9971,2,FALSE),"")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 t="shared" si="43"/>
        <v>[585] = {wayshrines={468,468,468,}, dlcId=DLC_BLACKWOOD</v>
      </c>
      <c r="BF511" s="21" t="str">
        <f t="shared" si="44"/>
        <v>, zoneIds={1263,1263,1263}, veteran=false</v>
      </c>
      <c r="BG511" s="21" t="str">
        <f t="shared" si="45"/>
        <v>, setType=LIBSETS_SETTYPE_TRIAL</v>
      </c>
      <c r="BH511" s="21" t="str">
        <f t="shared" si="46"/>
        <v>, dropMechanic={LIBSETS_DROP_MECHANIC_TRIAL_BOSS,LIBSETS_DROP_MECHANIC_TRIAL_BOSS,LIBSETS_DROP_MECHANIC_TRIAL_BOSS}, perfectedSetId=589</v>
      </c>
      <c r="BI511" s="21" t="str">
        <f t="shared" si="47"/>
        <v>}, --Saxhleel Champion / Saxhleel-Champion   [Rockgrove, Rockgrove, Rockgrove]</v>
      </c>
    </row>
    <row r="512" spans="1:61" x14ac:dyDescent="0.25">
      <c r="A512" s="5">
        <v>586</v>
      </c>
      <c r="B512" t="s">
        <v>2467</v>
      </c>
      <c r="C512" t="s">
        <v>2477</v>
      </c>
      <c r="D512" s="3">
        <f t="shared" si="42"/>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WayshrineInfo'!$K$3:$N$9971,4,FALSE),"")))</f>
        <v>Rockgrove</v>
      </c>
      <c r="T512" s="19" t="str">
        <f>IF(AND(S512&lt;&gt;"",NOT(ISERROR(S512))),S512,IF(Q512&lt;&gt;"",IF(NOT(ISERROR(VLOOKUP(Q512,'ESO Dungeon constants'!$D$3:$H$9999,5,FALSE))),VLOOKUP(Q512,'ESO Dungeon constants'!$D$3:$I$9999,6,FALSE),VLOOKUP(Q512,'ESO zone constants'!$H$3:$K$9989,4,FALSE)),""))</f>
        <v>DLC_BLACKWOOD</v>
      </c>
      <c r="U512" s="3" t="str">
        <f>IF(T512&lt;&gt;"",VLOOKUP(T512,'LibSets constants'!$B$4:$C$1017,2,FALSE),"")</f>
        <v>Blackwood</v>
      </c>
      <c r="V512" s="33" t="s">
        <v>3254</v>
      </c>
      <c r="Y512" s="61">
        <v>1263</v>
      </c>
      <c r="Z512" s="3">
        <f>IF(AND(G512&lt;&gt;"LIBSETS_SETTYPE_BATTLEGROUND",G512&lt;&gt;"LIBSETS_SETTYPE_SPECIAL"),
IF(AND(Y512&lt;&gt;"",ISNUMBER(Y512),NOT(ISNA(Y512))),Y512,
   IF(AND(L512&lt;&gt;"",ISNUMBER(L512),L512&gt;0,NOT(ISNA(L512))),VLOOKUP(L512,'ESO dumped WayshrineInfo'!$K$3:$L$9971,2,FALSE),"")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WayshrineInfo'!$K$3:$L$9971,2,FALSE),"")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 t="shared" si="43"/>
        <v>[586] = {wayshrines={468,468,468,}, dlcId=DLC_BLACKWOOD</v>
      </c>
      <c r="BF512" s="21" t="str">
        <f t="shared" si="44"/>
        <v>, zoneIds={1263,1263,1263}, veteran=false</v>
      </c>
      <c r="BG512" s="21" t="str">
        <f t="shared" si="45"/>
        <v>, setType=LIBSETS_SETTYPE_TRIAL</v>
      </c>
      <c r="BH512" s="21" t="str">
        <f t="shared" si="46"/>
        <v>, dropMechanic={LIBSETS_DROP_MECHANIC_TRIAL_BOSS,LIBSETS_DROP_MECHANIC_TRIAL_BOSS,LIBSETS_DROP_MECHANIC_TRIAL_BOSS}, perfectedSetId=590</v>
      </c>
      <c r="BI512" s="21" t="str">
        <f t="shared" si="47"/>
        <v>}, --Sul-Xan\'s Torment / Sul-Xans Folter   [Rockgrove, Rockgrove, Rockgrove]</v>
      </c>
    </row>
    <row r="513" spans="1:61" x14ac:dyDescent="0.25">
      <c r="A513" s="5">
        <v>587</v>
      </c>
      <c r="B513" t="s">
        <v>2464</v>
      </c>
      <c r="C513" t="s">
        <v>2478</v>
      </c>
      <c r="D513" s="3">
        <f t="shared" si="42"/>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WayshrineInfo'!$K$3:$N$9971,4,FALSE),"")))</f>
        <v>Rockgrove</v>
      </c>
      <c r="T513" s="19" t="str">
        <f>IF(AND(S513&lt;&gt;"",NOT(ISERROR(S513))),S513,IF(Q513&lt;&gt;"",IF(NOT(ISERROR(VLOOKUP(Q513,'ESO Dungeon constants'!$D$3:$H$9999,5,FALSE))),VLOOKUP(Q513,'ESO Dungeon constants'!$D$3:$I$9999,6,FALSE),VLOOKUP(Q513,'ESO zone constants'!$H$3:$K$9989,4,FALSE)),""))</f>
        <v>DLC_BLACKWOOD</v>
      </c>
      <c r="U513" s="3" t="str">
        <f>IF(T513&lt;&gt;"",VLOOKUP(T513,'LibSets constants'!$B$4:$C$1017,2,FALSE),"")</f>
        <v>Blackwood</v>
      </c>
      <c r="V513" s="33" t="s">
        <v>3254</v>
      </c>
      <c r="Y513" s="61">
        <v>1263</v>
      </c>
      <c r="Z513" s="3">
        <f>IF(AND(G513&lt;&gt;"LIBSETS_SETTYPE_BATTLEGROUND",G513&lt;&gt;"LIBSETS_SETTYPE_SPECIAL"),
IF(AND(Y513&lt;&gt;"",ISNUMBER(Y513),NOT(ISNA(Y513))),Y513,
   IF(AND(L513&lt;&gt;"",ISNUMBER(L513),L513&gt;0,NOT(ISNA(L513))),VLOOKUP(L513,'ESO dumped WayshrineInfo'!$K$3:$L$9971,2,FALSE),"")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WayshrineInfo'!$K$3:$L$9971,2,FALSE),"")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 t="shared" si="43"/>
        <v>[587] = {wayshrines={468,468,468,}, dlcId=DLC_BLACKWOOD</v>
      </c>
      <c r="BF513" s="21" t="str">
        <f t="shared" si="44"/>
        <v>, zoneIds={1263,1263,1263}, veteran=false</v>
      </c>
      <c r="BG513" s="21" t="str">
        <f t="shared" si="45"/>
        <v>, setType=LIBSETS_SETTYPE_TRIAL</v>
      </c>
      <c r="BH513" s="21" t="str">
        <f t="shared" si="46"/>
        <v>, dropMechanic={LIBSETS_DROP_MECHANIC_TRIAL_BOSS,LIBSETS_DROP_MECHANIC_TRIAL_BOSS,LIBSETS_DROP_MECHANIC_TRIAL_BOSS}, perfectedSetId=591</v>
      </c>
      <c r="BI513" s="21" t="str">
        <f t="shared" si="47"/>
        <v>}, --Bahsei\'s Mania / Bahseis Manie   [Rockgrove, Rockgrove, Rockgrove]</v>
      </c>
    </row>
    <row r="514" spans="1:61" x14ac:dyDescent="0.25">
      <c r="A514" s="5">
        <v>588</v>
      </c>
      <c r="B514" t="s">
        <v>2460</v>
      </c>
      <c r="C514" t="s">
        <v>2479</v>
      </c>
      <c r="D514" s="3">
        <f t="shared" si="42"/>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WayshrineInfo'!$K$3:$N$9971,4,FALSE),"")))</f>
        <v>Rockgrove</v>
      </c>
      <c r="T514" s="19" t="str">
        <f>IF(AND(S514&lt;&gt;"",NOT(ISERROR(S514))),S514,IF(Q514&lt;&gt;"",IF(NOT(ISERROR(VLOOKUP(Q514,'ESO Dungeon constants'!$D$3:$H$9999,5,FALSE))),VLOOKUP(Q514,'ESO Dungeon constants'!$D$3:$I$9999,6,FALSE),VLOOKUP(Q514,'ESO zone constants'!$H$3:$K$9989,4,FALSE)),""))</f>
        <v>DLC_BLACKWOOD</v>
      </c>
      <c r="U514" s="3" t="str">
        <f>IF(T514&lt;&gt;"",VLOOKUP(T514,'LibSets constants'!$B$4:$C$1017,2,FALSE),"")</f>
        <v>Blackwood</v>
      </c>
      <c r="V514" s="33" t="s">
        <v>3254</v>
      </c>
      <c r="Y514" s="61">
        <v>1263</v>
      </c>
      <c r="Z514" s="3">
        <f>IF(AND(G514&lt;&gt;"LIBSETS_SETTYPE_BATTLEGROUND",G514&lt;&gt;"LIBSETS_SETTYPE_SPECIAL"),
IF(AND(Y514&lt;&gt;"",ISNUMBER(Y514),NOT(ISNA(Y514))),Y514,
   IF(AND(L514&lt;&gt;"",ISNUMBER(L514),L514&gt;0,NOT(ISNA(L514))),VLOOKUP(L514,'ESO dumped WayshrineInfo'!$K$3:$L$9971,2,FALSE),"")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WayshrineInfo'!$K$3:$L$9971,2,FALSE),"")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 t="shared" si="43"/>
        <v>[588] = {wayshrines={468,468,468,}, dlcId=DLC_BLACKWOOD</v>
      </c>
      <c r="BF514" s="21" t="str">
        <f t="shared" si="44"/>
        <v>, zoneIds={1263,1263,1263}, veteran=false</v>
      </c>
      <c r="BG514" s="21" t="str">
        <f t="shared" si="45"/>
        <v>, setType=LIBSETS_SETTYPE_TRIAL</v>
      </c>
      <c r="BH514" s="21" t="str">
        <f t="shared" si="46"/>
        <v>, dropMechanic={LIBSETS_DROP_MECHANIC_TRIAL_BOSS,LIBSETS_DROP_MECHANIC_TRIAL_BOSS,LIBSETS_DROP_MECHANIC_TRIAL_BOSS}, perfectedSetId=592</v>
      </c>
      <c r="BI514" s="21" t="str">
        <f t="shared" si="47"/>
        <v>}, --Stone-Talker\'s Oath / Eid des Steinsprechers   [Rockgrove, Rockgrove, Rockgrove]</v>
      </c>
    </row>
    <row r="515" spans="1:61" x14ac:dyDescent="0.25">
      <c r="A515" s="5">
        <v>589</v>
      </c>
      <c r="B515" t="s">
        <v>2458</v>
      </c>
      <c r="C515" t="s">
        <v>2459</v>
      </c>
      <c r="D515" s="3">
        <f t="shared" ref="D515:D578" si="48">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WayshrineInfo'!$K$3:$N$9971,4,FALSE),"")))</f>
        <v>Rockgrove</v>
      </c>
      <c r="T515" s="19" t="str">
        <f>IF(AND(S515&lt;&gt;"",NOT(ISERROR(S515))),S515,IF(Q515&lt;&gt;"",IF(NOT(ISERROR(VLOOKUP(Q515,'ESO Dungeon constants'!$D$3:$H$9999,5,FALSE))),VLOOKUP(Q515,'ESO Dungeon constants'!$D$3:$I$9999,6,FALSE),VLOOKUP(Q515,'ESO zone constants'!$H$3:$K$9989,4,FALSE)),""))</f>
        <v>DLC_BLACKWOOD</v>
      </c>
      <c r="U515" s="3" t="str">
        <f>IF(T515&lt;&gt;"",VLOOKUP(T515,'LibSets constants'!$B$4:$C$1017,2,FALSE),"")</f>
        <v>Blackwood</v>
      </c>
      <c r="V515" s="33" t="s">
        <v>3254</v>
      </c>
      <c r="Y515" s="61">
        <v>1263</v>
      </c>
      <c r="Z515" s="3">
        <f>IF(AND(G515&lt;&gt;"LIBSETS_SETTYPE_BATTLEGROUND",G515&lt;&gt;"LIBSETS_SETTYPE_SPECIAL"),
IF(AND(Y515&lt;&gt;"",ISNUMBER(Y515),NOT(ISNA(Y515))),Y515,
   IF(AND(L515&lt;&gt;"",ISNUMBER(L515),L515&gt;0,NOT(ISNA(L515))),VLOOKUP(L515,'ESO dumped WayshrineInfo'!$K$3:$L$9971,2,FALSE),"")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WayshrineInfo'!$K$3:$L$9971,2,FALSE),"")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21"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 t="shared" ref="BG515:BG578" si="51">IF(A515&lt;&gt;"",IF(F515&lt;&gt;"Not in the game (anymore)",IF(A515&lt;&gt;"",", setType="&amp;G515,"")&amp;IF(G515="LIBSETS_SETTYPE_CLASS",", classId="&amp;BC515,"")&amp;IF(J515="true",", multiTrialSet=true",""),"")
&amp; IF(AND(H515&lt;&gt;"",ISNUMBER(H515)),", undauntedChestId=" &amp; H515,""),"")</f>
        <v>, setType=LIBSETS_SETTYPE_TRIAL</v>
      </c>
      <c r="BH515" s="21" t="str">
        <f t="shared" ref="BH515:BH578" si="52">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 t="shared" ref="BI515:BI578" si="53">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 t="shared" si="48"/>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WayshrineInfo'!$K$3:$N$9971,4,FALSE),"")))</f>
        <v>Rockgrove</v>
      </c>
      <c r="T516" s="19" t="str">
        <f>IF(AND(S516&lt;&gt;"",NOT(ISERROR(S516))),S516,IF(Q516&lt;&gt;"",IF(NOT(ISERROR(VLOOKUP(Q516,'ESO Dungeon constants'!$D$3:$H$9999,5,FALSE))),VLOOKUP(Q516,'ESO Dungeon constants'!$D$3:$I$9999,6,FALSE),VLOOKUP(Q516,'ESO zone constants'!$H$3:$K$9989,4,FALSE)),""))</f>
        <v>DLC_BLACKWOOD</v>
      </c>
      <c r="U516" s="3" t="str">
        <f>IF(T516&lt;&gt;"",VLOOKUP(T516,'LibSets constants'!$B$4:$C$1017,2,FALSE),"")</f>
        <v>Blackwood</v>
      </c>
      <c r="V516" s="33" t="s">
        <v>3254</v>
      </c>
      <c r="Y516" s="61">
        <v>1263</v>
      </c>
      <c r="Z516" s="3">
        <f>IF(AND(G516&lt;&gt;"LIBSETS_SETTYPE_BATTLEGROUND",G516&lt;&gt;"LIBSETS_SETTYPE_SPECIAL"),
IF(AND(Y516&lt;&gt;"",ISNUMBER(Y516),NOT(ISNA(Y516))),Y516,
   IF(AND(L516&lt;&gt;"",ISNUMBER(L516),L516&gt;0,NOT(ISNA(L516))),VLOOKUP(L516,'ESO dumped WayshrineInfo'!$K$3:$L$9971,2,FALSE),"")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WayshrineInfo'!$K$3:$L$9971,2,FALSE),"")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 t="shared" si="49"/>
        <v>[590] = {wayshrines={468,468,468,}, dlcId=DLC_BLACKWOOD</v>
      </c>
      <c r="BF516" s="21" t="str">
        <f t="shared" si="50"/>
        <v>, zoneIds={1263,1263,1263}, veteran=true</v>
      </c>
      <c r="BG516" s="21" t="str">
        <f t="shared" si="51"/>
        <v>, setType=LIBSETS_SETTYPE_TRIAL</v>
      </c>
      <c r="BH516" s="21" t="str">
        <f t="shared" si="52"/>
        <v>, dropMechanic={LIBSETS_DROP_MECHANIC_TRIAL_BOSS,LIBSETS_DROP_MECHANIC_TRIAL_BOSS,LIBSETS_DROP_MECHANIC_TRIAL_BOSS}, isPerfectedSet=1</v>
      </c>
      <c r="BI516" s="21" t="str">
        <f t="shared" si="53"/>
        <v>}, --Perfected Sul-Xan\'s Torment / Perfected Sul-Xan\'s Torment   [Rockgrove, Rockgrove, Rockgrove]</v>
      </c>
    </row>
    <row r="517" spans="1:61" x14ac:dyDescent="0.25">
      <c r="A517" s="5">
        <v>591</v>
      </c>
      <c r="B517" t="s">
        <v>2457</v>
      </c>
      <c r="C517" t="s">
        <v>2480</v>
      </c>
      <c r="D517" s="3">
        <f t="shared" si="48"/>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WayshrineInfo'!$K$3:$N$9971,4,FALSE),"")))</f>
        <v>Rockgrove</v>
      </c>
      <c r="T517" s="19" t="str">
        <f>IF(AND(S517&lt;&gt;"",NOT(ISERROR(S517))),S517,IF(Q517&lt;&gt;"",IF(NOT(ISERROR(VLOOKUP(Q517,'ESO Dungeon constants'!$D$3:$H$9999,5,FALSE))),VLOOKUP(Q517,'ESO Dungeon constants'!$D$3:$I$9999,6,FALSE),VLOOKUP(Q517,'ESO zone constants'!$H$3:$K$9989,4,FALSE)),""))</f>
        <v>DLC_BLACKWOOD</v>
      </c>
      <c r="U517" s="3" t="str">
        <f>IF(T517&lt;&gt;"",VLOOKUP(T517,'LibSets constants'!$B$4:$C$1017,2,FALSE),"")</f>
        <v>Blackwood</v>
      </c>
      <c r="V517" s="33" t="s">
        <v>3254</v>
      </c>
      <c r="Y517" s="61">
        <v>1263</v>
      </c>
      <c r="Z517" s="3">
        <f>IF(AND(G517&lt;&gt;"LIBSETS_SETTYPE_BATTLEGROUND",G517&lt;&gt;"LIBSETS_SETTYPE_SPECIAL"),
IF(AND(Y517&lt;&gt;"",ISNUMBER(Y517),NOT(ISNA(Y517))),Y517,
   IF(AND(L517&lt;&gt;"",ISNUMBER(L517),L517&gt;0,NOT(ISNA(L517))),VLOOKUP(L517,'ESO dumped WayshrineInfo'!$K$3:$L$9971,2,FALSE),"")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WayshrineInfo'!$K$3:$L$9971,2,FALSE),"")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 t="shared" si="49"/>
        <v>[591] = {wayshrines={468,468,468,}, dlcId=DLC_BLACKWOOD</v>
      </c>
      <c r="BF517" s="21" t="str">
        <f t="shared" si="50"/>
        <v>, zoneIds={1263,1263,1263}, veteran=true</v>
      </c>
      <c r="BG517" s="21" t="str">
        <f t="shared" si="51"/>
        <v>, setType=LIBSETS_SETTYPE_TRIAL</v>
      </c>
      <c r="BH517" s="21" t="str">
        <f t="shared" si="52"/>
        <v>, dropMechanic={LIBSETS_DROP_MECHANIC_TRIAL_BOSS,LIBSETS_DROP_MECHANIC_TRIAL_BOSS,LIBSETS_DROP_MECHANIC_TRIAL_BOSS}, isPerfectedSet=1</v>
      </c>
      <c r="BI517" s="21" t="str">
        <f t="shared" si="53"/>
        <v>}, --Perfected Bahsei\'s Mania / Bahseis perfektionierte Manie   [Rockgrove, Rockgrove, Rockgrove]</v>
      </c>
    </row>
    <row r="518" spans="1:61" x14ac:dyDescent="0.25">
      <c r="A518" s="5">
        <v>592</v>
      </c>
      <c r="B518" t="s">
        <v>2468</v>
      </c>
      <c r="C518" t="s">
        <v>2481</v>
      </c>
      <c r="D518" s="3">
        <f t="shared" si="48"/>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WayshrineInfo'!$K$3:$N$9971,4,FALSE),"")))</f>
        <v>Rockgrove</v>
      </c>
      <c r="T518" s="19" t="str">
        <f>IF(AND(S518&lt;&gt;"",NOT(ISERROR(S518))),S518,IF(Q518&lt;&gt;"",IF(NOT(ISERROR(VLOOKUP(Q518,'ESO Dungeon constants'!$D$3:$H$9999,5,FALSE))),VLOOKUP(Q518,'ESO Dungeon constants'!$D$3:$I$9999,6,FALSE),VLOOKUP(Q518,'ESO zone constants'!$H$3:$K$9989,4,FALSE)),""))</f>
        <v>DLC_BLACKWOOD</v>
      </c>
      <c r="U518" s="3" t="str">
        <f>IF(T518&lt;&gt;"",VLOOKUP(T518,'LibSets constants'!$B$4:$C$1017,2,FALSE),"")</f>
        <v>Blackwood</v>
      </c>
      <c r="V518" s="33" t="s">
        <v>3254</v>
      </c>
      <c r="Y518" s="61">
        <v>1263</v>
      </c>
      <c r="Z518" s="3">
        <f>IF(AND(G518&lt;&gt;"LIBSETS_SETTYPE_BATTLEGROUND",G518&lt;&gt;"LIBSETS_SETTYPE_SPECIAL"),
IF(AND(Y518&lt;&gt;"",ISNUMBER(Y518),NOT(ISNA(Y518))),Y518,
   IF(AND(L518&lt;&gt;"",ISNUMBER(L518),L518&gt;0,NOT(ISNA(L518))),VLOOKUP(L518,'ESO dumped WayshrineInfo'!$K$3:$L$9971,2,FALSE),"")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WayshrineInfo'!$K$3:$L$9971,2,FALSE),"")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 t="shared" si="49"/>
        <v>[592] = {wayshrines={468,468,468,}, dlcId=DLC_BLACKWOOD</v>
      </c>
      <c r="BF518" s="21" t="str">
        <f t="shared" si="50"/>
        <v>, zoneIds={1263,1263,1263}, veteran=true</v>
      </c>
      <c r="BG518" s="21" t="str">
        <f t="shared" si="51"/>
        <v>, setType=LIBSETS_SETTYPE_TRIAL</v>
      </c>
      <c r="BH518" s="21" t="str">
        <f t="shared" si="52"/>
        <v>, dropMechanic={LIBSETS_DROP_MECHANIC_TRIAL_BOSS,LIBSETS_DROP_MECHANIC_TRIAL_BOSS,LIBSETS_DROP_MECHANIC_TRIAL_BOSS}, isPerfectedSet=1</v>
      </c>
      <c r="BI518" s="21" t="str">
        <f t="shared" si="53"/>
        <v>}, --Perfected Stone-Talker\'s Oath / Perfektionierter Eid des Steinsprechers   [Rockgrove, Rockgrove, Rockgrove]</v>
      </c>
    </row>
    <row r="519" spans="1:61" x14ac:dyDescent="0.25">
      <c r="A519" s="5">
        <v>593</v>
      </c>
      <c r="B519" t="s">
        <v>2469</v>
      </c>
      <c r="C519" t="s">
        <v>2469</v>
      </c>
      <c r="D519" s="3">
        <f t="shared" si="48"/>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WayshrineInfo'!$K$3:$N$9971,4,FALSE),"")))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WayshrineInfo'!$K$3:$L$9971,2,FALSE),"")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WayshrineInfo'!$K$3:$L$9971,2,FALSE),"")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 t="shared" si="49"/>
        <v>[593] = {wayshrines={461,255,30,}, dlcId=DLC_BLACKWOOD</v>
      </c>
      <c r="BF519" s="21" t="str">
        <f t="shared" si="50"/>
        <v>, zoneIds={1261,816,306,117,848}, veteran=false</v>
      </c>
      <c r="BG519" s="21" t="str">
        <f t="shared" si="51"/>
        <v>, setType=LIBSETS_SETTYPE_MYTHIC</v>
      </c>
      <c r="BH519" s="21"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3"/>
        <v>, addTooltip={['en']='https://en.uesp.net/wiki/Online:Gaze_of_Sithis',},}, --Gaze of Sithis / Gaze of Sithis   [Blackwood, Hew's Bane, Forgotten Crypts, Shadowfen, Cradle of Shadows]</v>
      </c>
    </row>
    <row r="520" spans="1:61" x14ac:dyDescent="0.25">
      <c r="A520" s="5">
        <v>594</v>
      </c>
      <c r="B520" t="s">
        <v>2474</v>
      </c>
      <c r="C520" t="s">
        <v>2474</v>
      </c>
      <c r="D520" s="3">
        <f t="shared" si="48"/>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WayshrineInfo'!$K$3:$N$9971,4,FALSE),"")))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WayshrineInfo'!$K$3:$L$9971,2,FALSE),"")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WayshrineInfo'!$K$3:$L$9971,2,FALSE),"")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 t="shared" si="49"/>
        <v>[594] = {wayshrines={464,173,374,}, dlcId=DLC_BLACKWOOD</v>
      </c>
      <c r="BF520" s="21" t="str">
        <f t="shared" si="50"/>
        <v>, zoneIds={1261,281,726,843,117}, veteran=false</v>
      </c>
      <c r="BG520" s="21" t="str">
        <f t="shared" si="51"/>
        <v>, setType=LIBSETS_SETTYPE_MYTHIC</v>
      </c>
      <c r="BH520" s="21"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3"/>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48"/>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WayshrineInfo'!$K$3:$N$9971,4,FALSE),"")))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WayshrineInfo'!$K$3:$L$9971,2,FALSE),"")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WayshrineInfo'!$K$3:$L$9971,2,FALSE),"")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 t="shared" si="49"/>
        <v>[596] = {wayshrines={461,229,270,}, dlcId=DLC_BLACKWOOD</v>
      </c>
      <c r="BF521" s="21" t="str">
        <f t="shared" si="50"/>
        <v>, zoneIds={1261,888,888,584,181}, veteran=false</v>
      </c>
      <c r="BG521" s="21" t="str">
        <f t="shared" si="51"/>
        <v>, setType=LIBSETS_SETTYPE_MYTHIC</v>
      </c>
      <c r="BH521" s="21"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3"/>
        <v>, addTooltip={['en']='https://en.uesp.net/wiki/Online:Death_Dealer%27s_Fete',},}, --Death Dealer\'s Fete / Death Dealer\'s Fete   [Blackwood, Craglorn, Craglorn, Imperial City, Cyrodiil]</v>
      </c>
    </row>
    <row r="522" spans="1:61" x14ac:dyDescent="0.25">
      <c r="A522" s="5">
        <v>597</v>
      </c>
      <c r="B522" t="s">
        <v>2482</v>
      </c>
      <c r="C522" t="s">
        <v>2482</v>
      </c>
      <c r="D522" s="3">
        <f t="shared" si="48"/>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WayshrineInfo'!$K$3:$N$9971,4,FALSE),"")))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WayshrineInfo'!$K$3:$L$9971,2,FALSE),"")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WayshrineInfo'!$K$3:$L$9971,2,FALSE),"")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 t="shared" si="49"/>
        <v>[597] = {wayshrines={451,184,225,}, dlcId=DLC_BLACKWOOD</v>
      </c>
      <c r="BF522" s="21" t="str">
        <f t="shared" si="50"/>
        <v>, zoneIds={1160,11,888,936,1260}, veteran=false</v>
      </c>
      <c r="BG522" s="21" t="str">
        <f t="shared" si="51"/>
        <v>, setType=LIBSETS_SETTYPE_MYTHIC</v>
      </c>
      <c r="BH522" s="21"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3"/>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48"/>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WayshrineInfo'!$K$3:$N$9971,4,FALSE),"")))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WayshrineInfo'!$K$3:$L$9971,2,FALSE),"")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WayshrineInfo'!$K$3:$L$9971,2,FALSE),"")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 t="shared" si="49"/>
        <v>[598] = {wayshrines={-1,-1,-1,}, dlcId=DLC_BLACKWOOD</v>
      </c>
      <c r="BF523" s="21" t="str">
        <f t="shared" si="50"/>
        <v>, zoneIds={584,643}, veteran=false</v>
      </c>
      <c r="BG523" s="21" t="str">
        <f t="shared" si="51"/>
        <v>, setType=LIBSETS_SETTYPE_IMPERIALCITY_MONSTER</v>
      </c>
      <c r="BH523" s="21" t="str">
        <f t="shared" si="52"/>
        <v>, dropMechanic={LIBSETS_DROP_MECHANIC_MONSTER_NAME,LIBSETS_DROP_MECHANIC_TELVAR_EQUIPMENT_LOCKBOX_MERCHANT}, dropMechanicDropLocationNames={['en']={'Zoal the Ever-Wakeful [Elvengarden district, north-west]','','','','','',},['de']={'Zoal der Immerwache [Elfengarten Bezirk, Nord-Westen]','','','','','',},}</v>
      </c>
      <c r="BI523" s="21" t="str">
        <f t="shared" si="53"/>
        <v>}, --Zoal the Ever-Wakeful / Zoal der Immerwache   [Imperial City, Imperial Sewers]</v>
      </c>
    </row>
    <row r="524" spans="1:61" x14ac:dyDescent="0.25">
      <c r="A524" s="5">
        <v>599</v>
      </c>
      <c r="B524" t="s">
        <v>2471</v>
      </c>
      <c r="C524" t="s">
        <v>2462</v>
      </c>
      <c r="D524" s="3">
        <f t="shared" si="48"/>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WayshrineInfo'!$K$3:$N$9971,4,FALSE),"")))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WayshrineInfo'!$K$3:$L$9971,2,FALSE),"")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WayshrineInfo'!$K$3:$L$9971,2,FALSE),"")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 t="shared" si="49"/>
        <v>[599] = {wayshrines={-1,-1,-1,}, dlcId=DLC_BLACKWOOD</v>
      </c>
      <c r="BF524" s="21" t="str">
        <f t="shared" si="50"/>
        <v>, zoneIds={584,643}, veteran=false</v>
      </c>
      <c r="BG524" s="21" t="str">
        <f t="shared" si="51"/>
        <v>, setType=LIBSETS_SETTYPE_IMPERIALCITY_MONSTER</v>
      </c>
      <c r="BH524" s="21" t="str">
        <f t="shared" si="52"/>
        <v>, dropMechanic={LIBSETS_DROP_MECHANIC_MONSTER_NAME,LIBSETS_DROP_MECHANIC_TELVAR_EQUIPMENT_LOCKBOX_MERCHANT}, dropMechanicDropLocationNames={['en']={'Immolator Charr [Temple district, south]','','','','','',},['de']={'Entflammer Charr [Tempelbezirk, Süden]','','','','','',},}</v>
      </c>
      <c r="BI524" s="21" t="str">
        <f t="shared" si="53"/>
        <v>}, --Immolator Charr / Entflammer Charr   [Imperial City, Imperial Sewers]</v>
      </c>
    </row>
    <row r="525" spans="1:61" x14ac:dyDescent="0.25">
      <c r="A525" s="5">
        <v>600</v>
      </c>
      <c r="B525" t="s">
        <v>2472</v>
      </c>
      <c r="C525" t="s">
        <v>2463</v>
      </c>
      <c r="D525" s="3">
        <f t="shared" si="48"/>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WayshrineInfo'!$K$3:$N$9971,4,FALSE),"")))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WayshrineInfo'!$K$3:$L$9971,2,FALSE),"")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WayshrineInfo'!$K$3:$L$9971,2,FALSE),"")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 t="shared" si="49"/>
        <v>[600] = {wayshrines={-1,-1,-1,}, dlcId=DLC_BLACKWOOD</v>
      </c>
      <c r="BF525" s="21" t="str">
        <f t="shared" si="50"/>
        <v>, zoneIds={584,643}, veteran=false</v>
      </c>
      <c r="BG525" s="21" t="str">
        <f t="shared" si="51"/>
        <v>, setType=LIBSETS_SETTYPE_IMPERIALCITY_MONSTER</v>
      </c>
      <c r="BH525" s="21" t="str">
        <f t="shared" si="52"/>
        <v>, dropMechanic={LIBSETS_DROP_MECHANIC_MONSTER_NAME,LIBSETS_DROP_MECHANIC_TELVAR_EQUIPMENT_LOCKBOX_MERCHANT}, dropMechanicDropLocationNames={['en']={'Glorgoloch the Destroyer [Arena district, north-east]','','','','','',},['de']={'Glorgoloch der Zerstörer [Arenabezirk, Nord-Osten]','','','','','',},}</v>
      </c>
      <c r="BI525" s="21" t="str">
        <f t="shared" si="53"/>
        <v>}, --Glorgoloch the Destroyer / Glorgoloch der Zerstörer   [Imperial City, Imperial Sewers]</v>
      </c>
    </row>
    <row r="526" spans="1:61" x14ac:dyDescent="0.25">
      <c r="A526" s="5">
        <v>602</v>
      </c>
      <c r="B526" t="s">
        <v>2508</v>
      </c>
      <c r="C526" t="s">
        <v>2738</v>
      </c>
      <c r="D526" s="3">
        <f t="shared" si="48"/>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WayshrineInfo'!$K$3:$N$9971,4,FALSE),"")))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WayshrineInfo'!$K$3:$L$9971,2,FALSE),"")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WayshrineInfo'!$K$3:$L$9971,2,FALSE),"")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 t="shared" si="49"/>
        <v>[602] = {wayshrines={469,469,469,}, dlcId=DLC_WAKING_FLAME</v>
      </c>
      <c r="BF526" s="21" t="str">
        <f t="shared" si="50"/>
        <v>, zoneIds={1268,1261,1261}, veteran=false</v>
      </c>
      <c r="BG526" s="21" t="str">
        <f t="shared" si="51"/>
        <v>, setType=LIBSETS_SETTYPE_DUNGEON</v>
      </c>
      <c r="BH526" s="21" t="str">
        <f t="shared" si="52"/>
        <v>, dropMechanic={LIBSETS_DROP_MECHANIC_GROUP_DUNGEON_BOSS}</v>
      </c>
      <c r="BI526" s="21" t="str">
        <f t="shared" si="53"/>
        <v>}, --Crimson Oath\'s Rive / Spalt des Karmesinschwurs   [The Dread Cellar, Blackwood, Blackwood]</v>
      </c>
    </row>
    <row r="527" spans="1:61" x14ac:dyDescent="0.25">
      <c r="A527" s="5">
        <v>603</v>
      </c>
      <c r="B527" t="s">
        <v>2506</v>
      </c>
      <c r="C527" t="s">
        <v>2739</v>
      </c>
      <c r="D527" s="3">
        <f t="shared" si="48"/>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WayshrineInfo'!$K$3:$N$9971,4,FALSE),"")))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WayshrineInfo'!$K$3:$L$9971,2,FALSE),"")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WayshrineInfo'!$K$3:$L$9971,2,FALSE),"")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 t="shared" si="49"/>
        <v>[603] = {wayshrines={469,469,469,}, dlcId=DLC_WAKING_FLAME</v>
      </c>
      <c r="BF527" s="21" t="str">
        <f t="shared" si="50"/>
        <v>, zoneIds={1268,1261,1261}, veteran=false</v>
      </c>
      <c r="BG527" s="21" t="str">
        <f t="shared" si="51"/>
        <v>, setType=LIBSETS_SETTYPE_DUNGEON</v>
      </c>
      <c r="BH527" s="21" t="str">
        <f t="shared" si="52"/>
        <v>, dropMechanic={LIBSETS_DROP_MECHANIC_GROUP_DUNGEON_BOSS}</v>
      </c>
      <c r="BI527" s="21" t="str">
        <f t="shared" si="53"/>
        <v>}, --Scorion\'s Feast  / Festmahl des Skorions   [The Dread Cellar, Blackwood, Blackwood]</v>
      </c>
    </row>
    <row r="528" spans="1:61" x14ac:dyDescent="0.25">
      <c r="A528" s="5">
        <v>604</v>
      </c>
      <c r="B528" t="s">
        <v>2507</v>
      </c>
      <c r="C528" t="s">
        <v>2484</v>
      </c>
      <c r="D528" s="3">
        <f t="shared" si="48"/>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WayshrineInfo'!$K$3:$N$9971,4,FALSE),"")))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WayshrineInfo'!$K$3:$L$9971,2,FALSE),"")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WayshrineInfo'!$K$3:$L$9971,2,FALSE),"")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 t="shared" si="49"/>
        <v>[604] = {wayshrines={469,469,469,}, dlcId=DLC_WAKING_FLAME</v>
      </c>
      <c r="BF528" s="21" t="str">
        <f t="shared" si="50"/>
        <v>, zoneIds={1268,1261,1261}, veteran=false</v>
      </c>
      <c r="BG528" s="21" t="str">
        <f t="shared" si="51"/>
        <v>, setType=LIBSETS_SETTYPE_DUNGEON</v>
      </c>
      <c r="BH528" s="21" t="str">
        <f t="shared" si="52"/>
        <v>, dropMechanic={LIBSETS_DROP_MECHANIC_GROUP_DUNGEON_BOSS}</v>
      </c>
      <c r="BI528" s="21" t="str">
        <f t="shared" si="53"/>
        <v>}, --Rush of Agony / Auftreibende Agonie   [The Dread Cellar, Blackwood, Blackwood]</v>
      </c>
    </row>
    <row r="529" spans="1:61" x14ac:dyDescent="0.25">
      <c r="A529" s="5">
        <v>605</v>
      </c>
      <c r="B529" t="s">
        <v>2512</v>
      </c>
      <c r="C529" t="s">
        <v>2489</v>
      </c>
      <c r="D529" s="3">
        <f t="shared" si="48"/>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WayshrineInfo'!$K$3:$N$9971,4,FALSE),"")))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WayshrineInfo'!$K$3:$L$9971,2,FALSE),"")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WayshrineInfo'!$K$3:$L$9971,2,FALSE),"")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 t="shared" si="49"/>
        <v>[605] = {wayshrines={470,470,470,}, dlcId=DLC_WAKING_FLAME</v>
      </c>
      <c r="BF529" s="21" t="str">
        <f t="shared" si="50"/>
        <v>, zoneIds={1267,3,3}, veteran=false</v>
      </c>
      <c r="BG529" s="21" t="str">
        <f t="shared" si="51"/>
        <v>, setType=LIBSETS_SETTYPE_DUNGEON</v>
      </c>
      <c r="BH529" s="21" t="str">
        <f t="shared" si="52"/>
        <v>, dropMechanic={LIBSETS_DROP_MECHANIC_GROUP_DUNGEON_BOSS}</v>
      </c>
      <c r="BI529" s="21" t="str">
        <f t="shared" si="53"/>
        <v>}, --Silver Rose Vigil / Silberrosen-Wacht   [Red Petal Bastion, Glenumbra, Glenumbra]</v>
      </c>
    </row>
    <row r="530" spans="1:61" x14ac:dyDescent="0.25">
      <c r="A530" s="5">
        <v>606</v>
      </c>
      <c r="B530" t="s">
        <v>2510</v>
      </c>
      <c r="C530" t="s">
        <v>2487</v>
      </c>
      <c r="D530" s="3">
        <f t="shared" si="48"/>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WayshrineInfo'!$K$3:$N$9971,4,FALSE),"")))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WayshrineInfo'!$K$3:$L$9971,2,FALSE),"")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WayshrineInfo'!$K$3:$L$9971,2,FALSE),"")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 t="shared" si="49"/>
        <v>[606] = {wayshrines={470,470,470,}, dlcId=DLC_WAKING_FLAME</v>
      </c>
      <c r="BF530" s="21" t="str">
        <f t="shared" si="50"/>
        <v>, zoneIds={1267,3,3}, veteran=false</v>
      </c>
      <c r="BG530" s="21" t="str">
        <f t="shared" si="51"/>
        <v>, setType=LIBSETS_SETTYPE_DUNGEON</v>
      </c>
      <c r="BH530" s="21" t="str">
        <f t="shared" si="52"/>
        <v>, dropMechanic={LIBSETS_DROP_MECHANIC_GROUP_DUNGEON_BOSS}</v>
      </c>
      <c r="BI530" s="21" t="str">
        <f t="shared" si="53"/>
        <v>}, --Thunder Caller / Donnerrufer   [Red Petal Bastion, Glenumbra, Glenumbra]</v>
      </c>
    </row>
    <row r="531" spans="1:61" x14ac:dyDescent="0.25">
      <c r="A531" s="5">
        <v>607</v>
      </c>
      <c r="B531" t="s">
        <v>2511</v>
      </c>
      <c r="C531" t="s">
        <v>2488</v>
      </c>
      <c r="D531" s="3">
        <f t="shared" si="48"/>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WayshrineInfo'!$K$3:$N$9971,4,FALSE),"")))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WayshrineInfo'!$K$3:$L$9971,2,FALSE),"")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WayshrineInfo'!$K$3:$L$9971,2,FALSE),"")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 t="shared" si="49"/>
        <v>[607] = {wayshrines={470,470,470,}, dlcId=DLC_WAKING_FLAME</v>
      </c>
      <c r="BF531" s="21" t="str">
        <f t="shared" si="50"/>
        <v>, zoneIds={1267,3,3}, veteran=false</v>
      </c>
      <c r="BG531" s="21" t="str">
        <f t="shared" si="51"/>
        <v>, setType=LIBSETS_SETTYPE_DUNGEON</v>
      </c>
      <c r="BH531" s="21" t="str">
        <f t="shared" si="52"/>
        <v>, dropMechanic={LIBSETS_DROP_MECHANIC_GROUP_DUNGEON_BOSS}</v>
      </c>
      <c r="BI531" s="21" t="str">
        <f t="shared" si="53"/>
        <v>}, --Grisly Gourmet / Grausiger Gourmet   [Red Petal Bastion, Glenumbra, Glenumbra]</v>
      </c>
    </row>
    <row r="532" spans="1:61" x14ac:dyDescent="0.25">
      <c r="A532" s="5">
        <v>608</v>
      </c>
      <c r="B532" t="s">
        <v>2490</v>
      </c>
      <c r="C532" t="s">
        <v>2490</v>
      </c>
      <c r="D532" s="3">
        <f t="shared" si="48"/>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WayshrineInfo'!$K$3:$N$9971,4,FALSE),"")))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WayshrineInfo'!$K$3:$L$9971,2,FALSE),"")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WayshrineInfo'!$K$3:$L$9971,2,FALSE),"")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 t="shared" si="49"/>
        <v>[608] = {wayshrines={470,470,470,}, dlcId=DLC_WAKING_FLAME</v>
      </c>
      <c r="BF532" s="21" t="str">
        <f t="shared" si="50"/>
        <v>, zoneIds={1267,3,3}, veteran={[EQUIP_TYPE_HEAD]=true, [EQUIP_TYPE_SHOULDERS]=false}</v>
      </c>
      <c r="BG532" s="21" t="str">
        <f t="shared" si="51"/>
        <v>, setType=LIBSETS_SETTYPE_MONSTER, undauntedChestId=3</v>
      </c>
      <c r="BH532" s="21" t="str">
        <f t="shared" si="52"/>
        <v>, dropMechanic={LIBSETS_DROP_MECHANIC_MONSTER_NAME}, dropMechanicDropLocationNames={['en']={'Prior Thierric Sarazen','','','','','',},['de']={'Prior Thierric Sarazen','','','','','',},}</v>
      </c>
      <c r="BI532" s="21" t="str">
        <f t="shared" si="53"/>
        <v>}, --Prior Thierric / Prior Thierric   [Red Petal Bastion, Glenumbra, Glenumbra]</v>
      </c>
    </row>
    <row r="533" spans="1:61" x14ac:dyDescent="0.25">
      <c r="A533" s="5">
        <v>609</v>
      </c>
      <c r="B533" t="s">
        <v>2509</v>
      </c>
      <c r="C533" t="s">
        <v>2485</v>
      </c>
      <c r="D533" s="3">
        <f t="shared" si="48"/>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WayshrineInfo'!$K$3:$N$9971,4,FALSE),"")))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WayshrineInfo'!$K$3:$L$9971,2,FALSE),"")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WayshrineInfo'!$K$3:$L$9971,2,FALSE),"")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 t="shared" si="49"/>
        <v>[609] = {wayshrines={469,469,469,}, dlcId=DLC_WAKING_FLAME</v>
      </c>
      <c r="BF533" s="21" t="str">
        <f t="shared" si="50"/>
        <v>, zoneIds={1268,1261,1261}, veteran={[EQUIP_TYPE_HEAD]=true, [EQUIP_TYPE_SHOULDERS]=false}</v>
      </c>
      <c r="BG533" s="21" t="str">
        <f t="shared" si="51"/>
        <v>, setType=LIBSETS_SETTYPE_MONSTER, undauntedChestId=3</v>
      </c>
      <c r="BH533" s="21" t="str">
        <f t="shared" si="52"/>
        <v>, dropMechanic={LIBSETS_DROP_MECHANIC_MONSTER_NAME}, dropMechanicDropLocationNames={['en']={'Magma Incarnate','','','','','',},['de']={'Magmaverkörperung','','','','','',},}</v>
      </c>
      <c r="BI533" s="21" t="str">
        <f t="shared" si="53"/>
        <v>}, --Magma Incarnate / Magmaverkörperung   [The Dread Cellar, Blackwood, Blackwood]</v>
      </c>
    </row>
    <row r="534" spans="1:61" x14ac:dyDescent="0.25">
      <c r="A534" s="5">
        <v>610</v>
      </c>
      <c r="B534" t="s">
        <v>2649</v>
      </c>
      <c r="C534" t="s">
        <v>2691</v>
      </c>
      <c r="D534" s="3">
        <f t="shared" si="48"/>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WayshrineInfo'!$K$3:$N$9971,4,FALSE),"")))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WayshrineInfo'!$K$3:$L$9971,2,FALSE),"")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WayshrineInfo'!$K$3:$L$9971,2,FALSE),"")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 t="shared" si="49"/>
        <v>[610] = {wayshrines={478,478,478,}, traitsNeeded=3, dlcId=DLC_BASE_GAME</v>
      </c>
      <c r="BF534" s="21" t="str">
        <f t="shared" si="50"/>
        <v>, zoneIds={1286,1286,1286}, veteran=false</v>
      </c>
      <c r="BG534" s="21" t="str">
        <f t="shared" si="51"/>
        <v>, setType=LIBSETS_SETTYPE_CRAFTED</v>
      </c>
      <c r="BH534" s="21" t="str">
        <f t="shared" si="52"/>
        <v>, dropMechanic={LIBSETS_DROP_MECHANIC_CRAFTED,LIBSETS_DROP_MECHANIC_CRAFTED,LIBSETS_DROP_MECHANIC_CRAFTED}</v>
      </c>
      <c r="BI534" s="21" t="str">
        <f t="shared" si="53"/>
        <v>}, --Wretched Vitality / Elendsvitalität   [The Deadlands, The Deadlands, The Deadlands]</v>
      </c>
    </row>
    <row r="535" spans="1:61" x14ac:dyDescent="0.25">
      <c r="A535" s="5">
        <v>611</v>
      </c>
      <c r="B535" t="s">
        <v>2650</v>
      </c>
      <c r="C535" t="s">
        <v>2692</v>
      </c>
      <c r="D535" s="3">
        <f t="shared" si="48"/>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WayshrineInfo'!$K$3:$N$9971,4,FALSE),"")))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WayshrineInfo'!$K$3:$L$9971,2,FALSE),"")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WayshrineInfo'!$K$3:$L$9971,2,FALSE),"")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 t="shared" si="49"/>
        <v>[611] = {wayshrines={494,494,494,}, traitsNeeded=7, dlcId=DLC_BASE_GAME</v>
      </c>
      <c r="BF535" s="21" t="str">
        <f t="shared" si="50"/>
        <v>, zoneIds={1286,1286,1286}, veteran=false</v>
      </c>
      <c r="BG535" s="21" t="str">
        <f t="shared" si="51"/>
        <v>, setType=LIBSETS_SETTYPE_CRAFTED</v>
      </c>
      <c r="BH535" s="21" t="str">
        <f t="shared" si="52"/>
        <v>, dropMechanic={LIBSETS_DROP_MECHANIC_CRAFTED,LIBSETS_DROP_MECHANIC_CRAFTED,LIBSETS_DROP_MECHANIC_CRAFTED}</v>
      </c>
      <c r="BI535" s="21" t="str">
        <f t="shared" si="53"/>
        <v>}, --Deadlands Demolisher / Totenländer-Demolierer   [The Deadlands, The Deadlands, The Deadlands]</v>
      </c>
    </row>
    <row r="536" spans="1:61" x14ac:dyDescent="0.25">
      <c r="A536" s="5">
        <v>612</v>
      </c>
      <c r="B536" t="s">
        <v>2651</v>
      </c>
      <c r="C536" t="s">
        <v>2693</v>
      </c>
      <c r="D536" s="3">
        <f t="shared" si="48"/>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WayshrineInfo'!$K$3:$N$9971,4,FALSE),"")))</f>
        <v>The Shambles</v>
      </c>
      <c r="T536" s="19" t="str">
        <f>IF(AND(S536&lt;&gt;"",NOT(ISERROR(S536))),S536,IF(Q536&lt;&gt;"",IF(NOT(ISERROR(VLOOKUP(Q536,'ESO Dungeon constants'!$D$3:$H$9999,5,FALSE))),VLOOKUP(Q536,'ESO Dungeon constants'!$D$3:$I$9999,6,FALSE),VLOOKUP(Q536,'ESO zone constants'!$H$3:$K$9989,4,FALSE)),""))</f>
        <v>DLC_DEADLANDS</v>
      </c>
      <c r="U536" s="3" t="str">
        <f>IF(T536&lt;&gt;"",VLOOKUP(T536,'LibSets constants'!$B$4:$C$1017,2,FALSE),"")</f>
        <v>The Deadlands</v>
      </c>
      <c r="V536" s="33" t="s">
        <v>3276</v>
      </c>
      <c r="Y536" s="61"/>
      <c r="Z536" s="3">
        <f>IF(AND(G536&lt;&gt;"LIBSETS_SETTYPE_BATTLEGROUND",G536&lt;&gt;"LIBSETS_SETTYPE_SPECIAL"),
IF(AND(Y536&lt;&gt;"",ISNUMBER(Y536),NOT(ISNA(Y536))),Y536,
   IF(AND(L536&lt;&gt;"",ISNUMBER(L536),L536&gt;0,NOT(ISNA(L536))),VLOOKUP(L536,'ESO dumped WayshrineInfo'!$K$3:$L$9971,2,FALSE),"")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WayshrineInfo'!$K$3:$L$9971,2,FALSE),"")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 t="shared" si="49"/>
        <v>[612] = {wayshrines={489,489,489,}, traitsNeeded=5, dlcId=DLC_DEADLANDS</v>
      </c>
      <c r="BF536" s="21" t="str">
        <f t="shared" si="50"/>
        <v>, zoneIds={1283,1283,1283}, veteran=false</v>
      </c>
      <c r="BG536" s="21" t="str">
        <f t="shared" si="51"/>
        <v>, setType=LIBSETS_SETTYPE_CRAFTED</v>
      </c>
      <c r="BH536" s="21" t="str">
        <f t="shared" si="52"/>
        <v>, dropMechanic={LIBSETS_DROP_MECHANIC_CRAFTED,LIBSETS_DROP_MECHANIC_CRAFTED,LIBSETS_DROP_MECHANIC_CRAFTED}</v>
      </c>
      <c r="BI536" s="21" t="str">
        <f t="shared" si="53"/>
        <v>}, --Iron Flask / Eisenfläschchen   [The Shambles, The Shambles, The Shambles]</v>
      </c>
    </row>
    <row r="537" spans="1:61" x14ac:dyDescent="0.25">
      <c r="A537" s="5">
        <v>613</v>
      </c>
      <c r="B537" t="s">
        <v>2652</v>
      </c>
      <c r="C537" t="s">
        <v>2699</v>
      </c>
      <c r="D537" s="3">
        <f t="shared" si="48"/>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WayshrineInfo'!$K$3:$N$9971,4,FALSE),"")))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WayshrineInfo'!$K$3:$L$9971,2,FALSE),"")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WayshrineInfo'!$K$3:$L$9971,2,FALSE),"")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 t="shared" si="49"/>
        <v>[613] = {wayshrines={493,493,493,}, dlcId=DLC_BASE_GAME</v>
      </c>
      <c r="BF537" s="21" t="str">
        <f t="shared" si="50"/>
        <v>, zoneIds={1286,1283,1283}, veteran=false</v>
      </c>
      <c r="BG537" s="21" t="str">
        <f t="shared" si="51"/>
        <v>, setType=LIBSETS_SETTYPE_OVERLAND</v>
      </c>
      <c r="BH537" s="21" t="str">
        <f t="shared" si="52"/>
        <v>, dropMechanic={LIBSETS_DROP_MECHANIC_OVERLAND_BOSS_DELVE,LIBSETS_DROP_MECHANIC_OVERLAND_BOSS_DELVE,LIBSETS_DROP_MECHANIC_OVERLAND_CHEST}</v>
      </c>
      <c r="BI537" s="21" t="str">
        <f t="shared" si="53"/>
        <v>}, --Eye of the Grasp / Griffblick   [The Deadlands, The Shambles, The Shambles]</v>
      </c>
    </row>
    <row r="538" spans="1:61" x14ac:dyDescent="0.25">
      <c r="A538" s="5">
        <v>614</v>
      </c>
      <c r="B538" t="s">
        <v>2653</v>
      </c>
      <c r="C538" t="s">
        <v>2698</v>
      </c>
      <c r="D538" s="3">
        <f t="shared" si="48"/>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WayshrineInfo'!$K$3:$N$9971,4,FALSE),"")))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WayshrineInfo'!$K$3:$L$9971,2,FALSE),"")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WayshrineInfo'!$K$3:$L$9971,2,FALSE),"")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 t="shared" si="49"/>
        <v>[614] = {wayshrines={493,493,493,}, dlcId=DLC_BASE_GAME</v>
      </c>
      <c r="BF538" s="21" t="str">
        <f t="shared" si="50"/>
        <v>, zoneIds={1286,1283,1283}, veteran=false</v>
      </c>
      <c r="BG538" s="21" t="str">
        <f t="shared" si="51"/>
        <v>, setType=LIBSETS_SETTYPE_OVERLAND</v>
      </c>
      <c r="BH538" s="21" t="str">
        <f t="shared" si="52"/>
        <v>, dropMechanic={LIBSETS_DROP_MECHANIC_OVERLAND_BOSS_DELVE,LIBSETS_DROP_MECHANIC_OVERLAND_BOSS_DELVE,LIBSETS_DROP_MECHANIC_OVERLAND_CHEST}</v>
      </c>
      <c r="BI538" s="21" t="str">
        <f t="shared" si="53"/>
        <v>}, --Hexos' Ward / Hexos-Abschirmung   [The Deadlands, The Shambles, The Shambles]</v>
      </c>
    </row>
    <row r="539" spans="1:61" x14ac:dyDescent="0.25">
      <c r="A539" s="5">
        <v>615</v>
      </c>
      <c r="B539" t="s">
        <v>2654</v>
      </c>
      <c r="C539" t="s">
        <v>2697</v>
      </c>
      <c r="D539" s="3">
        <f t="shared" si="48"/>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WayshrineInfo'!$K$3:$N$9971,4,FALSE),"")))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WayshrineInfo'!$K$3:$L$9971,2,FALSE),"")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WayshrineInfo'!$K$3:$L$9971,2,FALSE),"")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 t="shared" si="49"/>
        <v>[615] = {wayshrines={493,493,493,}, dlcId=DLC_BASE_GAME</v>
      </c>
      <c r="BF539" s="21" t="str">
        <f t="shared" si="50"/>
        <v>, zoneIds={1286,1283,1283}, veteran=false</v>
      </c>
      <c r="BG539" s="21" t="str">
        <f t="shared" si="51"/>
        <v>, setType=LIBSETS_SETTYPE_OVERLAND</v>
      </c>
      <c r="BH539" s="21" t="str">
        <f t="shared" si="52"/>
        <v>, dropMechanic={LIBSETS_DROP_MECHANIC_OVERLAND_BOSS_DELVE,LIBSETS_DROP_MECHANIC_OVERLAND_BOSS_DELVE,LIBSETS_DROP_MECHANIC_OVERLAND_CHEST}</v>
      </c>
      <c r="BI539" s="21" t="str">
        <f t="shared" si="53"/>
        <v>}, --Kynmarcher's Cruelty / Grausamkeit der Kynandantin   [The Deadlands, The Shambles, The Shambles]</v>
      </c>
    </row>
    <row r="540" spans="1:61" x14ac:dyDescent="0.25">
      <c r="A540" s="5">
        <v>616</v>
      </c>
      <c r="B540" t="s">
        <v>2513</v>
      </c>
      <c r="C540" t="s">
        <v>2504</v>
      </c>
      <c r="D540" s="3">
        <f t="shared" si="48"/>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WayshrineInfo'!$K$3:$N$9971,4,FALSE),"")))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WayshrineInfo'!$K$3:$L$9971,2,FALSE),"")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WayshrineInfo'!$K$3:$L$9971,2,FALSE),"")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 t="shared" si="49"/>
        <v>[616] = {wayshrines={-1,-1,-1,}, dlcId=DLC_WAKING_FLAME</v>
      </c>
      <c r="BF540" s="21" t="str">
        <f t="shared" si="50"/>
        <v>, zoneIds={181,181,181,181,181,181}, veteran=false</v>
      </c>
      <c r="BG540" s="21" t="str">
        <f t="shared" si="51"/>
        <v>, setType=LIBSETS_SETTYPE_CYRODIIL</v>
      </c>
      <c r="BH540"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3"/>
        <v>}, --Dark Convergence / Dunkle Konvergenz   [Cyrodiil, Cyrodiil, Cyrodiil, Cyrodiil, Cyrodiil, Cyrodiil]</v>
      </c>
    </row>
    <row r="541" spans="1:61" x14ac:dyDescent="0.25">
      <c r="A541" s="5">
        <v>617</v>
      </c>
      <c r="B541" t="s">
        <v>2514</v>
      </c>
      <c r="C541" t="s">
        <v>2505</v>
      </c>
      <c r="D541" s="3">
        <f t="shared" si="48"/>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WayshrineInfo'!$K$3:$N$9971,4,FALSE),"")))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WayshrineInfo'!$K$3:$L$9971,2,FALSE),"")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WayshrineInfo'!$K$3:$L$9971,2,FALSE),"")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 t="shared" si="49"/>
        <v>[617] = {wayshrines={-1,-1,-1,}, dlcId=DLC_WAKING_FLAME</v>
      </c>
      <c r="BF541" s="21" t="str">
        <f t="shared" si="50"/>
        <v>, zoneIds={181,181,181,181,181,181}, veteran=false</v>
      </c>
      <c r="BG541" s="21" t="str">
        <f t="shared" si="51"/>
        <v>, setType=LIBSETS_SETTYPE_CYRODIIL</v>
      </c>
      <c r="BH541"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3"/>
        <v>}, --Plaguebreak / Seuchenbruch   [Cyrodiil, Cyrodiil, Cyrodiil, Cyrodiil, Cyrodiil, Cyrodiil]</v>
      </c>
    </row>
    <row r="542" spans="1:61" x14ac:dyDescent="0.25">
      <c r="A542" s="5">
        <v>618</v>
      </c>
      <c r="B542" t="s">
        <v>2515</v>
      </c>
      <c r="C542" t="s">
        <v>2644</v>
      </c>
      <c r="D542" s="3">
        <f t="shared" si="48"/>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WayshrineInfo'!$K$3:$N$9971,4,FALSE),"")))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WayshrineInfo'!$K$3:$L$9971,2,FALSE),"")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WayshrineInfo'!$K$3:$L$9971,2,FALSE),"")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 t="shared" si="49"/>
        <v>[618] = {wayshrines={-1,-1,-1,}, dlcId=DLC_WAKING_FLAME</v>
      </c>
      <c r="BF542" s="21" t="str">
        <f t="shared" si="50"/>
        <v>, zoneIds={181,181,181,181,181,181}, veteran=false</v>
      </c>
      <c r="BG542" s="21" t="str">
        <f t="shared" si="51"/>
        <v>, setType=LIBSETS_SETTYPE_CYRODIIL</v>
      </c>
      <c r="BH54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3"/>
        <v>}, --Hrothgar\'s Chill / Hrothgars Kühle   [Cyrodiil, Cyrodiil, Cyrodiil, Cyrodiil, Cyrodiil, Cyrodiil]</v>
      </c>
    </row>
    <row r="543" spans="1:61" x14ac:dyDescent="0.25">
      <c r="A543" s="5">
        <v>619</v>
      </c>
      <c r="B543" t="s">
        <v>2735</v>
      </c>
      <c r="C543" t="s">
        <v>2734</v>
      </c>
      <c r="D543" s="3">
        <f t="shared" si="48"/>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WayshrineInfo'!$K$3:$N$9971,4,FALSE),"")))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WayshrineInfo'!$K$3:$L$9971,2,FALSE),"")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WayshrineInfo'!$K$3:$L$9971,2,FALSE),"")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 t="shared" si="49"/>
        <v>[619] = {wayshrines={497,497,497,}, dlcId=DLC_ASCENDING_TIDE</v>
      </c>
      <c r="BF543" s="21" t="str">
        <f t="shared" si="50"/>
        <v>, zoneIds={1301,1011,1011}, veteran=false</v>
      </c>
      <c r="BG543" s="21" t="str">
        <f t="shared" si="51"/>
        <v>, setType=LIBSETS_SETTYPE_DUNGEON</v>
      </c>
      <c r="BH543" s="21" t="str">
        <f t="shared" si="52"/>
        <v>, dropMechanic={LIBSETS_DROP_MECHANIC_GROUP_DUNGEON_BOSS}</v>
      </c>
      <c r="BI543" s="21" t="str">
        <f t="shared" si="53"/>
        <v>}, --Maligalig\'s Maelstrom / Maligaligs Mahlstrom   [Coral Aerie, Summerset, Summerset]</v>
      </c>
    </row>
    <row r="544" spans="1:61" x14ac:dyDescent="0.25">
      <c r="A544" s="5">
        <v>620</v>
      </c>
      <c r="B544" t="s">
        <v>2733</v>
      </c>
      <c r="C544" t="s">
        <v>2723</v>
      </c>
      <c r="D544" s="3">
        <f t="shared" si="48"/>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WayshrineInfo'!$K$3:$N$9971,4,FALSE),"")))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WayshrineInfo'!$K$3:$L$9971,2,FALSE),"")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WayshrineInfo'!$K$3:$L$9971,2,FALSE),"")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 t="shared" si="49"/>
        <v>[620] = {wayshrines={497,497,497,}, dlcId=DLC_ASCENDING_TIDE</v>
      </c>
      <c r="BF544" s="21" t="str">
        <f t="shared" si="50"/>
        <v>, zoneIds={1301,1011,1011}, veteran=false</v>
      </c>
      <c r="BG544" s="21" t="str">
        <f t="shared" si="51"/>
        <v>, setType=LIBSETS_SETTYPE_DUNGEON</v>
      </c>
      <c r="BH544" s="21" t="str">
        <f t="shared" si="52"/>
        <v>, dropMechanic={LIBSETS_DROP_MECHANIC_GROUP_DUNGEON_BOSS}</v>
      </c>
      <c r="BI544" s="21" t="str">
        <f t="shared" si="53"/>
        <v>}, --Gryphon\'s Reprisal / Vergeltung des Greifen   [Coral Aerie, Summerset, Summerset]</v>
      </c>
    </row>
    <row r="545" spans="1:61" x14ac:dyDescent="0.25">
      <c r="A545" s="5">
        <v>621</v>
      </c>
      <c r="B545" t="s">
        <v>2732</v>
      </c>
      <c r="C545" t="s">
        <v>2706</v>
      </c>
      <c r="D545" s="3">
        <f t="shared" si="48"/>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WayshrineInfo'!$K$3:$N$9971,4,FALSE),"")))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WayshrineInfo'!$K$3:$L$9971,2,FALSE),"")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WayshrineInfo'!$K$3:$L$9971,2,FALSE),"")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 t="shared" si="49"/>
        <v>[621] = {wayshrines={497,497,497,}, dlcId=DLC_ASCENDING_TIDE</v>
      </c>
      <c r="BF545" s="21" t="str">
        <f t="shared" si="50"/>
        <v>, zoneIds={1301,1011,1011}, veteran=false</v>
      </c>
      <c r="BG545" s="21" t="str">
        <f t="shared" si="51"/>
        <v>, setType=LIBSETS_SETTYPE_DUNGEON</v>
      </c>
      <c r="BH545" s="21" t="str">
        <f t="shared" si="52"/>
        <v>, dropMechanic={LIBSETS_DROP_MECHANIC_GROUP_DUNGEON_BOSS}</v>
      </c>
      <c r="BI545" s="21" t="str">
        <f t="shared" si="53"/>
        <v>}, --Glacial Guardian / Gletscherwächter   [Coral Aerie, Summerset, Summerset]</v>
      </c>
    </row>
    <row r="546" spans="1:61" x14ac:dyDescent="0.25">
      <c r="A546" s="5">
        <v>622</v>
      </c>
      <c r="B546" t="s">
        <v>2731</v>
      </c>
      <c r="C546" t="s">
        <v>2708</v>
      </c>
      <c r="D546" s="3">
        <f t="shared" si="48"/>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WayshrineInfo'!$K$3:$N$9971,4,FALSE),"")))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WayshrineInfo'!$K$3:$L$9971,2,FALSE),"")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WayshrineInfo'!$K$3:$L$9971,2,FALSE),"")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 t="shared" si="49"/>
        <v>[622] = {wayshrines={498,498,498,}, dlcId=DLC_ASCENDING_TIDE</v>
      </c>
      <c r="BF546" s="21" t="str">
        <f t="shared" si="50"/>
        <v>, zoneIds={1302,20,20}, veteran=false</v>
      </c>
      <c r="BG546" s="21" t="str">
        <f t="shared" si="51"/>
        <v>, setType=LIBSETS_SETTYPE_DUNGEON</v>
      </c>
      <c r="BH546" s="21" t="str">
        <f t="shared" si="52"/>
        <v>, dropMechanic={LIBSETS_DROP_MECHANIC_GROUP_DUNGEON_BOSS}</v>
      </c>
      <c r="BI546" s="21" t="str">
        <f t="shared" si="53"/>
        <v>}, --Turning Tide / Gezeitenwechsel   [Shipwright's Regret, Rivenspire, Rivenspire]</v>
      </c>
    </row>
    <row r="547" spans="1:61" x14ac:dyDescent="0.25">
      <c r="A547" s="5">
        <v>623</v>
      </c>
      <c r="B547" t="s">
        <v>2730</v>
      </c>
      <c r="C547" t="s">
        <v>3913</v>
      </c>
      <c r="D547" s="3">
        <f t="shared" si="48"/>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WayshrineInfo'!$K$3:$N$9971,4,FALSE),"")))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WayshrineInfo'!$K$3:$L$9971,2,FALSE),"")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WayshrineInfo'!$K$3:$L$9971,2,FALSE),"")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 t="shared" si="49"/>
        <v>[623] = {wayshrines={498,498,498,}, dlcId=DLC_ASCENDING_TIDE</v>
      </c>
      <c r="BF547" s="21" t="str">
        <f t="shared" si="50"/>
        <v>, zoneIds={1302,20,20}, veteran=false</v>
      </c>
      <c r="BG547" s="21" t="str">
        <f t="shared" si="51"/>
        <v>, setType=LIBSETS_SETTYPE_DUNGEON</v>
      </c>
      <c r="BH547" s="21" t="str">
        <f t="shared" si="52"/>
        <v>, dropMechanic={LIBSETS_DROP_MECHANIC_GROUP_DUNGEON_BOSS}</v>
      </c>
      <c r="BI547" s="21" t="str">
        <f t="shared" si="53"/>
        <v>}, --Storm-Cursed\'s Revenge / Rache des Sturmverfluchten   [Shipwright's Regret, Rivenspire, Rivenspire]</v>
      </c>
    </row>
    <row r="548" spans="1:61" x14ac:dyDescent="0.25">
      <c r="A548" s="5">
        <v>624</v>
      </c>
      <c r="B548" t="s">
        <v>2728</v>
      </c>
      <c r="C548" t="s">
        <v>2729</v>
      </c>
      <c r="D548" s="3">
        <f t="shared" si="48"/>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WayshrineInfo'!$K$3:$N$9971,4,FALSE),"")))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WayshrineInfo'!$K$3:$L$9971,2,FALSE),"")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WayshrineInfo'!$K$3:$L$9971,2,FALSE),"")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 t="shared" si="49"/>
        <v>[624] = {wayshrines={498,498,498,}, dlcId=DLC_ASCENDING_TIDE</v>
      </c>
      <c r="BF548" s="21" t="str">
        <f t="shared" si="50"/>
        <v>, zoneIds={1302,20,20}, veteran=false</v>
      </c>
      <c r="BG548" s="21" t="str">
        <f t="shared" si="51"/>
        <v>, setType=LIBSETS_SETTYPE_DUNGEON</v>
      </c>
      <c r="BH548" s="21" t="str">
        <f t="shared" si="52"/>
        <v>, dropMechanic={LIBSETS_DROP_MECHANIC_GROUP_DUNGEON_BOSS}</v>
      </c>
      <c r="BI548" s="21" t="str">
        <f t="shared" si="53"/>
        <v>}, --Spriggan\’s Vigor / Elan des Zweiglings   [Shipwright's Regret, Rivenspire, Rivenspire]</v>
      </c>
    </row>
    <row r="549" spans="1:61" x14ac:dyDescent="0.25">
      <c r="A549" s="5">
        <v>625</v>
      </c>
      <c r="B549" t="s">
        <v>2655</v>
      </c>
      <c r="C549" t="s">
        <v>2695</v>
      </c>
      <c r="D549" s="3">
        <f t="shared" si="48"/>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WayshrineInfo'!$K$3:$N$9971,4,FALSE),"")))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WayshrineInfo'!$K$3:$L$9971,2,FALSE),"")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WayshrineInfo'!$K$3:$L$9971,2,FALSE),"")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 t="shared" si="49"/>
        <v>[625] = {wayshrines={130,491,493,}, dlcId=DLC_DEADLANDS</v>
      </c>
      <c r="BF549" s="21" t="str">
        <f t="shared" si="50"/>
        <v>, zoneIds={347,1286,1283,380,935,1282}, veteran=false</v>
      </c>
      <c r="BG549" s="21" t="str">
        <f t="shared" si="51"/>
        <v>, setType=LIBSETS_SETTYPE_MYTHIC</v>
      </c>
      <c r="BH549" s="21"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48"/>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WayshrineInfo'!$K$3:$N$9971,4,FALSE),"")))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WayshrineInfo'!$K$3:$L$9971,2,FALSE),"")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WayshrineInfo'!$K$3:$L$9971,2,FALSE),"")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 t="shared" si="49"/>
        <v>[626] = {wayshrines={479,253,253,}, dlcId=DLC_DEADLANDS</v>
      </c>
      <c r="BF550" s="21" t="str">
        <f t="shared" si="50"/>
        <v>, zoneIds={1286,823,823,1228,974}, veteran=false</v>
      </c>
      <c r="BG550" s="21" t="str">
        <f t="shared" si="51"/>
        <v>, setType=LIBSETS_SETTYPE_MYTHIC</v>
      </c>
      <c r="BH550" s="21"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3"/>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48"/>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WayshrineInfo'!$K$3:$N$9971,4,FALSE),"")))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WayshrineInfo'!$K$3:$L$9971,2,FALSE),"")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WayshrineInfo'!$K$3:$L$9971,2,FALSE),"")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 t="shared" si="49"/>
        <v>[627] = {wayshrines={479,458,75,}, dlcId=DLC_DEADLANDS</v>
      </c>
      <c r="BF551" s="21" t="str">
        <f t="shared" si="50"/>
        <v>, zoneIds={1286,1261,41,0,0}, veteran=false</v>
      </c>
      <c r="BG551" s="21" t="str">
        <f t="shared" si="51"/>
        <v>, setType=LIBSETS_SETTYPE_MYTHIC</v>
      </c>
      <c r="BH551" s="21"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3"/>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48"/>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WayshrineInfo'!$K$3:$N$9971,4,FALSE),"")))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WayshrineInfo'!$K$3:$L$9971,2,FALSE),"")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WayshrineInfo'!$K$3:$L$9971,2,FALSE),"")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 t="shared" si="49"/>
        <v>[629] = {wayshrines={-1,-1,-1,}, dlcId=DLC_ASCENDING_TIDE</v>
      </c>
      <c r="BF552" s="21" t="str">
        <f t="shared" si="50"/>
        <v>, zoneIds={181,181,181,181,181,181}, veteran=false</v>
      </c>
      <c r="BG552" s="21" t="str">
        <f t="shared" si="51"/>
        <v>, setType=LIBSETS_SETTYPE_CYRODIIL</v>
      </c>
      <c r="BH55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3"/>
        <v>}, --Rallying Cry / Schlachtruf   [Cyrodiil, Cyrodiil, Cyrodiil, Cyrodiil, Cyrodiil, Cyrodiil]</v>
      </c>
    </row>
    <row r="553" spans="1:61" x14ac:dyDescent="0.25">
      <c r="A553" s="5">
        <v>630</v>
      </c>
      <c r="B553" t="s">
        <v>2725</v>
      </c>
      <c r="C553" t="s">
        <v>2711</v>
      </c>
      <c r="D553" s="3">
        <f t="shared" si="48"/>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WayshrineInfo'!$K$3:$N$9971,4,FALSE),"")))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WayshrineInfo'!$K$3:$L$9971,2,FALSE),"")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WayshrineInfo'!$K$3:$L$9971,2,FALSE),"")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 t="shared" si="49"/>
        <v>[630] = {wayshrines={-1,-1,-1,}, dlcId=DLC_ASCENDING_TIDE</v>
      </c>
      <c r="BF553" s="21" t="str">
        <f t="shared" si="50"/>
        <v>, zoneIds={181,181,181,181,181,181}, veteran=false</v>
      </c>
      <c r="BG553" s="21" t="str">
        <f t="shared" si="51"/>
        <v>, setType=LIBSETS_SETTYPE_CYRODIIL</v>
      </c>
      <c r="BH553"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3"/>
        <v>}, --Hew and Sunder  / Kappspalter   [Cyrodiil, Cyrodiil, Cyrodiil, Cyrodiil, Cyrodiil, Cyrodiil]</v>
      </c>
    </row>
    <row r="554" spans="1:61" x14ac:dyDescent="0.25">
      <c r="A554" s="5">
        <v>631</v>
      </c>
      <c r="B554" t="s">
        <v>2726</v>
      </c>
      <c r="C554" t="s">
        <v>2712</v>
      </c>
      <c r="D554" s="3">
        <f t="shared" si="48"/>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WayshrineInfo'!$K$3:$N$9971,4,FALSE),"")))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WayshrineInfo'!$K$3:$L$9971,2,FALSE),"")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WayshrineInfo'!$K$3:$L$9971,2,FALSE),"")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 t="shared" si="49"/>
        <v>[631] = {wayshrines={-1,-1,-1,}, dlcId=DLC_ASCENDING_TIDE</v>
      </c>
      <c r="BF554" s="21" t="str">
        <f t="shared" si="50"/>
        <v>, zoneIds={181,181,181,181,181,181}, veteran=false</v>
      </c>
      <c r="BG554" s="21" t="str">
        <f t="shared" si="51"/>
        <v>, setType=LIBSETS_SETTYPE_CYRODIIL</v>
      </c>
      <c r="BH554"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3"/>
        <v>}, --Enervating Aura  / Enervierende Aura   [Cyrodiil, Cyrodiil, Cyrodiil, Cyrodiil, Cyrodiil, Cyrodiil]</v>
      </c>
    </row>
    <row r="555" spans="1:61" x14ac:dyDescent="0.25">
      <c r="A555" s="5">
        <v>632</v>
      </c>
      <c r="B555" t="s">
        <v>2707</v>
      </c>
      <c r="C555" t="s">
        <v>2707</v>
      </c>
      <c r="D555" s="3">
        <f t="shared" si="48"/>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WayshrineInfo'!$K$3:$N$9971,4,FALSE),"")))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WayshrineInfo'!$K$3:$L$9971,2,FALSE),"")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WayshrineInfo'!$K$3:$L$9971,2,FALSE),"")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 t="shared" si="49"/>
        <v>[632] = {wayshrines={497,497,497,}, dlcId=DLC_ASCENDING_TIDE</v>
      </c>
      <c r="BF555" s="21" t="str">
        <f t="shared" si="50"/>
        <v>, zoneIds={1301,1011,1011}, veteran={[EQUIP_TYPE_HEAD]=true, [EQUIP_TYPE_SHOULDERS]=false}</v>
      </c>
      <c r="BG555" s="21" t="str">
        <f t="shared" si="51"/>
        <v>, setType=LIBSETS_SETTYPE_MONSTER, undauntedChestId=3</v>
      </c>
      <c r="BH555" s="21" t="str">
        <f t="shared" si="52"/>
        <v>, dropMechanic={LIBSETS_DROP_MECHANIC_MONSTER_NAME}, dropMechanicDropLocationNames={['en']={'Varallion','','','','','',},['de']={'Varallion','','','','','',},}</v>
      </c>
      <c r="BI555" s="21" t="str">
        <f t="shared" si="53"/>
        <v>}, --Kargaeda / Kargaeda   [Coral Aerie, Summerset, Summerset]</v>
      </c>
    </row>
    <row r="556" spans="1:61" x14ac:dyDescent="0.25">
      <c r="A556" s="5">
        <v>633</v>
      </c>
      <c r="B556" t="s">
        <v>2709</v>
      </c>
      <c r="C556" t="s">
        <v>2709</v>
      </c>
      <c r="D556" s="3">
        <f t="shared" si="48"/>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WayshrineInfo'!$K$3:$N$9971,4,FALSE),"")))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WayshrineInfo'!$K$3:$L$9971,2,FALSE),"")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WayshrineInfo'!$K$3:$L$9971,2,FALSE),"")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 t="shared" si="49"/>
        <v>[633] = {wayshrines={498,498,498,}, dlcId=DLC_ASCENDING_TIDE</v>
      </c>
      <c r="BF556" s="21" t="str">
        <f t="shared" si="50"/>
        <v>, zoneIds={1302,20,20}, veteran={[EQUIP_TYPE_HEAD]=true, [EQUIP_TYPE_SHOULDERS]=false}</v>
      </c>
      <c r="BG556" s="21" t="str">
        <f t="shared" si="51"/>
        <v>, setType=LIBSETS_SETTYPE_MONSTER, undauntedChestId=3</v>
      </c>
      <c r="BH556" s="21" t="str">
        <f t="shared" si="52"/>
        <v>, dropMechanic={LIBSETS_DROP_MECHANIC_MONSTER_NAME}, dropMechanicDropLocationNames={['en']={'Nazaray ','','','','','',},['de']={'Nazaray ','','','','','',},}</v>
      </c>
      <c r="BI556" s="21" t="str">
        <f t="shared" si="53"/>
        <v>}, --Nazaray  / Nazaray    [Shipwright's Regret, Rivenspire, Rivenspire]</v>
      </c>
    </row>
    <row r="557" spans="1:61" x14ac:dyDescent="0.25">
      <c r="A557" s="5">
        <v>634</v>
      </c>
      <c r="B557" t="s">
        <v>2713</v>
      </c>
      <c r="C557" t="s">
        <v>2713</v>
      </c>
      <c r="D557" s="3">
        <f t="shared" si="48"/>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WayshrineInfo'!$K$3:$N$9971,4,FALSE),"")))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WayshrineInfo'!$K$3:$L$9971,2,FALSE),"")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WayshrineInfo'!$K$3:$L$9971,2,FALSE),"")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 t="shared" si="49"/>
        <v>[634] = {wayshrines={-1,-1,-1,}, dlcId=DLC_ASCENDING_TIDE</v>
      </c>
      <c r="BF557" s="21" t="str">
        <f t="shared" si="50"/>
        <v>, zoneIds={584,643}, veteran=false</v>
      </c>
      <c r="BG557" s="21" t="str">
        <f t="shared" si="51"/>
        <v>, setType=LIBSETS_SETTYPE_IMPERIALCITY_MONSTER</v>
      </c>
      <c r="BH557" s="21" t="str">
        <f t="shared" si="52"/>
        <v>, dropMechanic={LIBSETS_DROP_MECHANIC_MONSTER_NAME,LIBSETS_DROP_MECHANIC_TELVAR_EQUIPMENT_LOCKBOX_MERCHANT}, dropMechanicDropLocationNames={['en']={'Nunatak [Memorial district, north]','','','','','',},['de']={'Nunatak [Gedenkbezirk, Norden]','','','','','',},}</v>
      </c>
      <c r="BI557" s="21" t="str">
        <f t="shared" si="53"/>
        <v>}, --Nunatak / Nunatak   [Imperial City, Imperial Sewers]</v>
      </c>
    </row>
    <row r="558" spans="1:61" x14ac:dyDescent="0.25">
      <c r="A558" s="5">
        <v>635</v>
      </c>
      <c r="B558" t="s">
        <v>2727</v>
      </c>
      <c r="C558" t="s">
        <v>2714</v>
      </c>
      <c r="D558" s="3">
        <f t="shared" si="48"/>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WayshrineInfo'!$K$3:$N$9971,4,FALSE),"")))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WayshrineInfo'!$K$3:$L$9971,2,FALSE),"")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WayshrineInfo'!$K$3:$L$9971,2,FALSE),"")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 t="shared" si="49"/>
        <v>[635] = {wayshrines={-1,-1,-1,}, dlcId=DLC_ASCENDING_TIDE</v>
      </c>
      <c r="BF558" s="21" t="str">
        <f t="shared" si="50"/>
        <v>, zoneIds={584,643}, veteran=false</v>
      </c>
      <c r="BG558" s="21" t="str">
        <f t="shared" si="51"/>
        <v>, setType=LIBSETS_SETTYPE_IMPERIALCITY_MONSTER</v>
      </c>
      <c r="BH558" s="21" t="str">
        <f t="shared" si="52"/>
        <v>, dropMechanic={LIBSETS_DROP_MECHANIC_MONSTER_NAME,LIBSETS_DROP_MECHANIC_TELVAR_EQUIPMENT_LOCKBOX_MERCHANT}, dropMechanicDropLocationNames={['en']={'Lady Malygda [Aboretum, south-east]','','','','','',},['de']={'Fürstin Malydga [Arboretum, Süd-Osten]','','','','','',},}</v>
      </c>
      <c r="BI558" s="21" t="str">
        <f t="shared" si="53"/>
        <v>}, --Lady Malydga / Fürstin Malygda   [Imperial City, Imperial Sewers]</v>
      </c>
    </row>
    <row r="559" spans="1:61" x14ac:dyDescent="0.25">
      <c r="A559" s="5">
        <v>636</v>
      </c>
      <c r="B559" t="s">
        <v>2715</v>
      </c>
      <c r="C559" t="s">
        <v>2715</v>
      </c>
      <c r="D559" s="3">
        <f t="shared" si="48"/>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WayshrineInfo'!$K$3:$N$9971,4,FALSE),"")))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WayshrineInfo'!$K$3:$L$9971,2,FALSE),"")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WayshrineInfo'!$K$3:$L$9971,2,FALSE),"")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 t="shared" si="49"/>
        <v>[636] = {wayshrines={-1,-1,-1,}, dlcId=DLC_ASCENDING_TIDE</v>
      </c>
      <c r="BF559" s="21" t="str">
        <f t="shared" si="50"/>
        <v>, zoneIds={584,643}, veteran=false</v>
      </c>
      <c r="BG559" s="21" t="str">
        <f t="shared" si="51"/>
        <v>, setType=LIBSETS_SETTYPE_IMPERIALCITY_MONSTER</v>
      </c>
      <c r="BH559" s="21" t="str">
        <f t="shared" si="52"/>
        <v>, dropMechanic={LIBSETS_DROP_MECHANIC_MONSTER_NAME,LIBSETS_DROP_MECHANIC_TELVAR_EQUIPMENT_LOCKBOX_MERCHANT}, dropMechanicDropLocationNames={['en']={'Baron Thirsk [Nobles district, south-west]','','','','','',},['de']={'Baron Thirsk [Adelsbezirk, Süd-Westen]','','','','','',},}</v>
      </c>
      <c r="BI559" s="21" t="str">
        <f t="shared" si="53"/>
        <v>}, --Baron Thirsk / Baron Thirsk   [Imperial City, Imperial Sewers]</v>
      </c>
    </row>
    <row r="560" spans="1:61" x14ac:dyDescent="0.25">
      <c r="A560" s="5">
        <v>640</v>
      </c>
      <c r="B560" t="s">
        <v>3415</v>
      </c>
      <c r="C560" t="s">
        <v>3358</v>
      </c>
      <c r="D560" s="3">
        <f t="shared" si="48"/>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WayshrineInfo'!$K$3:$N$9971,4,FALSE),"")))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WayshrineInfo'!$K$3:$L$9971,2,FALSE),"")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WayshrineInfo'!$K$3:$L$9971,2,FALSE),"")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 t="shared" si="49"/>
        <v>[640] = {wayshrines={503,503,503,}, traitsNeeded=3, dlcId=DLC_BASE_GAME</v>
      </c>
      <c r="BF560" s="21" t="str">
        <f t="shared" si="50"/>
        <v>, zoneIds={1318,1318,1318}, veteran=false</v>
      </c>
      <c r="BG560" s="21" t="str">
        <f t="shared" si="51"/>
        <v>, setType=LIBSETS_SETTYPE_CRAFTED</v>
      </c>
      <c r="BH560" s="21" t="str">
        <f t="shared" si="52"/>
        <v>, dropMechanic={LIBSETS_DROP_MECHANIC_CRAFTED,LIBSETS_DROP_MECHANIC_CRAFTED,LIBSETS_DROP_MECHANIC_CRAFTED}</v>
      </c>
      <c r="BI560" s="21" t="str">
        <f t="shared" si="53"/>
        <v>}, --Order\'s Wrath / Zorn des Ordens   [High Isle, High Isle, High Isle]</v>
      </c>
    </row>
    <row r="561" spans="1:61" x14ac:dyDescent="0.25">
      <c r="A561" s="5">
        <v>641</v>
      </c>
      <c r="B561" t="s">
        <v>3416</v>
      </c>
      <c r="C561" s="83" t="s">
        <v>3906</v>
      </c>
      <c r="D561" s="3">
        <f t="shared" si="48"/>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WayshrineInfo'!$K$3:$N$9971,4,FALSE),"")))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WayshrineInfo'!$K$3:$L$9971,2,FALSE),"")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WayshrineInfo'!$K$3:$L$9971,2,FALSE),"")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49"/>
        <v>[641] = {wayshrines={506,506,506,}, traitsNeeded=5, dlcId=DLC_BASE_GAME</v>
      </c>
      <c r="BF561" s="21" t="str">
        <f t="shared" si="50"/>
        <v>, zoneIds={1318,1318,1318}, veteran=false</v>
      </c>
      <c r="BG561" s="21" t="str">
        <f t="shared" si="51"/>
        <v>, setType=LIBSETS_SETTYPE_CRAFTED</v>
      </c>
      <c r="BH561" s="21" t="str">
        <f t="shared" si="52"/>
        <v>, dropMechanic={LIBSETS_DROP_MECHANIC_CRAFTED,LIBSETS_DROP_MECHANIC_CRAFTED,LIBSETS_DROP_MECHANIC_CRAFTED}</v>
      </c>
      <c r="BI561" s="21" t="str">
        <f t="shared" si="53"/>
        <v>}, --Serpent\'s Disdain / Verachtung der Schlange   [High Isle, High Isle, High Isle]</v>
      </c>
    </row>
    <row r="562" spans="1:61" x14ac:dyDescent="0.25">
      <c r="A562" s="5">
        <v>642</v>
      </c>
      <c r="B562" t="s">
        <v>3417</v>
      </c>
      <c r="C562" t="s">
        <v>3359</v>
      </c>
      <c r="D562" s="3">
        <f t="shared" si="48"/>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WayshrineInfo'!$K$3:$N$9971,4,FALSE),"")))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WayshrineInfo'!$K$3:$L$9971,2,FALSE),"")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WayshrineInfo'!$K$3:$L$9971,2,FALSE),"")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49"/>
        <v>[642] = {wayshrines={511,511,511,}, traitsNeeded=7, dlcId=DLC_BASE_GAME</v>
      </c>
      <c r="BF562" s="21" t="str">
        <f t="shared" si="50"/>
        <v>, zoneIds={1318,1318,1318}, veteran=false</v>
      </c>
      <c r="BG562" s="21" t="str">
        <f t="shared" si="51"/>
        <v>, setType=LIBSETS_SETTYPE_CRAFTED</v>
      </c>
      <c r="BH562" s="21" t="str">
        <f t="shared" si="52"/>
        <v>, dropMechanic={LIBSETS_DROP_MECHANIC_CRAFTED,LIBSETS_DROP_MECHANIC_CRAFTED,LIBSETS_DROP_MECHANIC_CRAFTED}</v>
      </c>
      <c r="BI562" s="21" t="str">
        <f t="shared" si="53"/>
        <v>}, --Druid\'s Braid / Druidenflechte   [High Isle, High Isle, High Isle]</v>
      </c>
    </row>
    <row r="563" spans="1:61" x14ac:dyDescent="0.25">
      <c r="A563" s="5">
        <v>643</v>
      </c>
      <c r="B563" t="s">
        <v>3418</v>
      </c>
      <c r="C563" t="s">
        <v>3360</v>
      </c>
      <c r="D563" s="3">
        <f t="shared" si="48"/>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WayshrineInfo'!$K$3:$N$9971,4,FALSE),"")))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WayshrineInfo'!$K$3:$L$9971,2,FALSE),"")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WayshrineInfo'!$K$3:$L$9971,2,FALSE),"")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 t="shared" si="49"/>
        <v>[643] = {wayshrines={512,512,512,}, dlcId=DLC_BASE_GAME</v>
      </c>
      <c r="BF563" s="21" t="str">
        <f t="shared" si="50"/>
        <v>, zoneIds={1318,1318,1318,1318,1318}, veteran=false</v>
      </c>
      <c r="BG563" s="21" t="str">
        <f t="shared" si="51"/>
        <v>, setType=LIBSETS_SETTYPE_OVERLAND</v>
      </c>
      <c r="BH563" s="21" t="str">
        <f t="shared" si="52"/>
        <v>, dropMechanic={LIBSETS_DROP_MECHANIC_OVERLAND_WORLDBOSS,LIBSETS_DROP_MECHANIC_OVERLAND_BOSS_DELVE,LIBSETS_DROP_MECHANIC_OVERLAND_CHEST,LIBSETS_DROP_MECHANIC_OVERLAND_BOSS_PUBLIC_DUNGEON,LIBSETS_DROP_MECHANIC_OVERLAND_LOOT}</v>
      </c>
      <c r="BI563" s="21" t="str">
        <f t="shared" si="53"/>
        <v>}, --Blessing of High Isle / Segen von Hochinsel   [High Isle, High Isle, High Isle, High Isle, High Isle]</v>
      </c>
    </row>
    <row r="564" spans="1:61" x14ac:dyDescent="0.25">
      <c r="A564" s="5">
        <v>644</v>
      </c>
      <c r="B564" t="s">
        <v>3419</v>
      </c>
      <c r="C564" t="s">
        <v>3361</v>
      </c>
      <c r="D564" s="3">
        <f t="shared" si="48"/>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WayshrineInfo'!$K$3:$N$9971,4,FALSE),"")))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WayshrineInfo'!$K$3:$L$9971,2,FALSE),"")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WayshrineInfo'!$K$3:$L$9971,2,FALSE),"")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 t="shared" si="49"/>
        <v>[644] = {wayshrines={512,512,512,}, dlcId=DLC_BASE_GAME</v>
      </c>
      <c r="BF564" s="21" t="str">
        <f t="shared" si="50"/>
        <v>, zoneIds={1318,1318,1318,1318,1318}, veteran=false</v>
      </c>
      <c r="BG564" s="21" t="str">
        <f t="shared" si="51"/>
        <v>, setType=LIBSETS_SETTYPE_OVERLAND</v>
      </c>
      <c r="BH564" s="21" t="str">
        <f t="shared" si="52"/>
        <v>, dropMechanic={LIBSETS_DROP_MECHANIC_OVERLAND_WORLDBOSS,LIBSETS_DROP_MECHANIC_OVERLAND_BOSS_DELVE,LIBSETS_DROP_MECHANIC_OVERLAND_CHEST,LIBSETS_DROP_MECHANIC_OVERLAND_BOSS_PUBLIC_DUNGEON,LIBSETS_DROP_MECHANIC_OVERLAND_LOOT}</v>
      </c>
      <c r="BI564" s="21" t="str">
        <f t="shared" si="53"/>
        <v>}, --Steadfast\'s Mettle / Mut der Standhaften   [High Isle, High Isle, High Isle, High Isle, High Isle]</v>
      </c>
    </row>
    <row r="565" spans="1:61" x14ac:dyDescent="0.25">
      <c r="A565" s="5">
        <v>645</v>
      </c>
      <c r="B565" t="s">
        <v>3420</v>
      </c>
      <c r="C565" t="s">
        <v>3362</v>
      </c>
      <c r="D565" s="3">
        <f t="shared" si="48"/>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WayshrineInfo'!$K$3:$N$9971,4,FALSE),"")))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WayshrineInfo'!$K$3:$L$9971,2,FALSE),"")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WayshrineInfo'!$K$3:$L$9971,2,FALSE),"")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 t="shared" si="49"/>
        <v>[645] = {wayshrines={512,512,512,}, dlcId=DLC_BASE_GAME</v>
      </c>
      <c r="BF565" s="21" t="str">
        <f t="shared" si="50"/>
        <v>, zoneIds={1318,1318,1318,1318,1318}, veteran=false</v>
      </c>
      <c r="BG565" s="21" t="str">
        <f t="shared" si="51"/>
        <v>, setType=LIBSETS_SETTYPE_OVERLAND</v>
      </c>
      <c r="BH565" s="21" t="str">
        <f t="shared" si="52"/>
        <v>, dropMechanic={LIBSETS_DROP_MECHANIC_OVERLAND_WORLDBOSS,LIBSETS_DROP_MECHANIC_OVERLAND_BOSS_DELVE,LIBSETS_DROP_MECHANIC_OVERLAND_CHEST,LIBSETS_DROP_MECHANIC_OVERLAND_BOSS_PUBLIC_DUNGEON,LIBSETS_DROP_MECHANIC_OVERLAND_LOOT}</v>
      </c>
      <c r="BI565" s="21" t="str">
        <f t="shared" si="53"/>
        <v>}, --Systres\' Scowl / Blick der Systren   [High Isle, High Isle, High Isle, High Isle, High Isle]</v>
      </c>
    </row>
    <row r="566" spans="1:61" x14ac:dyDescent="0.25">
      <c r="A566" s="5">
        <v>646</v>
      </c>
      <c r="B566" t="s">
        <v>3421</v>
      </c>
      <c r="C566" t="s">
        <v>3363</v>
      </c>
      <c r="D566" s="3">
        <f t="shared" si="48"/>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WayshrineInfo'!$K$3:$N$9971,4,FALSE),"")))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WayshrineInfo'!$K$3:$L$9971,2,FALSE),"")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WayshrineInfo'!$K$3:$L$9971,2,FALSE),"")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 t="shared" si="49"/>
        <v>[646] = {wayshrines={505,505,505,}, dlcId=DLC_HIGH_ISLE</v>
      </c>
      <c r="BF566" s="21" t="str">
        <f t="shared" si="50"/>
        <v>, zoneIds={1344,1344,1344}, veteran=false</v>
      </c>
      <c r="BG566" s="21" t="str">
        <f t="shared" si="51"/>
        <v>, setType=LIBSETS_SETTYPE_TRIAL</v>
      </c>
      <c r="BH566" s="21" t="str">
        <f t="shared" si="52"/>
        <v>, dropMechanic={LIBSETS_DROP_MECHANIC_TRIAL_BOSS,LIBSETS_DROP_MECHANIC_TRIAL_BOSS,LIBSETS_DROP_MECHANIC_TRIAL_BOSS}, perfectedSetId=653</v>
      </c>
      <c r="BI566" s="21" t="str">
        <f t="shared" si="53"/>
        <v>}, --Whorl of the Depths / Wirbel der Tiefen   [Dreadsail Reef, Dreadsail Reef, Dreadsail Reef]</v>
      </c>
    </row>
    <row r="567" spans="1:61" x14ac:dyDescent="0.25">
      <c r="A567" s="5">
        <v>647</v>
      </c>
      <c r="B567" t="s">
        <v>3422</v>
      </c>
      <c r="C567" t="s">
        <v>3364</v>
      </c>
      <c r="D567" s="3">
        <f t="shared" si="48"/>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WayshrineInfo'!$K$3:$N$9971,4,FALSE),"")))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WayshrineInfo'!$K$3:$L$9971,2,FALSE),"")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WayshrineInfo'!$K$3:$L$9971,2,FALSE),"")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 t="shared" si="49"/>
        <v>[647] = {wayshrines={505,505,505,}, dlcId=DLC_HIGH_ISLE</v>
      </c>
      <c r="BF567" s="21" t="str">
        <f t="shared" si="50"/>
        <v>, zoneIds={1344,1344,1344}, veteran=false</v>
      </c>
      <c r="BG567" s="21" t="str">
        <f t="shared" si="51"/>
        <v>, setType=LIBSETS_SETTYPE_TRIAL</v>
      </c>
      <c r="BH567" s="21" t="str">
        <f t="shared" si="52"/>
        <v>, dropMechanic={LIBSETS_DROP_MECHANIC_TRIAL_BOSS,LIBSETS_DROP_MECHANIC_TRIAL_BOSS,LIBSETS_DROP_MECHANIC_TRIAL_BOSS}, perfectedSetId=652</v>
      </c>
      <c r="BI567" s="21" t="str">
        <f t="shared" si="53"/>
        <v>}, --Coral Riptide / Korallenbrandung   [Dreadsail Reef, Dreadsail Reef, Dreadsail Reef]</v>
      </c>
    </row>
    <row r="568" spans="1:61" x14ac:dyDescent="0.25">
      <c r="A568" s="5">
        <v>648</v>
      </c>
      <c r="B568" t="s">
        <v>3423</v>
      </c>
      <c r="C568" t="s">
        <v>3365</v>
      </c>
      <c r="D568" s="3">
        <f t="shared" si="48"/>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WayshrineInfo'!$K$3:$N$9971,4,FALSE),"")))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WayshrineInfo'!$K$3:$L$9971,2,FALSE),"")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WayshrineInfo'!$K$3:$L$9971,2,FALSE),"")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 t="shared" si="49"/>
        <v>[648] = {wayshrines={505,505,505,}, dlcId=DLC_HIGH_ISLE</v>
      </c>
      <c r="BF568" s="21" t="str">
        <f t="shared" si="50"/>
        <v>, zoneIds={1344,1344,1344}, veteran=false</v>
      </c>
      <c r="BG568" s="21" t="str">
        <f t="shared" si="51"/>
        <v>, setType=LIBSETS_SETTYPE_TRIAL</v>
      </c>
      <c r="BH568" s="21" t="str">
        <f t="shared" si="52"/>
        <v>, dropMechanic={LIBSETS_DROP_MECHANIC_TRIAL_BOSS,LIBSETS_DROP_MECHANIC_TRIAL_BOSS,LIBSETS_DROP_MECHANIC_TRIAL_BOSS}, perfectedSetId=651</v>
      </c>
      <c r="BI568" s="21" t="str">
        <f t="shared" si="53"/>
        <v>}, --Pearlescent Ward / Perlenglanz-Schutz   [Dreadsail Reef, Dreadsail Reef, Dreadsail Reef]</v>
      </c>
    </row>
    <row r="569" spans="1:61" x14ac:dyDescent="0.25">
      <c r="A569" s="5">
        <v>649</v>
      </c>
      <c r="B569" t="s">
        <v>3424</v>
      </c>
      <c r="C569" t="s">
        <v>3366</v>
      </c>
      <c r="D569" s="3">
        <f t="shared" si="48"/>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WayshrineInfo'!$K$3:$N$9971,4,FALSE),"")))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WayshrineInfo'!$K$3:$L$9971,2,FALSE),"")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WayshrineInfo'!$K$3:$L$9971,2,FALSE),"")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 t="shared" si="49"/>
        <v>[649] = {wayshrines={505,505,505,}, dlcId=DLC_HIGH_ISLE</v>
      </c>
      <c r="BF569" s="21" t="str">
        <f t="shared" si="50"/>
        <v>, zoneIds={1344,1344,1344}, veteran=false</v>
      </c>
      <c r="BG569" s="21" t="str">
        <f t="shared" si="51"/>
        <v>, setType=LIBSETS_SETTYPE_TRIAL</v>
      </c>
      <c r="BH569" s="21" t="str">
        <f t="shared" si="52"/>
        <v>, dropMechanic={LIBSETS_DROP_MECHANIC_TRIAL_BOSS,LIBSETS_DROP_MECHANIC_TRIAL_BOSS,LIBSETS_DROP_MECHANIC_TRIAL_BOSS}, perfectedSetId=650</v>
      </c>
      <c r="BI569" s="21" t="str">
        <f t="shared" si="53"/>
        <v>}, --Pillager\'s Profit / Profit des Brandschatzers   [Dreadsail Reef, Dreadsail Reef, Dreadsail Reef]</v>
      </c>
    </row>
    <row r="570" spans="1:61" x14ac:dyDescent="0.25">
      <c r="A570" s="5">
        <v>650</v>
      </c>
      <c r="B570" t="s">
        <v>3425</v>
      </c>
      <c r="C570" s="83" t="s">
        <v>3905</v>
      </c>
      <c r="D570" s="3">
        <f t="shared" si="48"/>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WayshrineInfo'!$K$3:$N$9971,4,FALSE),"")))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WayshrineInfo'!$K$3:$L$9971,2,FALSE),"")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WayshrineInfo'!$K$3:$L$9971,2,FALSE),"")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 t="shared" si="49"/>
        <v>[650] = {wayshrines={505,505,505,}, dlcId=DLC_HIGH_ISLE</v>
      </c>
      <c r="BF570" s="21" t="str">
        <f t="shared" si="50"/>
        <v>, zoneIds={1344,1344,1344}, veteran=true</v>
      </c>
      <c r="BG570" s="21" t="str">
        <f t="shared" si="51"/>
        <v>, setType=LIBSETS_SETTYPE_TRIAL</v>
      </c>
      <c r="BH570" s="21" t="str">
        <f t="shared" si="52"/>
        <v>, dropMechanic={LIBSETS_DROP_MECHANIC_TRIAL_BOSS,LIBSETS_DROP_MECHANIC_TRIAL_BOSS,LIBSETS_DROP_MECHANIC_TRIAL_BOSS}, isPerfectedSet=1</v>
      </c>
      <c r="BI570" s="21" t="str">
        <f t="shared" si="53"/>
        <v>}, --Perfected Pillager\'s Profit / Perfektionierter Profit des Brandschatzers   [Dreadsail Reef, Dreadsail Reef, Dreadsail Reef]</v>
      </c>
    </row>
    <row r="571" spans="1:61" x14ac:dyDescent="0.25">
      <c r="A571" s="5">
        <v>651</v>
      </c>
      <c r="B571" t="s">
        <v>3426</v>
      </c>
      <c r="C571" t="s">
        <v>3367</v>
      </c>
      <c r="D571" s="3">
        <f t="shared" si="48"/>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WayshrineInfo'!$K$3:$N$9971,4,FALSE),"")))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WayshrineInfo'!$K$3:$L$9971,2,FALSE),"")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WayshrineInfo'!$K$3:$L$9971,2,FALSE),"")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 t="shared" si="49"/>
        <v>[651] = {wayshrines={505,505,505,}, dlcId=DLC_HIGH_ISLE</v>
      </c>
      <c r="BF571" s="21" t="str">
        <f t="shared" si="50"/>
        <v>, zoneIds={1344,1344,1344}, veteran=true</v>
      </c>
      <c r="BG571" s="21" t="str">
        <f t="shared" si="51"/>
        <v>, setType=LIBSETS_SETTYPE_TRIAL</v>
      </c>
      <c r="BH571" s="21" t="str">
        <f t="shared" si="52"/>
        <v>, dropMechanic={LIBSETS_DROP_MECHANIC_TRIAL_BOSS,LIBSETS_DROP_MECHANIC_TRIAL_BOSS,LIBSETS_DROP_MECHANIC_TRIAL_BOSS}, isPerfectedSet=1</v>
      </c>
      <c r="BI571" s="21" t="str">
        <f t="shared" si="53"/>
        <v>}, --Perfected Pearlescent Ward / Perfektionierter Perlenglanz-Schutz   [Dreadsail Reef, Dreadsail Reef, Dreadsail Reef]</v>
      </c>
    </row>
    <row r="572" spans="1:61" x14ac:dyDescent="0.25">
      <c r="A572" s="5">
        <v>652</v>
      </c>
      <c r="B572" t="s">
        <v>3427</v>
      </c>
      <c r="C572" t="s">
        <v>3368</v>
      </c>
      <c r="D572" s="3">
        <f t="shared" si="48"/>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WayshrineInfo'!$K$3:$N$9971,4,FALSE),"")))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WayshrineInfo'!$K$3:$L$9971,2,FALSE),"")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WayshrineInfo'!$K$3:$L$9971,2,FALSE),"")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 t="shared" si="49"/>
        <v>[652] = {wayshrines={505,505,505,}, dlcId=DLC_HIGH_ISLE</v>
      </c>
      <c r="BF572" s="21" t="str">
        <f t="shared" si="50"/>
        <v>, zoneIds={1344,1344,1344}, veteran=true</v>
      </c>
      <c r="BG572" s="21" t="str">
        <f t="shared" si="51"/>
        <v>, setType=LIBSETS_SETTYPE_TRIAL</v>
      </c>
      <c r="BH572" s="21" t="str">
        <f t="shared" si="52"/>
        <v>, dropMechanic={LIBSETS_DROP_MECHANIC_TRIAL_BOSS,LIBSETS_DROP_MECHANIC_TRIAL_BOSS,LIBSETS_DROP_MECHANIC_TRIAL_BOSS}, isPerfectedSet=1</v>
      </c>
      <c r="BI572" s="21" t="str">
        <f t="shared" si="53"/>
        <v>}, --Perfected Coral Riptide / Perfektionierte Korallenbrandung   [Dreadsail Reef, Dreadsail Reef, Dreadsail Reef]</v>
      </c>
    </row>
    <row r="573" spans="1:61" x14ac:dyDescent="0.25">
      <c r="A573" s="5">
        <v>653</v>
      </c>
      <c r="B573" t="s">
        <v>3428</v>
      </c>
      <c r="C573" t="s">
        <v>3369</v>
      </c>
      <c r="D573" s="3">
        <f t="shared" si="48"/>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WayshrineInfo'!$K$3:$N$9971,4,FALSE),"")))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WayshrineInfo'!$K$3:$L$9971,2,FALSE),"")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WayshrineInfo'!$K$3:$L$9971,2,FALSE),"")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 t="shared" si="49"/>
        <v>[653] = {wayshrines={505,505,505,}, dlcId=DLC_HIGH_ISLE</v>
      </c>
      <c r="BF573" s="21" t="str">
        <f t="shared" si="50"/>
        <v>, zoneIds={1344,1344,1344}, veteran=true</v>
      </c>
      <c r="BG573" s="21" t="str">
        <f t="shared" si="51"/>
        <v>, setType=LIBSETS_SETTYPE_TRIAL</v>
      </c>
      <c r="BH573" s="21" t="str">
        <f t="shared" si="52"/>
        <v>, dropMechanic={LIBSETS_DROP_MECHANIC_TRIAL_BOSS,LIBSETS_DROP_MECHANIC_TRIAL_BOSS,LIBSETS_DROP_MECHANIC_TRIAL_BOSS}, isPerfectedSet=1</v>
      </c>
      <c r="BI573" s="21" t="str">
        <f t="shared" si="53"/>
        <v>}, --Perfected Whorl of the Depths / Perfektionierter Wirbel der Tiefen   [Dreadsail Reef, Dreadsail Reef, Dreadsail Reef]</v>
      </c>
    </row>
    <row r="574" spans="1:61" x14ac:dyDescent="0.25">
      <c r="A574" s="5">
        <v>654</v>
      </c>
      <c r="B574" t="s">
        <v>3429</v>
      </c>
      <c r="C574" s="83" t="s">
        <v>3476</v>
      </c>
      <c r="D574" s="3">
        <f t="shared" si="48"/>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WayshrineInfo'!$K$3:$N$9971,4,FALSE),"")))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WayshrineInfo'!$K$3:$L$9971,2,FALSE),"")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WayshrineInfo'!$K$3:$L$9971,2,FALSE),"")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 t="shared" si="49"/>
        <v>[654] = {wayshrines={479,156,479,}, dlcId=DLC_HIGH_ISLE</v>
      </c>
      <c r="BF574" s="21" t="str">
        <f t="shared" si="50"/>
        <v>, zoneIds={1286,487,1286,1286,678}, veteran=false</v>
      </c>
      <c r="BG574" s="21" t="str">
        <f t="shared" si="51"/>
        <v>, setType=LIBSETS_SETTYPE_MYTHIC</v>
      </c>
      <c r="BH574" s="21"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3"/>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48"/>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WayshrineInfo'!$K$3:$N$9971,4,FALSE),"")))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WayshrineInfo'!$K$3:$L$9971,2,FALSE),"")
),"")</f>
        <v>1133</v>
      </c>
      <c r="AA575" t="str">
        <f>IF(AND(Z575&lt;&gt;"",ISNUMBER(Z575),NOT(ISNA(Z575))),VLOOKUP(Z575,'ESO zone constants'!$A$5:$D$10001,4,FALSE),"")</f>
        <v>Southern Elsweyr</v>
      </c>
      <c r="AB575" s="33" t="s">
        <v>3213</v>
      </c>
      <c r="AC575" s="3" t="s">
        <v>4018</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 t="shared" si="49"/>
        <v>[655] = {wayshrines={383,402,-1,}, dlcId=DLC_HIGH_ISLE</v>
      </c>
      <c r="BF575" s="21" t="str">
        <f t="shared" si="50"/>
        <v>, zoneIds={1086,1133,1121,1123,1122}, veteran=false</v>
      </c>
      <c r="BG575" s="21" t="str">
        <f t="shared" si="51"/>
        <v>, setType=LIBSETS_SETTYPE_MYTHIC</v>
      </c>
      <c r="BH575" s="21"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3"/>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48"/>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WayshrineInfo'!$K$3:$N$9971,4,FALSE),"")))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WayshrineInfo'!$K$3:$L$9971,2,FALSE),"")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WayshrineInfo'!$K$3:$L$9971,2,FALSE),"")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 t="shared" si="49"/>
        <v>[656] = {wayshrines={354,519,43,}, dlcId=DLC_HIGH_ISLE</v>
      </c>
      <c r="BF576" s="21" t="str">
        <f t="shared" si="50"/>
        <v>, zoneIds={1011,1318,104,0,1011}, veteran=false</v>
      </c>
      <c r="BG576" s="21" t="str">
        <f t="shared" si="51"/>
        <v>, setType=LIBSETS_SETTYPE_MYTHIC</v>
      </c>
      <c r="BH576" s="21"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3"/>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48"/>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WayshrineInfo'!$K$3:$N$9971,4,FALSE),"")))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WayshrineInfo'!$K$3:$L$9971,2,FALSE),"")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WayshrineInfo'!$K$3:$L$9971,2,FALSE),"")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 t="shared" si="49"/>
        <v>[657] = {wayshrines={511,117,502,}, dlcId=DLC_HIGH_ISLE</v>
      </c>
      <c r="BF577" s="21" t="str">
        <f t="shared" si="50"/>
        <v>, zoneIds={1318,103,1318,0,57,383}, veteran=false</v>
      </c>
      <c r="BG577" s="21" t="str">
        <f t="shared" si="51"/>
        <v>, setType=LIBSETS_SETTYPE_MYTHIC</v>
      </c>
      <c r="BH577" s="21"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3"/>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48"/>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WayshrineInfo'!$K$3:$N$9971,4,FALSE),"")))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WayshrineInfo'!$K$3:$L$9971,2,FALSE),"")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WayshrineInfo'!$K$3:$L$9971,2,FALSE),"")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 t="shared" si="49"/>
        <v>[658] = {wayshrines={518,18,100,}, dlcId=DLC_HIGH_ISLE</v>
      </c>
      <c r="BF578" s="21" t="str">
        <f t="shared" si="50"/>
        <v>, zoneIds={1318,19,58,3,726}, veteran=false</v>
      </c>
      <c r="BG578" s="21" t="str">
        <f t="shared" si="51"/>
        <v>, setType=LIBSETS_SETTYPE_MYTHIC</v>
      </c>
      <c r="BH578" s="21"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3"/>
        <v>, addTooltip={['en']='https://en.uesp.net/wiki/Online:Oakensoul_Ring',},}, --Oakensoul Ring / Eichenseelenring   [High Isle, Stormhaven, Malabal Tor, Glenumbra, Murkmire]</v>
      </c>
    </row>
    <row r="579" spans="1:61" x14ac:dyDescent="0.25">
      <c r="A579" s="5">
        <v>660</v>
      </c>
      <c r="B579" t="s">
        <v>3385</v>
      </c>
      <c r="C579" t="s">
        <v>3378</v>
      </c>
      <c r="D579" s="3">
        <f t="shared" ref="D579:D642" si="54">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WayshrineInfo'!$K$3:$N$9971,4,FALSE),"")))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WayshrineInfo'!$K$3:$L$9971,2,FALSE),"")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WayshrineInfo'!$K$3:$L$9971,2,FALSE),"")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 t="shared" ref="BG579:BG642" si="57">IF(A579&lt;&gt;"",IF(F579&lt;&gt;"Not in the game (anymore)",IF(A579&lt;&gt;"",", setType="&amp;G579,"")&amp;IF(G579="LIBSETS_SETTYPE_CLASS",", classId="&amp;BC579,"")&amp;IF(J579="true",", multiTrialSet=true",""),"")
&amp; IF(AND(H579&lt;&gt;"",ISNUMBER(H579)),", undauntedChestId=" &amp; H579,""),"")</f>
        <v>, setType=LIBSETS_SETTYPE_DUNGEON</v>
      </c>
      <c r="BH579" s="21" t="str">
        <f t="shared" ref="BH579:BH642" si="58">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 t="shared" ref="BI579:BI642" si="59">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 t="shared" si="54"/>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WayshrineInfo'!$K$3:$N$9971,4,FALSE),"")))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WayshrineInfo'!$K$3:$L$9971,2,FALSE),"")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WayshrineInfo'!$K$3:$L$9971,2,FALSE),"")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si="55"/>
        <v>[661] = {wayshrines={520,520,520,}, dlcId=DLC_LOST_DEPTHS</v>
      </c>
      <c r="BF580" s="21" t="str">
        <f t="shared" si="56"/>
        <v>, zoneIds={1360,1318,1318}, veteran=false</v>
      </c>
      <c r="BG580" s="21" t="str">
        <f t="shared" si="57"/>
        <v>, setType=LIBSETS_SETTYPE_DUNGEON</v>
      </c>
      <c r="BH580" s="21" t="str">
        <f t="shared" si="58"/>
        <v>, dropMechanic={LIBSETS_DROP_MECHANIC_GROUP_DUNGEON_BOSS}</v>
      </c>
      <c r="BI580" s="21" t="str">
        <f t="shared" si="59"/>
        <v>}, --Stone\'s Accord / Steinabkommen   [Earthen Root Enclave, High Isle, High Isle]</v>
      </c>
    </row>
    <row r="581" spans="1:61" x14ac:dyDescent="0.25">
      <c r="A581" s="5">
        <v>662</v>
      </c>
      <c r="B581" t="s">
        <v>3387</v>
      </c>
      <c r="C581" t="s">
        <v>3377</v>
      </c>
      <c r="D581" s="3">
        <f t="shared" si="54"/>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WayshrineInfo'!$K$3:$N$9971,4,FALSE),"")))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WayshrineInfo'!$K$3:$L$9971,2,FALSE),"")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WayshrineInfo'!$K$3:$L$9971,2,FALSE),"")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5"/>
        <v>[662] = {wayshrines={520,520,520,}, dlcId=DLC_LOST_DEPTHS</v>
      </c>
      <c r="BF581" s="21" t="str">
        <f t="shared" si="56"/>
        <v>, zoneIds={1360,1318,1318}, veteran=false</v>
      </c>
      <c r="BG581" s="21" t="str">
        <f t="shared" si="57"/>
        <v>, setType=LIBSETS_SETTYPE_DUNGEON</v>
      </c>
      <c r="BH581" s="21" t="str">
        <f t="shared" si="58"/>
        <v>, dropMechanic={LIBSETS_DROP_MECHANIC_GROUP_DUNGEON_BOSS}</v>
      </c>
      <c r="BI581" s="21" t="str">
        <f t="shared" si="59"/>
        <v>}, --Rage of the Ursauk  / Zorns des Ursauk   [Earthen Root Enclave, High Isle, High Isle]</v>
      </c>
    </row>
    <row r="582" spans="1:61" x14ac:dyDescent="0.25">
      <c r="A582" s="5">
        <v>663</v>
      </c>
      <c r="B582" t="s">
        <v>3388</v>
      </c>
      <c r="C582" t="s">
        <v>3381</v>
      </c>
      <c r="D582" s="3">
        <f t="shared" si="54"/>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WayshrineInfo'!$K$3:$N$9971,4,FALSE),"")))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WayshrineInfo'!$K$3:$L$9971,2,FALSE),"")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WayshrineInfo'!$K$3:$L$9971,2,FALSE),"")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5"/>
        <v>[663] = {wayshrines={521,521,521,}, dlcId=DLC_LOST_DEPTHS</v>
      </c>
      <c r="BF582" s="21" t="str">
        <f t="shared" si="56"/>
        <v>, zoneIds={1361,1318,1318}, veteran=false</v>
      </c>
      <c r="BG582" s="21" t="str">
        <f t="shared" si="57"/>
        <v>, setType=LIBSETS_SETTYPE_DUNGEON</v>
      </c>
      <c r="BH582" s="21" t="str">
        <f t="shared" si="58"/>
        <v>, dropMechanic={LIBSETS_DROP_MECHANIC_GROUP_DUNGEON_BOSS}</v>
      </c>
      <c r="BI582" s="21" t="str">
        <f t="shared" si="59"/>
        <v>}, --Pangrit Denmother / Pangrit-Baumutter   [Graven Deep, High Isle, High Isle]</v>
      </c>
    </row>
    <row r="583" spans="1:61" x14ac:dyDescent="0.25">
      <c r="A583" s="5">
        <v>664</v>
      </c>
      <c r="B583" t="s">
        <v>3395</v>
      </c>
      <c r="C583" t="s">
        <v>3380</v>
      </c>
      <c r="D583" s="3">
        <f t="shared" si="54"/>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WayshrineInfo'!$K$3:$N$9971,4,FALSE),"")))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WayshrineInfo'!$K$3:$L$9971,2,FALSE),"")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WayshrineInfo'!$K$3:$L$9971,2,FALSE),"")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5"/>
        <v>[664] = {wayshrines={521,521,521,}, dlcId=DLC_LOST_DEPTHS</v>
      </c>
      <c r="BF583" s="21" t="str">
        <f t="shared" si="56"/>
        <v>, zoneIds={1361,1318,1318}, veteran=false</v>
      </c>
      <c r="BG583" s="21" t="str">
        <f t="shared" si="57"/>
        <v>, setType=LIBSETS_SETTYPE_DUNGEON</v>
      </c>
      <c r="BH583" s="21" t="str">
        <f t="shared" si="58"/>
        <v>, dropMechanic={LIBSETS_DROP_MECHANIC_GROUP_DUNGEON_BOSS}</v>
      </c>
      <c r="BI583" s="21" t="str">
        <f t="shared" si="59"/>
        <v>}, --Grave Inevitability / Unvermeidlichkeit des Grabs   [Graven Deep, High Isle, High Isle]</v>
      </c>
    </row>
    <row r="584" spans="1:61" x14ac:dyDescent="0.25">
      <c r="A584" s="5">
        <v>665</v>
      </c>
      <c r="B584" t="s">
        <v>3394</v>
      </c>
      <c r="C584" t="s">
        <v>3914</v>
      </c>
      <c r="D584" s="3">
        <f t="shared" si="54"/>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WayshrineInfo'!$K$3:$N$9971,4,FALSE),"")))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WayshrineInfo'!$K$3:$L$9971,2,FALSE),"")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WayshrineInfo'!$K$3:$L$9971,2,FALSE),"")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5"/>
        <v>[665] = {wayshrines={521,521,521,}, dlcId=DLC_LOST_DEPTHS</v>
      </c>
      <c r="BF584" s="21" t="str">
        <f t="shared" si="56"/>
        <v>, zoneIds={1361,1318,1318}, veteran=false</v>
      </c>
      <c r="BG584" s="21" t="str">
        <f t="shared" si="57"/>
        <v>, setType=LIBSETS_SETTYPE_DUNGEON</v>
      </c>
      <c r="BH584" s="21" t="str">
        <f t="shared" si="58"/>
        <v>, dropMechanic={LIBSETS_DROP_MECHANIC_GROUP_DUNGEON_BOSS}</v>
      </c>
      <c r="BI584" s="21" t="str">
        <f t="shared" si="59"/>
        <v>}, --Phylactery\'s Grasp / Phylakteriumsgriff   [Graven Deep, High Isle, High Isle]</v>
      </c>
    </row>
    <row r="585" spans="1:61" x14ac:dyDescent="0.25">
      <c r="A585" s="5">
        <v>666</v>
      </c>
      <c r="B585" t="s">
        <v>3390</v>
      </c>
      <c r="C585" t="s">
        <v>3379</v>
      </c>
      <c r="D585" s="3">
        <f t="shared" si="54"/>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WayshrineInfo'!$K$3:$N$9971,4,FALSE),"")))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WayshrineInfo'!$K$3:$L$9971,2,FALSE),"")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WayshrineInfo'!$K$3:$L$9971,2,FALSE),"")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5"/>
        <v>[666] = {wayshrines={520,520,520,}, dlcId=DLC_LOST_DEPTHS</v>
      </c>
      <c r="BF585" s="21" t="str">
        <f t="shared" si="56"/>
        <v>, zoneIds={1360,1318,1318}, veteran={[EQUIP_TYPE_HEAD]=true, [EQUIP_TYPE_SHOULDERS]=false}</v>
      </c>
      <c r="BG585" s="21" t="str">
        <f t="shared" si="57"/>
        <v>, setType=LIBSETS_SETTYPE_MONSTER, undauntedChestId=3</v>
      </c>
      <c r="BH585" s="21" t="str">
        <f t="shared" si="58"/>
        <v>, dropMechanic={LIBSETS_DROP_MECHANIC_MONSTER_NAME}, dropMechanicDropLocationNames={['en']={'Archdruid Devyric','','','','','',},['de']={'Erzdruide Devyric','','','','','',},}</v>
      </c>
      <c r="BI585" s="21" t="str">
        <f t="shared" si="59"/>
        <v>}, --Archdruid Devyric / Erzdruide Devyric   [Earthen Root Enclave, High Isle, High Isle]</v>
      </c>
    </row>
    <row r="586" spans="1:61" x14ac:dyDescent="0.25">
      <c r="A586" s="5">
        <v>667</v>
      </c>
      <c r="B586" t="s">
        <v>3389</v>
      </c>
      <c r="C586" t="s">
        <v>3382</v>
      </c>
      <c r="D586" s="3">
        <f t="shared" si="54"/>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WayshrineInfo'!$K$3:$N$9971,4,FALSE),"")))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WayshrineInfo'!$K$3:$L$9971,2,FALSE),"")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WayshrineInfo'!$K$3:$L$9971,2,FALSE),"")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5"/>
        <v>[667] = {wayshrines={521,521,521,}, dlcId=DLC_LOST_DEPTHS</v>
      </c>
      <c r="BF586" s="21" t="str">
        <f t="shared" si="56"/>
        <v>, zoneIds={1361,1318,1318}, veteran={[EQUIP_TYPE_HEAD]=true, [EQUIP_TYPE_SHOULDERS]=false}</v>
      </c>
      <c r="BG586" s="21" t="str">
        <f t="shared" si="57"/>
        <v>, setType=LIBSETS_SETTYPE_MONSTER, undauntedChestId=3</v>
      </c>
      <c r="BH586" s="21" t="str">
        <f t="shared" si="58"/>
        <v>, dropMechanic={LIBSETS_DROP_MECHANIC_MONSTER_NAME}, dropMechanicDropLocationNames={['en']={'Euphotic Gatekeeper','','','','','',},['de']={'Euphotischer Torhüter','','','','','',},}</v>
      </c>
      <c r="BI586" s="21" t="str">
        <f t="shared" si="59"/>
        <v>}, --Euphotic Gatekeeper / Euphotischer Torhüter   [Graven Deep, High Isle, High Isle]</v>
      </c>
    </row>
    <row r="587" spans="1:61" x14ac:dyDescent="0.25">
      <c r="A587" s="5">
        <v>668</v>
      </c>
      <c r="B587" t="s">
        <v>3393</v>
      </c>
      <c r="C587" t="s">
        <v>3383</v>
      </c>
      <c r="D587" s="3">
        <f t="shared" si="54"/>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WayshrineInfo'!$K$3:$N$9971,4,FALSE),"")))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WayshrineInfo'!$K$3:$L$9971,2,FALSE),"")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WayshrineInfo'!$K$3:$L$9971,2,FALSE),"")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 t="shared" si="55"/>
        <v>[668] = {wayshrines={-1,-1,-1,}, dlcId=DLC_LOST_DEPTHS</v>
      </c>
      <c r="BF587" s="21" t="str">
        <f t="shared" si="56"/>
        <v>, zoneIds={181,181,181,181,181,181}, veteran=false</v>
      </c>
      <c r="BG587" s="21" t="str">
        <f t="shared" si="57"/>
        <v>, setType=LIBSETS_SETTYPE_CYRODIIL</v>
      </c>
      <c r="BH58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59"/>
        <v>}, --Langour of Peryite / Peryites Entkräftung   [Cyrodiil, Cyrodiil, Cyrodiil, Cyrodiil, Cyrodiil, Cyrodiil]</v>
      </c>
    </row>
    <row r="588" spans="1:61" x14ac:dyDescent="0.25">
      <c r="A588" s="5">
        <v>669</v>
      </c>
      <c r="B588" t="s">
        <v>3391</v>
      </c>
      <c r="C588" t="s">
        <v>3915</v>
      </c>
      <c r="D588" s="3">
        <f t="shared" si="54"/>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WayshrineInfo'!$K$3:$N$9971,4,FALSE),"")))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WayshrineInfo'!$K$3:$L$9971,2,FALSE),"")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WayshrineInfo'!$K$3:$L$9971,2,FALSE),"")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 t="shared" si="55"/>
        <v>[669] = {wayshrines={-1,-1,-1,}, dlcId=DLC_LOST_DEPTHS</v>
      </c>
      <c r="BF588" s="21" t="str">
        <f t="shared" si="56"/>
        <v>, zoneIds={181,181,181,181,181,181}, veteran=false</v>
      </c>
      <c r="BG588" s="21" t="str">
        <f t="shared" si="57"/>
        <v>, setType=LIBSETS_SETTYPE_CYRODIIL</v>
      </c>
      <c r="BH58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59"/>
        <v>}, --Nocturnal\'s Ploy  / Nocturnals List   [Cyrodiil, Cyrodiil, Cyrodiil, Cyrodiil, Cyrodiil, Cyrodiil]</v>
      </c>
    </row>
    <row r="589" spans="1:61" x14ac:dyDescent="0.25">
      <c r="A589" s="5">
        <v>670</v>
      </c>
      <c r="B589" t="s">
        <v>3392</v>
      </c>
      <c r="C589" t="s">
        <v>3384</v>
      </c>
      <c r="D589" s="3">
        <f t="shared" si="54"/>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WayshrineInfo'!$K$3:$N$9971,4,FALSE),"")))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WayshrineInfo'!$K$3:$L$9971,2,FALSE),"")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WayshrineInfo'!$K$3:$L$9971,2,FALSE),"")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 t="shared" si="55"/>
        <v>[670] = {wayshrines={-1,-1,-1,}, dlcId=DLC_LOST_DEPTHS</v>
      </c>
      <c r="BF589" s="21" t="str">
        <f t="shared" si="56"/>
        <v>, zoneIds={181,181,181,181,181,181}, veteran=false</v>
      </c>
      <c r="BG589" s="21" t="str">
        <f t="shared" si="57"/>
        <v>, setType=LIBSETS_SETTYPE_CYRODIIL</v>
      </c>
      <c r="BH58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59"/>
        <v>}, --Mara\’s Balm / Maras Trost   [Cyrodiil, Cyrodiil, Cyrodiil, Cyrodiil, Cyrodiil, Cyrodiil]</v>
      </c>
    </row>
    <row r="590" spans="1:61" x14ac:dyDescent="0.25">
      <c r="A590" s="5">
        <v>671</v>
      </c>
      <c r="B590" t="s">
        <v>3434</v>
      </c>
      <c r="C590" t="s">
        <v>3404</v>
      </c>
      <c r="D590" s="3">
        <f t="shared" si="54"/>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WayshrineInfo'!$K$3:$N$9971,4,FALSE),"")))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1552</v>
      </c>
      <c r="Z590" s="3">
        <f>IF(AND(G590&lt;&gt;"LIBSETS_SETTYPE_BATTLEGROUND",G590&lt;&gt;"LIBSETS_SETTYPE_SPECIAL"),
IF(AND(Y590&lt;&gt;"",ISNUMBER(Y590),NOT(ISNA(Y590))),Y590,
   IF(AND(L590&lt;&gt;"",ISNUMBER(L590),L590&gt;0,NOT(ISNA(L590))),VLOOKUP(L590,'ESO dumped WayshrineInfo'!$K$3:$L$9971,2,FALSE),"")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WayshrineInfo'!$K$3:$L$9971,2,FALSE),"")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5"/>
        <v>[671] = {wayshrines={524,524,524,}, dlcId=DLC_CLOCKWORK_CITY</v>
      </c>
      <c r="BF590" s="21" t="str">
        <f t="shared" si="56"/>
        <v>, zoneIds={1383,1383,1383,1383}, veteran=false</v>
      </c>
      <c r="BG590" s="21" t="str">
        <f t="shared" si="57"/>
        <v>, setType=LIBSETS_SETTYPE_OVERLAND</v>
      </c>
      <c r="BH590" s="21" t="str">
        <f t="shared" si="58"/>
        <v>, dropMechanic={LIBSETS_DROP_MECHANIC_OVERLAND_WORLDBOSS,LIBSETS_DROP_MECHANIC_OVERLAND_BOSS_DELVE,LIBSETS_DROP_MECHANIC_OVERLAND_CHEST,LIBSETS_DROP_MECHANIC_OVERLAND_LOOT}</v>
      </c>
      <c r="BI590" s="21" t="str">
        <f t="shared" si="59"/>
        <v>}, --Back-Alley Gourmand / Hinterhof-Gourmet   [Galen, Galen, Galen, Galen]</v>
      </c>
    </row>
    <row r="591" spans="1:61" x14ac:dyDescent="0.25">
      <c r="A591" s="5">
        <v>672</v>
      </c>
      <c r="B591" t="s">
        <v>3435</v>
      </c>
      <c r="C591" t="s">
        <v>3405</v>
      </c>
      <c r="D591" s="3">
        <f t="shared" si="54"/>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WayshrineInfo'!$K$3:$N$9971,4,FALSE),"")))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1552</v>
      </c>
      <c r="Z591" s="3">
        <f>IF(AND(G591&lt;&gt;"LIBSETS_SETTYPE_BATTLEGROUND",G591&lt;&gt;"LIBSETS_SETTYPE_SPECIAL"),
IF(AND(Y591&lt;&gt;"",ISNUMBER(Y591),NOT(ISNA(Y591))),Y591,
   IF(AND(L591&lt;&gt;"",ISNUMBER(L591),L591&gt;0,NOT(ISNA(L591))),VLOOKUP(L591,'ESO dumped WayshrineInfo'!$K$3:$L$9971,2,FALSE),"")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WayshrineInfo'!$K$3:$L$9971,2,FALSE),"")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5"/>
        <v>[672] = {wayshrines={524,524,524,}, dlcId=DLC_CLOCKWORK_CITY</v>
      </c>
      <c r="BF591" s="21" t="str">
        <f t="shared" si="56"/>
        <v>, zoneIds={1383,1383,1383,1383}, veteran=false</v>
      </c>
      <c r="BG591" s="21" t="str">
        <f t="shared" si="57"/>
        <v>, setType=LIBSETS_SETTYPE_OVERLAND</v>
      </c>
      <c r="BH591" s="21" t="str">
        <f t="shared" si="58"/>
        <v>, dropMechanic={LIBSETS_DROP_MECHANIC_OVERLAND_WORLDBOSS,LIBSETS_DROP_MECHANIC_OVERLAND_BOSS_DELVE,LIBSETS_DROP_MECHANIC_OVERLAND_CHEST,LIBSETS_DROP_MECHANIC_OVERLAND_LOOT}</v>
      </c>
      <c r="BI591" s="21" t="str">
        <f t="shared" si="59"/>
        <v>}, --Phoenix Moth Theurge / Phönixmotten-Theurg   [Galen, Galen, Galen, Galen]</v>
      </c>
    </row>
    <row r="592" spans="1:61" x14ac:dyDescent="0.25">
      <c r="A592" s="5">
        <v>673</v>
      </c>
      <c r="B592" t="s">
        <v>3436</v>
      </c>
      <c r="C592" t="s">
        <v>3406</v>
      </c>
      <c r="D592" s="3">
        <f t="shared" si="54"/>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WayshrineInfo'!$K$3:$N$9971,4,FALSE),"")))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1552</v>
      </c>
      <c r="Z592" s="3">
        <f>IF(AND(G592&lt;&gt;"LIBSETS_SETTYPE_BATTLEGROUND",G592&lt;&gt;"LIBSETS_SETTYPE_SPECIAL"),
IF(AND(Y592&lt;&gt;"",ISNUMBER(Y592),NOT(ISNA(Y592))),Y592,
   IF(AND(L592&lt;&gt;"",ISNUMBER(L592),L592&gt;0,NOT(ISNA(L592))),VLOOKUP(L592,'ESO dumped WayshrineInfo'!$K$3:$L$9971,2,FALSE),"")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WayshrineInfo'!$K$3:$L$9971,2,FALSE),"")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5"/>
        <v>[673] = {wayshrines={524,524,524,}, dlcId=DLC_CLOCKWORK_CITY</v>
      </c>
      <c r="BF592" s="21" t="str">
        <f t="shared" si="56"/>
        <v>, zoneIds={1383,1383,1383,1383}, veteran=false</v>
      </c>
      <c r="BG592" s="21" t="str">
        <f t="shared" si="57"/>
        <v>, setType=LIBSETS_SETTYPE_OVERLAND</v>
      </c>
      <c r="BH592" s="21" t="str">
        <f t="shared" si="58"/>
        <v>, dropMechanic={LIBSETS_DROP_MECHANIC_OVERLAND_WORLDBOSS,LIBSETS_DROP_MECHANIC_OVERLAND_BOSS_DELVE,LIBSETS_DROP_MECHANIC_OVERLAND_CHEST,LIBSETS_DROP_MECHANIC_OVERLAND_LOOT}</v>
      </c>
      <c r="BI592" s="21" t="str">
        <f t="shared" si="59"/>
        <v>}, --Bastion of Draoife / Bastion des Draoife   [Galen, Galen, Galen, Galen]</v>
      </c>
    </row>
    <row r="593" spans="1:61" x14ac:dyDescent="0.25">
      <c r="A593" s="5">
        <v>674</v>
      </c>
      <c r="B593" t="s">
        <v>3437</v>
      </c>
      <c r="C593" t="s">
        <v>3412</v>
      </c>
      <c r="D593" s="3">
        <f t="shared" si="54"/>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WayshrineInfo'!$K$3:$N$9971,4,FALSE),"")))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WayshrineInfo'!$K$3:$L$9971,2,FALSE),"")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 t="shared" si="55"/>
        <v>[674] = {wayshrines={529,505,529,}, dlcId=DLC_FIRESONG</v>
      </c>
      <c r="BF593" s="21" t="str">
        <f t="shared" si="56"/>
        <v>, zoneIds={1318,1318,1318,1318,1334,162}, veteran=false</v>
      </c>
      <c r="BG593" s="21" t="str">
        <f t="shared" si="57"/>
        <v>, setType=LIBSETS_SETTYPE_MYTHIC</v>
      </c>
      <c r="BH593" s="21"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59"/>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4"/>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WayshrineInfo'!$K$3:$N$9971,4,FALSE),"")))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WayshrineInfo'!$K$3:$L$9971,2,FALSE),"")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WayshrineInfo'!$K$3:$L$9971,2,FALSE),"")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 t="shared" si="55"/>
        <v>[675] = {wayshrines={176,527,527,}, dlcId=DLC_FIRESONG</v>
      </c>
      <c r="BF594" s="21" t="str">
        <f t="shared" si="56"/>
        <v>, zoneIds={486,1383,1383,1383,1383}, veteran=false</v>
      </c>
      <c r="BG594" s="21" t="str">
        <f t="shared" si="57"/>
        <v>, setType=LIBSETS_SETTYPE_MYTHIC</v>
      </c>
      <c r="BH594" s="21"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59"/>
        <v>, addTooltip={['en']='https://en.uesp.net/wiki/Online:Mythic_Items#Stormweaver.27s_Cavort',},}, --Stormweaver\'s Cavort / Sturmwebertollen   [Toothmaul Gully, Galen, Galen, Galen, Galen]</v>
      </c>
    </row>
    <row r="595" spans="1:61" x14ac:dyDescent="0.25">
      <c r="A595" s="5">
        <v>676</v>
      </c>
      <c r="B595" t="s">
        <v>3439</v>
      </c>
      <c r="C595" t="s">
        <v>3414</v>
      </c>
      <c r="D595" s="3">
        <f t="shared" si="54"/>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WayshrineInfo'!$K$3:$N$9971,4,FALSE),"")))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WayshrineInfo'!$K$3:$L$9971,2,FALSE),"")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WayshrineInfo'!$K$3:$L$9971,2,FALSE),"")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 t="shared" si="55"/>
        <v>[676] = {wayshrines={529,350,529,}, dlcId=DLC_FIRESONG</v>
      </c>
      <c r="BF595" s="21" t="str">
        <f t="shared" si="56"/>
        <v>, zoneIds={1383,1011,1383,1302,935}, veteran=false</v>
      </c>
      <c r="BG595" s="21" t="str">
        <f t="shared" si="57"/>
        <v>, setType=LIBSETS_SETTYPE_MYTHIC</v>
      </c>
      <c r="BH595" s="21"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59"/>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4"/>
        <v>677</v>
      </c>
      <c r="G596" s="91" t="s">
        <v>1467</v>
      </c>
      <c r="I596" t="s">
        <v>91</v>
      </c>
      <c r="J596" t="s">
        <v>91</v>
      </c>
      <c r="K596">
        <v>528</v>
      </c>
      <c r="L596">
        <v>528</v>
      </c>
      <c r="M596">
        <v>528</v>
      </c>
      <c r="N596">
        <v>7</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WayshrineInfo'!$K$3:$N$9971,4,FALSE),"")))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3276</v>
      </c>
      <c r="Z596" s="3">
        <f>IF(AND(G596&lt;&gt;"LIBSETS_SETTYPE_BATTLEGROUND",G596&lt;&gt;"LIBSETS_SETTYPE_SPECIAL"),
IF(AND(Y596&lt;&gt;"",ISNUMBER(Y596),NOT(ISNA(Y596))),Y596,
   IF(AND(L596&lt;&gt;"",ISNUMBER(L596),L596&gt;0,NOT(ISNA(L596))),VLOOKUP(L596,'ESO dumped WayshrineInfo'!$K$3:$L$9971,2,FALSE),"")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WayshrineInfo'!$K$3:$L$9971,2,FALSE),"")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5"/>
        <v>[677] = {wayshrines={528,528,528,}, traitsNeeded=7, dlcId=DLC_CLOCKWORK_CITY</v>
      </c>
      <c r="BF596" s="21" t="str">
        <f t="shared" si="56"/>
        <v>, zoneIds={1383,1383,1383}, veteran=false</v>
      </c>
      <c r="BG596" s="21" t="str">
        <f t="shared" si="57"/>
        <v>, setType=LIBSETS_SETTYPE_CRAFTED</v>
      </c>
      <c r="BH596" s="21" t="str">
        <f t="shared" si="58"/>
        <v>, dropMechanic={LIBSETS_DROP_MECHANIC_CRAFTED}</v>
      </c>
      <c r="BI596" s="21" t="str">
        <f t="shared" si="59"/>
        <v>}, --Chimera\'s Rebuke / Zurechtweisung der Schimäre   [Galen, Galen, Galen]</v>
      </c>
    </row>
    <row r="597" spans="1:61" x14ac:dyDescent="0.25">
      <c r="A597" s="5">
        <v>678</v>
      </c>
      <c r="B597" t="s">
        <v>3441</v>
      </c>
      <c r="C597" s="83" t="s">
        <v>3409</v>
      </c>
      <c r="D597" s="3">
        <f t="shared" si="54"/>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WayshrineInfo'!$K$3:$N$9971,4,FALSE),"")))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3276</v>
      </c>
      <c r="Z597" s="3">
        <f>IF(AND(G597&lt;&gt;"LIBSETS_SETTYPE_BATTLEGROUND",G597&lt;&gt;"LIBSETS_SETTYPE_SPECIAL"),
IF(AND(Y597&lt;&gt;"",ISNUMBER(Y597),NOT(ISNA(Y597))),Y597,
   IF(AND(L597&lt;&gt;"",ISNUMBER(L597),L597&gt;0,NOT(ISNA(L597))),VLOOKUP(L597,'ESO dumped WayshrineInfo'!$K$3:$L$9971,2,FALSE),"")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WayshrineInfo'!$K$3:$L$9971,2,FALSE),"")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5"/>
        <v>[678] = {wayshrines={530,530,530,}, traitsNeeded=3, dlcId=DLC_CLOCKWORK_CITY</v>
      </c>
      <c r="BF597" s="21" t="str">
        <f t="shared" si="56"/>
        <v>, zoneIds={1383,1383,1383}, veteran=false</v>
      </c>
      <c r="BG597" s="21" t="str">
        <f t="shared" si="57"/>
        <v>, setType=LIBSETS_SETTYPE_CRAFTED</v>
      </c>
      <c r="BH597" s="21" t="str">
        <f t="shared" si="58"/>
        <v>, dropMechanic={LIBSETS_DROP_MECHANIC_CRAFTED}</v>
      </c>
      <c r="BI597" s="21" t="str">
        <f t="shared" si="59"/>
        <v>}, --Old Growth Brewer / Altwuchs-Brauer   [Galen, Galen, Galen]</v>
      </c>
    </row>
    <row r="598" spans="1:61" x14ac:dyDescent="0.25">
      <c r="A598" s="5">
        <v>679</v>
      </c>
      <c r="B598" t="s">
        <v>3442</v>
      </c>
      <c r="C598" s="83" t="s">
        <v>3410</v>
      </c>
      <c r="D598" s="3">
        <f t="shared" si="54"/>
        <v>679</v>
      </c>
      <c r="G598" s="91" t="s">
        <v>1467</v>
      </c>
      <c r="I598" t="s">
        <v>91</v>
      </c>
      <c r="J598" t="s">
        <v>91</v>
      </c>
      <c r="K598">
        <v>527</v>
      </c>
      <c r="L598">
        <v>527</v>
      </c>
      <c r="M598">
        <v>527</v>
      </c>
      <c r="N598">
        <v>5</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WayshrineInfo'!$K$3:$N$9971,4,FALSE),"")))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3276</v>
      </c>
      <c r="Z598" s="3">
        <f>IF(AND(G598&lt;&gt;"LIBSETS_SETTYPE_BATTLEGROUND",G598&lt;&gt;"LIBSETS_SETTYPE_SPECIAL"),
IF(AND(Y598&lt;&gt;"",ISNUMBER(Y598),NOT(ISNA(Y598))),Y598,
   IF(AND(L598&lt;&gt;"",ISNUMBER(L598),L598&gt;0,NOT(ISNA(L598))),VLOOKUP(L598,'ESO dumped WayshrineInfo'!$K$3:$L$9971,2,FALSE),"")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WayshrineInfo'!$K$3:$L$9971,2,FALSE),"")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5"/>
        <v>[679] = {wayshrines={527,527,527,}, traitsNeeded=5, dlcId=DLC_CLOCKWORK_CITY</v>
      </c>
      <c r="BF598" s="21" t="str">
        <f t="shared" si="56"/>
        <v>, zoneIds={1383,1383,1383}, veteran=false</v>
      </c>
      <c r="BG598" s="21" t="str">
        <f t="shared" si="57"/>
        <v>, setType=LIBSETS_SETTYPE_CRAFTED</v>
      </c>
      <c r="BH598" s="21" t="str">
        <f t="shared" si="58"/>
        <v>, dropMechanic={LIBSETS_DROP_MECHANIC_CRAFTED}</v>
      </c>
      <c r="BI598" s="21" t="str">
        <f t="shared" si="59"/>
        <v>}, --Claw of the Forest Wraith / Kralle des Waldgespensts   [Galen, Galen, Galen]</v>
      </c>
    </row>
    <row r="599" spans="1:61" x14ac:dyDescent="0.25">
      <c r="A599" s="5">
        <v>680</v>
      </c>
      <c r="B599" t="s">
        <v>3552</v>
      </c>
      <c r="C599" s="83" t="s">
        <v>3916</v>
      </c>
      <c r="D599" s="3">
        <f t="shared" si="54"/>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WayshrineInfo'!$K$3:$N$9971,4,FALSE),"")))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WayshrineInfo'!$K$3:$L$9971,2,FALSE),"")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WayshrineInfo'!$K$3:$L$9971,2,FALSE),"")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5"/>
        <v>[680] = {wayshrines={531,531,531,}, dlcId=DLC_SCRIBES_OF_FATE</v>
      </c>
      <c r="BF599" s="21" t="str">
        <f t="shared" si="56"/>
        <v>, zoneIds={1389,41,41}, veteran=false</v>
      </c>
      <c r="BG599" s="21" t="str">
        <f t="shared" si="57"/>
        <v>, setType=LIBSETS_SETTYPE_DUNGEON</v>
      </c>
      <c r="BH599" s="21" t="str">
        <f t="shared" si="58"/>
        <v>, dropMechanic={LIBSETS_DROP_MECHANIC_GROUP_DUNGEON_BOSS}</v>
      </c>
      <c r="BI599" s="21" t="str">
        <f t="shared" si="59"/>
        <v>}, --Ritemaster\'s Bond / Bindung des Ritenmeisters   [Bal Sunnar, Stonefalls, Stonefalls]</v>
      </c>
    </row>
    <row r="600" spans="1:61" x14ac:dyDescent="0.25">
      <c r="A600" s="5">
        <v>681</v>
      </c>
      <c r="B600" t="s">
        <v>3553</v>
      </c>
      <c r="C600" s="83" t="s">
        <v>3917</v>
      </c>
      <c r="D600" s="3">
        <f t="shared" si="54"/>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WayshrineInfo'!$K$3:$N$9971,4,FALSE),"")))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WayshrineInfo'!$K$3:$L$9971,2,FALSE),"")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WayshrineInfo'!$K$3:$L$9971,2,FALSE),"")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5"/>
        <v>[681] = {wayshrines={531,531,531,}, dlcId=DLC_SCRIBES_OF_FATE</v>
      </c>
      <c r="BF600" s="21" t="str">
        <f t="shared" si="56"/>
        <v>, zoneIds={1389,41,41}, veteran=false</v>
      </c>
      <c r="BG600" s="21" t="str">
        <f t="shared" si="57"/>
        <v>, setType=LIBSETS_SETTYPE_DUNGEON</v>
      </c>
      <c r="BH600" s="21" t="str">
        <f t="shared" si="58"/>
        <v>, dropMechanic={LIBSETS_DROP_MECHANIC_GROUP_DUNGEON_BOSS}</v>
      </c>
      <c r="BI600" s="21" t="str">
        <f t="shared" si="59"/>
        <v>}, --Nix-Hound\'s Howl / Nixhund-Heulen   [Bal Sunnar, Stonefalls, Stonefalls]</v>
      </c>
    </row>
    <row r="601" spans="1:61" x14ac:dyDescent="0.25">
      <c r="A601" s="5">
        <v>682</v>
      </c>
      <c r="B601" t="s">
        <v>3554</v>
      </c>
      <c r="C601" s="83" t="s">
        <v>3539</v>
      </c>
      <c r="D601" s="3">
        <f t="shared" si="54"/>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WayshrineInfo'!$K$3:$N$9971,4,FALSE),"")))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WayshrineInfo'!$K$3:$L$9971,2,FALSE),"")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WayshrineInfo'!$K$3:$L$9971,2,FALSE),"")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5"/>
        <v>[682] = {wayshrines={531,531,531,}, dlcId=DLC_SCRIBES_OF_FATE</v>
      </c>
      <c r="BF601" s="21" t="str">
        <f t="shared" si="56"/>
        <v>, zoneIds={1389,41,41}, veteran=false</v>
      </c>
      <c r="BG601" s="21" t="str">
        <f t="shared" si="57"/>
        <v>, setType=LIBSETS_SETTYPE_DUNGEON</v>
      </c>
      <c r="BH601" s="21" t="str">
        <f t="shared" si="58"/>
        <v>, dropMechanic={LIBSETS_DROP_MECHANIC_GROUP_DUNGEON_BOSS}</v>
      </c>
      <c r="BI601" s="21" t="str">
        <f t="shared" si="59"/>
        <v>}, --Telvanni Enforcer / Telvanni-Vollstrecker   [Bal Sunnar, Stonefalls, Stonefalls]</v>
      </c>
    </row>
    <row r="602" spans="1:61" x14ac:dyDescent="0.25">
      <c r="A602" s="5">
        <v>683</v>
      </c>
      <c r="B602" t="s">
        <v>3555</v>
      </c>
      <c r="C602" s="83" t="s">
        <v>3540</v>
      </c>
      <c r="D602" s="3">
        <f t="shared" si="54"/>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WayshrineInfo'!$K$3:$N$9971,4,FALSE),"")))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WayshrineInfo'!$K$3:$L$9971,2,FALSE),"")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WayshrineInfo'!$K$3:$L$9971,2,FALSE),"")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5"/>
        <v>[683] = {wayshrines={531,531,531,}, dlcId=DLC_SCRIBES_OF_FATE</v>
      </c>
      <c r="BF602" s="21" t="str">
        <f t="shared" si="56"/>
        <v>, zoneIds={1389,41,41}, veteran={[EQUIP_TYPE_HEAD]=true, [EQUIP_TYPE_SHOULDERS]=false}</v>
      </c>
      <c r="BG602" s="21" t="str">
        <f t="shared" si="57"/>
        <v>, setType=LIBSETS_SETTYPE_MONSTER, undauntedChestId=3</v>
      </c>
      <c r="BH602" s="21" t="str">
        <f t="shared" si="58"/>
        <v>, dropMechanic={LIBSETS_DROP_MECHANIC_MONSTER_NAME}, dropMechanicDropLocationNames={['en']={'Roksa the Warped','','','','','',},['de']={'Roksa die Verzerrte','','','','','',},}</v>
      </c>
      <c r="BI602" s="21" t="str">
        <f t="shared" si="59"/>
        <v>}, --Roksa the Warped / Roksa die Verkrümmte   [Bal Sunnar, Stonefalls, Stonefalls]</v>
      </c>
    </row>
    <row r="603" spans="1:61" x14ac:dyDescent="0.25">
      <c r="A603" s="5">
        <v>684</v>
      </c>
      <c r="B603" t="s">
        <v>3556</v>
      </c>
      <c r="C603" s="83" t="s">
        <v>3544</v>
      </c>
      <c r="D603" s="3">
        <f t="shared" si="54"/>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WayshrineInfo'!$K$3:$N$9971,4,FALSE),"")))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WayshrineInfo'!$K$3:$L$9971,2,FALSE),"")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WayshrineInfo'!$K$3:$L$9971,2,FALSE),"")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5"/>
        <v>[684] = {wayshrines={532,532,532,}, dlcId=DLC_SCRIBES_OF_FATE</v>
      </c>
      <c r="BF603" s="21" t="str">
        <f t="shared" si="56"/>
        <v>, zoneIds={1390,103,103}, veteran=false</v>
      </c>
      <c r="BG603" s="21" t="str">
        <f t="shared" si="57"/>
        <v>, setType=LIBSETS_SETTYPE_DUNGEON</v>
      </c>
      <c r="BH603" s="21" t="str">
        <f t="shared" si="58"/>
        <v>, dropMechanic={LIBSETS_DROP_MECHANIC_GROUP_DUNGEON_BOSS}</v>
      </c>
      <c r="BI603" s="21" t="str">
        <f t="shared" si="59"/>
        <v>}, --Runecarver\’s Blaze / Lodern des Runenschnitzers   [Scrivener's Hall, The Rift, The Rift]</v>
      </c>
    </row>
    <row r="604" spans="1:61" x14ac:dyDescent="0.25">
      <c r="A604" s="5">
        <v>685</v>
      </c>
      <c r="B604" t="s">
        <v>3557</v>
      </c>
      <c r="C604" s="83" t="s">
        <v>3545</v>
      </c>
      <c r="D604" s="3">
        <f t="shared" si="54"/>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WayshrineInfo'!$K$3:$N$9971,4,FALSE),"")))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WayshrineInfo'!$K$3:$L$9971,2,FALSE),"")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WayshrineInfo'!$K$3:$L$9971,2,FALSE),"")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5"/>
        <v>[685] = {wayshrines={532,532,532,}, dlcId=DLC_SCRIBES_OF_FATE</v>
      </c>
      <c r="BF604" s="21" t="str">
        <f t="shared" si="56"/>
        <v>, zoneIds={1390,103,103}, veteran=false</v>
      </c>
      <c r="BG604" s="21" t="str">
        <f t="shared" si="57"/>
        <v>, setType=LIBSETS_SETTYPE_DUNGEON</v>
      </c>
      <c r="BH604" s="21" t="str">
        <f t="shared" si="58"/>
        <v>, dropMechanic={LIBSETS_DROP_MECHANIC_GROUP_DUNGEON_BOSS}</v>
      </c>
      <c r="BI604" s="21" t="str">
        <f t="shared" si="59"/>
        <v>}, --Apocryphal Inspiration / Apocryphische Inspiration   [Scrivener's Hall, The Rift, The Rift]</v>
      </c>
    </row>
    <row r="605" spans="1:61" x14ac:dyDescent="0.25">
      <c r="A605" s="5">
        <v>686</v>
      </c>
      <c r="B605" t="s">
        <v>3558</v>
      </c>
      <c r="C605" s="83" t="s">
        <v>3542</v>
      </c>
      <c r="D605" s="3">
        <f t="shared" si="54"/>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WayshrineInfo'!$K$3:$N$9971,4,FALSE),"")))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WayshrineInfo'!$K$3:$L$9971,2,FALSE),"")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WayshrineInfo'!$K$3:$L$9971,2,FALSE),"")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5"/>
        <v>[686] = {wayshrines={532,532,532,}, dlcId=DLC_SCRIBES_OF_FATE</v>
      </c>
      <c r="BF605" s="21" t="str">
        <f t="shared" si="56"/>
        <v>, zoneIds={1390,103,103}, veteran=false</v>
      </c>
      <c r="BG605" s="21" t="str">
        <f t="shared" si="57"/>
        <v>, setType=LIBSETS_SETTYPE_DUNGEON</v>
      </c>
      <c r="BH605" s="21" t="str">
        <f t="shared" si="58"/>
        <v>, dropMechanic={LIBSETS_DROP_MECHANIC_GROUP_DUNGEON_BOSS}</v>
      </c>
      <c r="BI605" s="21" t="str">
        <f t="shared" si="59"/>
        <v>}, --Abyssal Brace / Abgründiges Wappnen   [Scrivener's Hall, The Rift, The Rift]</v>
      </c>
    </row>
    <row r="606" spans="1:61" x14ac:dyDescent="0.25">
      <c r="A606" s="5">
        <v>687</v>
      </c>
      <c r="B606" t="s">
        <v>3559</v>
      </c>
      <c r="C606" s="83" t="s">
        <v>3543</v>
      </c>
      <c r="D606" s="3">
        <f t="shared" si="54"/>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WayshrineInfo'!$K$3:$N$9971,4,FALSE),"")))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WayshrineInfo'!$K$3:$L$9971,2,FALSE),"")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WayshrineInfo'!$K$3:$L$9971,2,FALSE),"")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5"/>
        <v>[687] = {wayshrines={532,532,532,}, dlcId=DLC_SCRIBES_OF_FATE</v>
      </c>
      <c r="BF606" s="21" t="str">
        <f t="shared" si="56"/>
        <v>, zoneIds={1390,103,103}, veteran={[EQUIP_TYPE_HEAD]=true, [EQUIP_TYPE_SHOULDERS]=false}</v>
      </c>
      <c r="BG606" s="21" t="str">
        <f t="shared" si="57"/>
        <v>, setType=LIBSETS_SETTYPE_MONSTER, undauntedChestId=3</v>
      </c>
      <c r="BH606" s="21" t="str">
        <f t="shared" si="58"/>
        <v>, dropMechanic={LIBSETS_DROP_MECHANIC_MONSTER_NAME}, dropMechanicDropLocationNames={['en']={'Ozezan the Inferno','','','','','',},['de']={'Ozezan das Inferno','','','','','',},}</v>
      </c>
      <c r="BI606" s="21" t="str">
        <f t="shared" si="59"/>
        <v>}, --Ozezan the Inferno / Ozezan das Inferno   [Scrivener's Hall, The Rift, The Rift]</v>
      </c>
    </row>
    <row r="607" spans="1:61" x14ac:dyDescent="0.25">
      <c r="A607" s="5">
        <v>688</v>
      </c>
      <c r="B607" t="s">
        <v>3560</v>
      </c>
      <c r="C607" t="s">
        <v>3569</v>
      </c>
      <c r="D607" s="3">
        <f t="shared" si="54"/>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WayshrineInfo'!$K$3:$N$9971,4,FALSE),"")))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WayshrineInfo'!$K$3:$L$9971,2,FALSE),"")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WayshrineInfo'!$K$3:$L$9971,2,FALSE),"")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 t="shared" si="55"/>
        <v>[688] = {wayshrines={-1,-1,-1,}, dlcId=DLC_SCRIBES_OF_FATE</v>
      </c>
      <c r="BF607" s="21" t="str">
        <f t="shared" si="56"/>
        <v>, zoneIds={181,181,181,181,181,181}, veteran=false</v>
      </c>
      <c r="BG607" s="21" t="str">
        <f t="shared" si="57"/>
        <v>, setType=LIBSETS_SETTYPE_CYRODIIL</v>
      </c>
      <c r="BH60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59"/>
        <v>}, --Snake in the Stars / Schlange inmitten der Sterne   [Cyrodiil, Cyrodiil, Cyrodiil, Cyrodiil, Cyrodiil, Cyrodiil]</v>
      </c>
    </row>
    <row r="608" spans="1:61" x14ac:dyDescent="0.25">
      <c r="A608" s="5">
        <v>689</v>
      </c>
      <c r="B608" t="s">
        <v>3561</v>
      </c>
      <c r="C608" t="s">
        <v>3570</v>
      </c>
      <c r="D608" s="3">
        <f t="shared" si="54"/>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WayshrineInfo'!$K$3:$N$9971,4,FALSE),"")))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WayshrineInfo'!$K$3:$L$9971,2,FALSE),"")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WayshrineInfo'!$K$3:$L$9971,2,FALSE),"")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 t="shared" si="55"/>
        <v>[689] = {wayshrines={-1,-1,-1,}, dlcId=DLC_SCRIBES_OF_FATE</v>
      </c>
      <c r="BF608" s="21" t="str">
        <f t="shared" si="56"/>
        <v>, zoneIds={181,181,181,181,181,181}, veteran=false</v>
      </c>
      <c r="BG608" s="21" t="str">
        <f t="shared" si="57"/>
        <v>, setType=LIBSETS_SETTYPE_CYRODIIL</v>
      </c>
      <c r="BH60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59"/>
        <v>}, --Shell Splitter / Panzerspalten   [Cyrodiil, Cyrodiil, Cyrodiil, Cyrodiil, Cyrodiil, Cyrodiil]</v>
      </c>
    </row>
    <row r="609" spans="1:61" x14ac:dyDescent="0.25">
      <c r="A609" s="5">
        <v>690</v>
      </c>
      <c r="B609" t="s">
        <v>3562</v>
      </c>
      <c r="C609" t="s">
        <v>3571</v>
      </c>
      <c r="D609" s="3">
        <f t="shared" si="54"/>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WayshrineInfo'!$K$3:$N$9971,4,FALSE),"")))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WayshrineInfo'!$K$3:$L$9971,2,FALSE),"")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WayshrineInfo'!$K$3:$L$9971,2,FALSE),"")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 t="shared" si="55"/>
        <v>[690] = {wayshrines={-1,-1,-1,}, dlcId=DLC_SCRIBES_OF_FATE</v>
      </c>
      <c r="BF609" s="21" t="str">
        <f t="shared" si="56"/>
        <v>, zoneIds={181,181,181,181,181,181}, veteran=false</v>
      </c>
      <c r="BG609" s="21" t="str">
        <f t="shared" si="57"/>
        <v>, setType=LIBSETS_SETTYPE_CYRODIIL</v>
      </c>
      <c r="BH60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59"/>
        <v>}, --Judgement of Akatosh  / Urteil von Akatosh   [Cyrodiil, Cyrodiil, Cyrodiil, Cyrodiil, Cyrodiil, Cyrodiil]</v>
      </c>
    </row>
    <row r="610" spans="1:61" x14ac:dyDescent="0.25">
      <c r="A610" s="5">
        <v>691</v>
      </c>
      <c r="B610" t="s">
        <v>3818</v>
      </c>
      <c r="C610" s="36" t="s">
        <v>3631</v>
      </c>
      <c r="D610" s="3">
        <f t="shared" si="54"/>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WayshrineInfo'!$K$3:$N$9971,4,FALSE),"")))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WayshrineInfo'!$K$3:$L$9971,2,FALSE),"")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WayshrineInfo'!$K$3:$L$9971,2,FALSE),"")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 t="shared" si="55"/>
        <v>[691] = {wayshrines={536,545,538,}, dlcId=DLC_NECROM</v>
      </c>
      <c r="BF610" s="21" t="str">
        <f t="shared" si="56"/>
        <v>, zoneIds={1414,1413,1414,1414,1389}, veteran=false</v>
      </c>
      <c r="BG610" s="21" t="str">
        <f t="shared" si="57"/>
        <v>, setType=LIBSETS_SETTYPE_MYTHIC</v>
      </c>
      <c r="BH610" s="21"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59"/>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 t="shared" si="54"/>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WayshrineInfo'!$K$3:$N$9971,4,FALSE),"")))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WayshrineInfo'!$K$3:$L$9971,2,FALSE),"")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WayshrineInfo'!$K$3:$L$9971,2,FALSE),"")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 t="shared" si="55"/>
        <v>[692] = {wayshrines={549,280,282,}, dlcId=DLC_NECROM</v>
      </c>
      <c r="BF611" s="21" t="str">
        <f t="shared" si="56"/>
        <v>, zoneIds={1415,849,919,1301,1361}, veteran=false</v>
      </c>
      <c r="BG611" s="21" t="str">
        <f t="shared" si="57"/>
        <v>, setType=LIBSETS_SETTYPE_MYTHIC</v>
      </c>
      <c r="BH611" s="21"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59"/>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 t="shared" si="54"/>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WayshrineInfo'!$K$3:$N$9971,4,FALSE),"")))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WayshrineInfo'!$K$3:$L$9971,2,FALSE),"")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WayshrineInfo'!$K$3:$L$9971,2,FALSE),"")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 t="shared" si="55"/>
        <v>[693] = {wayshrines={546,546,546,}, dlcId=DLC_SCIONS_OF_ITHELIA</v>
      </c>
      <c r="BF612" s="21" t="str">
        <f t="shared" si="56"/>
        <v>, zoneIds={1413,1413,1413,1413,1413}, veteran=false</v>
      </c>
      <c r="BG612" s="21" t="str">
        <f t="shared" si="57"/>
        <v>, setType=LIBSETS_SETTYPE_MYTHIC</v>
      </c>
      <c r="BH612" s="21"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59"/>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4"/>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WayshrineInfo'!$K$3:$N$9971,4,FALSE),"")))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WayshrineInfo'!$K$3:$L$9971,2,FALSE),"")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WayshrineInfo'!$K$3:$L$9971,2,FALSE),"")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 t="shared" si="55"/>
        <v>[694] = {wayshrines={538,543,546,}, dlcId=DLC_NECROM</v>
      </c>
      <c r="BF613" s="21" t="str">
        <f t="shared" si="56"/>
        <v>, zoneIds={1414,1413,1416,849,1390}, veteran=false</v>
      </c>
      <c r="BG613" s="21" t="str">
        <f t="shared" si="57"/>
        <v>, setType=LIBSETS_SETTYPE_MYTHIC</v>
      </c>
      <c r="BH613" s="21"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59"/>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4"/>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WayshrineInfo'!$K$3:$N$9971,4,FALSE),"")))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WayshrineInfo'!$K$3:$L$9971,2,FALSE),"")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WayshrineInfo'!$K$3:$L$9971,2,FALSE),"")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5"/>
        <v>[695] = {wayshrines={542,542,542,}, traitsNeeded=5, dlcId=DLC_NECROM</v>
      </c>
      <c r="BF614" s="21" t="str">
        <f t="shared" si="56"/>
        <v>, zoneIds={1413,1413,1413}, veteran=false</v>
      </c>
      <c r="BG614" s="21" t="str">
        <f t="shared" si="57"/>
        <v>, setType=LIBSETS_SETTYPE_CRAFTED</v>
      </c>
      <c r="BH614" s="21" t="str">
        <f t="shared" si="58"/>
        <v>, dropMechanic={LIBSETS_DROP_MECHANIC_CRAFTED}</v>
      </c>
      <c r="BI614" s="21" t="str">
        <f t="shared" si="59"/>
        <v>}, -- Shattered Fate /  Shattered Fate   [Apocrypha, Apocrypha, Apocrypha]</v>
      </c>
    </row>
    <row r="615" spans="1:61" x14ac:dyDescent="0.25">
      <c r="A615" s="5">
        <v>696</v>
      </c>
      <c r="B615" s="36" t="s">
        <v>3634</v>
      </c>
      <c r="C615" s="36" t="s">
        <v>3634</v>
      </c>
      <c r="D615" s="3">
        <f t="shared" si="54"/>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WayshrineInfo'!$K$3:$N$9971,4,FALSE),"")))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WayshrineInfo'!$K$3:$L$9971,2,FALSE),"")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WayshrineInfo'!$K$3:$L$9971,2,FALSE),"")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5"/>
        <v>[696] = {wayshrines={535,535,535,}, traitsNeeded=3, dlcId=DLC_NECROM</v>
      </c>
      <c r="BF615" s="21" t="str">
        <f t="shared" si="56"/>
        <v>, zoneIds={1414,1414,1414}, veteran=false</v>
      </c>
      <c r="BG615" s="21" t="str">
        <f t="shared" si="57"/>
        <v>, setType=LIBSETS_SETTYPE_CRAFTED</v>
      </c>
      <c r="BH615" s="21" t="str">
        <f t="shared" si="58"/>
        <v>, dropMechanic={LIBSETS_DROP_MECHANIC_CRAFTED}</v>
      </c>
      <c r="BI615" s="21" t="str">
        <f t="shared" si="59"/>
        <v>}, -- Telvanni Efficiency /  Telvanni Efficiency   [Telvanni Peninsula, Telvanni Peninsula, Telvanni Peninsula]</v>
      </c>
    </row>
    <row r="616" spans="1:61" x14ac:dyDescent="0.25">
      <c r="A616" s="5">
        <v>697</v>
      </c>
      <c r="B616" s="36" t="s">
        <v>3635</v>
      </c>
      <c r="C616" s="36" t="s">
        <v>3635</v>
      </c>
      <c r="D616" s="3">
        <f t="shared" si="54"/>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WayshrineInfo'!$K$3:$N$9971,4,FALSE),"")))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WayshrineInfo'!$K$3:$L$9971,2,FALSE),"")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WayshrineInfo'!$K$3:$L$9971,2,FALSE),"")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 t="shared" si="55"/>
        <v>[697] = {wayshrines={546,546,546,}, traitsNeeded=7, dlcId=DLC_NECROM</v>
      </c>
      <c r="BF616" s="21" t="str">
        <f t="shared" si="56"/>
        <v>, zoneIds={1413,1413,1413}, veteran=false</v>
      </c>
      <c r="BG616" s="21" t="str">
        <f t="shared" si="57"/>
        <v>, setType=LIBSETS_SETTYPE_CRAFTED</v>
      </c>
      <c r="BH616" s="21" t="str">
        <f t="shared" si="58"/>
        <v>, dropMechanic={LIBSETS_DROP_MECHANIC_CRAFTED}</v>
      </c>
      <c r="BI616" s="21" t="str">
        <f t="shared" si="59"/>
        <v>}, -- Seeker Synthesis /  Seeker Synthesis   [Apocrypha, Apocrypha, Apocrypha]</v>
      </c>
    </row>
    <row r="617" spans="1:61" x14ac:dyDescent="0.25">
      <c r="A617" s="5">
        <v>698</v>
      </c>
      <c r="B617" s="36" t="s">
        <v>3646</v>
      </c>
      <c r="C617" s="36" t="s">
        <v>3646</v>
      </c>
      <c r="D617" s="3">
        <f t="shared" si="54"/>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WayshrineInfo'!$K$3:$N$9971,4,FALSE),"")))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WayshrineInfo'!$K$3:$L$9971,2,FALSE),"")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WayshrineInfo'!$K$3:$L$9971,2,FALSE),"")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 t="shared" si="55"/>
        <v>[698] = {wayshrines={541,540,535,}, dlcId=DLC_NECROM</v>
      </c>
      <c r="BF617" s="21" t="str">
        <f t="shared" si="56"/>
        <v>, zoneIds={1413,1413,1414,1416,1413,1413}, veteran=false</v>
      </c>
      <c r="BG617" s="21" t="str">
        <f t="shared" si="57"/>
        <v>, setType=LIBSETS_SETTYPE_OVERLAND</v>
      </c>
      <c r="BH617" s="21" t="str">
        <f t="shared" si="58"/>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59"/>
        <v>}, -- Vivec\'s Duality /  Vivec\'s Duality   [Apocrypha, Apocrypha, Telvanni Peninsula, The Underweave, Apocrypha, Apocrypha]</v>
      </c>
    </row>
    <row r="618" spans="1:61" x14ac:dyDescent="0.25">
      <c r="A618" s="5">
        <v>699</v>
      </c>
      <c r="B618" s="36" t="s">
        <v>3636</v>
      </c>
      <c r="C618" s="36" t="s">
        <v>3636</v>
      </c>
      <c r="D618" s="3">
        <f t="shared" si="54"/>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WayshrineInfo'!$K$3:$N$9971,4,FALSE),"")))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WayshrineInfo'!$K$3:$L$9971,2,FALSE),"")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WayshrineInfo'!$K$3:$L$9971,2,FALSE),"")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 t="shared" si="55"/>
        <v>[699] = {wayshrines={541,540,535,}, dlcId=DLC_NECROM</v>
      </c>
      <c r="BF618" s="21" t="str">
        <f t="shared" si="56"/>
        <v>, zoneIds={1413,1413,1414,1416,1413,1413}, veteran=false</v>
      </c>
      <c r="BG618" s="21" t="str">
        <f t="shared" si="57"/>
        <v>, setType=LIBSETS_SETTYPE_OVERLAND</v>
      </c>
      <c r="BH618" s="21" t="str">
        <f t="shared" si="58"/>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59"/>
        <v>}, -- Camonna Tong /  Camonna Tong   [Apocrypha, Apocrypha, Telvanni Peninsula, The Underweave, Apocrypha, Apocrypha]</v>
      </c>
    </row>
    <row r="619" spans="1:61" x14ac:dyDescent="0.25">
      <c r="A619" s="5">
        <v>700</v>
      </c>
      <c r="B619" s="36" t="s">
        <v>3637</v>
      </c>
      <c r="C619" s="36" t="s">
        <v>3637</v>
      </c>
      <c r="D619" s="3">
        <f t="shared" si="54"/>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WayshrineInfo'!$K$3:$N$9971,4,FALSE),"")))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WayshrineInfo'!$K$3:$L$9971,2,FALSE),"")
),"")</f>
        <v>1413</v>
      </c>
      <c r="AA619" t="str">
        <f>IF(AND(Z619&lt;&gt;"",ISNUMBER(Z619),NOT(ISNA(Z619))),VLOOKUP(Z619,'ESO zone constants'!$A$5:$D$10001,4,FALSE),"")</f>
        <v>Apocrypha</v>
      </c>
      <c r="AB619" s="33" t="s">
        <v>1551</v>
      </c>
      <c r="AE619" s="104"/>
      <c r="AF619" s="3">
        <f>IF(AND(G619&lt;&gt;"LIBSETS_SETTYPE_BATTLEGROUND",G619&lt;&gt;"LIBSETS_SETTYPE_SPECIAL"),
IF(AND(AE619&lt;&gt;"",ISNUMBER(AE619),NOT(ISNA(AE619))),AE619,
   IF(AND(M619&lt;&gt;"",ISNUMBER(M619),M619&gt;0,NOT(ISNA(M619))),VLOOKUP(M619,'ESO dumped WayshrineInfo'!$K$3:$L$9971,2,FALSE),"")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 t="shared" si="55"/>
        <v>[700] = {wayshrines={541,540,535,}, dlcId=DLC_NECROM</v>
      </c>
      <c r="BF619" s="21" t="str">
        <f t="shared" si="56"/>
        <v>, zoneIds={1413,1413,1414,1416,1413,1413}, veteran=false</v>
      </c>
      <c r="BG619" s="21" t="str">
        <f t="shared" si="57"/>
        <v>, setType=LIBSETS_SETTYPE_OVERLAND</v>
      </c>
      <c r="BH619" s="21" t="str">
        <f t="shared" si="58"/>
        <v>, dropMechanic={LIBSETS_DROP_MECHANIC_OVERLAND_WORLDBOSS,LIBSETS_DROP_MECHANIC_OVERLAND_BOSS_DELVE,LIBSETS_DROP_MECHANIC_OVERLAND_CHEST,LIBSETS_DROP_MECHANIC_OVERLAND_CHEST,LIBSETS_DROP_MECHANIC_OVERLAND_LOOT,LIBSETS_DROP_MECHANIC_OVERLAND_WORLDBOSS}</v>
      </c>
      <c r="BI619" s="21" t="str">
        <f t="shared" si="59"/>
        <v>}, -- Adamant Lurker /  Adamant Lurker   [Apocrypha, Apocrypha, Telvanni Peninsula, The Underweave, Apocrypha, Apocrypha]</v>
      </c>
    </row>
    <row r="620" spans="1:61" x14ac:dyDescent="0.25">
      <c r="A620" s="5">
        <v>701</v>
      </c>
      <c r="B620" s="36" t="s">
        <v>3638</v>
      </c>
      <c r="C620" s="36" t="s">
        <v>3638</v>
      </c>
      <c r="D620" s="3">
        <f t="shared" si="54"/>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WayshrineInfo'!$K$3:$N$9971,4,FALSE),"")))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WayshrineInfo'!$K$3:$L$9971,2,FALSE),"")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WayshrineInfo'!$K$3:$L$9971,2,FALSE),"")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 t="shared" si="55"/>
        <v>[701] = {wayshrines={534,534,534,}, dlcId=DLC_SCRIBES_OF_FATE</v>
      </c>
      <c r="BF620" s="21" t="str">
        <f t="shared" si="56"/>
        <v>, zoneIds={1427,1427,1427}, veteran=false</v>
      </c>
      <c r="BG620" s="21" t="str">
        <f t="shared" si="57"/>
        <v>, setType=LIBSETS_SETTYPE_TRIAL</v>
      </c>
      <c r="BH620" s="21" t="str">
        <f t="shared" si="58"/>
        <v>, dropMechanic={LIBSETS_DROP_MECHANIC_TRIAL_BOSS,LIBSETS_DROP_MECHANIC_TRIAL_BOSS,LIBSETS_DROP_MECHANIC_TRIAL_BOSS}, perfectedSetId=708</v>
      </c>
      <c r="BI620" s="21" t="str">
        <f t="shared" si="59"/>
        <v>}, -- Peace and Serenity /  Peace and Serenity   [Sanity's Edge, Sanity's Edge, Sanity's Edge]</v>
      </c>
    </row>
    <row r="621" spans="1:61" x14ac:dyDescent="0.25">
      <c r="A621" s="5">
        <v>702</v>
      </c>
      <c r="B621" s="36" t="s">
        <v>3645</v>
      </c>
      <c r="C621" s="36" t="s">
        <v>3645</v>
      </c>
      <c r="D621" s="3">
        <f t="shared" si="54"/>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WayshrineInfo'!$K$3:$N$9971,4,FALSE),"")))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WayshrineInfo'!$K$3:$L$9971,2,FALSE),"")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WayshrineInfo'!$K$3:$L$9971,2,FALSE),"")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 t="shared" si="55"/>
        <v>[702] = {wayshrines={534,534,534,}, dlcId=DLC_SCRIBES_OF_FATE</v>
      </c>
      <c r="BF621" s="21" t="str">
        <f t="shared" si="56"/>
        <v>, zoneIds={1427,1427,1427}, veteran=false</v>
      </c>
      <c r="BG621" s="21" t="str">
        <f t="shared" si="57"/>
        <v>, setType=LIBSETS_SETTYPE_TRIAL</v>
      </c>
      <c r="BH621" s="21" t="str">
        <f t="shared" si="58"/>
        <v>, dropMechanic={LIBSETS_DROP_MECHANIC_TRIAL_BOSS,LIBSETS_DROP_MECHANIC_TRIAL_BOSS,LIBSETS_DROP_MECHANIC_TRIAL_BOSS}, perfectedSetId=707</v>
      </c>
      <c r="BI621" s="21" t="str">
        <f t="shared" si="59"/>
        <v>}, -- Ansuul\'s Torment /  Ansuul\'s Torment   [Sanity's Edge, Sanity's Edge, Sanity's Edge]</v>
      </c>
    </row>
    <row r="622" spans="1:61" x14ac:dyDescent="0.25">
      <c r="A622" s="5">
        <v>703</v>
      </c>
      <c r="B622" s="36" t="s">
        <v>3639</v>
      </c>
      <c r="C622" s="36" t="s">
        <v>3639</v>
      </c>
      <c r="D622" s="3">
        <f t="shared" si="54"/>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WayshrineInfo'!$K$3:$N$9971,4,FALSE),"")))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WayshrineInfo'!$K$3:$L$9971,2,FALSE),"")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WayshrineInfo'!$K$3:$L$9971,2,FALSE),"")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 t="shared" si="55"/>
        <v>[703] = {wayshrines={534,534,534,}, dlcId=DLC_SCRIBES_OF_FATE</v>
      </c>
      <c r="BF622" s="21" t="str">
        <f t="shared" si="56"/>
        <v>, zoneIds={1427,1427,1427}, veteran=false</v>
      </c>
      <c r="BG622" s="21" t="str">
        <f t="shared" si="57"/>
        <v>, setType=LIBSETS_SETTYPE_TRIAL</v>
      </c>
      <c r="BH622" s="21" t="str">
        <f t="shared" si="58"/>
        <v>, dropMechanic={LIBSETS_DROP_MECHANIC_TRIAL_BOSS,LIBSETS_DROP_MECHANIC_TRIAL_BOSS,LIBSETS_DROP_MECHANIC_TRIAL_BOSS}, perfectedSetId=706</v>
      </c>
      <c r="BI622" s="21" t="str">
        <f t="shared" si="59"/>
        <v>}, -- Test of Resolve /  Test of Resolve   [Sanity's Edge, Sanity's Edge, Sanity's Edge]</v>
      </c>
    </row>
    <row r="623" spans="1:61" x14ac:dyDescent="0.25">
      <c r="A623" s="5">
        <v>704</v>
      </c>
      <c r="B623" s="36" t="s">
        <v>3640</v>
      </c>
      <c r="C623" s="36" t="s">
        <v>3640</v>
      </c>
      <c r="D623" s="3">
        <f t="shared" si="54"/>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WayshrineInfo'!$K$3:$N$9971,4,FALSE),"")))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WayshrineInfo'!$K$3:$L$9971,2,FALSE),"")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WayshrineInfo'!$K$3:$L$9971,2,FALSE),"")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 t="shared" si="55"/>
        <v>[704] = {wayshrines={534,534,534,}, dlcId=DLC_SCRIBES_OF_FATE</v>
      </c>
      <c r="BF623" s="21" t="str">
        <f t="shared" si="56"/>
        <v>, zoneIds={1427,1427,1427}, veteran=false</v>
      </c>
      <c r="BG623" s="21" t="str">
        <f t="shared" si="57"/>
        <v>, setType=LIBSETS_SETTYPE_TRIAL</v>
      </c>
      <c r="BH623" s="21" t="str">
        <f t="shared" si="58"/>
        <v>, dropMechanic={LIBSETS_DROP_MECHANIC_TRIAL_BOSS,LIBSETS_DROP_MECHANIC_TRIAL_BOSS,LIBSETS_DROP_MECHANIC_TRIAL_BOSS}, perfectedSetId=705</v>
      </c>
      <c r="BI623" s="21" t="str">
        <f t="shared" si="59"/>
        <v>}, -- Transformative Hope /  Transformative Hope   [Sanity's Edge, Sanity's Edge, Sanity's Edge]</v>
      </c>
    </row>
    <row r="624" spans="1:61" x14ac:dyDescent="0.25">
      <c r="A624" s="5">
        <v>705</v>
      </c>
      <c r="B624" s="36" t="s">
        <v>3641</v>
      </c>
      <c r="C624" s="36" t="s">
        <v>3641</v>
      </c>
      <c r="D624" s="3">
        <f t="shared" si="54"/>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WayshrineInfo'!$K$3:$N$9971,4,FALSE),"")))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WayshrineInfo'!$K$3:$L$9971,2,FALSE),"")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WayshrineInfo'!$K$3:$L$9971,2,FALSE),"")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 t="shared" si="55"/>
        <v>[705] = {wayshrines={534,534,534,}, dlcId=DLC_SCRIBES_OF_FATE</v>
      </c>
      <c r="BF624" s="21" t="str">
        <f t="shared" si="56"/>
        <v>, zoneIds={1427,1427,1427}, veteran=true</v>
      </c>
      <c r="BG624" s="21" t="str">
        <f t="shared" si="57"/>
        <v>, setType=LIBSETS_SETTYPE_TRIAL</v>
      </c>
      <c r="BH624" s="21" t="str">
        <f t="shared" si="58"/>
        <v>, dropMechanic={LIBSETS_DROP_MECHANIC_TRIAL_BOSS,LIBSETS_DROP_MECHANIC_TRIAL_BOSS,LIBSETS_DROP_MECHANIC_TRIAL_BOSS}, isPerfectedSet=1</v>
      </c>
      <c r="BI624" s="21" t="str">
        <f t="shared" si="59"/>
        <v>}, -- Perfected Transformative Hope /  Perfected Transformative Hope   [Sanity's Edge, Sanity's Edge, Sanity's Edge]</v>
      </c>
    </row>
    <row r="625" spans="1:61" x14ac:dyDescent="0.25">
      <c r="A625" s="5">
        <v>706</v>
      </c>
      <c r="B625" s="36" t="s">
        <v>3642</v>
      </c>
      <c r="C625" s="36" t="s">
        <v>3642</v>
      </c>
      <c r="D625" s="3">
        <f t="shared" si="54"/>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WayshrineInfo'!$K$3:$N$9971,4,FALSE),"")))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WayshrineInfo'!$K$3:$L$9971,2,FALSE),"")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WayshrineInfo'!$K$3:$L$9971,2,FALSE),"")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 t="shared" si="55"/>
        <v>[706] = {wayshrines={534,534,534,}, dlcId=DLC_SCRIBES_OF_FATE</v>
      </c>
      <c r="BF625" s="21" t="str">
        <f t="shared" si="56"/>
        <v>, zoneIds={1427,1427,1427}, veteran=true</v>
      </c>
      <c r="BG625" s="21" t="str">
        <f t="shared" si="57"/>
        <v>, setType=LIBSETS_SETTYPE_TRIAL</v>
      </c>
      <c r="BH625" s="21" t="str">
        <f t="shared" si="58"/>
        <v>, dropMechanic={LIBSETS_DROP_MECHANIC_TRIAL_BOSS,LIBSETS_DROP_MECHANIC_TRIAL_BOSS,LIBSETS_DROP_MECHANIC_TRIAL_BOSS}, isPerfectedSet=1</v>
      </c>
      <c r="BI625" s="21" t="str">
        <f t="shared" si="59"/>
        <v>}, -- Perfected Test of Resolve /  Perfected Test of Resolve   [Sanity's Edge, Sanity's Edge, Sanity's Edge]</v>
      </c>
    </row>
    <row r="626" spans="1:61" x14ac:dyDescent="0.25">
      <c r="A626" s="5">
        <v>707</v>
      </c>
      <c r="B626" s="36" t="s">
        <v>3647</v>
      </c>
      <c r="C626" s="36" t="s">
        <v>3647</v>
      </c>
      <c r="D626" s="3">
        <f t="shared" si="54"/>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WayshrineInfo'!$K$3:$N$9971,4,FALSE),"")))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WayshrineInfo'!$K$3:$L$9971,2,FALSE),"")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WayshrineInfo'!$K$3:$L$9971,2,FALSE),"")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 t="shared" si="55"/>
        <v>[707] = {wayshrines={534,534,534,}, dlcId=DLC_SCRIBES_OF_FATE</v>
      </c>
      <c r="BF626" s="21" t="str">
        <f t="shared" si="56"/>
        <v>, zoneIds={1427,1427,1427}, veteran=true</v>
      </c>
      <c r="BG626" s="21" t="str">
        <f t="shared" si="57"/>
        <v>, setType=LIBSETS_SETTYPE_TRIAL</v>
      </c>
      <c r="BH626" s="21" t="str">
        <f t="shared" si="58"/>
        <v>, dropMechanic={LIBSETS_DROP_MECHANIC_TRIAL_BOSS,LIBSETS_DROP_MECHANIC_TRIAL_BOSS,LIBSETS_DROP_MECHANIC_TRIAL_BOSS}, isPerfectedSet=1</v>
      </c>
      <c r="BI626" s="21" t="str">
        <f t="shared" si="59"/>
        <v>}, -- Perfected Ansuul\'s Torment /  Perfected Ansuul\'s Torment   [Sanity's Edge, Sanity's Edge, Sanity's Edge]</v>
      </c>
    </row>
    <row r="627" spans="1:61" x14ac:dyDescent="0.25">
      <c r="A627" s="5">
        <v>708</v>
      </c>
      <c r="B627" s="36" t="s">
        <v>3643</v>
      </c>
      <c r="C627" s="36" t="s">
        <v>3643</v>
      </c>
      <c r="D627" s="3">
        <f t="shared" si="54"/>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WayshrineInfo'!$K$3:$N$9971,4,FALSE),"")))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WayshrineInfo'!$K$3:$L$9971,2,FALSE),"")
),"")</f>
        <v>1427</v>
      </c>
      <c r="AA627" t="str">
        <f>IF(AND(Z627&lt;&gt;"",ISNUMBER(Z627),NOT(ISNA(Z627))),VLOOKUP(Z627,'ESO zone constants'!$A$5:$D$10001,4,FALSE),"")</f>
        <v>Sanity's Edge</v>
      </c>
      <c r="AB627" s="33" t="s">
        <v>3254</v>
      </c>
      <c r="AC627" s="39"/>
      <c r="AD627" s="39"/>
      <c r="AE627" s="103">
        <v>1427</v>
      </c>
      <c r="AF627" s="3">
        <f>IF(AND(G627&lt;&gt;"LIBSETS_SETTYPE_BATTLEGROUND",G627&lt;&gt;"LIBSETS_SETTYPE_SPECIAL"),
IF(AND(AE627&lt;&gt;"",ISNUMBER(AE627),NOT(ISNA(AE627))),AE627,
   IF(AND(M627&lt;&gt;"",ISNUMBER(M627),M627&gt;0,NOT(ISNA(M627))),VLOOKUP(M627,'ESO dumped WayshrineInfo'!$K$3:$L$9971,2,FALSE),"")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 t="shared" si="55"/>
        <v>[708] = {wayshrines={534,534,534,}, dlcId=DLC_SCRIBES_OF_FATE</v>
      </c>
      <c r="BF627" s="21" t="str">
        <f t="shared" si="56"/>
        <v>, zoneIds={1427,1427,1427}, veteran=true</v>
      </c>
      <c r="BG627" s="21" t="str">
        <f t="shared" si="57"/>
        <v>, setType=LIBSETS_SETTYPE_TRIAL</v>
      </c>
      <c r="BH627" s="21" t="str">
        <f t="shared" si="58"/>
        <v>, dropMechanic={LIBSETS_DROP_MECHANIC_TRIAL_BOSS,LIBSETS_DROP_MECHANIC_TRIAL_BOSS,LIBSETS_DROP_MECHANIC_TRIAL_BOSS}, isPerfectedSet=1</v>
      </c>
      <c r="BI627" s="21" t="str">
        <f t="shared" si="59"/>
        <v>}, -- Perfected Peace and Serenity /  Perfected Peace and Serenity   [Sanity's Edge, Sanity's Edge, Sanity's Edge]</v>
      </c>
    </row>
    <row r="628" spans="1:61" x14ac:dyDescent="0.25">
      <c r="A628" s="5">
        <v>711</v>
      </c>
      <c r="B628" s="36" t="s">
        <v>3700</v>
      </c>
      <c r="C628" s="36" t="s">
        <v>3700</v>
      </c>
      <c r="D628" s="3">
        <f t="shared" si="54"/>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WayshrineInfo'!$K$3:$N$9971,4,FALSE),"")))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WayshrineInfo'!$K$3:$L$9971,2,FALSE),"")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WayshrineInfo'!$K$3:$L$9971,2,FALSE),"")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 t="shared" si="55"/>
        <v>[711] = {wayshrines={-1,-1,-1,}, dlcId=NO_DLC_UPDATE39</v>
      </c>
      <c r="BF628" s="21" t="str">
        <f t="shared" si="56"/>
        <v>, zoneIds={181,181}, veteran={[EQUIP_TYPE_HEAD]=false, [EQUIP_TYPE_SHOULDERS]=false}</v>
      </c>
      <c r="BG628" s="21" t="str">
        <f t="shared" si="57"/>
        <v>, setType=LIBSETS_SETTYPE_CYRODIIL_MONSTER</v>
      </c>
      <c r="BH628" s="21" t="str">
        <f t="shared" si="58"/>
        <v>, dropMechanic={LIBSETS_DROP_MECHANIC_AP_ELITE_GEAR_LOCKBOX_MERCHANT}</v>
      </c>
      <c r="BI628" s="21" t="str">
        <f t="shared" si="59"/>
        <v>}, --Jerall Mountains Warchief / Jerall Mountains Warchief   [Cyrodiil, Cyrodiil]</v>
      </c>
    </row>
    <row r="629" spans="1:61" x14ac:dyDescent="0.25">
      <c r="A629" s="5">
        <v>712</v>
      </c>
      <c r="B629" s="36" t="s">
        <v>3701</v>
      </c>
      <c r="C629" s="36" t="s">
        <v>3701</v>
      </c>
      <c r="D629" s="3">
        <f t="shared" si="54"/>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WayshrineInfo'!$K$3:$N$9971,4,FALSE),"")))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WayshrineInfo'!$K$3:$L$9971,2,FALSE),"")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WayshrineInfo'!$K$3:$L$9971,2,FALSE),"")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 t="shared" si="55"/>
        <v>[712] = {wayshrines={-1,-1,-1,}, dlcId=NO_DLC_UPDATE39</v>
      </c>
      <c r="BF629" s="21" t="str">
        <f t="shared" si="56"/>
        <v>, zoneIds={181,181}, veteran={[EQUIP_TYPE_HEAD]=false, [EQUIP_TYPE_SHOULDERS]=false}</v>
      </c>
      <c r="BG629" s="21" t="str">
        <f t="shared" si="57"/>
        <v>, setType=LIBSETS_SETTYPE_CYRODIIL_MONSTER</v>
      </c>
      <c r="BH629" s="21" t="str">
        <f t="shared" si="58"/>
        <v>, dropMechanic={LIBSETS_DROP_MECHANIC_AP_ELITE_GEAR_LOCKBOX_MERCHANT}</v>
      </c>
      <c r="BI629" s="21" t="str">
        <f t="shared" si="59"/>
        <v>}, --Nibenay Bay Battlereeve / Nibenay Bay Battlereeve   [Cyrodiil, Cyrodiil]</v>
      </c>
    </row>
    <row r="630" spans="1:61" x14ac:dyDescent="0.25">
      <c r="A630" s="5">
        <v>713</v>
      </c>
      <c r="B630" s="36" t="s">
        <v>3702</v>
      </c>
      <c r="C630" s="36" t="s">
        <v>3702</v>
      </c>
      <c r="D630" s="3">
        <f t="shared" si="54"/>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WayshrineInfo'!$K$3:$N$9971,4,FALSE),"")))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WayshrineInfo'!$K$3:$L$9971,2,FALSE),"")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WayshrineInfo'!$K$3:$L$9971,2,FALSE),"")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 t="shared" si="55"/>
        <v>[713] = {wayshrines={-1,-1,-1,}, dlcId=NO_DLC_UPDATE39</v>
      </c>
      <c r="BF630" s="21" t="str">
        <f t="shared" si="56"/>
        <v>, zoneIds={181,181}, veteran={[EQUIP_TYPE_HEAD]=false, [EQUIP_TYPE_SHOULDERS]=false}</v>
      </c>
      <c r="BG630" s="21" t="str">
        <f t="shared" si="57"/>
        <v>, setType=LIBSETS_SETTYPE_CYRODIIL_MONSTER</v>
      </c>
      <c r="BH630" s="21" t="str">
        <f t="shared" si="58"/>
        <v>, dropMechanic={LIBSETS_DROP_MECHANIC_AP_ELITE_GEAR_LOCKBOX_MERCHANT}</v>
      </c>
      <c r="BI630" s="21" t="str">
        <f t="shared" si="59"/>
        <v>}, --Colovian Highlands General / Colovian Highlands General   [Cyrodiil, Cyrodiil]</v>
      </c>
    </row>
    <row r="631" spans="1:61" x14ac:dyDescent="0.25">
      <c r="A631" s="5">
        <v>722</v>
      </c>
      <c r="B631" t="s">
        <v>3746</v>
      </c>
      <c r="C631" t="s">
        <v>3746</v>
      </c>
      <c r="D631" s="3">
        <f t="shared" si="54"/>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WayshrineInfo'!$K$3:$N$9971,4,FALSE),"")))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WayshrineInfo'!$K$3:$L$9971,2,FALSE),"")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WayshrineInfo'!$K$3:$L$9971,2,FALSE),"")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 t="shared" si="55"/>
        <v>[722] = {wayshrines={543,543,543,}, dlcId=NO_DLC_SECRET_OF_THE_TELVANNI</v>
      </c>
      <c r="BF631" s="21" t="str">
        <f t="shared" si="56"/>
        <v>, zoneIds={1436,1413,1413}, veteran=false</v>
      </c>
      <c r="BG631" s="21" t="str">
        <f t="shared" si="57"/>
        <v>, setType=LIBSETS_SETTYPE_CLASS, classId=117</v>
      </c>
      <c r="BH631" s="21" t="str">
        <f t="shared" si="58"/>
        <v>, dropMechanic={LIBSETS_DROP_MECHANIC_ENDLESS_ARCHIVE}, dropMechanicDropLocationNames={['en']={'Arcanist','','','','','',},['de']={'Arkanist','','','','','',},}</v>
      </c>
      <c r="BI631" s="21" t="str">
        <f t="shared" si="59"/>
        <v>}, --Reawakened Hierophant / Reawakened Hierophant   [Infinite Archive, Apocrypha, Apocrypha]</v>
      </c>
    </row>
    <row r="632" spans="1:61" x14ac:dyDescent="0.25">
      <c r="A632" s="5">
        <v>723</v>
      </c>
      <c r="B632" t="s">
        <v>3745</v>
      </c>
      <c r="C632" t="s">
        <v>3745</v>
      </c>
      <c r="D632" s="3">
        <f t="shared" si="54"/>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WayshrineInfo'!$K$3:$N$9971,4,FALSE),"")))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WayshrineInfo'!$K$3:$L$9971,2,FALSE),"")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WayshrineInfo'!$K$3:$L$9971,2,FALSE),"")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 t="shared" si="55"/>
        <v>[723] = {wayshrines={543,543,543,}, dlcId=NO_DLC_SECRET_OF_THE_TELVANNI</v>
      </c>
      <c r="BF632" s="21" t="str">
        <f t="shared" si="56"/>
        <v>, zoneIds={1436,1413,1413}, veteran=false</v>
      </c>
      <c r="BG632" s="21" t="str">
        <f t="shared" si="57"/>
        <v>, setType=LIBSETS_SETTYPE_CLASS, classId=1</v>
      </c>
      <c r="BH632" s="21" t="str">
        <f t="shared" si="58"/>
        <v>, dropMechanic={LIBSETS_DROP_MECHANIC_ENDLESS_ARCHIVE}, dropMechanicDropLocationNames={['en']={'Dragonknight','','','','','',},['de']={'Drachenritter','','','','','',},}</v>
      </c>
      <c r="BI632" s="21" t="str">
        <f t="shared" si="59"/>
        <v>}, --Basalt-Blooded Warrior / Basalt-Blooded Warrior   [Infinite Archive, Apocrypha, Apocrypha]</v>
      </c>
    </row>
    <row r="633" spans="1:61" x14ac:dyDescent="0.25">
      <c r="A633" s="5">
        <v>724</v>
      </c>
      <c r="B633" t="s">
        <v>3747</v>
      </c>
      <c r="C633" t="s">
        <v>3744</v>
      </c>
      <c r="D633" s="3">
        <f t="shared" si="54"/>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WayshrineInfo'!$K$3:$N$9971,4,FALSE),"")))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WayshrineInfo'!$K$3:$L$9971,2,FALSE),"")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WayshrineInfo'!$K$3:$L$9971,2,FALSE),"")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 t="shared" si="55"/>
        <v>[724] = {wayshrines={543,543,543,}, dlcId=NO_DLC_SECRET_OF_THE_TELVANNI</v>
      </c>
      <c r="BF633" s="21" t="str">
        <f t="shared" si="56"/>
        <v>, zoneIds={1436,1413,1413}, veteran=false</v>
      </c>
      <c r="BG633" s="21" t="str">
        <f t="shared" si="57"/>
        <v>, setType=LIBSETS_SETTYPE_CLASS, classId=5</v>
      </c>
      <c r="BH633" s="21" t="str">
        <f t="shared" si="58"/>
        <v>, dropMechanic={LIBSETS_DROP_MECHANIC_ENDLESS_ARCHIVE}, dropMechanicDropLocationNames={['en']={'Necromancer','','','','','',},['de']={'Nekromant','','','','','',},}</v>
      </c>
      <c r="BI633" s="21" t="str">
        <f t="shared" si="59"/>
        <v>}, --Nobility in Decay / Adel im Verfall   [Infinite Archive, Apocrypha, Apocrypha]</v>
      </c>
    </row>
    <row r="634" spans="1:61" x14ac:dyDescent="0.25">
      <c r="A634" s="5">
        <v>726</v>
      </c>
      <c r="B634" t="s">
        <v>3748</v>
      </c>
      <c r="C634" t="s">
        <v>3743</v>
      </c>
      <c r="D634" s="3">
        <f t="shared" si="54"/>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WayshrineInfo'!$K$3:$N$9971,4,FALSE),"")))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WayshrineInfo'!$K$3:$L$9971,2,FALSE),"")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WayshrineInfo'!$K$3:$L$9971,2,FALSE),"")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 t="shared" si="55"/>
        <v>[726] = {wayshrines={543,543,543,}, dlcId=NO_DLC_SECRET_OF_THE_TELVANNI</v>
      </c>
      <c r="BF634" s="21" t="str">
        <f t="shared" si="56"/>
        <v>, zoneIds={1436,1413,1413}, veteran=false</v>
      </c>
      <c r="BG634" s="21" t="str">
        <f t="shared" si="57"/>
        <v>, setType=LIBSETS_SETTYPE_CLASS, classId=3</v>
      </c>
      <c r="BH634" s="21" t="str">
        <f t="shared" si="58"/>
        <v>, dropMechanic={LIBSETS_DROP_MECHANIC_ENDLESS_ARCHIVE}, dropMechanicDropLocationNames={['en']={'Nightblade','','','','','',},['de']={'Nachtklinge','','','','','',},}</v>
      </c>
      <c r="BI634" s="21" t="str">
        <f t="shared" si="59"/>
        <v>}, --Soulcleaver / Seelenspalter   [Infinite Archive, Apocrypha, Apocrypha]</v>
      </c>
    </row>
    <row r="635" spans="1:61" x14ac:dyDescent="0.25">
      <c r="A635" s="5">
        <v>727</v>
      </c>
      <c r="B635" t="s">
        <v>3749</v>
      </c>
      <c r="C635" t="s">
        <v>3742</v>
      </c>
      <c r="D635" s="3">
        <f t="shared" si="54"/>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WayshrineInfo'!$K$3:$N$9971,4,FALSE),"")))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WayshrineInfo'!$K$3:$L$9971,2,FALSE),"")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WayshrineInfo'!$K$3:$L$9971,2,FALSE),"")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 t="shared" si="55"/>
        <v>[727] = {wayshrines={543,543,543,}, dlcId=NO_DLC_SECRET_OF_THE_TELVANNI</v>
      </c>
      <c r="BF635" s="21" t="str">
        <f t="shared" si="56"/>
        <v>, zoneIds={1436,1413,1413}, veteran=false</v>
      </c>
      <c r="BG635" s="21" t="str">
        <f t="shared" si="57"/>
        <v>, setType=LIBSETS_SETTYPE_CLASS, classId=2</v>
      </c>
      <c r="BH635" s="21" t="str">
        <f t="shared" si="58"/>
        <v>, dropMechanic={LIBSETS_DROP_MECHANIC_ENDLESS_ARCHIVE}, dropMechanicDropLocationNames={['en']={'Sorcerer','','','','','',},['de']={'Zauberer','','','','','',},}</v>
      </c>
      <c r="BI635" s="21" t="str">
        <f t="shared" si="59"/>
        <v>}, --Monolith of Storms / Monolith der Stürme   [Infinite Archive, Apocrypha, Apocrypha]</v>
      </c>
    </row>
    <row r="636" spans="1:61" x14ac:dyDescent="0.25">
      <c r="A636" s="5">
        <v>728</v>
      </c>
      <c r="B636" t="s">
        <v>3750</v>
      </c>
      <c r="C636" t="s">
        <v>3741</v>
      </c>
      <c r="D636" s="3">
        <f t="shared" si="54"/>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WayshrineInfo'!$K$3:$N$9971,4,FALSE),"")))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WayshrineInfo'!$K$3:$L$9971,2,FALSE),"")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WayshrineInfo'!$K$3:$L$9971,2,FALSE),"")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 t="shared" si="55"/>
        <v>[728] = {wayshrines={543,543,543,}, dlcId=NO_DLC_SECRET_OF_THE_TELVANNI</v>
      </c>
      <c r="BF636" s="21" t="str">
        <f t="shared" si="56"/>
        <v>, zoneIds={1436,1413,1413}, veteran=false</v>
      </c>
      <c r="BG636" s="21" t="str">
        <f t="shared" si="57"/>
        <v>, setType=LIBSETS_SETTYPE_CLASS, classId=6</v>
      </c>
      <c r="BH636" s="21" t="str">
        <f t="shared" si="58"/>
        <v>, dropMechanic={LIBSETS_DROP_MECHANIC_ENDLESS_ARCHIVE}, dropMechanicDropLocationNames={['en']={'Templar','','','','','',},['de']={'Templer','','','','','',},}</v>
      </c>
      <c r="BI636" s="21" t="str">
        <f t="shared" si="59"/>
        <v>}, --Wrathsun / Wutsonne   [Infinite Archive, Apocrypha, Apocrypha]</v>
      </c>
    </row>
    <row r="637" spans="1:61" x14ac:dyDescent="0.25">
      <c r="A637" s="5">
        <v>729</v>
      </c>
      <c r="B637" t="s">
        <v>3751</v>
      </c>
      <c r="C637" t="s">
        <v>3740</v>
      </c>
      <c r="D637" s="3">
        <f t="shared" si="54"/>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WayshrineInfo'!$K$3:$N$9971,4,FALSE),"")))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WayshrineInfo'!$K$3:$L$9971,2,FALSE),"")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WayshrineInfo'!$K$3:$L$9971,2,FALSE),"")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 t="shared" si="55"/>
        <v>[729] = {wayshrines={543,543,543,}, dlcId=NO_DLC_SECRET_OF_THE_TELVANNI</v>
      </c>
      <c r="BF637" s="21" t="str">
        <f t="shared" si="56"/>
        <v>, zoneIds={1436,1413,1413}, veteran=false</v>
      </c>
      <c r="BG637" s="21" t="str">
        <f t="shared" si="57"/>
        <v>, setType=LIBSETS_SETTYPE_CLASS, classId=4</v>
      </c>
      <c r="BH637" s="21" t="str">
        <f t="shared" si="58"/>
        <v>, dropMechanic={LIBSETS_DROP_MECHANIC_ENDLESS_ARCHIVE}, dropMechanicDropLocationNames={['en']={'Warden','','','','','',},['de']={'Hüter','','','','','',},}</v>
      </c>
      <c r="BI637" s="21" t="str">
        <f t="shared" si="59"/>
        <v>}, --Gardener of Seasons / Gärtner der Jahreszeiten   [Infinite Archive, Apocrypha, Apocrypha]</v>
      </c>
    </row>
    <row r="638" spans="1:61" x14ac:dyDescent="0.25">
      <c r="A638" s="5">
        <v>730</v>
      </c>
      <c r="B638" s="36" t="s">
        <v>3880</v>
      </c>
      <c r="C638" s="36" t="s">
        <v>3880</v>
      </c>
      <c r="D638" s="3">
        <f t="shared" si="54"/>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WayshrineInfo'!$K$3:$N$9971,4,FALSE),"")))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WayshrineInfo'!$K$3:$L$9971,2,FALSE),"")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WayshrineInfo'!$K$3:$L$9971,2,FALSE),"")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 t="shared" si="55"/>
        <v>[730] = {wayshrines={556,556,556,}, dlcId=DLC_SCIONS_OF_ITHELIA</v>
      </c>
      <c r="BF638" s="21" t="str">
        <f t="shared" si="56"/>
        <v>, zoneIds={1470,1207,1207}, veteran=false</v>
      </c>
      <c r="BG638" s="21" t="str">
        <f t="shared" si="57"/>
        <v>, setType=LIBSETS_SETTYPE_DUNGEON</v>
      </c>
      <c r="BH638" s="21" t="str">
        <f t="shared" si="58"/>
        <v>, dropMechanic={LIBSETS_DROP_MECHANIC_GROUP_DUNGEON_BOSS}</v>
      </c>
      <c r="BI638" s="21" t="str">
        <f t="shared" si="59"/>
        <v>}, --Cinders of Anthelmir / Cinders of Anthelmir   [Oathsworn Pit, The Reach, The Reach]</v>
      </c>
    </row>
    <row r="639" spans="1:61" x14ac:dyDescent="0.25">
      <c r="A639" s="5">
        <v>731</v>
      </c>
      <c r="B639" s="36" t="s">
        <v>3882</v>
      </c>
      <c r="C639" s="36" t="s">
        <v>3882</v>
      </c>
      <c r="D639" s="3">
        <f t="shared" si="54"/>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WayshrineInfo'!$K$3:$N$9971,4,FALSE),"")))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WayshrineInfo'!$K$3:$L$9971,2,FALSE),"")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WayshrineInfo'!$K$3:$L$9971,2,FALSE),"")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 t="shared" si="55"/>
        <v>[731] = {wayshrines={556,556,556,}, dlcId=DLC_SCIONS_OF_ITHELIA</v>
      </c>
      <c r="BF639" s="21" t="str">
        <f t="shared" si="56"/>
        <v>, zoneIds={1470,1207,1207}, veteran=false</v>
      </c>
      <c r="BG639" s="21" t="str">
        <f t="shared" si="57"/>
        <v>, setType=LIBSETS_SETTYPE_DUNGEON</v>
      </c>
      <c r="BH639" s="21" t="str">
        <f t="shared" si="58"/>
        <v>, dropMechanic={LIBSETS_DROP_MECHANIC_GROUP_DUNGEON_BOSS}</v>
      </c>
      <c r="BI639" s="21" t="str">
        <f t="shared" si="59"/>
        <v>}, --Sluthrug\'s Hunger / Sluthrug\'s Hunger   [Oathsworn Pit, The Reach, The Reach]</v>
      </c>
    </row>
    <row r="640" spans="1:61" x14ac:dyDescent="0.25">
      <c r="A640" s="5">
        <v>732</v>
      </c>
      <c r="B640" s="36" t="s">
        <v>3881</v>
      </c>
      <c r="C640" s="36" t="s">
        <v>3881</v>
      </c>
      <c r="D640" s="3">
        <f t="shared" si="54"/>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WayshrineInfo'!$K$3:$N$9971,4,FALSE),"")))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WayshrineInfo'!$K$3:$L$9971,2,FALSE),"")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WayshrineInfo'!$K$3:$L$9971,2,FALSE),"")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 t="shared" si="55"/>
        <v>[732] = {wayshrines={556,556,556,}, dlcId=DLC_SCIONS_OF_ITHELIA</v>
      </c>
      <c r="BF640" s="21" t="str">
        <f t="shared" si="56"/>
        <v>, zoneIds={1470,1207,1207}, veteran=false</v>
      </c>
      <c r="BG640" s="21" t="str">
        <f t="shared" si="57"/>
        <v>, setType=LIBSETS_SETTYPE_DUNGEON</v>
      </c>
      <c r="BH640" s="21" t="str">
        <f t="shared" si="58"/>
        <v>, dropMechanic={LIBSETS_DROP_MECHANIC_GROUP_DUNGEON_BOSS}</v>
      </c>
      <c r="BI640" s="21" t="str">
        <f t="shared" si="59"/>
        <v>}, --Black-Grove Grounding / Black-Grove Grounding   [Oathsworn Pit, The Reach, The Reach]</v>
      </c>
    </row>
    <row r="641" spans="1:61" x14ac:dyDescent="0.25">
      <c r="A641" s="5">
        <v>734</v>
      </c>
      <c r="B641" s="36" t="s">
        <v>3885</v>
      </c>
      <c r="C641" s="36" t="s">
        <v>3886</v>
      </c>
      <c r="D641" s="3">
        <f t="shared" si="54"/>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WayshrineInfo'!$K$3:$N$9971,4,FALSE),"")))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WayshrineInfo'!$K$3:$L$9971,2,FALSE),"")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WayshrineInfo'!$K$3:$L$9971,2,FALSE),"")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 t="shared" si="55"/>
        <v>[734] = {wayshrines={556,556,556,}, dlcId=DLC_SCIONS_OF_ITHELIA</v>
      </c>
      <c r="BF641" s="21" t="str">
        <f t="shared" si="56"/>
        <v>, zoneIds={1470,1207,1207}, veteran=false</v>
      </c>
      <c r="BG641" s="21" t="str">
        <f t="shared" si="57"/>
        <v>, setType=LIBSETS_SETTYPE_MONSTER</v>
      </c>
      <c r="BH641" s="21" t="str">
        <f t="shared" si="58"/>
        <v>, dropMechanic={LIBSETS_DROP_MECHANIC_MONSTER_NAME}, dropMechanicDropLocationNames={['en']={'Anthelmirs Konstrukt','','','','','',},['de']={'Anthelmir\'s Construct','','','','','',},}</v>
      </c>
      <c r="BI641" s="21" t="str">
        <f t="shared" si="59"/>
        <v>}, --Anthelmir\'s Construct / Anthelmirs Konstrukt   [Oathsworn Pit, The Reach, The Reach]</v>
      </c>
    </row>
    <row r="642" spans="1:61" x14ac:dyDescent="0.25">
      <c r="A642" s="5">
        <v>735</v>
      </c>
      <c r="B642" s="36" t="s">
        <v>3877</v>
      </c>
      <c r="C642" s="36" t="s">
        <v>3877</v>
      </c>
      <c r="D642" s="3">
        <f t="shared" si="54"/>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WayshrineInfo'!$K$3:$N$9971,4,FALSE),"")))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WayshrineInfo'!$K$3:$L$9971,2,FALSE),"")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WayshrineInfo'!$K$3:$L$9971,2,FALSE),"")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 t="shared" si="55"/>
        <v>[735] = {wayshrines={565,565,565,}, dlcId=DLC_SCIONS_OF_ITHELIA</v>
      </c>
      <c r="BF642" s="21" t="str">
        <f t="shared" si="56"/>
        <v>, zoneIds={1471,684,684}, veteran=false</v>
      </c>
      <c r="BG642" s="21" t="str">
        <f t="shared" si="57"/>
        <v>, setType=LIBSETS_SETTYPE_DUNGEON</v>
      </c>
      <c r="BH642" s="21" t="str">
        <f t="shared" si="58"/>
        <v>, dropMechanic={LIBSETS_DROP_MECHANIC_GROUP_DUNGEON_BOSS}</v>
      </c>
      <c r="BI642" s="21" t="str">
        <f t="shared" si="59"/>
        <v>}, --Blind Path Induction / Blind Path Induction   [Bedlam Veil, Wrothgar, Wrothgar]</v>
      </c>
    </row>
    <row r="643" spans="1:61" x14ac:dyDescent="0.25">
      <c r="A643" s="5">
        <v>736</v>
      </c>
      <c r="B643" s="36" t="s">
        <v>3878</v>
      </c>
      <c r="C643" s="36" t="s">
        <v>3878</v>
      </c>
      <c r="D643" s="3">
        <f t="shared" ref="D643:D678" si="60">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WayshrineInfo'!$K$3:$N$9971,4,FALSE),"")))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WayshrineInfo'!$K$3:$L$9971,2,FALSE),"")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WayshrineInfo'!$K$3:$L$9971,2,FALSE),"")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 t="shared" ref="BE643:BE678"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 t="shared" ref="BF643:BF678"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 t="shared" ref="BG643:BG678" si="63">IF(A643&lt;&gt;"",IF(F643&lt;&gt;"Not in the game (anymore)",IF(A643&lt;&gt;"",", setType="&amp;G643,"")&amp;IF(G643="LIBSETS_SETTYPE_CLASS",", classId="&amp;BC643,"")&amp;IF(J643="true",", multiTrialSet=true",""),"")
&amp; IF(AND(H643&lt;&gt;"",ISNUMBER(H643)),", undauntedChestId=" &amp; H643,""),"")</f>
        <v>, setType=LIBSETS_SETTYPE_DUNGEON</v>
      </c>
      <c r="BH643" s="21" t="str">
        <f t="shared" ref="BH643:BH678" si="64">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 t="shared" ref="BI643:BI678" si="65">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 t="shared" si="60"/>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WayshrineInfo'!$K$3:$N$9971,4,FALSE),"")))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WayshrineInfo'!$K$3:$L$9971,2,FALSE),"")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WayshrineInfo'!$K$3:$L$9971,2,FALSE),"")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 t="shared" si="61"/>
        <v>[737] = {wayshrines={565,565,565,}, dlcId=DLC_SCIONS_OF_ITHELIA</v>
      </c>
      <c r="BF644" s="21" t="str">
        <f t="shared" si="62"/>
        <v>, zoneIds={1471,684,684}, veteran=false</v>
      </c>
      <c r="BG644" s="21" t="str">
        <f t="shared" si="63"/>
        <v>, setType=LIBSETS_SETTYPE_DUNGEON</v>
      </c>
      <c r="BH644" s="21" t="str">
        <f t="shared" si="64"/>
        <v>, dropMechanic={LIBSETS_DROP_MECHANIC_GROUP_DUNGEON_BOSS}</v>
      </c>
      <c r="BI644" s="21" t="str">
        <f t="shared" si="65"/>
        <v>}, --Reflected Fury / Reflected Fury   [Bedlam Veil, Wrothgar, Wrothgar]</v>
      </c>
    </row>
    <row r="645" spans="1:61" x14ac:dyDescent="0.25">
      <c r="A645" s="5">
        <v>738</v>
      </c>
      <c r="B645" s="36" t="s">
        <v>3884</v>
      </c>
      <c r="C645" s="36" t="s">
        <v>3883</v>
      </c>
      <c r="D645" s="3">
        <f t="shared" si="60"/>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WayshrineInfo'!$K$3:$N$9971,4,FALSE),"")))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WayshrineInfo'!$K$3:$L$9971,2,FALSE),"")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WayshrineInfo'!$K$3:$L$9971,2,FALSE),"")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 t="shared" si="61"/>
        <v>[738] = {wayshrines={565,565,565,}, dlcId=DLC_SCIONS_OF_ITHELIA</v>
      </c>
      <c r="BF645" s="21" t="str">
        <f t="shared" si="62"/>
        <v>, zoneIds={1471,684,684}, veteran=false</v>
      </c>
      <c r="BG645" s="21" t="str">
        <f t="shared" si="63"/>
        <v>, setType=LIBSETS_SETTYPE_MONSTER</v>
      </c>
      <c r="BH645" s="21" t="str">
        <f t="shared" si="64"/>
        <v>, dropMechanic={LIBSETS_DROP_MECHANIC_MONSTER_NAME}, dropMechanicDropLocationNames={['en']={'The Blind','','','','','',},['de']={'Der Blinde','','','','','',},}</v>
      </c>
      <c r="BI645" s="21" t="str">
        <f t="shared" si="65"/>
        <v>}, --The Blind / Der Blinde   [Bedlam Veil, Wrothgar, Wrothgar]</v>
      </c>
    </row>
    <row r="646" spans="1:61" x14ac:dyDescent="0.25">
      <c r="A646" s="5">
        <v>754</v>
      </c>
      <c r="B646" s="36" t="s">
        <v>3888</v>
      </c>
      <c r="C646" s="36" t="s">
        <v>3888</v>
      </c>
      <c r="D646" s="3">
        <f t="shared" si="60"/>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WayshrineInfo'!$K$3:$N$9971,4,FALSE),"")))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WayshrineInfo'!$K$3:$L$9971,2,FALSE),"")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WayshrineInfo'!$K$3:$L$9971,2,FALSE),"")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 t="shared" si="61"/>
        <v>[754] = {wayshrines={-1,-1,-1,}, dlcId=DLC_SCIONS_OF_ITHELIA</v>
      </c>
      <c r="BF646" s="21" t="str">
        <f t="shared" si="62"/>
        <v>, zoneIds={181,181,181,181,181,181}, veteran=false</v>
      </c>
      <c r="BG646" s="21" t="str">
        <f t="shared" si="63"/>
        <v>, setType=LIBSETS_SETTYPE_CYRODIIL</v>
      </c>
      <c r="BH646"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5"/>
        <v>}, --Oakfather\'s Retribution / Oakfather\'s Retribution   [Cyrodiil, Cyrodiil, Cyrodiil, Cyrodiil, Cyrodiil, Cyrodiil]</v>
      </c>
    </row>
    <row r="647" spans="1:61" x14ac:dyDescent="0.25">
      <c r="A647" s="5">
        <v>755</v>
      </c>
      <c r="B647" s="36" t="s">
        <v>3889</v>
      </c>
      <c r="C647" s="36" t="s">
        <v>3889</v>
      </c>
      <c r="D647" s="3">
        <f t="shared" si="60"/>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WayshrineInfo'!$K$3:$N$9971,4,FALSE),"")))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WayshrineInfo'!$K$3:$L$9971,2,FALSE),"")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WayshrineInfo'!$K$3:$L$9971,2,FALSE),"")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 t="shared" si="61"/>
        <v>[755] = {wayshrines={-1,-1,-1,}, dlcId=DLC_SCIONS_OF_ITHELIA</v>
      </c>
      <c r="BF647" s="21" t="str">
        <f t="shared" si="62"/>
        <v>, zoneIds={181,181,181,181,181,181}, veteran=false</v>
      </c>
      <c r="BG647" s="21" t="str">
        <f t="shared" si="63"/>
        <v>, setType=LIBSETS_SETTYPE_CYRODIIL</v>
      </c>
      <c r="BH647"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5"/>
        <v>}, --Blunted Blades / Blunted Blades   [Cyrodiil, Cyrodiil, Cyrodiil, Cyrodiil, Cyrodiil, Cyrodiil]</v>
      </c>
    </row>
    <row r="648" spans="1:61" x14ac:dyDescent="0.25">
      <c r="A648" s="5">
        <v>756</v>
      </c>
      <c r="B648" s="36" t="s">
        <v>3890</v>
      </c>
      <c r="C648" s="36" t="s">
        <v>3890</v>
      </c>
      <c r="D648" s="3">
        <f t="shared" si="60"/>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WayshrineInfo'!$K$3:$N$9971,4,FALSE),"")))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WayshrineInfo'!$K$3:$L$9971,2,FALSE),"")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WayshrineInfo'!$K$3:$L$9971,2,FALSE),"")
),"")</f>
        <v>181</v>
      </c>
      <c r="AG648" t="str">
        <f>IF(AND(AF648&lt;&gt;"",ISNUMBER(AF648),NOT(ISNA(AF648))),VLOOKUP(AF648,'ESO zone constants'!$A$5:$D$10001,4,FALSE),"")</f>
        <v>Cyrodiil</v>
      </c>
      <c r="AH648" s="33" t="s">
        <v>2756</v>
      </c>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 t="shared" si="61"/>
        <v>[756] = {wayshrines={-1,-1,-1,}, dlcId=DLC_SCIONS_OF_ITHELIA</v>
      </c>
      <c r="BF648" s="21" t="str">
        <f t="shared" si="62"/>
        <v>, zoneIds={181,181,181,181,181,181}, veteran=false</v>
      </c>
      <c r="BG648" s="21" t="str">
        <f t="shared" si="63"/>
        <v>, setType=LIBSETS_SETTYPE_CYRODIIL</v>
      </c>
      <c r="BH648"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1" t="str">
        <f t="shared" si="65"/>
        <v>}, --Baan Dar\'s Blessing / Baan Dar\'s Blessing   [Cyrodiil, Cyrodiil, Cyrodiil, Cyrodiil, Cyrodiil, Cyrodiil]</v>
      </c>
    </row>
    <row r="649" spans="1:61" x14ac:dyDescent="0.25">
      <c r="A649" s="5">
        <v>757</v>
      </c>
      <c r="B649" s="36" t="s">
        <v>3920</v>
      </c>
      <c r="C649" s="36" t="s">
        <v>3920</v>
      </c>
      <c r="D649" s="3">
        <f t="shared" si="60"/>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WayshrineInfo'!$K$3:$N$9971,4,FALSE),"")))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WayshrineInfo'!$K$3:$L$9971,2,FALSE),"")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WayshrineInfo'!$K$3:$L$9971,2,FALSE),"")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3938</v>
      </c>
      <c r="AM649" s="42" t="s">
        <v>1554</v>
      </c>
      <c r="AN649" s="39"/>
      <c r="AO649" s="39"/>
      <c r="AP649" s="3">
        <f>IF(AND(G649&lt;&gt;"LIBSETS_SETTYPE_BATTLEGROUND",G649&lt;&gt;"LIBSETS_SETTYPE_SPECIAL"),IF(AQ649&lt;&gt;"",VLOOKUP(AQ649,'ESO zone constants'!$D$5:$H$4955,5,FALSE),""),"")</f>
        <v>1443</v>
      </c>
      <c r="AQ649" t="s">
        <v>3937</v>
      </c>
      <c r="AR649" s="42" t="s">
        <v>3213</v>
      </c>
      <c r="AS649" s="39"/>
      <c r="AT649" s="39"/>
      <c r="AU649" s="3">
        <f>IF(AND(G649&lt;&gt;"LIBSETS_SETTYPE_BATTLEGROUND",G649&lt;&gt;"LIBSETS_SETTYPE_SPECIAL"),IF(AV649&lt;&gt;"",VLOOKUP(AV649,'ESO zone constants'!$D$5:$H$4955,5,FALSE),""),"")</f>
        <v>1466</v>
      </c>
      <c r="AV649" t="s">
        <v>3948</v>
      </c>
      <c r="AW649" s="42" t="s">
        <v>1553</v>
      </c>
      <c r="AX649" s="39"/>
      <c r="AY649" s="39"/>
      <c r="AZ649" s="75" t="s">
        <v>2645</v>
      </c>
      <c r="BA649" s="75"/>
      <c r="BB649" s="75"/>
      <c r="BC649"/>
      <c r="BD649"/>
      <c r="BE649" s="21" t="str">
        <f t="shared" si="61"/>
        <v>[757] = {wayshrines={558,575,579,}, dlcId=DLC_GOLD_ROAD</v>
      </c>
      <c r="BF649" s="21" t="str">
        <f t="shared" si="62"/>
        <v>, zoneIds={1443,1443,1443,1467,1443,1466}, veteran=false</v>
      </c>
      <c r="BG649" s="21" t="str">
        <f t="shared" si="63"/>
        <v>, setType=LIBSETS_SETTYPE_OVERLAND</v>
      </c>
      <c r="BH649"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65"/>
        <v>}, --Symmetry of the Weald / Symmetry of the Weald   [West Weald, West Weald, West Weald, Silorn, West Weald, Leftwheal Trading Post]</v>
      </c>
    </row>
    <row r="650" spans="1:61" x14ac:dyDescent="0.25">
      <c r="A650" s="5">
        <v>758</v>
      </c>
      <c r="B650" s="36" t="s">
        <v>3921</v>
      </c>
      <c r="C650" s="36" t="s">
        <v>3921</v>
      </c>
      <c r="D650" s="3">
        <f t="shared" si="60"/>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WayshrineInfo'!$K$3:$N$9971,4,FALSE),"")))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WayshrineInfo'!$K$3:$L$9971,2,FALSE),"")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WayshrineInfo'!$K$3:$L$9971,2,FALSE),"")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3938</v>
      </c>
      <c r="AM650" s="42" t="s">
        <v>1554</v>
      </c>
      <c r="AN650" s="39"/>
      <c r="AO650" s="39"/>
      <c r="AP650" s="3">
        <f>IF(AND(G650&lt;&gt;"LIBSETS_SETTYPE_BATTLEGROUND",G650&lt;&gt;"LIBSETS_SETTYPE_SPECIAL"),IF(AQ650&lt;&gt;"",VLOOKUP(AQ650,'ESO zone constants'!$D$5:$H$4955,5,FALSE),""),"")</f>
        <v>1443</v>
      </c>
      <c r="AQ650" t="s">
        <v>3937</v>
      </c>
      <c r="AR650" s="42" t="s">
        <v>3213</v>
      </c>
      <c r="AS650" s="39"/>
      <c r="AT650" s="39"/>
      <c r="AU650" s="3">
        <f>IF(AND(G650&lt;&gt;"LIBSETS_SETTYPE_BATTLEGROUND",G650&lt;&gt;"LIBSETS_SETTYPE_SPECIAL"),IF(AV650&lt;&gt;"",VLOOKUP(AV650,'ESO zone constants'!$D$5:$H$4955,5,FALSE),""),"")</f>
        <v>1466</v>
      </c>
      <c r="AV650" t="s">
        <v>3948</v>
      </c>
      <c r="AW650" s="42" t="s">
        <v>1553</v>
      </c>
      <c r="AX650" s="39"/>
      <c r="AY650" s="39"/>
      <c r="AZ650" s="75" t="s">
        <v>2645</v>
      </c>
      <c r="BA650" s="75"/>
      <c r="BB650" s="75"/>
      <c r="BC650"/>
      <c r="BD650"/>
      <c r="BE650" s="21" t="str">
        <f t="shared" si="61"/>
        <v>[758] = {wayshrines={558,575,579,}, dlcId=DLC_GOLD_ROAD</v>
      </c>
      <c r="BF650" s="21" t="str">
        <f t="shared" si="62"/>
        <v>, zoneIds={1443,1443,1443,1467,1443,1466}, veteran=false</v>
      </c>
      <c r="BG650" s="21" t="str">
        <f t="shared" si="63"/>
        <v>, setType=LIBSETS_SETTYPE_OVERLAND</v>
      </c>
      <c r="BH65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65"/>
        <v>}, --Macabre Vintage / Macabre Vintage   [West Weald, West Weald, West Weald, Silorn, West Weald, Leftwheal Trading Post]</v>
      </c>
    </row>
    <row r="651" spans="1:61" x14ac:dyDescent="0.25">
      <c r="A651" s="5">
        <v>759</v>
      </c>
      <c r="B651" s="36" t="s">
        <v>3922</v>
      </c>
      <c r="C651" s="36" t="s">
        <v>3922</v>
      </c>
      <c r="D651" s="3">
        <f t="shared" si="60"/>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WayshrineInfo'!$K$3:$N$9971,4,FALSE),"")))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WayshrineInfo'!$K$3:$L$9971,2,FALSE),"")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WayshrineInfo'!$K$3:$L$9971,2,FALSE),"")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3938</v>
      </c>
      <c r="AM651" s="42" t="s">
        <v>1554</v>
      </c>
      <c r="AN651" s="39"/>
      <c r="AO651" s="39"/>
      <c r="AP651" s="3">
        <f>IF(AND(G651&lt;&gt;"LIBSETS_SETTYPE_BATTLEGROUND",G651&lt;&gt;"LIBSETS_SETTYPE_SPECIAL"),IF(AQ651&lt;&gt;"",VLOOKUP(AQ651,'ESO zone constants'!$D$5:$H$4955,5,FALSE),""),"")</f>
        <v>1443</v>
      </c>
      <c r="AQ651" t="s">
        <v>3937</v>
      </c>
      <c r="AR651" s="42" t="s">
        <v>3213</v>
      </c>
      <c r="AS651" s="39"/>
      <c r="AT651" s="39"/>
      <c r="AU651" s="3">
        <f>IF(AND(G651&lt;&gt;"LIBSETS_SETTYPE_BATTLEGROUND",G651&lt;&gt;"LIBSETS_SETTYPE_SPECIAL"),IF(AV651&lt;&gt;"",VLOOKUP(AV651,'ESO zone constants'!$D$5:$H$4955,5,FALSE),""),"")</f>
        <v>1466</v>
      </c>
      <c r="AV651" t="s">
        <v>3948</v>
      </c>
      <c r="AW651" s="42" t="s">
        <v>1553</v>
      </c>
      <c r="AX651" s="39"/>
      <c r="AY651" s="39"/>
      <c r="AZ651" s="75" t="s">
        <v>2645</v>
      </c>
      <c r="BA651" s="75"/>
      <c r="BB651" s="75"/>
      <c r="BC651"/>
      <c r="BD651"/>
      <c r="BE651" s="21" t="str">
        <f t="shared" si="61"/>
        <v>[759] = {wayshrines={558,575,579,}, dlcId=DLC_GOLD_ROAD</v>
      </c>
      <c r="BF651" s="21" t="str">
        <f t="shared" si="62"/>
        <v>, zoneIds={1443,1443,1443,1467,1443,1466}, veteran=false</v>
      </c>
      <c r="BG651" s="21" t="str">
        <f t="shared" si="63"/>
        <v>, setType=LIBSETS_SETTYPE_OVERLAND</v>
      </c>
      <c r="BH65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65"/>
        <v>}, --Ayleid Rufuge / Ayleid Rufuge   [West Weald, West Weald, West Weald, Silorn, West Weald, Leftwheal Trading Post]</v>
      </c>
    </row>
    <row r="652" spans="1:61" x14ac:dyDescent="0.25">
      <c r="A652" s="5">
        <v>760</v>
      </c>
      <c r="B652" s="36" t="s">
        <v>3930</v>
      </c>
      <c r="C652" s="36" t="s">
        <v>3930</v>
      </c>
      <c r="D652" s="3">
        <f t="shared" si="60"/>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WayshrineInfo'!$K$3:$N$9971,4,FALSE),"")))</f>
        <v>West Weald</v>
      </c>
      <c r="S652" s="61" t="s">
        <v>3918</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4001</v>
      </c>
      <c r="X652" s="3" t="s">
        <v>4001</v>
      </c>
      <c r="Y652" s="61"/>
      <c r="Z652" s="3">
        <f>IF(AND(G652&lt;&gt;"LIBSETS_SETTYPE_BATTLEGROUND",G652&lt;&gt;"LIBSETS_SETTYPE_SPECIAL"),
IF(AND(Y652&lt;&gt;"",ISNUMBER(Y652),NOT(ISNA(Y652))),Y652,
   IF(AND(L652&lt;&gt;"",ISNUMBER(L652),L652&gt;0,NOT(ISNA(L652))),VLOOKUP(L652,'ESO dumped WayshrineInfo'!$K$3:$L$9971,2,FALSE),"")
),"")</f>
        <v>104</v>
      </c>
      <c r="AA652" t="str">
        <f>IF(AND(Z652&lt;&gt;"",ISNUMBER(Z652),NOT(ISNA(Z652))),VLOOKUP(Z652,'ESO zone constants'!$A$5:$D$10001,4,FALSE),"")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WayshrineInfo'!$K$3:$L$9971,2,FALSE),"")
),"")</f>
        <v>705</v>
      </c>
      <c r="AG652" t="str">
        <f>IF(AND(AF652&lt;&gt;"",ISNUMBER(AF652),NOT(ISNA(AF652))),VLOOKUP(AF652,'ESO zone constants'!$A$5:$D$10001,4,FALSE),"")</f>
        <v>Rkindaleft</v>
      </c>
      <c r="AH652" s="33" t="s">
        <v>1553</v>
      </c>
      <c r="AI652" s="39" t="s">
        <v>3590</v>
      </c>
      <c r="AJ652" s="39" t="s">
        <v>3591</v>
      </c>
      <c r="AK652" s="3">
        <f>IF(AND(G652&lt;&gt;"LIBSETS_SETTYPE_BATTLEGROUND",G652&lt;&gt;"LIBSETS_SETTYPE_SPECIAL"),IF(AL652&lt;&gt;"",VLOOKUP(AL652,'ESO zone constants'!$D$5:$H$4955,5,FALSE),""),"")</f>
        <v>22</v>
      </c>
      <c r="AL652" t="s">
        <v>68</v>
      </c>
      <c r="AM652" s="42" t="s">
        <v>3273</v>
      </c>
      <c r="AN652" s="39" t="s">
        <v>4002</v>
      </c>
      <c r="AO652" s="39" t="s">
        <v>4003</v>
      </c>
      <c r="AP652" s="3">
        <f>IF(AND(G652&lt;&gt;"LIBSETS_SETTYPE_BATTLEGROUND",G652&lt;&gt;"LIBSETS_SETTYPE_SPECIAL"),IF(AQ652&lt;&gt;"",VLOOKUP(AQ652,'ESO zone constants'!$D$5:$H$4955,5,FALSE),""),"")</f>
        <v>975</v>
      </c>
      <c r="AQ652" t="s">
        <v>637</v>
      </c>
      <c r="AR652" s="42" t="s">
        <v>3254</v>
      </c>
      <c r="AS652" s="39" t="s">
        <v>4037</v>
      </c>
      <c r="AT652" s="39" t="s">
        <v>4037</v>
      </c>
      <c r="AU652" s="3" t="str">
        <f>IF(AND(G652&lt;&gt;"LIBSETS_SETTYPE_BATTLEGROUND",G652&lt;&gt;"LIBSETS_SETTYPE_SPECIAL"),IF(AV652&lt;&gt;"",VLOOKUP(AV652,'ESO zone constants'!$D$5:$H$4955,5,FALSE),""),"")</f>
        <v/>
      </c>
      <c r="AX652" s="39"/>
      <c r="AY652" s="39"/>
      <c r="AZ652" s="75" t="s">
        <v>2645</v>
      </c>
      <c r="BA652" s="75"/>
      <c r="BB652" s="75"/>
      <c r="BC652"/>
      <c r="BD652"/>
      <c r="BE652" s="21" t="str">
        <f t="shared" si="61"/>
        <v>[760] = {wayshrines={580,43,237,}, dlcId=DLC_GOLD_ROAD</v>
      </c>
      <c r="BF652" s="21" t="str">
        <f t="shared" si="62"/>
        <v>, zoneIds={1443,104,705,22,975}, veteran=false</v>
      </c>
      <c r="BG652" s="21" t="str">
        <f t="shared" si="63"/>
        <v>, setType=LIBSETS_SETTYPE_MYTHIC</v>
      </c>
      <c r="BH652" s="21"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 t="shared" si="65"/>
        <v>}, --Rourken Steamguards / Rourken Steamguards   [West Weald, Alik'r Desert, Rkindaleft, Volenfell, Halls of Fabrication]</v>
      </c>
    </row>
    <row r="653" spans="1:61" x14ac:dyDescent="0.25">
      <c r="A653" s="5">
        <v>761</v>
      </c>
      <c r="B653" s="36" t="s">
        <v>4019</v>
      </c>
      <c r="C653" s="36" t="s">
        <v>4019</v>
      </c>
      <c r="D653" s="3">
        <f t="shared" si="60"/>
        <v>761</v>
      </c>
      <c r="G653" s="3" t="s">
        <v>1671</v>
      </c>
      <c r="I653" t="s">
        <v>91</v>
      </c>
      <c r="J653" t="s">
        <v>91</v>
      </c>
      <c r="K653" s="36">
        <v>575</v>
      </c>
      <c r="L653" s="36">
        <v>577</v>
      </c>
      <c r="M653" s="36">
        <v>391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WayshrineInfo'!$K$3:$N$9971,4,FALSE),"")))</f>
        <v>West Weald</v>
      </c>
      <c r="S653" s="61" t="s">
        <v>3918</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WayshrineInfo'!$K$3:$L$9971,2,FALSE),"")
),"")</f>
        <v>1443</v>
      </c>
      <c r="AA653" t="str">
        <f>IF(AND(Z653&lt;&gt;"",ISNUMBER(Z653),NOT(ISNA(Z653))),VLOOKUP(Z653,'ESO zone constants'!$A$5:$D$10001,4,FALSE),"")</f>
        <v>West Weald</v>
      </c>
      <c r="AB653" s="33" t="s">
        <v>1551</v>
      </c>
      <c r="AC653" s="39" t="s">
        <v>3963</v>
      </c>
      <c r="AD653" s="39" t="s">
        <v>4004</v>
      </c>
      <c r="AE653" s="61">
        <v>1122</v>
      </c>
      <c r="AF653" s="3">
        <f>IF(AND(G653&lt;&gt;"LIBSETS_SETTYPE_BATTLEGROUND",G653&lt;&gt;"LIBSETS_SETTYPE_SPECIAL"),
IF(AND(AE653&lt;&gt;"",ISNUMBER(AE653),NOT(ISNA(AE653))),AE653,
   IF(AND(M653&lt;&gt;"",ISNUMBER(M653),M653&gt;0,NOT(ISNA(M653))),VLOOKUP(M653,'ESO dumped WayshrineInfo'!$K$3:$L$9971,2,FALSE),"")
),"")</f>
        <v>1122</v>
      </c>
      <c r="AG653" t="str">
        <f>IF(AND(AF653&lt;&gt;"",ISNUMBER(AF653),NOT(ISNA(AF653))),VLOOKUP(AF653,'ESO zone constants'!$A$5:$D$10001,4,FALSE),"")</f>
        <v>Moongrave Fane</v>
      </c>
      <c r="AH653" s="33" t="s">
        <v>3273</v>
      </c>
      <c r="AI653" s="39" t="s">
        <v>3590</v>
      </c>
      <c r="AJ653" s="39" t="s">
        <v>3591</v>
      </c>
      <c r="AK653" s="3">
        <f>IF(AND(G653&lt;&gt;"LIBSETS_SETTYPE_BATTLEGROUND",G653&lt;&gt;"LIBSETS_SETTYPE_SPECIAL"),IF(AL653&lt;&gt;"",VLOOKUP(AL653,'ESO zone constants'!$D$5:$H$4955,5,FALSE),""),"")</f>
        <v>1443</v>
      </c>
      <c r="AL653" t="s">
        <v>3937</v>
      </c>
      <c r="AM653" s="42" t="s">
        <v>1552</v>
      </c>
      <c r="AN653" s="39"/>
      <c r="AO653" s="39"/>
      <c r="AP653" s="3">
        <f>IF(AND(G653&lt;&gt;"LIBSETS_SETTYPE_BATTLEGROUND",G653&lt;&gt;"LIBSETS_SETTYPE_SPECIAL"),IF(AQ653&lt;&gt;"",VLOOKUP(AQ653,'ESO zone constants'!$D$5:$H$4955,5,FALSE),""),"")</f>
        <v>1011</v>
      </c>
      <c r="AQ653" t="s">
        <v>79</v>
      </c>
      <c r="AR653" s="42" t="s">
        <v>3225</v>
      </c>
      <c r="AS653" s="39" t="s">
        <v>4038</v>
      </c>
      <c r="AT653" s="39" t="s">
        <v>4039</v>
      </c>
      <c r="AU653" s="3">
        <f>IF(AND(G653&lt;&gt;"LIBSETS_SETTYPE_BATTLEGROUND",G653&lt;&gt;"LIBSETS_SETTYPE_SPECIAL"),IF(AV653&lt;&gt;"",VLOOKUP(AV653,'ESO zone constants'!$D$5:$H$4955,5,FALSE),""),"")</f>
        <v>1090</v>
      </c>
      <c r="AV653" s="39" t="s">
        <v>1386</v>
      </c>
      <c r="AW653" s="42" t="s">
        <v>1553</v>
      </c>
      <c r="AX653" s="39" t="s">
        <v>4040</v>
      </c>
      <c r="AY653" s="39" t="s">
        <v>4041</v>
      </c>
      <c r="AZ653" s="75" t="s">
        <v>2645</v>
      </c>
      <c r="BA653" s="75"/>
      <c r="BB653" s="75"/>
      <c r="BC653"/>
      <c r="BD653"/>
      <c r="BE653" s="21" t="str">
        <f t="shared" si="61"/>
        <v>[761] = {wayshrines={575,577,391,}, dlcId=DLC_GOLD_ROAD</v>
      </c>
      <c r="BF653" s="21" t="str">
        <f t="shared" si="62"/>
        <v>, zoneIds={1443,1443,1122,1443,1011,1090}, veteran=false</v>
      </c>
      <c r="BG653" s="21" t="str">
        <f t="shared" si="63"/>
        <v>, setType=LIBSETS_SETTYPE_MYTHIC</v>
      </c>
      <c r="BH653" s="21"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65"/>
        <v>}, --The Shadow Queen\'s Cowl / The Shadow Queen\'s Cowl   [West Weald, West Weald, Moongrave Fane, West Weald, Summerset, Orcrest]</v>
      </c>
    </row>
    <row r="654" spans="1:61" x14ac:dyDescent="0.25">
      <c r="A654" s="5">
        <v>762</v>
      </c>
      <c r="B654" s="36" t="s">
        <v>3931</v>
      </c>
      <c r="C654" s="36" t="s">
        <v>3931</v>
      </c>
      <c r="D654" s="3">
        <f t="shared" si="60"/>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WayshrineInfo'!$K$3:$N$9971,4,FALSE),"")))</f>
        <v>Reaper's March</v>
      </c>
      <c r="S654" s="61" t="s">
        <v>3918</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4005</v>
      </c>
      <c r="X654" s="3" t="s">
        <v>4006</v>
      </c>
      <c r="Y654" s="61"/>
      <c r="Z654" s="3">
        <f>IF(AND(G654&lt;&gt;"LIBSETS_SETTYPE_BATTLEGROUND",G654&lt;&gt;"LIBSETS_SETTYPE_SPECIAL"),
IF(AND(Y654&lt;&gt;"",ISNUMBER(Y654),NOT(ISNA(Y654))),Y654,
   IF(AND(L654&lt;&gt;"",ISNUMBER(L654),L654&gt;0,NOT(ISNA(L654))),VLOOKUP(L654,'ESO dumped WayshrineInfo'!$K$3:$L$9971,2,FALSE),"")
),"")</f>
        <v>41</v>
      </c>
      <c r="AA654" t="str">
        <f>IF(AND(Z654&lt;&gt;"",ISNUMBER(Z654),NOT(ISNA(Z654))),VLOOKUP(Z654,'ESO zone constants'!$A$5:$D$10001,4,FALSE),"")</f>
        <v>Stonefalls</v>
      </c>
      <c r="AB654" s="33" t="s">
        <v>1551</v>
      </c>
      <c r="AC654" s="39" t="s">
        <v>4007</v>
      </c>
      <c r="AD654" s="39" t="s">
        <v>4008</v>
      </c>
      <c r="AE654" s="61"/>
      <c r="AF654" s="3">
        <f>IF(AND(G654&lt;&gt;"LIBSETS_SETTYPE_BATTLEGROUND",G654&lt;&gt;"LIBSETS_SETTYPE_SPECIAL"),
IF(AND(AE654&lt;&gt;"",ISNUMBER(AE654),NOT(ISNA(AE654))),AE654,
   IF(AND(M654&lt;&gt;"",ISNUMBER(M654),M654&gt;0,NOT(ISNA(M654))),VLOOKUP(M654,'ESO dumped WayshrineInfo'!$K$3:$L$9971,2,FALSE),"")
),"")</f>
        <v>381</v>
      </c>
      <c r="AG654" s="36" t="str">
        <f>IF(AND(AF654&lt;&gt;"",ISNUMBER(AF654),NOT(ISNA(AF654))),VLOOKUP(AF654,'ESO zone constants'!$A$5:$D$10001,4,FALSE),"")</f>
        <v>Auridon</v>
      </c>
      <c r="AH654" s="33" t="s">
        <v>3225</v>
      </c>
      <c r="AI654" s="39" t="s">
        <v>4009</v>
      </c>
      <c r="AJ654" s="39" t="s">
        <v>4010</v>
      </c>
      <c r="AK654" s="3">
        <f>IF(AND(G654&lt;&gt;"LIBSETS_SETTYPE_BATTLEGROUND",G654&lt;&gt;"LIBSETS_SETTYPE_SPECIAL"),IF(AL654&lt;&gt;"",VLOOKUP(AL654,'ESO zone constants'!$D$5:$H$4955,5,FALSE),""),"")</f>
        <v>677</v>
      </c>
      <c r="AL654" t="s">
        <v>448</v>
      </c>
      <c r="AM654" s="42" t="s">
        <v>1547</v>
      </c>
      <c r="AN654" s="39" t="s">
        <v>4042</v>
      </c>
      <c r="AO654" s="39" t="s">
        <v>4043</v>
      </c>
      <c r="AP654" s="3">
        <f>IF(AND(G654&lt;&gt;"LIBSETS_SETTYPE_BATTLEGROUND",G654&lt;&gt;"LIBSETS_SETTYPE_SPECIAL"),IF(AQ654&lt;&gt;"",VLOOKUP(AQ654,'ESO zone constants'!$D$5:$H$4955,5,FALSE),""),"")</f>
        <v>104</v>
      </c>
      <c r="AQ654" t="s">
        <v>112</v>
      </c>
      <c r="AR654" s="42" t="s">
        <v>1552</v>
      </c>
      <c r="AS654" s="39" t="s">
        <v>4044</v>
      </c>
      <c r="AT654" s="39" t="s">
        <v>4045</v>
      </c>
      <c r="AU654" s="3" t="str">
        <f>IF(AND(G654&lt;&gt;"LIBSETS_SETTYPE_BATTLEGROUND",G654&lt;&gt;"LIBSETS_SETTYPE_SPECIAL"),IF(AV654&lt;&gt;"",VLOOKUP(AV654,'ESO zone constants'!$D$5:$H$4955,5,FALSE),""),"")</f>
        <v/>
      </c>
      <c r="AX654" s="39"/>
      <c r="AY654" s="39"/>
      <c r="AZ654" s="75" t="s">
        <v>2645</v>
      </c>
      <c r="BA654" s="75"/>
      <c r="BB654" s="75"/>
      <c r="BC654"/>
      <c r="BD654"/>
      <c r="BE654" s="21" t="str">
        <f t="shared" si="61"/>
        <v>[762] = {wayshrines={156,75,176,}, dlcId=DLC_GOLD_ROAD</v>
      </c>
      <c r="BF654" s="21" t="str">
        <f t="shared" si="62"/>
        <v>, zoneIds={382,41,381,677,104}, veteran=false</v>
      </c>
      <c r="BG654" s="21" t="str">
        <f t="shared" si="63"/>
        <v>, setType=LIBSETS_SETTYPE_MYTHIC</v>
      </c>
      <c r="BH654" s="21"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65"/>
        <v>}, --The Saint and the Seducer / The Saint and the Seducer   [Reaper's March, Stonefalls, Auridon, Maelstrom Arena, Alik'r Desert]</v>
      </c>
    </row>
    <row r="655" spans="1:61" x14ac:dyDescent="0.25">
      <c r="A655" s="5">
        <v>763</v>
      </c>
      <c r="B655" s="36" t="s">
        <v>3928</v>
      </c>
      <c r="C655" s="36" t="s">
        <v>3928</v>
      </c>
      <c r="D655" s="3">
        <f t="shared" si="60"/>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WayshrineInfo'!$K$3:$N$9971,4,FALSE),"")))</f>
        <v>West Weald</v>
      </c>
      <c r="S655" s="61" t="s">
        <v>3918</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WayshrineInfo'!$K$3:$L$9971,2,FALSE),"")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WayshrineInfo'!$K$3:$L$9971,2,FALSE),"")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 t="shared" si="61"/>
        <v>[763] = {wayshrines={560,560,560,}, traitsNeeded=3, dlcId=DLC_GOLD_ROAD</v>
      </c>
      <c r="BF655" s="21" t="str">
        <f t="shared" si="62"/>
        <v>, zoneIds={1443,1443,1443}, veteran=false</v>
      </c>
      <c r="BG655" s="21" t="str">
        <f t="shared" si="63"/>
        <v>, setType=LIBSETS_SETTYPE_CRAFTED</v>
      </c>
      <c r="BH655" s="21" t="str">
        <f t="shared" si="64"/>
        <v>, dropMechanic={LIBSETS_DROP_MECHANIC_CRAFTED,LIBSETS_DROP_MECHANIC_CRAFTED,LIBSETS_DROP_MECHANIC_CRAFTED}</v>
      </c>
      <c r="BI655" s="21" t="str">
        <f t="shared" si="65"/>
        <v>}, --Tharriker\'s Strike / Tharriker\'s Strike   [West Weald, West Weald, West Weald]</v>
      </c>
    </row>
    <row r="656" spans="1:61" x14ac:dyDescent="0.25">
      <c r="A656" s="5">
        <v>764</v>
      </c>
      <c r="B656" s="36" t="s">
        <v>3923</v>
      </c>
      <c r="C656" s="36" t="s">
        <v>3923</v>
      </c>
      <c r="D656" s="3">
        <f t="shared" si="60"/>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WayshrineInfo'!$K$3:$N$9971,4,FALSE),"")))</f>
        <v>West Weald</v>
      </c>
      <c r="S656" s="61" t="s">
        <v>3918</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WayshrineInfo'!$K$3:$L$9971,2,FALSE),"")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WayshrineInfo'!$K$3:$L$9971,2,FALSE),"")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 t="shared" si="61"/>
        <v>[764] = {wayshrines={579,579,579,}, traitsNeeded=5, dlcId=DLC_GOLD_ROAD</v>
      </c>
      <c r="BF656" s="21" t="str">
        <f t="shared" si="62"/>
        <v>, zoneIds={1443,1443,1443}, veteran=false</v>
      </c>
      <c r="BG656" s="21" t="str">
        <f t="shared" si="63"/>
        <v>, setType=LIBSETS_SETTYPE_CRAFTED</v>
      </c>
      <c r="BH656" s="21" t="str">
        <f t="shared" si="64"/>
        <v>, dropMechanic={LIBSETS_DROP_MECHANIC_CRAFTED,LIBSETS_DROP_MECHANIC_CRAFTED,LIBSETS_DROP_MECHANIC_CRAFTED}</v>
      </c>
      <c r="BI656" s="21" t="str">
        <f t="shared" si="65"/>
        <v>}, --Highland Sentinel / Highland Sentinel   [West Weald, West Weald, West Weald]</v>
      </c>
    </row>
    <row r="657" spans="1:61" x14ac:dyDescent="0.25">
      <c r="A657" s="5">
        <v>765</v>
      </c>
      <c r="B657" s="36" t="s">
        <v>3924</v>
      </c>
      <c r="C657" s="36" t="s">
        <v>3924</v>
      </c>
      <c r="D657" s="3">
        <f t="shared" si="60"/>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WayshrineInfo'!$K$3:$N$9971,4,FALSE),"")))</f>
        <v>West Weald</v>
      </c>
      <c r="S657" s="61" t="s">
        <v>3918</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WayshrineInfo'!$K$3:$L$9971,2,FALSE),"")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WayshrineInfo'!$K$3:$L$9971,2,FALSE),"")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 t="shared" si="61"/>
        <v>[765] = {wayshrines={580,580,580,}, traitsNeeded=7, dlcId=DLC_GOLD_ROAD</v>
      </c>
      <c r="BF657" s="21" t="str">
        <f t="shared" si="62"/>
        <v>, zoneIds={1443,1443,1443}, veteran=false</v>
      </c>
      <c r="BG657" s="21" t="str">
        <f t="shared" si="63"/>
        <v>, setType=LIBSETS_SETTYPE_CRAFTED</v>
      </c>
      <c r="BH657" s="21" t="str">
        <f t="shared" si="64"/>
        <v>, dropMechanic={LIBSETS_DROP_MECHANIC_CRAFTED,LIBSETS_DROP_MECHANIC_CRAFTED,LIBSETS_DROP_MECHANIC_CRAFTED}</v>
      </c>
      <c r="BI657" s="21" t="str">
        <f t="shared" si="65"/>
        <v>}, --Threads of War / Threads of War   [West Weald, West Weald, West Weald]</v>
      </c>
    </row>
    <row r="658" spans="1:61" x14ac:dyDescent="0.25">
      <c r="A658" s="5">
        <v>766</v>
      </c>
      <c r="B658" s="36" t="s">
        <v>3927</v>
      </c>
      <c r="C658" s="36" t="s">
        <v>3927</v>
      </c>
      <c r="D658" s="3">
        <f t="shared" si="60"/>
        <v>766</v>
      </c>
      <c r="G658" s="3" t="s">
        <v>1474</v>
      </c>
      <c r="I658" t="s">
        <v>91</v>
      </c>
      <c r="J658" t="s">
        <v>91</v>
      </c>
      <c r="K658" s="36">
        <v>568</v>
      </c>
      <c r="L658" s="36">
        <v>568</v>
      </c>
      <c r="M658" s="36">
        <v>568</v>
      </c>
      <c r="O658" s="61" t="s">
        <v>3943</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WayshrineInfo'!$K$3:$N$9971,4,FALSE),"")))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WayshrineInfo'!$K$3:$L$9971,2,FALSE),"")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WayshrineInfo'!$K$3:$L$9971,2,FALSE),"")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 t="shared" si="61"/>
        <v>[766] = {wayshrines={568,568,568,}, dlcId=DLC_GOLD_ROAD</v>
      </c>
      <c r="BF658" s="21" t="str">
        <f t="shared" si="62"/>
        <v>, zoneIds={1478,1478,1478}, veteran=false</v>
      </c>
      <c r="BG658" s="21" t="str">
        <f t="shared" si="63"/>
        <v>, setType=LIBSETS_SETTYPE_TRIAL</v>
      </c>
      <c r="BH658" s="21" t="str">
        <f t="shared" si="64"/>
        <v>, dropMechanic={LIBSETS_DROP_MECHANIC_TRIAL_BOSS,LIBSETS_DROP_MECHANIC_TRIAL_BOSS,LIBSETS_DROP_MECHANIC_TRIAL_BOSS}, perfectedSetId=773</v>
      </c>
      <c r="BI658" s="21" t="str">
        <f t="shared" si="65"/>
        <v>}, --Mora Scribe\'s Thesis / Mora Scribe\'s Thesis   [Lucent Citadel, Lucent Citadel, Lucent Citadel]</v>
      </c>
    </row>
    <row r="659" spans="1:61" x14ac:dyDescent="0.25">
      <c r="A659" s="5">
        <v>767</v>
      </c>
      <c r="B659" s="36" t="s">
        <v>3925</v>
      </c>
      <c r="C659" s="36" t="s">
        <v>3925</v>
      </c>
      <c r="D659" s="3">
        <f t="shared" si="60"/>
        <v>767</v>
      </c>
      <c r="G659" s="3" t="s">
        <v>1474</v>
      </c>
      <c r="I659" t="s">
        <v>91</v>
      </c>
      <c r="J659" t="s">
        <v>91</v>
      </c>
      <c r="K659" s="36">
        <v>568</v>
      </c>
      <c r="L659" s="36">
        <v>568</v>
      </c>
      <c r="M659" s="36">
        <v>568</v>
      </c>
      <c r="O659" s="61" t="s">
        <v>3943</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WayshrineInfo'!$K$3:$N$9971,4,FALSE),"")))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WayshrineInfo'!$K$3:$L$9971,2,FALSE),"")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WayshrineInfo'!$K$3:$L$9971,2,FALSE),"")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 t="shared" si="61"/>
        <v>[767] = {wayshrines={568,568,568,}, dlcId=DLC_GOLD_ROAD</v>
      </c>
      <c r="BF659" s="21" t="str">
        <f t="shared" si="62"/>
        <v>, zoneIds={1478,1478,1478}, veteran=false</v>
      </c>
      <c r="BG659" s="21" t="str">
        <f t="shared" si="63"/>
        <v>, setType=LIBSETS_SETTYPE_TRIAL</v>
      </c>
      <c r="BH659" s="21" t="str">
        <f t="shared" si="64"/>
        <v>, dropMechanic={LIBSETS_DROP_MECHANIC_TRIAL_BOSS,LIBSETS_DROP_MECHANIC_TRIAL_BOSS,LIBSETS_DROP_MECHANIC_TRIAL_BOSS}, perfectedSetId=772</v>
      </c>
      <c r="BI659" s="21" t="str">
        <f t="shared" si="65"/>
        <v>}, --Slivers of the Null Arca / Slivers of the Null Arca   [Lucent Citadel, Lucent Citadel, Lucent Citadel]</v>
      </c>
    </row>
    <row r="660" spans="1:61" x14ac:dyDescent="0.25">
      <c r="A660" s="5">
        <v>768</v>
      </c>
      <c r="B660" s="36" t="s">
        <v>3929</v>
      </c>
      <c r="C660" s="36" t="s">
        <v>3929</v>
      </c>
      <c r="D660" s="3">
        <f t="shared" si="60"/>
        <v>768</v>
      </c>
      <c r="G660" s="3" t="s">
        <v>1474</v>
      </c>
      <c r="I660" t="s">
        <v>91</v>
      </c>
      <c r="J660" t="s">
        <v>91</v>
      </c>
      <c r="K660" s="36">
        <v>568</v>
      </c>
      <c r="L660" s="36">
        <v>568</v>
      </c>
      <c r="M660" s="36">
        <v>568</v>
      </c>
      <c r="O660" s="61" t="s">
        <v>3943</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WayshrineInfo'!$K$3:$N$9971,4,FALSE),"")))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WayshrineInfo'!$K$3:$L$9971,2,FALSE),"")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WayshrineInfo'!$K$3:$L$9971,2,FALSE),"")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 t="shared" si="61"/>
        <v>[768] = {wayshrines={568,568,568,}, dlcId=DLC_GOLD_ROAD</v>
      </c>
      <c r="BF660" s="21" t="str">
        <f t="shared" si="62"/>
        <v>, zoneIds={1478,1478,1478}, veteran=false</v>
      </c>
      <c r="BG660" s="21" t="str">
        <f t="shared" si="63"/>
        <v>, setType=LIBSETS_SETTYPE_TRIAL</v>
      </c>
      <c r="BH660" s="21" t="str">
        <f t="shared" si="64"/>
        <v>, dropMechanic={LIBSETS_DROP_MECHANIC_TRIAL_BOSS,LIBSETS_DROP_MECHANIC_TRIAL_BOSS,LIBSETS_DROP_MECHANIC_TRIAL_BOSS}, perfectedSetId=771</v>
      </c>
      <c r="BI660" s="21" t="str">
        <f t="shared" si="65"/>
        <v>}, --Lucent Echoes / Lucent Echoes   [Lucent Citadel, Lucent Citadel, Lucent Citadel]</v>
      </c>
    </row>
    <row r="661" spans="1:61" x14ac:dyDescent="0.25">
      <c r="A661" s="5">
        <v>769</v>
      </c>
      <c r="B661" s="36" t="s">
        <v>3926</v>
      </c>
      <c r="C661" s="36" t="s">
        <v>3926</v>
      </c>
      <c r="D661" s="3">
        <f t="shared" si="60"/>
        <v>769</v>
      </c>
      <c r="G661" s="3" t="s">
        <v>1474</v>
      </c>
      <c r="I661" t="s">
        <v>91</v>
      </c>
      <c r="J661" t="s">
        <v>91</v>
      </c>
      <c r="K661" s="36">
        <v>568</v>
      </c>
      <c r="L661" s="36">
        <v>568</v>
      </c>
      <c r="M661" s="36">
        <v>568</v>
      </c>
      <c r="O661" s="61" t="s">
        <v>3943</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WayshrineInfo'!$K$3:$N$9971,4,FALSE),"")))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WayshrineInfo'!$K$3:$L$9971,2,FALSE),"")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WayshrineInfo'!$K$3:$L$9971,2,FALSE),"")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 t="shared" si="61"/>
        <v>[769] = {wayshrines={568,568,568,}, dlcId=DLC_GOLD_ROAD</v>
      </c>
      <c r="BF661" s="21" t="str">
        <f t="shared" si="62"/>
        <v>, zoneIds={1478,1478,1478}, veteran=false</v>
      </c>
      <c r="BG661" s="21" t="str">
        <f t="shared" si="63"/>
        <v>, setType=LIBSETS_SETTYPE_TRIAL</v>
      </c>
      <c r="BH661" s="21" t="str">
        <f t="shared" si="64"/>
        <v>, dropMechanic={LIBSETS_DROP_MECHANIC_TRIAL_BOSS,LIBSETS_DROP_MECHANIC_TRIAL_BOSS,LIBSETS_DROP_MECHANIC_TRIAL_BOSS}, perfectedSetId=770</v>
      </c>
      <c r="BI661" s="21" t="str">
        <f t="shared" si="65"/>
        <v>}, --Xoryn\'s Masterpiece / Xoryn\'s Masterpiece   [Lucent Citadel, Lucent Citadel, Lucent Citadel]</v>
      </c>
    </row>
    <row r="662" spans="1:61" x14ac:dyDescent="0.25">
      <c r="A662" s="5">
        <v>770</v>
      </c>
      <c r="B662" s="36" t="s">
        <v>3934</v>
      </c>
      <c r="C662" s="36" t="s">
        <v>3934</v>
      </c>
      <c r="D662" s="3">
        <f t="shared" si="60"/>
        <v>770</v>
      </c>
      <c r="G662" s="3" t="s">
        <v>1474</v>
      </c>
      <c r="I662" t="s">
        <v>92</v>
      </c>
      <c r="J662" t="s">
        <v>91</v>
      </c>
      <c r="K662" s="36">
        <v>568</v>
      </c>
      <c r="L662" s="36">
        <v>568</v>
      </c>
      <c r="M662" s="36">
        <v>568</v>
      </c>
      <c r="O662" s="61" t="s">
        <v>3943</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WayshrineInfo'!$K$3:$N$9971,4,FALSE),"")))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WayshrineInfo'!$K$3:$L$9971,2,FALSE),"")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WayshrineInfo'!$K$3:$L$9971,2,FALSE),"")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 t="shared" si="61"/>
        <v>[770] = {wayshrines={568,568,568,}, dlcId=DLC_GOLD_ROAD</v>
      </c>
      <c r="BF662" s="21" t="str">
        <f t="shared" si="62"/>
        <v>, zoneIds={1478,1478,1478}, veteran=true</v>
      </c>
      <c r="BG662" s="21" t="str">
        <f t="shared" si="63"/>
        <v>, setType=LIBSETS_SETTYPE_TRIAL</v>
      </c>
      <c r="BH662" s="21" t="str">
        <f t="shared" si="64"/>
        <v>, dropMechanic={LIBSETS_DROP_MECHANIC_TRIAL_BOSS,LIBSETS_DROP_MECHANIC_TRIAL_BOSS,LIBSETS_DROP_MECHANIC_TRIAL_BOSS}, isPerfectedSet=1</v>
      </c>
      <c r="BI662" s="21" t="str">
        <f t="shared" si="65"/>
        <v>}, --Perfected Xoryn\'s Masterpiece / Perfected Xoryn\'s Masterpiece   [Lucent Citadel, Lucent Citadel, Lucent Citadel]</v>
      </c>
    </row>
    <row r="663" spans="1:61" x14ac:dyDescent="0.25">
      <c r="A663" s="5">
        <v>771</v>
      </c>
      <c r="B663" s="36" t="s">
        <v>3935</v>
      </c>
      <c r="C663" s="36" t="s">
        <v>3935</v>
      </c>
      <c r="D663" s="3">
        <f t="shared" si="60"/>
        <v>771</v>
      </c>
      <c r="G663" s="3" t="s">
        <v>1474</v>
      </c>
      <c r="I663" t="s">
        <v>92</v>
      </c>
      <c r="J663" t="s">
        <v>91</v>
      </c>
      <c r="K663" s="36">
        <v>568</v>
      </c>
      <c r="L663" s="36">
        <v>568</v>
      </c>
      <c r="M663" s="36">
        <v>568</v>
      </c>
      <c r="O663" s="61" t="s">
        <v>3943</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WayshrineInfo'!$K$3:$N$9971,4,FALSE),"")))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WayshrineInfo'!$K$3:$L$9971,2,FALSE),"")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WayshrineInfo'!$K$3:$L$9971,2,FALSE),"")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 t="shared" si="61"/>
        <v>[771] = {wayshrines={568,568,568,}, dlcId=DLC_GOLD_ROAD</v>
      </c>
      <c r="BF663" s="21" t="str">
        <f t="shared" si="62"/>
        <v>, zoneIds={1478,1478,1478}, veteran=true</v>
      </c>
      <c r="BG663" s="21" t="str">
        <f t="shared" si="63"/>
        <v>, setType=LIBSETS_SETTYPE_TRIAL</v>
      </c>
      <c r="BH663" s="21" t="str">
        <f t="shared" si="64"/>
        <v>, dropMechanic={LIBSETS_DROP_MECHANIC_TRIAL_BOSS,LIBSETS_DROP_MECHANIC_TRIAL_BOSS,LIBSETS_DROP_MECHANIC_TRIAL_BOSS}, isPerfectedSet=1</v>
      </c>
      <c r="BI663" s="21" t="str">
        <f t="shared" si="65"/>
        <v>}, --Perfected Lucent Echoes / Perfected Lucent Echoes   [Lucent Citadel, Lucent Citadel, Lucent Citadel]</v>
      </c>
    </row>
    <row r="664" spans="1:61" x14ac:dyDescent="0.25">
      <c r="A664" s="5">
        <v>772</v>
      </c>
      <c r="B664" s="36" t="s">
        <v>3933</v>
      </c>
      <c r="C664" s="36" t="s">
        <v>3933</v>
      </c>
      <c r="D664" s="3">
        <f t="shared" si="60"/>
        <v>772</v>
      </c>
      <c r="G664" s="3" t="s">
        <v>1474</v>
      </c>
      <c r="I664" t="s">
        <v>92</v>
      </c>
      <c r="J664" t="s">
        <v>91</v>
      </c>
      <c r="K664" s="36">
        <v>568</v>
      </c>
      <c r="L664" s="36">
        <v>568</v>
      </c>
      <c r="M664" s="36">
        <v>568</v>
      </c>
      <c r="O664" s="61" t="s">
        <v>3943</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WayshrineInfo'!$K$3:$N$9971,4,FALSE),"")))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WayshrineInfo'!$K$3:$L$9971,2,FALSE),"")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WayshrineInfo'!$K$3:$L$9971,2,FALSE),"")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 t="shared" si="61"/>
        <v>[772] = {wayshrines={568,568,568,}, dlcId=DLC_GOLD_ROAD</v>
      </c>
      <c r="BF664" s="21" t="str">
        <f t="shared" si="62"/>
        <v>, zoneIds={1478,1478,1478}, veteran=true</v>
      </c>
      <c r="BG664" s="21" t="str">
        <f t="shared" si="63"/>
        <v>, setType=LIBSETS_SETTYPE_TRIAL</v>
      </c>
      <c r="BH664" s="21" t="str">
        <f t="shared" si="64"/>
        <v>, dropMechanic={LIBSETS_DROP_MECHANIC_TRIAL_BOSS,LIBSETS_DROP_MECHANIC_TRIAL_BOSS,LIBSETS_DROP_MECHANIC_TRIAL_BOSS}, isPerfectedSet=1</v>
      </c>
      <c r="BI664" s="21" t="str">
        <f t="shared" si="65"/>
        <v>}, --Perfected Slivers of the Null Arca / Perfected Slivers of the Null Arca   [Lucent Citadel, Lucent Citadel, Lucent Citadel]</v>
      </c>
    </row>
    <row r="665" spans="1:61" x14ac:dyDescent="0.25">
      <c r="A665" s="5">
        <v>773</v>
      </c>
      <c r="B665" s="36" t="s">
        <v>3932</v>
      </c>
      <c r="C665" s="36" t="s">
        <v>3932</v>
      </c>
      <c r="D665" s="3">
        <f t="shared" si="60"/>
        <v>773</v>
      </c>
      <c r="G665" s="3" t="s">
        <v>1474</v>
      </c>
      <c r="I665" t="s">
        <v>92</v>
      </c>
      <c r="J665" t="s">
        <v>91</v>
      </c>
      <c r="K665" s="36">
        <v>568</v>
      </c>
      <c r="L665" s="36">
        <v>568</v>
      </c>
      <c r="M665" s="36">
        <v>568</v>
      </c>
      <c r="O665" s="61" t="s">
        <v>3943</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WayshrineInfo'!$K$3:$N$9971,4,FALSE),"")))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WayshrineInfo'!$K$3:$L$9971,2,FALSE),"")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WayshrineInfo'!$K$3:$L$9971,2,FALSE),"")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 t="shared" si="61"/>
        <v>[773] = {wayshrines={568,568,568,}, dlcId=DLC_GOLD_ROAD</v>
      </c>
      <c r="BF665" s="21" t="str">
        <f t="shared" si="62"/>
        <v>, zoneIds={1478,1478,1478}, veteran=true</v>
      </c>
      <c r="BG665" s="21" t="str">
        <f t="shared" si="63"/>
        <v>, setType=LIBSETS_SETTYPE_TRIAL</v>
      </c>
      <c r="BH665" s="21" t="str">
        <f t="shared" si="64"/>
        <v>, dropMechanic={LIBSETS_DROP_MECHANIC_TRIAL_BOSS,LIBSETS_DROP_MECHANIC_TRIAL_BOSS,LIBSETS_DROP_MECHANIC_TRIAL_BOSS}, isPerfectedSet=1</v>
      </c>
      <c r="BI665" s="21" t="str">
        <f t="shared" si="65"/>
        <v>}, --Perfected Mora Scribe\'s Thesis / Perfected Mora Scribe\'s Thesis   [Lucent Citadel, Lucent Citadel, Lucent Citadel]</v>
      </c>
    </row>
    <row r="666" spans="1:61" x14ac:dyDescent="0.25">
      <c r="A666" s="5">
        <v>775</v>
      </c>
      <c r="B666" s="36" t="s">
        <v>4029</v>
      </c>
      <c r="C666" s="36" t="s">
        <v>4029</v>
      </c>
      <c r="D666" s="3">
        <f t="shared" si="60"/>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WayshrineInfo'!$K$3:$N$9971,4,FALSE),"")))</f>
        <v>Infinite Archive</v>
      </c>
      <c r="S666" s="61" t="s">
        <v>4021</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WayshrineInfo'!$K$3:$L$9971,2,FALSE),"")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WayshrineInfo'!$K$3:$L$9971,2,FALSE),"")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si="61"/>
        <v>[775] = {wayshrines={543,543,543,}, dlcId=NO_DLC_UPDATE43</v>
      </c>
      <c r="BF666" s="21" t="str">
        <f t="shared" si="62"/>
        <v>, zoneIds={1436,1413,1413}, veteran=false</v>
      </c>
      <c r="BG666" s="21" t="str">
        <f t="shared" si="63"/>
        <v>, setType=LIBSETS_SETTYPE_CLASS, classId=117</v>
      </c>
      <c r="BH666" s="21" t="str">
        <f t="shared" si="64"/>
        <v>, dropMechanic={LIBSETS_DROP_MECHANIC_ENDLESS_ARCHIVE}, dropMechanicDropLocationNames={['en']={'Arcanist','','','','','',},['de']={'Arkanist','','','','','',},}</v>
      </c>
      <c r="BI666" s="21" t="str">
        <f t="shared" si="65"/>
        <v>}, --Spattering Disjunction / Spattering Disjunction   [Infinite Archive, Apocrypha, Apocrypha]</v>
      </c>
    </row>
    <row r="667" spans="1:61" x14ac:dyDescent="0.25">
      <c r="A667" s="5">
        <v>776</v>
      </c>
      <c r="B667" s="36" t="s">
        <v>4025</v>
      </c>
      <c r="C667" s="36" t="s">
        <v>4025</v>
      </c>
      <c r="D667" s="3">
        <f t="shared" si="60"/>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WayshrineInfo'!$K$3:$N$9971,4,FALSE),"")))</f>
        <v>Infinite Archive</v>
      </c>
      <c r="S667" s="61" t="s">
        <v>4021</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WayshrineInfo'!$K$3:$L$9971,2,FALSE),"")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WayshrineInfo'!$K$3:$L$9971,2,FALSE),"")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61"/>
        <v>[776] = {wayshrines={543,543,543,}, dlcId=NO_DLC_UPDATE43</v>
      </c>
      <c r="BF667" s="21" t="str">
        <f t="shared" si="62"/>
        <v>, zoneIds={1436,1413,1413}, veteran=false</v>
      </c>
      <c r="BG667" s="21" t="str">
        <f t="shared" si="63"/>
        <v>, setType=LIBSETS_SETTYPE_CLASS, classId=1</v>
      </c>
      <c r="BH667" s="21" t="str">
        <f t="shared" si="64"/>
        <v>, dropMechanic={LIBSETS_DROP_MECHANIC_ENDLESS_ARCHIVE}, dropMechanicDropLocationNames={['en']={'Dragonknight','','','','','',},['de']={'Drachenritter','','','','','',},}</v>
      </c>
      <c r="BI667" s="21" t="str">
        <f t="shared" si="65"/>
        <v>}, --Pyrebrand / Pyrebrand   [Infinite Archive, Apocrypha, Apocrypha]</v>
      </c>
    </row>
    <row r="668" spans="1:61" x14ac:dyDescent="0.25">
      <c r="A668" s="5">
        <v>777</v>
      </c>
      <c r="B668" s="36" t="s">
        <v>4028</v>
      </c>
      <c r="C668" s="36" t="s">
        <v>4028</v>
      </c>
      <c r="D668" s="3">
        <f t="shared" si="60"/>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WayshrineInfo'!$K$3:$N$9971,4,FALSE),"")))</f>
        <v>Infinite Archive</v>
      </c>
      <c r="S668" s="61" t="s">
        <v>4021</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WayshrineInfo'!$K$3:$L$9971,2,FALSE),"")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WayshrineInfo'!$K$3:$L$9971,2,FALSE),"")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61"/>
        <v>[777] = {wayshrines={543,543,543,}, dlcId=NO_DLC_UPDATE43</v>
      </c>
      <c r="BF668" s="21" t="str">
        <f t="shared" si="62"/>
        <v>, zoneIds={1436,1413,1413}, veteran=false</v>
      </c>
      <c r="BG668" s="21" t="str">
        <f t="shared" si="63"/>
        <v>, setType=LIBSETS_SETTYPE_CLASS, classId=5</v>
      </c>
      <c r="BH668" s="21" t="str">
        <f t="shared" si="64"/>
        <v>, dropMechanic={LIBSETS_DROP_MECHANIC_ENDLESS_ARCHIVE}, dropMechanicDropLocationNames={['en']={'Necromancer','','','','','',},['de']={'Nekromant','','','','','',},}</v>
      </c>
      <c r="BI668" s="21" t="str">
        <f t="shared" si="65"/>
        <v>}, --Corpseburster / Corpseburster   [Infinite Archive, Apocrypha, Apocrypha]</v>
      </c>
    </row>
    <row r="669" spans="1:61" x14ac:dyDescent="0.25">
      <c r="A669" s="5">
        <v>778</v>
      </c>
      <c r="B669" s="36" t="s">
        <v>4026</v>
      </c>
      <c r="C669" s="36" t="s">
        <v>4026</v>
      </c>
      <c r="D669" s="3">
        <f t="shared" si="60"/>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WayshrineInfo'!$K$3:$N$9971,4,FALSE),"")))</f>
        <v>Infinite Archive</v>
      </c>
      <c r="S669" s="61" t="s">
        <v>4021</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WayshrineInfo'!$K$3:$L$9971,2,FALSE),"")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WayshrineInfo'!$K$3:$L$9971,2,FALSE),"")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61"/>
        <v>[778] = {wayshrines={543,543,543,}, dlcId=NO_DLC_UPDATE43</v>
      </c>
      <c r="BF669" s="21" t="str">
        <f t="shared" si="62"/>
        <v>, zoneIds={1436,1413,1413}, veteran=false</v>
      </c>
      <c r="BG669" s="21" t="str">
        <f t="shared" si="63"/>
        <v>, setType=LIBSETS_SETTYPE_CLASS, classId=3</v>
      </c>
      <c r="BH669" s="21" t="str">
        <f t="shared" si="64"/>
        <v>, dropMechanic={LIBSETS_DROP_MECHANIC_ENDLESS_ARCHIVE}, dropMechanicDropLocationNames={['en']={'Nightblade','','','','','',},['de']={'Nachtklinge','','','','','',},}</v>
      </c>
      <c r="BI669" s="21" t="str">
        <f t="shared" si="65"/>
        <v>}, --Umbral Edge / Umbral Edge   [Infinite Archive, Apocrypha, Apocrypha]</v>
      </c>
    </row>
    <row r="670" spans="1:61" x14ac:dyDescent="0.25">
      <c r="A670" s="5">
        <v>779</v>
      </c>
      <c r="B670" s="36" t="s">
        <v>4024</v>
      </c>
      <c r="C670" s="36" t="s">
        <v>4024</v>
      </c>
      <c r="D670" s="3">
        <f t="shared" si="60"/>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WayshrineInfo'!$K$3:$N$9971,4,FALSE),"")))</f>
        <v>Infinite Archive</v>
      </c>
      <c r="S670" s="61" t="s">
        <v>4021</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WayshrineInfo'!$K$3:$L$9971,2,FALSE),"")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WayshrineInfo'!$K$3:$L$9971,2,FALSE),"")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61"/>
        <v>[779] = {wayshrines={543,543,543,}, dlcId=NO_DLC_UPDATE43</v>
      </c>
      <c r="BF670" s="21" t="str">
        <f t="shared" si="62"/>
        <v>, zoneIds={1436,1413,1413}, veteran=false</v>
      </c>
      <c r="BG670" s="21" t="str">
        <f t="shared" si="63"/>
        <v>, setType=LIBSETS_SETTYPE_CLASS, classId=2</v>
      </c>
      <c r="BH670" s="21" t="str">
        <f t="shared" si="64"/>
        <v>, dropMechanic={LIBSETS_DROP_MECHANIC_ENDLESS_ARCHIVE}, dropMechanicDropLocationNames={['en']={'Sorcerer','','','','','',},['de']={'Zauberer','','','','','',},}</v>
      </c>
      <c r="BI670" s="21" t="str">
        <f t="shared" si="65"/>
        <v>}, --Beacon of Oblivion / Beacon of Oblivion   [Infinite Archive, Apocrypha, Apocrypha]</v>
      </c>
    </row>
    <row r="671" spans="1:61" x14ac:dyDescent="0.25">
      <c r="A671" s="5">
        <v>780</v>
      </c>
      <c r="B671" s="36" t="s">
        <v>4023</v>
      </c>
      <c r="C671" s="36" t="s">
        <v>4023</v>
      </c>
      <c r="D671" s="3">
        <f t="shared" si="60"/>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WayshrineInfo'!$K$3:$N$9971,4,FALSE),"")))</f>
        <v>Infinite Archive</v>
      </c>
      <c r="S671" s="61" t="s">
        <v>4021</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WayshrineInfo'!$K$3:$L$9971,2,FALSE),"")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WayshrineInfo'!$K$3:$L$9971,2,FALSE),"")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61"/>
        <v>[780] = {wayshrines={543,543,543,}, dlcId=NO_DLC_UPDATE43</v>
      </c>
      <c r="BF671" s="21" t="str">
        <f t="shared" si="62"/>
        <v>, zoneIds={1436,1413,1413}, veteran=false</v>
      </c>
      <c r="BG671" s="21" t="str">
        <f t="shared" si="63"/>
        <v>, setType=LIBSETS_SETTYPE_CLASS, classId=6</v>
      </c>
      <c r="BH671" s="21" t="str">
        <f t="shared" si="64"/>
        <v>, dropMechanic={LIBSETS_DROP_MECHANIC_ENDLESS_ARCHIVE}, dropMechanicDropLocationNames={['en']={'Templar','','','','','',},['de']={'Templer','','','','','',},}</v>
      </c>
      <c r="BI671" s="21" t="str">
        <f t="shared" si="65"/>
        <v>}, --Aetheric Lance / Aetheric Lance   [Infinite Archive, Apocrypha, Apocrypha]</v>
      </c>
    </row>
    <row r="672" spans="1:61" x14ac:dyDescent="0.25">
      <c r="A672" s="5">
        <v>781</v>
      </c>
      <c r="B672" s="36" t="s">
        <v>4027</v>
      </c>
      <c r="C672" s="36" t="s">
        <v>4027</v>
      </c>
      <c r="D672" s="3">
        <f t="shared" si="60"/>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WayshrineInfo'!$K$3:$N$9971,4,FALSE),"")))</f>
        <v>Infinite Archive</v>
      </c>
      <c r="S672" s="61" t="s">
        <v>4021</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WayshrineInfo'!$K$3:$L$9971,2,FALSE),"")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WayshrineInfo'!$K$3:$L$9971,2,FALSE),"")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61"/>
        <v>[781] = {wayshrines={543,543,543,}, dlcId=NO_DLC_UPDATE43</v>
      </c>
      <c r="BF672" s="21" t="str">
        <f t="shared" si="62"/>
        <v>, zoneIds={1436,1413,1413}, veteran=false</v>
      </c>
      <c r="BG672" s="21" t="str">
        <f t="shared" si="63"/>
        <v>, setType=LIBSETS_SETTYPE_CLASS, classId=4</v>
      </c>
      <c r="BH672" s="21" t="str">
        <f t="shared" si="64"/>
        <v>, dropMechanic={LIBSETS_DROP_MECHANIC_ENDLESS_ARCHIVE}, dropMechanicDropLocationNames={['en']={'Warden','','','','','',},['de']={'Hüter','','','','','',},}</v>
      </c>
      <c r="BI672" s="21" t="str">
        <f t="shared" si="65"/>
        <v>}, --Aerie\'s Cry / Aerie\'s Cry   [Infinite Archive, Apocrypha, Apocrypha]</v>
      </c>
    </row>
    <row r="673" spans="1:61" x14ac:dyDescent="0.25">
      <c r="A673" s="71">
        <v>782</v>
      </c>
      <c r="B673" s="36" t="s">
        <v>4054</v>
      </c>
      <c r="C673" s="36" t="s">
        <v>4054</v>
      </c>
      <c r="D673" s="3">
        <f t="shared" si="60"/>
        <v>782</v>
      </c>
      <c r="G673" s="3" t="s">
        <v>1468</v>
      </c>
      <c r="I673" t="s">
        <v>91</v>
      </c>
      <c r="J673" t="s">
        <v>91</v>
      </c>
      <c r="K673" s="53">
        <v>-1</v>
      </c>
      <c r="L673" s="53">
        <v>-1</v>
      </c>
      <c r="M673" s="53">
        <v>-1</v>
      </c>
      <c r="O673" s="61" t="s">
        <v>125</v>
      </c>
      <c r="Q673" s="3">
        <f>IF(AND(P673&lt;&gt;"",ISNUMBER(P673),NOT(ISNA(P673))),P673,IF(R673&lt;&gt;"",VLOOKUP(R673,'ESO zone constants'!$D$5:$H$10003,5,FALSE),""))</f>
        <v>181</v>
      </c>
      <c r="R673" t="str">
        <f>IF(AND(O673&lt;&gt;"",NOT(ISERROR(O673))),O673,
IF(AND(P673&lt;&gt;"",ISNUMBER(P673),P673&gt;0,NOT(ISNA(P673))),VLOOKUP(P673,'ESO zone constants'!$A$5:$D$10001,4,FALSE),
IF(AND(K673&lt;&gt;"",K673&gt;0,NOT(ISERROR(K673))),VLOOKUP(K673,'ESO dumped WayshrineInfo'!$K$3:$N$9971,4,FALSE),"")))</f>
        <v>Cyrodiil</v>
      </c>
      <c r="S673" s="61" t="s">
        <v>4046</v>
      </c>
      <c r="T673" s="19" t="str">
        <f>IF(AND(S673&lt;&gt;"",NOT(ISERROR(S673))),S673,IF(Q673&lt;&gt;"",IF(NOT(ISERROR(VLOOKUP(Q673,'ESO Dungeon constants'!$D$3:$H$9999,5,FALSE))),VLOOKUP(Q673,'ESO Dungeon constants'!$D$3:$I$9999,6,FALSE),VLOOKUP(Q673,'ESO zone constants'!$H$3:$K$9989,4,FALSE)),""))</f>
        <v>NO_DLC_UPDATE44</v>
      </c>
      <c r="U673" s="3" t="str">
        <f>IF(T673&lt;&gt;"",VLOOKUP(T673,'LibSets constants'!$B$4:$C$1017,2,FALSE),"")</f>
        <v>Patch 44, BG changes, QOL and other</v>
      </c>
      <c r="V673" s="86" t="s">
        <v>1532</v>
      </c>
      <c r="Y673" s="61">
        <v>181</v>
      </c>
      <c r="Z673" s="3">
        <f>IF(AND(G673&lt;&gt;"LIBSETS_SETTYPE_BATTLEGROUND",G673&lt;&gt;"LIBSETS_SETTYPE_SPECIAL"),
IF(AND(Y673&lt;&gt;"",ISNUMBER(Y673),NOT(ISNA(Y673))),Y673,
   IF(AND(L673&lt;&gt;"",ISNUMBER(L673),L673&gt;0,NOT(ISNA(L673))),VLOOKUP(L673,'ESO dumped WayshrineInfo'!$K$3:$L$9971,2,FALSE),"")
),"")</f>
        <v>181</v>
      </c>
      <c r="AA673" t="str">
        <f>IF(AND(Z673&lt;&gt;"",ISNUMBER(Z673),NOT(ISNA(Z673))),VLOOKUP(Z673,'ESO zone constants'!$A$5:$D$10001,4,FALSE),"")</f>
        <v>Cyrodiil</v>
      </c>
      <c r="AB673" s="33" t="s">
        <v>3718</v>
      </c>
      <c r="AC673" s="39"/>
      <c r="AD673" s="39"/>
      <c r="AE673" s="61">
        <v>181</v>
      </c>
      <c r="AF673" s="3">
        <f>IF(AND(G673&lt;&gt;"LIBSETS_SETTYPE_BATTLEGROUND",G673&lt;&gt;"LIBSETS_SETTYPE_SPECIAL"),
IF(AND(AE673&lt;&gt;"",ISNUMBER(AE673),NOT(ISNA(AE673))),AE673,
   IF(AND(M673&lt;&gt;"",ISNUMBER(M673),M673&gt;0,NOT(ISNA(M673))),VLOOKUP(M673,'ESO dumped WayshrineInfo'!$K$3:$L$9971,2,FALSE),"")
),"")</f>
        <v>181</v>
      </c>
      <c r="AG673" t="str">
        <f>IF(AND(AF673&lt;&gt;"",ISNUMBER(AF673),NOT(ISNA(AF673))),VLOOKUP(AF673,'ESO zone constants'!$A$5:$D$10001,4,FALSE),"")</f>
        <v>Cyrodiil</v>
      </c>
      <c r="AH673" s="33" t="s">
        <v>2756</v>
      </c>
      <c r="AI673" s="39"/>
      <c r="AJ673" s="39"/>
      <c r="AK673" s="3">
        <f>IF(AND(G673&lt;&gt;"LIBSETS_SETTYPE_BATTLEGROUND",G673&lt;&gt;"LIBSETS_SETTYPE_SPECIAL"),IF(AL673&lt;&gt;"",VLOOKUP(AL673,'ESO zone constants'!$D$5:$H$4955,5,FALSE),""),"")</f>
        <v>181</v>
      </c>
      <c r="AL673" t="s">
        <v>125</v>
      </c>
      <c r="AM673" s="33" t="s">
        <v>3721</v>
      </c>
      <c r="AN673" s="39"/>
      <c r="AO673" s="39"/>
      <c r="AP673" s="3">
        <f>IF(AND(G673&lt;&gt;"LIBSETS_SETTYPE_BATTLEGROUND",G673&lt;&gt;"LIBSETS_SETTYPE_SPECIAL"),IF(AQ673&lt;&gt;"",VLOOKUP(AQ673,'ESO zone constants'!$D$5:$H$4955,5,FALSE),""),"")</f>
        <v>181</v>
      </c>
      <c r="AQ673" t="s">
        <v>125</v>
      </c>
      <c r="AR673" s="33" t="s">
        <v>1551</v>
      </c>
      <c r="AS673" s="39"/>
      <c r="AT673" s="39"/>
      <c r="AU673" s="3">
        <f>IF(AND(G673&lt;&gt;"LIBSETS_SETTYPE_BATTLEGROUND",G673&lt;&gt;"LIBSETS_SETTYPE_SPECIAL"),IF(AV673&lt;&gt;"",VLOOKUP(AV673,'ESO zone constants'!$D$5:$H$4955,5,FALSE),""),"")</f>
        <v>181</v>
      </c>
      <c r="AV673" t="s">
        <v>125</v>
      </c>
      <c r="AW673" s="33" t="s">
        <v>3225</v>
      </c>
      <c r="AX673" s="39"/>
      <c r="AY673" s="39"/>
      <c r="AZ673" s="75" t="s">
        <v>2645</v>
      </c>
      <c r="BA673" s="75"/>
      <c r="BB673" s="75"/>
      <c r="BC673"/>
      <c r="BD673"/>
      <c r="BE673" s="21" t="str">
        <f t="shared" si="61"/>
        <v>[782] = {wayshrines={-1,-1,-1,}, dlcId=NO_DLC_UPDATE44</v>
      </c>
      <c r="BF673" s="21" t="str">
        <f t="shared" si="62"/>
        <v>, zoneIds={181,181,181,181,181,181}, veteran=false</v>
      </c>
      <c r="BG673" s="21" t="str">
        <f t="shared" si="63"/>
        <v>, setType=LIBSETS_SETTYPE_CYRODIIL</v>
      </c>
      <c r="BH673"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1" t="str">
        <f t="shared" si="65"/>
        <v>}, --Tracker\'s Lash / Tracker\'s Lash   [Cyrodiil, Cyrodiil, Cyrodiil, Cyrodiil, Cyrodiil, Cyrodiil]</v>
      </c>
    </row>
    <row r="674" spans="1:61" x14ac:dyDescent="0.25">
      <c r="A674" s="71">
        <v>783</v>
      </c>
      <c r="B674" s="36" t="s">
        <v>4055</v>
      </c>
      <c r="C674" s="36" t="s">
        <v>4055</v>
      </c>
      <c r="D674" s="3">
        <f t="shared" si="60"/>
        <v>783</v>
      </c>
      <c r="G674" s="3" t="s">
        <v>1468</v>
      </c>
      <c r="I674" t="s">
        <v>91</v>
      </c>
      <c r="J674" t="s">
        <v>91</v>
      </c>
      <c r="K674" s="53">
        <v>-1</v>
      </c>
      <c r="L674" s="53">
        <v>-1</v>
      </c>
      <c r="M674" s="53">
        <v>-1</v>
      </c>
      <c r="O674" s="61" t="s">
        <v>125</v>
      </c>
      <c r="Q674" s="3">
        <f>IF(AND(P674&lt;&gt;"",ISNUMBER(P674),NOT(ISNA(P674))),P674,IF(R674&lt;&gt;"",VLOOKUP(R674,'ESO zone constants'!$D$5:$H$10003,5,FALSE),""))</f>
        <v>181</v>
      </c>
      <c r="R674" t="str">
        <f>IF(AND(O674&lt;&gt;"",NOT(ISERROR(O674))),O674,
IF(AND(P674&lt;&gt;"",ISNUMBER(P674),P674&gt;0,NOT(ISNA(P674))),VLOOKUP(P674,'ESO zone constants'!$A$5:$D$10001,4,FALSE),
IF(AND(K674&lt;&gt;"",K674&gt;0,NOT(ISERROR(K674))),VLOOKUP(K674,'ESO dumped WayshrineInfo'!$K$3:$N$9971,4,FALSE),"")))</f>
        <v>Cyrodiil</v>
      </c>
      <c r="S674" s="61" t="s">
        <v>4046</v>
      </c>
      <c r="T674" s="19" t="str">
        <f>IF(AND(S674&lt;&gt;"",NOT(ISERROR(S674))),S674,IF(Q674&lt;&gt;"",IF(NOT(ISERROR(VLOOKUP(Q674,'ESO Dungeon constants'!$D$3:$H$9999,5,FALSE))),VLOOKUP(Q674,'ESO Dungeon constants'!$D$3:$I$9999,6,FALSE),VLOOKUP(Q674,'ESO zone constants'!$H$3:$K$9989,4,FALSE)),""))</f>
        <v>NO_DLC_UPDATE44</v>
      </c>
      <c r="U674" s="3" t="str">
        <f>IF(T674&lt;&gt;"",VLOOKUP(T674,'LibSets constants'!$B$4:$C$1017,2,FALSE),"")</f>
        <v>Patch 44, BG changes, QOL and other</v>
      </c>
      <c r="V674" s="86" t="s">
        <v>1532</v>
      </c>
      <c r="Y674" s="61">
        <v>181</v>
      </c>
      <c r="Z674" s="3">
        <f>IF(AND(G674&lt;&gt;"LIBSETS_SETTYPE_BATTLEGROUND",G674&lt;&gt;"LIBSETS_SETTYPE_SPECIAL"),
IF(AND(Y674&lt;&gt;"",ISNUMBER(Y674),NOT(ISNA(Y674))),Y674,
   IF(AND(L674&lt;&gt;"",ISNUMBER(L674),L674&gt;0,NOT(ISNA(L674))),VLOOKUP(L674,'ESO dumped WayshrineInfo'!$K$3:$L$9971,2,FALSE),"")
),"")</f>
        <v>181</v>
      </c>
      <c r="AA674" t="str">
        <f>IF(AND(Z674&lt;&gt;"",ISNUMBER(Z674),NOT(ISNA(Z674))),VLOOKUP(Z674,'ESO zone constants'!$A$5:$D$10001,4,FALSE),"")</f>
        <v>Cyrodiil</v>
      </c>
      <c r="AB674" s="33" t="s">
        <v>3718</v>
      </c>
      <c r="AC674" s="39"/>
      <c r="AD674" s="39"/>
      <c r="AE674" s="61">
        <v>181</v>
      </c>
      <c r="AF674" s="3">
        <f>IF(AND(G674&lt;&gt;"LIBSETS_SETTYPE_BATTLEGROUND",G674&lt;&gt;"LIBSETS_SETTYPE_SPECIAL"),
IF(AND(AE674&lt;&gt;"",ISNUMBER(AE674),NOT(ISNA(AE674))),AE674,
   IF(AND(M674&lt;&gt;"",ISNUMBER(M674),M674&gt;0,NOT(ISNA(M674))),VLOOKUP(M674,'ESO dumped WayshrineInfo'!$K$3:$L$9971,2,FALSE),"")
),"")</f>
        <v>181</v>
      </c>
      <c r="AG674" t="str">
        <f>IF(AND(AF674&lt;&gt;"",ISNUMBER(AF674),NOT(ISNA(AF674))),VLOOKUP(AF674,'ESO zone constants'!$A$5:$D$10001,4,FALSE),"")</f>
        <v>Cyrodiil</v>
      </c>
      <c r="AH674" s="33" t="s">
        <v>2756</v>
      </c>
      <c r="AI674" s="39"/>
      <c r="AJ674" s="39"/>
      <c r="AK674" s="3">
        <f>IF(AND(G674&lt;&gt;"LIBSETS_SETTYPE_BATTLEGROUND",G674&lt;&gt;"LIBSETS_SETTYPE_SPECIAL"),IF(AL674&lt;&gt;"",VLOOKUP(AL674,'ESO zone constants'!$D$5:$H$4955,5,FALSE),""),"")</f>
        <v>181</v>
      </c>
      <c r="AL674" t="s">
        <v>125</v>
      </c>
      <c r="AM674" s="33" t="s">
        <v>3721</v>
      </c>
      <c r="AN674" s="39"/>
      <c r="AO674" s="39"/>
      <c r="AP674" s="3">
        <f>IF(AND(G674&lt;&gt;"LIBSETS_SETTYPE_BATTLEGROUND",G674&lt;&gt;"LIBSETS_SETTYPE_SPECIAL"),IF(AQ674&lt;&gt;"",VLOOKUP(AQ674,'ESO zone constants'!$D$5:$H$4955,5,FALSE),""),"")</f>
        <v>181</v>
      </c>
      <c r="AQ674" t="s">
        <v>125</v>
      </c>
      <c r="AR674" s="33" t="s">
        <v>1551</v>
      </c>
      <c r="AS674" s="39"/>
      <c r="AT674" s="39"/>
      <c r="AU674" s="3">
        <f>IF(AND(G674&lt;&gt;"LIBSETS_SETTYPE_BATTLEGROUND",G674&lt;&gt;"LIBSETS_SETTYPE_SPECIAL"),IF(AV674&lt;&gt;"",VLOOKUP(AV674,'ESO zone constants'!$D$5:$H$4955,5,FALSE),""),"")</f>
        <v>181</v>
      </c>
      <c r="AV674" t="s">
        <v>125</v>
      </c>
      <c r="AW674" s="33" t="s">
        <v>3225</v>
      </c>
      <c r="AX674" s="39"/>
      <c r="AY674" s="39"/>
      <c r="AZ674" s="75" t="s">
        <v>2645</v>
      </c>
      <c r="BA674" s="75"/>
      <c r="BB674" s="75"/>
      <c r="BC674"/>
      <c r="BD674"/>
      <c r="BE674" s="21" t="str">
        <f t="shared" si="61"/>
        <v>[783] = {wayshrines={-1,-1,-1,}, dlcId=NO_DLC_UPDATE44</v>
      </c>
      <c r="BF674" s="21" t="str">
        <f t="shared" si="62"/>
        <v>, zoneIds={181,181,181,181,181,181}, veteran=false</v>
      </c>
      <c r="BG674" s="21" t="str">
        <f t="shared" si="63"/>
        <v>, setType=LIBSETS_SETTYPE_CYRODIIL</v>
      </c>
      <c r="BH674"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1" t="str">
        <f t="shared" si="65"/>
        <v>}, --Shared Pain / Shared Pain   [Cyrodiil, Cyrodiil, Cyrodiil, Cyrodiil, Cyrodiil, Cyrodiil]</v>
      </c>
    </row>
    <row r="675" spans="1:61" x14ac:dyDescent="0.25">
      <c r="A675" s="71">
        <v>784</v>
      </c>
      <c r="B675" s="36" t="s">
        <v>4056</v>
      </c>
      <c r="C675" s="36" t="s">
        <v>4056</v>
      </c>
      <c r="D675" s="3">
        <f t="shared" si="60"/>
        <v>784</v>
      </c>
      <c r="G675" s="3" t="s">
        <v>1468</v>
      </c>
      <c r="I675" t="s">
        <v>91</v>
      </c>
      <c r="J675" t="s">
        <v>91</v>
      </c>
      <c r="K675" s="53">
        <v>-1</v>
      </c>
      <c r="L675" s="53">
        <v>-1</v>
      </c>
      <c r="M675" s="53">
        <v>-1</v>
      </c>
      <c r="O675" s="61" t="s">
        <v>125</v>
      </c>
      <c r="Q675" s="3">
        <f>IF(AND(P675&lt;&gt;"",ISNUMBER(P675),NOT(ISNA(P675))),P675,IF(R675&lt;&gt;"",VLOOKUP(R675,'ESO zone constants'!$D$5:$H$10003,5,FALSE),""))</f>
        <v>181</v>
      </c>
      <c r="R675" t="str">
        <f>IF(AND(O675&lt;&gt;"",NOT(ISERROR(O675))),O675,
IF(AND(P675&lt;&gt;"",ISNUMBER(P675),P675&gt;0,NOT(ISNA(P675))),VLOOKUP(P675,'ESO zone constants'!$A$5:$D$10001,4,FALSE),
IF(AND(K675&lt;&gt;"",K675&gt;0,NOT(ISERROR(K675))),VLOOKUP(K675,'ESO dumped WayshrineInfo'!$K$3:$N$9971,4,FALSE),"")))</f>
        <v>Cyrodiil</v>
      </c>
      <c r="S675" s="61" t="s">
        <v>4046</v>
      </c>
      <c r="T675" s="19" t="str">
        <f>IF(AND(S675&lt;&gt;"",NOT(ISERROR(S675))),S675,IF(Q675&lt;&gt;"",IF(NOT(ISERROR(VLOOKUP(Q675,'ESO Dungeon constants'!$D$3:$H$9999,5,FALSE))),VLOOKUP(Q675,'ESO Dungeon constants'!$D$3:$I$9999,6,FALSE),VLOOKUP(Q675,'ESO zone constants'!$H$3:$K$9989,4,FALSE)),""))</f>
        <v>NO_DLC_UPDATE44</v>
      </c>
      <c r="U675" s="3" t="str">
        <f>IF(T675&lt;&gt;"",VLOOKUP(T675,'LibSets constants'!$B$4:$C$1017,2,FALSE),"")</f>
        <v>Patch 44, BG changes, QOL and other</v>
      </c>
      <c r="V675" s="86" t="s">
        <v>1532</v>
      </c>
      <c r="Y675" s="61">
        <v>181</v>
      </c>
      <c r="Z675" s="3">
        <f>IF(AND(G675&lt;&gt;"LIBSETS_SETTYPE_BATTLEGROUND",G675&lt;&gt;"LIBSETS_SETTYPE_SPECIAL"),
IF(AND(Y675&lt;&gt;"",ISNUMBER(Y675),NOT(ISNA(Y675))),Y675,
   IF(AND(L675&lt;&gt;"",ISNUMBER(L675),L675&gt;0,NOT(ISNA(L675))),VLOOKUP(L675,'ESO dumped WayshrineInfo'!$K$3:$L$9971,2,FALSE),"")
),"")</f>
        <v>181</v>
      </c>
      <c r="AA675" t="str">
        <f>IF(AND(Z675&lt;&gt;"",ISNUMBER(Z675),NOT(ISNA(Z675))),VLOOKUP(Z675,'ESO zone constants'!$A$5:$D$10001,4,FALSE),"")</f>
        <v>Cyrodiil</v>
      </c>
      <c r="AB675" s="33" t="s">
        <v>3718</v>
      </c>
      <c r="AC675" s="39"/>
      <c r="AD675" s="39"/>
      <c r="AE675" s="61">
        <v>181</v>
      </c>
      <c r="AF675" s="3">
        <f>IF(AND(G675&lt;&gt;"LIBSETS_SETTYPE_BATTLEGROUND",G675&lt;&gt;"LIBSETS_SETTYPE_SPECIAL"),
IF(AND(AE675&lt;&gt;"",ISNUMBER(AE675),NOT(ISNA(AE675))),AE675,
   IF(AND(M675&lt;&gt;"",ISNUMBER(M675),M675&gt;0,NOT(ISNA(M675))),VLOOKUP(M675,'ESO dumped WayshrineInfo'!$K$3:$L$9971,2,FALSE),"")
),"")</f>
        <v>181</v>
      </c>
      <c r="AG675" t="str">
        <f>IF(AND(AF675&lt;&gt;"",ISNUMBER(AF675),NOT(ISNA(AF675))),VLOOKUP(AF675,'ESO zone constants'!$A$5:$D$10001,4,FALSE),"")</f>
        <v>Cyrodiil</v>
      </c>
      <c r="AH675" s="33" t="s">
        <v>2756</v>
      </c>
      <c r="AI675" s="39"/>
      <c r="AJ675" s="39"/>
      <c r="AK675" s="3">
        <f>IF(AND(G675&lt;&gt;"LIBSETS_SETTYPE_BATTLEGROUND",G675&lt;&gt;"LIBSETS_SETTYPE_SPECIAL"),IF(AL675&lt;&gt;"",VLOOKUP(AL675,'ESO zone constants'!$D$5:$H$4955,5,FALSE),""),"")</f>
        <v>181</v>
      </c>
      <c r="AL675" t="s">
        <v>125</v>
      </c>
      <c r="AM675" s="33" t="s">
        <v>3721</v>
      </c>
      <c r="AN675" s="39"/>
      <c r="AO675" s="39"/>
      <c r="AP675" s="3">
        <f>IF(AND(G675&lt;&gt;"LIBSETS_SETTYPE_BATTLEGROUND",G675&lt;&gt;"LIBSETS_SETTYPE_SPECIAL"),IF(AQ675&lt;&gt;"",VLOOKUP(AQ675,'ESO zone constants'!$D$5:$H$4955,5,FALSE),""),"")</f>
        <v>181</v>
      </c>
      <c r="AQ675" t="s">
        <v>125</v>
      </c>
      <c r="AR675" s="33" t="s">
        <v>1551</v>
      </c>
      <c r="AS675" s="39"/>
      <c r="AT675" s="39"/>
      <c r="AU675" s="3">
        <f>IF(AND(G675&lt;&gt;"LIBSETS_SETTYPE_BATTLEGROUND",G675&lt;&gt;"LIBSETS_SETTYPE_SPECIAL"),IF(AV675&lt;&gt;"",VLOOKUP(AV675,'ESO zone constants'!$D$5:$H$4955,5,FALSE),""),"")</f>
        <v>181</v>
      </c>
      <c r="AV675" t="s">
        <v>125</v>
      </c>
      <c r="AW675" s="33" t="s">
        <v>3225</v>
      </c>
      <c r="AX675" s="39"/>
      <c r="AY675" s="39"/>
      <c r="AZ675" s="75" t="s">
        <v>2645</v>
      </c>
      <c r="BA675" s="75"/>
      <c r="BB675" s="75"/>
      <c r="BC675"/>
      <c r="BD675"/>
      <c r="BE675" s="21" t="str">
        <f t="shared" si="61"/>
        <v>[784] = {wayshrines={-1,-1,-1,}, dlcId=NO_DLC_UPDATE44</v>
      </c>
      <c r="BF675" s="21" t="str">
        <f t="shared" si="62"/>
        <v>, zoneIds={181,181,181,181,181,181}, veteran=false</v>
      </c>
      <c r="BG675" s="21" t="str">
        <f t="shared" si="63"/>
        <v>, setType=LIBSETS_SETTYPE_CYRODIIL</v>
      </c>
      <c r="BH675"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1" t="str">
        <f t="shared" si="65"/>
        <v>}, --Siegemaster'\s Focus / Siegemaster'\s Focus   [Cyrodiil, Cyrodiil, Cyrodiil, Cyrodiil, Cyrodiil, Cyrodiil]</v>
      </c>
    </row>
    <row r="676" spans="1:61" x14ac:dyDescent="0.25">
      <c r="A676" s="71">
        <v>791</v>
      </c>
      <c r="B676" s="36" t="s">
        <v>4057</v>
      </c>
      <c r="C676" s="36" t="s">
        <v>4057</v>
      </c>
      <c r="D676" s="3">
        <f t="shared" si="60"/>
        <v>791</v>
      </c>
      <c r="G676" s="3" t="s">
        <v>1466</v>
      </c>
      <c r="I676" t="s">
        <v>91</v>
      </c>
      <c r="J676" t="s">
        <v>91</v>
      </c>
      <c r="K676" s="53">
        <v>-1</v>
      </c>
      <c r="L676" s="53">
        <v>-1</v>
      </c>
      <c r="M676" s="53">
        <v>-1</v>
      </c>
      <c r="O676" s="61" t="s">
        <v>1505</v>
      </c>
      <c r="P676" s="61">
        <v>-98</v>
      </c>
      <c r="Q676" s="3">
        <f>IF(AND(P676&lt;&gt;"",ISNUMBER(P676),NOT(ISNA(P676))),P676,IF(R676&lt;&gt;"",VLOOKUP(R676,'ESO zone constants'!$D$5:$H$10003,5,FALSE),""))</f>
        <v>-98</v>
      </c>
      <c r="R676" t="str">
        <f>IF(AND(O676&lt;&gt;"",NOT(ISERROR(O676))),O676,
IF(AND(P676&lt;&gt;"",ISNUMBER(P676),P676&gt;0,NOT(ISNA(P676))),VLOOKUP(P676,'ESO zone constants'!$A$5:$D$10001,4,FALSE),
IF(AND(K676&lt;&gt;"",K676&gt;0,NOT(ISERROR(K676))),VLOOKUP(K676,'ESO dumped WayshrineInfo'!$K$3:$N$9971,4,FALSE),"")))</f>
        <v>!Battleground</v>
      </c>
      <c r="S676" s="61" t="s">
        <v>4046</v>
      </c>
      <c r="T676" s="19" t="str">
        <f>IF(AND(S676&lt;&gt;"",NOT(ISERROR(S676))),S676,IF(Q676&lt;&gt;"",IF(NOT(ISERROR(VLOOKUP(Q676,'ESO Dungeon constants'!$D$3:$H$9999,5,FALSE))),VLOOKUP(Q676,'ESO Dungeon constants'!$D$3:$I$9999,6,FALSE),VLOOKUP(Q676,'ESO zone constants'!$H$3:$K$9989,4,FALSE)),""))</f>
        <v>NO_DLC_UPDATE44</v>
      </c>
      <c r="U676" s="3" t="str">
        <f>IF(T676&lt;&gt;"",VLOOKUP(T676,'LibSets constants'!$B$4:$C$1017,2,FALSE),"")</f>
        <v>Patch 44, BG changes, QOL and other</v>
      </c>
      <c r="V676" s="86" t="s">
        <v>1566</v>
      </c>
      <c r="Y676" s="61"/>
      <c r="Z676" s="3" t="str">
        <f>IF(AND(G676&lt;&gt;"LIBSETS_SETTYPE_BATTLEGROUND",G676&lt;&gt;"LIBSETS_SETTYPE_SPECIAL"),
IF(AND(Y676&lt;&gt;"",ISNUMBER(Y676),NOT(ISNA(Y676))),Y676,
   IF(AND(L676&lt;&gt;"",ISNUMBER(L676),L676&gt;0,NOT(ISNA(L676))),VLOOKUP(L676,'ESO dumped WayshrineInfo'!$K$3:$L$9971,2,FALSE),"")
),"")</f>
        <v/>
      </c>
      <c r="AA676" t="str">
        <f>IF(AND(Z676&lt;&gt;"",ISNUMBER(Z676),NOT(ISNA(Z676))),VLOOKUP(Z676,'ESO zone constants'!$A$5:$D$10001,4,FALSE),"")</f>
        <v/>
      </c>
      <c r="AC676" s="39"/>
      <c r="AD676" s="39"/>
      <c r="AE676" s="61"/>
      <c r="AF676" s="3" t="str">
        <f>IF(AND(G676&lt;&gt;"LIBSETS_SETTYPE_BATTLEGROUND",G676&lt;&gt;"LIBSETS_SETTYPE_SPECIAL"),
IF(AND(AE676&lt;&gt;"",ISNUMBER(AE676),NOT(ISNA(AE676))),AE676,
   IF(AND(M676&lt;&gt;"",ISNUMBER(M676),M676&gt;0,NOT(ISNA(M676))),VLOOKUP(M676,'ESO dumped WayshrineInfo'!$K$3:$L$9971,2,FALSE),"")
),"")</f>
        <v/>
      </c>
      <c r="AG676" s="36" t="str">
        <f>IF(AND(AF676&lt;&gt;"",ISNUMBER(AF676),NOT(ISNA(AF676))),VLOOKUP(AF676,'ESO zone constants'!$A$5:$D$10001,4,FALSE),"")</f>
        <v/>
      </c>
      <c r="AI676" s="39"/>
      <c r="AJ676" s="39"/>
      <c r="AK676" s="3" t="str">
        <f>IF(AND(G676&lt;&gt;"LIBSETS_SETTYPE_BATTLEGROUND",G676&lt;&gt;"LIBSETS_SETTYPE_SPECIAL"),IF(AL676&lt;&gt;"",VLOOKUP(AL676,'ESO zone constants'!$D$5:$H$4955,5,FALSE),""),"")</f>
        <v/>
      </c>
      <c r="AN676" s="39"/>
      <c r="AO676" s="39"/>
      <c r="AP676" s="3" t="str">
        <f>IF(AND(G676&lt;&gt;"LIBSETS_SETTYPE_BATTLEGROUND",G676&lt;&gt;"LIBSETS_SETTYPE_SPECIAL"),IF(AQ676&lt;&gt;"",VLOOKUP(AQ676,'ESO zone constants'!$D$5:$H$4955,5,FALSE),""),"")</f>
        <v/>
      </c>
      <c r="AS676" s="39"/>
      <c r="AT676" s="39"/>
      <c r="AU676" s="3" t="str">
        <f>IF(AND(G676&lt;&gt;"LIBSETS_SETTYPE_BATTLEGROUND",G676&lt;&gt;"LIBSETS_SETTYPE_SPECIAL"),IF(AV676&lt;&gt;"",VLOOKUP(AV676,'ESO zone constants'!$D$5:$H$4955,5,FALSE),""),"")</f>
        <v/>
      </c>
      <c r="AX676" s="39"/>
      <c r="AY676" s="39"/>
      <c r="AZ676" s="75" t="s">
        <v>2645</v>
      </c>
      <c r="BA676" s="75"/>
      <c r="BB676" s="75"/>
      <c r="BC676"/>
      <c r="BD676"/>
      <c r="BE676" s="21" t="str">
        <f t="shared" si="61"/>
        <v>[791] = {wayshrines={-1,-1,-1,}, dlcId=NO_DLC_UPDATE44</v>
      </c>
      <c r="BF676" s="21" t="str">
        <f t="shared" si="62"/>
        <v>, zoneIds={-98}, veteran=false</v>
      </c>
      <c r="BG676" s="21" t="str">
        <f t="shared" si="63"/>
        <v>, setType=LIBSETS_SETTYPE_BATTLEGROUND</v>
      </c>
      <c r="BH676" s="21" t="str">
        <f t="shared" si="64"/>
        <v>, dropMechanic={LIBSETS_DROP_MECHANIC_BATTLEGROUND_REWARD}</v>
      </c>
      <c r="BI676" s="21" t="str">
        <f t="shared" si="65"/>
        <v>}, --Bulwark Ruination / Bulwark Ruination   [!Battleground]</v>
      </c>
    </row>
    <row r="677" spans="1:61" x14ac:dyDescent="0.25">
      <c r="A677" s="71">
        <v>792</v>
      </c>
      <c r="B677" s="36" t="s">
        <v>4058</v>
      </c>
      <c r="C677" s="36" t="s">
        <v>4058</v>
      </c>
      <c r="D677" s="3">
        <f t="shared" si="60"/>
        <v>792</v>
      </c>
      <c r="G677" s="3" t="s">
        <v>1466</v>
      </c>
      <c r="I677" t="s">
        <v>91</v>
      </c>
      <c r="J677" t="s">
        <v>91</v>
      </c>
      <c r="K677" s="53">
        <v>-1</v>
      </c>
      <c r="L677" s="53">
        <v>-1</v>
      </c>
      <c r="M677" s="53">
        <v>-1</v>
      </c>
      <c r="O677" s="61" t="s">
        <v>1505</v>
      </c>
      <c r="P677" s="61">
        <v>-98</v>
      </c>
      <c r="Q677" s="3">
        <f>IF(AND(P677&lt;&gt;"",ISNUMBER(P677),NOT(ISNA(P677))),P677,IF(R677&lt;&gt;"",VLOOKUP(R677,'ESO zone constants'!$D$5:$H$10003,5,FALSE),""))</f>
        <v>-98</v>
      </c>
      <c r="R677" t="str">
        <f>IF(AND(O677&lt;&gt;"",NOT(ISERROR(O677))),O677,
IF(AND(P677&lt;&gt;"",ISNUMBER(P677),P677&gt;0,NOT(ISNA(P677))),VLOOKUP(P677,'ESO zone constants'!$A$5:$D$10001,4,FALSE),
IF(AND(K677&lt;&gt;"",K677&gt;0,NOT(ISERROR(K677))),VLOOKUP(K677,'ESO dumped WayshrineInfo'!$K$3:$N$9971,4,FALSE),"")))</f>
        <v>!Battleground</v>
      </c>
      <c r="S677" s="61" t="s">
        <v>4046</v>
      </c>
      <c r="T677" s="19" t="str">
        <f>IF(AND(S677&lt;&gt;"",NOT(ISERROR(S677))),S677,IF(Q677&lt;&gt;"",IF(NOT(ISERROR(VLOOKUP(Q677,'ESO Dungeon constants'!$D$3:$H$9999,5,FALSE))),VLOOKUP(Q677,'ESO Dungeon constants'!$D$3:$I$9999,6,FALSE),VLOOKUP(Q677,'ESO zone constants'!$H$3:$K$9989,4,FALSE)),""))</f>
        <v>NO_DLC_UPDATE44</v>
      </c>
      <c r="U677" s="3" t="str">
        <f>IF(T677&lt;&gt;"",VLOOKUP(T677,'LibSets constants'!$B$4:$C$1017,2,FALSE),"")</f>
        <v>Patch 44, BG changes, QOL and other</v>
      </c>
      <c r="V677" s="86" t="s">
        <v>1566</v>
      </c>
      <c r="Y677" s="61"/>
      <c r="Z677" s="3" t="str">
        <f>IF(AND(G677&lt;&gt;"LIBSETS_SETTYPE_BATTLEGROUND",G677&lt;&gt;"LIBSETS_SETTYPE_SPECIAL"),
IF(AND(Y677&lt;&gt;"",ISNUMBER(Y677),NOT(ISNA(Y677))),Y677,
   IF(AND(L677&lt;&gt;"",ISNUMBER(L677),L677&gt;0,NOT(ISNA(L677))),VLOOKUP(L677,'ESO dumped WayshrineInfo'!$K$3:$L$9971,2,FALSE),"")
),"")</f>
        <v/>
      </c>
      <c r="AA677" t="str">
        <f>IF(AND(Z677&lt;&gt;"",ISNUMBER(Z677),NOT(ISNA(Z677))),VLOOKUP(Z677,'ESO zone constants'!$A$5:$D$10001,4,FALSE),"")</f>
        <v/>
      </c>
      <c r="AC677" s="39"/>
      <c r="AD677" s="39"/>
      <c r="AE677" s="61"/>
      <c r="AF677" s="3" t="str">
        <f>IF(AND(G677&lt;&gt;"LIBSETS_SETTYPE_BATTLEGROUND",G677&lt;&gt;"LIBSETS_SETTYPE_SPECIAL"),
IF(AND(AE677&lt;&gt;"",ISNUMBER(AE677),NOT(ISNA(AE677))),AE677,
   IF(AND(M677&lt;&gt;"",ISNUMBER(M677),M677&gt;0,NOT(ISNA(M677))),VLOOKUP(M677,'ESO dumped WayshrineInfo'!$K$3:$L$9971,2,FALSE),"")
),"")</f>
        <v/>
      </c>
      <c r="AG677" s="36" t="str">
        <f>IF(AND(AF677&lt;&gt;"",ISNUMBER(AF677),NOT(ISNA(AF677))),VLOOKUP(AF677,'ESO zone constants'!$A$5:$D$10001,4,FALSE),"")</f>
        <v/>
      </c>
      <c r="AI677" s="39"/>
      <c r="AJ677" s="39"/>
      <c r="AK677" s="3" t="str">
        <f>IF(AND(G677&lt;&gt;"LIBSETS_SETTYPE_BATTLEGROUND",G677&lt;&gt;"LIBSETS_SETTYPE_SPECIAL"),IF(AL677&lt;&gt;"",VLOOKUP(AL677,'ESO zone constants'!$D$5:$H$4955,5,FALSE),""),"")</f>
        <v/>
      </c>
      <c r="AN677" s="39"/>
      <c r="AO677" s="39"/>
      <c r="AP677" s="3" t="str">
        <f>IF(AND(G677&lt;&gt;"LIBSETS_SETTYPE_BATTLEGROUND",G677&lt;&gt;"LIBSETS_SETTYPE_SPECIAL"),IF(AQ677&lt;&gt;"",VLOOKUP(AQ677,'ESO zone constants'!$D$5:$H$4955,5,FALSE),""),"")</f>
        <v/>
      </c>
      <c r="AS677" s="39"/>
      <c r="AT677" s="39"/>
      <c r="AU677" s="3" t="str">
        <f>IF(AND(G677&lt;&gt;"LIBSETS_SETTYPE_BATTLEGROUND",G677&lt;&gt;"LIBSETS_SETTYPE_SPECIAL"),IF(AV677&lt;&gt;"",VLOOKUP(AV677,'ESO zone constants'!$D$5:$H$4955,5,FALSE),""),"")</f>
        <v/>
      </c>
      <c r="AX677" s="39"/>
      <c r="AY677" s="39"/>
      <c r="AZ677" s="75" t="s">
        <v>2645</v>
      </c>
      <c r="BA677" s="75"/>
      <c r="BB677" s="75"/>
      <c r="BC677"/>
      <c r="BD677"/>
      <c r="BE677" s="21" t="str">
        <f t="shared" si="61"/>
        <v>[792] = {wayshrines={-1,-1,-1,}, dlcId=NO_DLC_UPDATE44</v>
      </c>
      <c r="BF677" s="21" t="str">
        <f t="shared" si="62"/>
        <v>, zoneIds={-98}, veteran=false</v>
      </c>
      <c r="BG677" s="21" t="str">
        <f t="shared" si="63"/>
        <v>, setType=LIBSETS_SETTYPE_BATTLEGROUND</v>
      </c>
      <c r="BH677" s="21" t="str">
        <f t="shared" si="64"/>
        <v>, dropMechanic={LIBSETS_DROP_MECHANIC_BATTLEGROUND_REWARD}</v>
      </c>
      <c r="BI677" s="21" t="str">
        <f t="shared" si="65"/>
        <v>}, --Farstrider / Farstrider   [!Battleground]</v>
      </c>
    </row>
    <row r="678" spans="1:61" x14ac:dyDescent="0.25">
      <c r="A678" s="71">
        <v>793</v>
      </c>
      <c r="B678" s="36" t="s">
        <v>4059</v>
      </c>
      <c r="C678" s="36" t="s">
        <v>4059</v>
      </c>
      <c r="D678" s="3">
        <f t="shared" si="60"/>
        <v>793</v>
      </c>
      <c r="G678" s="3" t="s">
        <v>1466</v>
      </c>
      <c r="I678" t="s">
        <v>91</v>
      </c>
      <c r="J678" t="s">
        <v>91</v>
      </c>
      <c r="K678" s="53">
        <v>-1</v>
      </c>
      <c r="L678" s="53">
        <v>-1</v>
      </c>
      <c r="M678" s="53">
        <v>-1</v>
      </c>
      <c r="O678" s="61" t="s">
        <v>1505</v>
      </c>
      <c r="P678" s="61">
        <v>-98</v>
      </c>
      <c r="Q678" s="3">
        <f>IF(AND(P678&lt;&gt;"",ISNUMBER(P678),NOT(ISNA(P678))),P678,IF(R678&lt;&gt;"",VLOOKUP(R678,'ESO zone constants'!$D$5:$H$10003,5,FALSE),""))</f>
        <v>-98</v>
      </c>
      <c r="R678" t="str">
        <f>IF(AND(O678&lt;&gt;"",NOT(ISERROR(O678))),O678,
IF(AND(P678&lt;&gt;"",ISNUMBER(P678),P678&gt;0,NOT(ISNA(P678))),VLOOKUP(P678,'ESO zone constants'!$A$5:$D$10001,4,FALSE),
IF(AND(K678&lt;&gt;"",K678&gt;0,NOT(ISERROR(K678))),VLOOKUP(K678,'ESO dumped WayshrineInfo'!$K$3:$N$9971,4,FALSE),"")))</f>
        <v>!Battleground</v>
      </c>
      <c r="S678" s="61" t="s">
        <v>4046</v>
      </c>
      <c r="T678" s="19" t="str">
        <f>IF(AND(S678&lt;&gt;"",NOT(ISERROR(S678))),S678,IF(Q678&lt;&gt;"",IF(NOT(ISERROR(VLOOKUP(Q678,'ESO Dungeon constants'!$D$3:$H$9999,5,FALSE))),VLOOKUP(Q678,'ESO Dungeon constants'!$D$3:$I$9999,6,FALSE),VLOOKUP(Q678,'ESO zone constants'!$H$3:$K$9989,4,FALSE)),""))</f>
        <v>NO_DLC_UPDATE44</v>
      </c>
      <c r="U678" s="3" t="str">
        <f>IF(T678&lt;&gt;"",VLOOKUP(T678,'LibSets constants'!$B$4:$C$1017,2,FALSE),"")</f>
        <v>Patch 44, BG changes, QOL and other</v>
      </c>
      <c r="V678" s="86" t="s">
        <v>1566</v>
      </c>
      <c r="Y678" s="61"/>
      <c r="Z678" s="3" t="str">
        <f>IF(AND(G678&lt;&gt;"LIBSETS_SETTYPE_BATTLEGROUND",G678&lt;&gt;"LIBSETS_SETTYPE_SPECIAL"),
IF(AND(Y678&lt;&gt;"",ISNUMBER(Y678),NOT(ISNA(Y678))),Y678,
   IF(AND(L678&lt;&gt;"",ISNUMBER(L678),L678&gt;0,NOT(ISNA(L678))),VLOOKUP(L678,'ESO dumped WayshrineInfo'!$K$3:$L$9971,2,FALSE),"")
),"")</f>
        <v/>
      </c>
      <c r="AA678" t="str">
        <f>IF(AND(Z678&lt;&gt;"",ISNUMBER(Z678),NOT(ISNA(Z678))),VLOOKUP(Z678,'ESO zone constants'!$A$5:$D$10001,4,FALSE),"")</f>
        <v/>
      </c>
      <c r="AC678" s="39"/>
      <c r="AD678" s="39"/>
      <c r="AE678" s="61"/>
      <c r="AF678" s="3" t="str">
        <f>IF(AND(G678&lt;&gt;"LIBSETS_SETTYPE_BATTLEGROUND",G678&lt;&gt;"LIBSETS_SETTYPE_SPECIAL"),
IF(AND(AE678&lt;&gt;"",ISNUMBER(AE678),NOT(ISNA(AE678))),AE678,
   IF(AND(M678&lt;&gt;"",ISNUMBER(M678),M678&gt;0,NOT(ISNA(M678))),VLOOKUP(M678,'ESO dumped WayshrineInfo'!$K$3:$L$9971,2,FALSE),"")
),"")</f>
        <v/>
      </c>
      <c r="AG678" s="36" t="str">
        <f>IF(AND(AF678&lt;&gt;"",ISNUMBER(AF678),NOT(ISNA(AF678))),VLOOKUP(AF678,'ESO zone constants'!$A$5:$D$10001,4,FALSE),"")</f>
        <v/>
      </c>
      <c r="AI678" s="39"/>
      <c r="AJ678" s="39"/>
      <c r="AK678" s="3" t="str">
        <f>IF(AND(G678&lt;&gt;"LIBSETS_SETTYPE_BATTLEGROUND",G678&lt;&gt;"LIBSETS_SETTYPE_SPECIAL"),IF(AL678&lt;&gt;"",VLOOKUP(AL678,'ESO zone constants'!$D$5:$H$4955,5,FALSE),""),"")</f>
        <v/>
      </c>
      <c r="AN678" s="39"/>
      <c r="AO678" s="39"/>
      <c r="AP678" s="3" t="str">
        <f>IF(AND(G678&lt;&gt;"LIBSETS_SETTYPE_BATTLEGROUND",G678&lt;&gt;"LIBSETS_SETTYPE_SPECIAL"),IF(AQ678&lt;&gt;"",VLOOKUP(AQ678,'ESO zone constants'!$D$5:$H$4955,5,FALSE),""),"")</f>
        <v/>
      </c>
      <c r="AS678" s="39"/>
      <c r="AT678" s="39"/>
      <c r="AU678" s="3" t="str">
        <f>IF(AND(G678&lt;&gt;"LIBSETS_SETTYPE_BATTLEGROUND",G678&lt;&gt;"LIBSETS_SETTYPE_SPECIAL"),IF(AV678&lt;&gt;"",VLOOKUP(AV678,'ESO zone constants'!$D$5:$H$4955,5,FALSE),""),"")</f>
        <v/>
      </c>
      <c r="AX678" s="39"/>
      <c r="AY678" s="39"/>
      <c r="AZ678" s="75" t="s">
        <v>2645</v>
      </c>
      <c r="BA678" s="75"/>
      <c r="BB678" s="75"/>
      <c r="BC678"/>
      <c r="BD678"/>
      <c r="BE678" s="21" t="str">
        <f t="shared" si="61"/>
        <v>[793] = {wayshrines={-1,-1,-1,}, dlcId=NO_DLC_UPDATE44</v>
      </c>
      <c r="BF678" s="21" t="str">
        <f t="shared" si="62"/>
        <v>, zoneIds={-98}, veteran=false</v>
      </c>
      <c r="BG678" s="21" t="str">
        <f t="shared" si="63"/>
        <v>, setType=LIBSETS_SETTYPE_BATTLEGROUND</v>
      </c>
      <c r="BH678" s="21" t="str">
        <f t="shared" si="64"/>
        <v>, dropMechanic={LIBSETS_DROP_MECHANIC_BATTLEGROUND_REWARD}</v>
      </c>
      <c r="BI678" s="21" t="str">
        <f t="shared" si="65"/>
        <v>}, --Netch Oil / Netch Oil   [!Battleground]</v>
      </c>
    </row>
  </sheetData>
  <autoFilter ref="A2:BI678" xr:uid="{00000000-0001-0000-0000-000000000000}">
    <sortState xmlns:xlrd2="http://schemas.microsoft.com/office/spreadsheetml/2017/richdata2" ref="A3:BI678">
      <sortCondition ref="A2:A678"/>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5"/>
  <sheetViews>
    <sheetView zoomScale="70" zoomScaleNormal="70" workbookViewId="0">
      <pane xSplit="3" ySplit="2" topLeftCell="D650" activePane="bottomRight" state="frozen"/>
      <selection pane="topRight" activeCell="D1" sqref="D1"/>
      <selection pane="bottomLeft" activeCell="A3" sqref="A3"/>
      <selection pane="bottomRight" activeCell="C686" sqref="C68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09" t="s">
        <v>1665</v>
      </c>
      <c r="B1" s="109"/>
      <c r="C1" s="109"/>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A690" s="71">
        <v>782</v>
      </c>
      <c r="B690" s="8" t="str">
        <f>VLOOKUP(A690,'Sets data'!$A$3:$C$9918,3,FALSE)</f>
        <v>Tracker\'s Lash</v>
      </c>
      <c r="C690" s="8" t="str">
        <f>VLOOKUP(A690,'Sets data'!$A$3:$C$9918,2,FALSE)</f>
        <v>Tracker\'s Lash</v>
      </c>
    </row>
    <row r="691" spans="1:3" x14ac:dyDescent="0.25">
      <c r="A691" s="71">
        <v>783</v>
      </c>
      <c r="B691" s="8" t="str">
        <f>VLOOKUP(A691,'Sets data'!$A$3:$C$9918,3,FALSE)</f>
        <v>Shared Pain</v>
      </c>
      <c r="C691" s="8" t="str">
        <f>VLOOKUP(A691,'Sets data'!$A$3:$C$9918,2,FALSE)</f>
        <v>Shared Pain</v>
      </c>
    </row>
    <row r="692" spans="1:3" x14ac:dyDescent="0.25">
      <c r="A692" s="71">
        <v>784</v>
      </c>
      <c r="B692" s="8" t="str">
        <f>VLOOKUP(A692,'Sets data'!$A$3:$C$9918,3,FALSE)</f>
        <v>Siegemaster'\s Focus</v>
      </c>
      <c r="C692" s="8" t="str">
        <f>VLOOKUP(A692,'Sets data'!$A$3:$C$9918,2,FALSE)</f>
        <v>Siegemaster'\s Focus</v>
      </c>
    </row>
    <row r="693" spans="1:3" x14ac:dyDescent="0.25">
      <c r="A693" s="71">
        <v>791</v>
      </c>
      <c r="B693" s="8" t="str">
        <f>VLOOKUP(A693,'Sets data'!$A$3:$C$9918,3,FALSE)</f>
        <v>Bulwark Ruination</v>
      </c>
      <c r="C693" s="8" t="str">
        <f>VLOOKUP(A693,'Sets data'!$A$3:$C$9918,2,FALSE)</f>
        <v>Bulwark Ruination</v>
      </c>
    </row>
    <row r="694" spans="1:3" x14ac:dyDescent="0.25">
      <c r="A694" s="71">
        <v>792</v>
      </c>
      <c r="B694" s="8" t="str">
        <f>VLOOKUP(A694,'Sets data'!$A$3:$C$9918,3,FALSE)</f>
        <v>Farstrider</v>
      </c>
      <c r="C694" s="8" t="str">
        <f>VLOOKUP(A694,'Sets data'!$A$3:$C$9918,2,FALSE)</f>
        <v>Farstrider</v>
      </c>
    </row>
    <row r="695" spans="1:3" x14ac:dyDescent="0.25">
      <c r="A695" s="71">
        <v>793</v>
      </c>
      <c r="B695" s="8" t="str">
        <f>VLOOKUP(A695,'Sets data'!$A$3:$C$9918,3,FALSE)</f>
        <v>Netch Oil</v>
      </c>
      <c r="C695" s="8" t="str">
        <f>VLOOKUP(A695,'Sets data'!$A$3:$C$9918,2,FALSE)</f>
        <v>Netch Oil</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3" activePane="bottomRight" state="frozen"/>
      <selection pane="topRight" activeCell="D1" sqref="D1"/>
      <selection pane="bottomLeft" activeCell="A3" sqref="A3"/>
      <selection pane="bottomRight" activeCell="B15" sqref="B15"/>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0" t="s">
        <v>4036</v>
      </c>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1"/>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3565</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2716</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3943</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37"/>
  <sheetViews>
    <sheetView tabSelected="1" zoomScale="85" zoomScaleNormal="85" workbookViewId="0">
      <pane xSplit="3" ySplit="2" topLeftCell="D3" activePane="bottomRight" state="frozen"/>
      <selection pane="topRight" activeCell="D1" sqref="D1"/>
      <selection pane="bottomLeft" activeCell="A2" sqref="A2"/>
      <selection pane="bottomRight" activeCell="D3" sqref="D3"/>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2" t="s">
        <v>4069</v>
      </c>
      <c r="B1" s="112"/>
      <c r="C1" s="112"/>
      <c r="D1" s="112"/>
      <c r="E1" s="112"/>
      <c r="F1" s="112"/>
      <c r="G1" s="112"/>
      <c r="H1" s="112"/>
      <c r="I1" s="112"/>
      <c r="J1" s="112"/>
      <c r="K1" s="112"/>
      <c r="L1" s="113"/>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1">
        <v>-99</v>
      </c>
      <c r="I3" s="101">
        <v>-99</v>
      </c>
      <c r="J3" s="100"/>
      <c r="K3" s="100" t="str">
        <f>VLOOKUP(J3,'LibSets constants'!$A$4:$B$1017,2,FALSE)</f>
        <v>DLC_BASE_GAME</v>
      </c>
      <c r="L3" s="100" t="str">
        <f>VLOOKUP(J3,'LibSets constants'!$A$4:$C$1017,3,FALSE)</f>
        <v>Included in base game</v>
      </c>
    </row>
    <row r="4" spans="1:12" x14ac:dyDescent="0.25">
      <c r="A4" s="122">
        <v>-98</v>
      </c>
      <c r="B4" s="122" t="s">
        <v>3815</v>
      </c>
      <c r="C4" s="122"/>
      <c r="D4" s="123" t="s">
        <v>2365</v>
      </c>
      <c r="E4" s="124"/>
      <c r="F4" s="124" t="s">
        <v>3812</v>
      </c>
      <c r="G4" s="124" t="s">
        <v>3813</v>
      </c>
      <c r="H4" s="125">
        <v>-98</v>
      </c>
      <c r="I4" s="126">
        <v>-98</v>
      </c>
      <c r="J4" s="124"/>
      <c r="K4" s="124" t="str">
        <f>VLOOKUP(J4,'LibSets constants'!$A$4:$B$1017,2,FALSE)</f>
        <v>DLC_BASE_GAME</v>
      </c>
      <c r="L4" s="124" t="str">
        <f>VLOOKUP(J4,'LibSets constants'!$A$4:$C$1017,3,FALSE)</f>
        <v>Included in base game</v>
      </c>
    </row>
    <row r="5" spans="1:12" x14ac:dyDescent="0.25">
      <c r="A5" s="127">
        <v>0</v>
      </c>
      <c r="B5" s="127">
        <v>4294967296</v>
      </c>
      <c r="C5" s="127">
        <v>0</v>
      </c>
      <c r="D5" s="128" t="s">
        <v>2220</v>
      </c>
      <c r="E5" s="129" t="str">
        <f t="array" ref="E5">IF(OR(EXACT(A5,'ESO Dungeon constants'!$D$3:$D$987)),"X","")</f>
        <v/>
      </c>
      <c r="F5" s="128" t="str">
        <f>IF(EXACT(A5,C5),"X","")</f>
        <v>X</v>
      </c>
      <c r="G5" s="128" t="s">
        <v>2220</v>
      </c>
      <c r="H5" s="130">
        <f>A5</f>
        <v>0</v>
      </c>
      <c r="I5" s="130">
        <f>C5</f>
        <v>0</v>
      </c>
      <c r="J5" s="131">
        <v>0</v>
      </c>
      <c r="K5" s="128" t="str">
        <f>VLOOKUP(J5,'LibSets constants'!$A$4:$B$1017,2,FALSE)</f>
        <v>DLC_BASE_GAME</v>
      </c>
      <c r="L5" s="128" t="str">
        <f>VLOOKUP(J5,'LibSets constants'!$A$4:$C$1017,3,FALSE)</f>
        <v>Included in base game</v>
      </c>
    </row>
    <row r="6" spans="1:12" x14ac:dyDescent="0.25">
      <c r="A6">
        <v>2</v>
      </c>
      <c r="B6">
        <v>1</v>
      </c>
      <c r="C6">
        <v>2</v>
      </c>
      <c r="D6" t="s">
        <v>102</v>
      </c>
      <c r="E6" t="str">
        <f>IF(NOT(ISERROR(VLOOKUP(D6,'ESO Dungeon constants'!$A$3:$A$9999,1,FALSE))),"X","")</f>
        <v/>
      </c>
      <c r="F6" s="120" t="str">
        <f>IF(EXACT(A6,C6),"X","")</f>
        <v>X</v>
      </c>
      <c r="G6" s="120" t="str">
        <f>IF(A6&lt;&gt;C6,VLOOKUP(C6,$A$5:$D$9954,4,FALSE),"")</f>
        <v/>
      </c>
      <c r="H6" s="121">
        <f>A6</f>
        <v>2</v>
      </c>
      <c r="I6" s="121">
        <f>C6</f>
        <v>2</v>
      </c>
      <c r="J6">
        <v>0</v>
      </c>
      <c r="K6" s="120" t="str">
        <f>VLOOKUP(J6,'LibSets constants'!$A$4:$B$1017,2,FALSE)</f>
        <v>DLC_BASE_GAME</v>
      </c>
      <c r="L6" s="120" t="str">
        <f>VLOOKUP(J6,'LibSets constants'!$A$4:$C$1017,3,FALSE)</f>
        <v>Included in base game</v>
      </c>
    </row>
    <row r="7" spans="1:12" x14ac:dyDescent="0.25">
      <c r="A7">
        <v>3</v>
      </c>
      <c r="B7">
        <v>2</v>
      </c>
      <c r="C7">
        <v>3</v>
      </c>
      <c r="D7" t="s">
        <v>103</v>
      </c>
      <c r="E7" t="str">
        <f>IF(NOT(ISERROR(VLOOKUP(D7,'ESO Dungeon constants'!$A$3:$A$9999,1,FALSE))),"X","")</f>
        <v/>
      </c>
      <c r="F7" s="3" t="str">
        <f>IF(EXACT(A7,C7),"X","")</f>
        <v>X</v>
      </c>
      <c r="G7" s="3" t="str">
        <f>IF(A7&lt;&gt;C7,VLOOKUP(C7,$A$5:$D$9954,4,FALSE),"")</f>
        <v/>
      </c>
      <c r="H7" s="17">
        <f>A7</f>
        <v>3</v>
      </c>
      <c r="I7" s="17">
        <f>C7</f>
        <v>3</v>
      </c>
      <c r="J7">
        <v>0</v>
      </c>
      <c r="K7" s="3" t="str">
        <f>VLOOKUP(J7,'LibSets constants'!$A$4:$B$1017,2,FALSE)</f>
        <v>DLC_BASE_GAME</v>
      </c>
      <c r="L7" s="3" t="str">
        <f>VLOOKUP(J7,'LibSets constants'!$A$4:$C$1017,3,FALSE)</f>
        <v>Included in base game</v>
      </c>
    </row>
    <row r="8" spans="1:12" x14ac:dyDescent="0.25">
      <c r="A8">
        <v>19</v>
      </c>
      <c r="B8">
        <v>4</v>
      </c>
      <c r="C8">
        <v>19</v>
      </c>
      <c r="D8" t="s">
        <v>104</v>
      </c>
      <c r="E8" t="str">
        <f>IF(NOT(ISERROR(VLOOKUP(D8,'ESO Dungeon constants'!$A$3:$A$9999,1,FALSE))),"X","")</f>
        <v/>
      </c>
      <c r="F8" s="3" t="str">
        <f>IF(EXACT(A8,C8),"X","")</f>
        <v>X</v>
      </c>
      <c r="G8" s="3" t="str">
        <f>IF(A8&lt;&gt;C8,VLOOKUP(C8,$A$5:$D$9954,4,FALSE),"")</f>
        <v/>
      </c>
      <c r="H8" s="17">
        <f>A8</f>
        <v>19</v>
      </c>
      <c r="I8" s="17">
        <f>C8</f>
        <v>19</v>
      </c>
      <c r="J8">
        <v>0</v>
      </c>
      <c r="K8" s="3" t="str">
        <f>VLOOKUP(J8,'LibSets constants'!$A$4:$B$1017,2,FALSE)</f>
        <v>DLC_BASE_GAME</v>
      </c>
      <c r="L8" s="3" t="str">
        <f>VLOOKUP(J8,'LibSets constants'!$A$4:$C$1017,3,FALSE)</f>
        <v>Included in base game</v>
      </c>
    </row>
    <row r="9" spans="1:12" x14ac:dyDescent="0.25">
      <c r="A9">
        <v>638</v>
      </c>
      <c r="B9">
        <v>370</v>
      </c>
      <c r="C9">
        <v>888</v>
      </c>
      <c r="D9" t="s">
        <v>441</v>
      </c>
      <c r="E9" t="str">
        <f>IF(NOT(ISERROR(VLOOKUP(D9,'ESO Dungeon constants'!$A$3:$A$9999,1,FALSE))),"X","")</f>
        <v>X</v>
      </c>
      <c r="F9" s="3" t="str">
        <f>IF(EXACT(A9,C9),"X","")</f>
        <v/>
      </c>
      <c r="G9" s="3" t="str">
        <f>IF(A9&lt;&gt;C9,VLOOKUP(C9,$A$5:$D$9954,4,FALSE),"")</f>
        <v>Craglorn</v>
      </c>
      <c r="H9" s="17">
        <f>A9</f>
        <v>638</v>
      </c>
      <c r="I9" s="17">
        <f>C9</f>
        <v>888</v>
      </c>
      <c r="J9">
        <f>IF(E9="X",VLOOKUP(D9,'ESO Dungeon constants'!$A$3:$H$9999,8,FALSE),0)</f>
        <v>0</v>
      </c>
      <c r="K9" s="3" t="str">
        <f>VLOOKUP(J9,'LibSets constants'!$A$4:$B$1017,2,FALSE)</f>
        <v>DLC_BASE_GAME</v>
      </c>
      <c r="L9" s="3" t="str">
        <f>VLOOKUP(J9,'LibSets constants'!$A$4:$C$1017,3,FALSE)</f>
        <v>Included in base game</v>
      </c>
    </row>
    <row r="10" spans="1:12" x14ac:dyDescent="0.25">
      <c r="A10">
        <v>20</v>
      </c>
      <c r="B10">
        <v>5</v>
      </c>
      <c r="C10">
        <v>20</v>
      </c>
      <c r="D10" t="s">
        <v>105</v>
      </c>
      <c r="E10" t="str">
        <f>IF(NOT(ISERROR(VLOOKUP(D10,'ESO Dungeon constants'!$A$3:$A$9999,1,FALSE))),"X","")</f>
        <v/>
      </c>
      <c r="F10" s="3" t="str">
        <f>IF(EXACT(A10,C10),"X","")</f>
        <v>X</v>
      </c>
      <c r="G10" s="3" t="str">
        <f>IF(A10&lt;&gt;C10,VLOOKUP(C10,$A$5:$D$9954,4,FALSE),"")</f>
        <v/>
      </c>
      <c r="H10" s="17">
        <f>A10</f>
        <v>20</v>
      </c>
      <c r="I10" s="17">
        <f>C10</f>
        <v>20</v>
      </c>
      <c r="J10">
        <v>0</v>
      </c>
      <c r="K10" s="3" t="str">
        <f>VLOOKUP(J10,'LibSets constants'!$A$4:$B$1017,2,FALSE)</f>
        <v>DLC_BASE_GAME</v>
      </c>
      <c r="L10" s="3" t="str">
        <f>VLOOKUP(J10,'LibSets constants'!$A$4:$C$1017,3,FALSE)</f>
        <v>Included in base game</v>
      </c>
    </row>
    <row r="11" spans="1:12" x14ac:dyDescent="0.25">
      <c r="A11">
        <v>41</v>
      </c>
      <c r="B11">
        <v>9</v>
      </c>
      <c r="C11">
        <v>41</v>
      </c>
      <c r="D11" t="s">
        <v>106</v>
      </c>
      <c r="E11" t="str">
        <f>IF(NOT(ISERROR(VLOOKUP(D11,'ESO Dungeon constants'!$A$3:$A$9999,1,FALSE))),"X","")</f>
        <v/>
      </c>
      <c r="F11" s="3" t="str">
        <f>IF(EXACT(A11,C11),"X","")</f>
        <v>X</v>
      </c>
      <c r="G11" s="3" t="str">
        <f>IF(A11&lt;&gt;C11,VLOOKUP(C11,$A$5:$D$9954,4,FALSE),"")</f>
        <v/>
      </c>
      <c r="H11" s="17">
        <f>A11</f>
        <v>41</v>
      </c>
      <c r="I11" s="17">
        <f>C11</f>
        <v>41</v>
      </c>
      <c r="J11">
        <v>0</v>
      </c>
      <c r="K11" s="3" t="str">
        <f>VLOOKUP(J11,'LibSets constants'!$A$4:$B$1017,2,FALSE)</f>
        <v>DLC_BASE_GAME</v>
      </c>
      <c r="L11" s="3" t="str">
        <f>VLOOKUP(J11,'LibSets constants'!$A$4:$C$1017,3,FALSE)</f>
        <v>Included in base game</v>
      </c>
    </row>
    <row r="12" spans="1:12" x14ac:dyDescent="0.25">
      <c r="A12">
        <v>57</v>
      </c>
      <c r="B12">
        <v>10</v>
      </c>
      <c r="C12">
        <v>57</v>
      </c>
      <c r="D12" t="s">
        <v>107</v>
      </c>
      <c r="E12" t="str">
        <f>IF(NOT(ISERROR(VLOOKUP(D12,'ESO Dungeon constants'!$A$3:$A$9999,1,FALSE))),"X","")</f>
        <v/>
      </c>
      <c r="F12" s="3" t="str">
        <f>IF(EXACT(A12,C12),"X","")</f>
        <v>X</v>
      </c>
      <c r="G12" s="3" t="str">
        <f>IF(A12&lt;&gt;C12,VLOOKUP(C12,$A$5:$D$9954,4,FALSE),"")</f>
        <v/>
      </c>
      <c r="H12" s="17">
        <f>A12</f>
        <v>57</v>
      </c>
      <c r="I12" s="17">
        <f>C12</f>
        <v>57</v>
      </c>
      <c r="J12">
        <v>0</v>
      </c>
      <c r="K12" s="3" t="str">
        <f>VLOOKUP(J12,'LibSets constants'!$A$4:$B$1017,2,FALSE)</f>
        <v>DLC_BASE_GAME</v>
      </c>
      <c r="L12" s="3" t="str">
        <f>VLOOKUP(J12,'LibSets constants'!$A$4:$C$1017,3,FALSE)</f>
        <v>Included in base game</v>
      </c>
    </row>
    <row r="13" spans="1:12" x14ac:dyDescent="0.25">
      <c r="A13">
        <v>58</v>
      </c>
      <c r="B13">
        <v>11</v>
      </c>
      <c r="C13">
        <v>58</v>
      </c>
      <c r="D13" t="s">
        <v>108</v>
      </c>
      <c r="E13" t="str">
        <f>IF(NOT(ISERROR(VLOOKUP(D13,'ESO Dungeon constants'!$A$3:$A$9999,1,FALSE))),"X","")</f>
        <v/>
      </c>
      <c r="F13" s="3" t="str">
        <f>IF(EXACT(A13,C13),"X","")</f>
        <v>X</v>
      </c>
      <c r="G13" s="3" t="str">
        <f>IF(A13&lt;&gt;C13,VLOOKUP(C13,$A$5:$D$9954,4,FALSE),"")</f>
        <v/>
      </c>
      <c r="H13" s="17">
        <f>A13</f>
        <v>58</v>
      </c>
      <c r="I13" s="17">
        <f>C13</f>
        <v>58</v>
      </c>
      <c r="J13">
        <v>0</v>
      </c>
      <c r="K13" s="3" t="str">
        <f>VLOOKUP(J13,'LibSets constants'!$A$4:$B$1017,2,FALSE)</f>
        <v>DLC_BASE_GAME</v>
      </c>
      <c r="L13" s="3" t="str">
        <f>VLOOKUP(J13,'LibSets constants'!$A$4:$C$1017,3,FALSE)</f>
        <v>Included in base game</v>
      </c>
    </row>
    <row r="14" spans="1:12" x14ac:dyDescent="0.25">
      <c r="A14">
        <v>92</v>
      </c>
      <c r="B14">
        <v>14</v>
      </c>
      <c r="C14">
        <v>92</v>
      </c>
      <c r="D14" t="s">
        <v>109</v>
      </c>
      <c r="E14" t="str">
        <f>IF(NOT(ISERROR(VLOOKUP(D14,'ESO Dungeon constants'!$A$3:$A$9999,1,FALSE))),"X","")</f>
        <v/>
      </c>
      <c r="F14" s="3" t="str">
        <f>IF(EXACT(A14,C14),"X","")</f>
        <v>X</v>
      </c>
      <c r="G14" s="3" t="str">
        <f>IF(A14&lt;&gt;C14,VLOOKUP(C14,$A$5:$D$9954,4,FALSE),"")</f>
        <v/>
      </c>
      <c r="H14" s="17">
        <f>A14</f>
        <v>92</v>
      </c>
      <c r="I14" s="17">
        <f>C14</f>
        <v>92</v>
      </c>
      <c r="J14">
        <v>0</v>
      </c>
      <c r="K14" s="3" t="str">
        <f>VLOOKUP(J14,'LibSets constants'!$A$4:$B$1017,2,FALSE)</f>
        <v>DLC_BASE_GAME</v>
      </c>
      <c r="L14" s="3" t="str">
        <f>VLOOKUP(J14,'LibSets constants'!$A$4:$C$1017,3,FALSE)</f>
        <v>Included in base game</v>
      </c>
    </row>
    <row r="15" spans="1:12" x14ac:dyDescent="0.25">
      <c r="A15">
        <v>101</v>
      </c>
      <c r="B15">
        <v>15</v>
      </c>
      <c r="C15">
        <v>101</v>
      </c>
      <c r="D15" t="s">
        <v>110</v>
      </c>
      <c r="E15" t="str">
        <f>IF(NOT(ISERROR(VLOOKUP(D15,'ESO Dungeon constants'!$A$3:$A$9999,1,FALSE))),"X","")</f>
        <v/>
      </c>
      <c r="F15" s="3" t="str">
        <f>IF(EXACT(A15,C15),"X","")</f>
        <v>X</v>
      </c>
      <c r="G15" s="3" t="str">
        <f>IF(A15&lt;&gt;C15,VLOOKUP(C15,$A$5:$D$9954,4,FALSE),"")</f>
        <v/>
      </c>
      <c r="H15" s="17">
        <f>A15</f>
        <v>101</v>
      </c>
      <c r="I15" s="17">
        <f>C15</f>
        <v>101</v>
      </c>
      <c r="J15">
        <v>0</v>
      </c>
      <c r="K15" s="3" t="str">
        <f>VLOOKUP(J15,'LibSets constants'!$A$4:$B$1017,2,FALSE)</f>
        <v>DLC_BASE_GAME</v>
      </c>
      <c r="L15" s="3" t="str">
        <f>VLOOKUP(J15,'LibSets constants'!$A$4:$C$1017,3,FALSE)</f>
        <v>Included in base game</v>
      </c>
    </row>
    <row r="16" spans="1:12" x14ac:dyDescent="0.25">
      <c r="A16">
        <v>103</v>
      </c>
      <c r="B16">
        <v>16</v>
      </c>
      <c r="C16">
        <v>103</v>
      </c>
      <c r="D16" t="s">
        <v>111</v>
      </c>
      <c r="E16" t="str">
        <f>IF(NOT(ISERROR(VLOOKUP(D16,'ESO Dungeon constants'!$A$3:$A$9999,1,FALSE))),"X","")</f>
        <v/>
      </c>
      <c r="F16" s="3" t="str">
        <f>IF(EXACT(A16,C16),"X","")</f>
        <v>X</v>
      </c>
      <c r="G16" s="3" t="str">
        <f>IF(A16&lt;&gt;C16,VLOOKUP(C16,$A$5:$D$9954,4,FALSE),"")</f>
        <v/>
      </c>
      <c r="H16" s="17">
        <f>A16</f>
        <v>103</v>
      </c>
      <c r="I16" s="17">
        <f>C16</f>
        <v>103</v>
      </c>
      <c r="J16">
        <v>0</v>
      </c>
      <c r="K16" s="3" t="str">
        <f>VLOOKUP(J16,'LibSets constants'!$A$4:$B$1017,2,FALSE)</f>
        <v>DLC_BASE_GAME</v>
      </c>
      <c r="L16" s="3" t="str">
        <f>VLOOKUP(J16,'LibSets constants'!$A$4:$C$1017,3,FALSE)</f>
        <v>Included in base game</v>
      </c>
    </row>
    <row r="17" spans="1:12" x14ac:dyDescent="0.25">
      <c r="A17">
        <v>104</v>
      </c>
      <c r="B17">
        <v>17</v>
      </c>
      <c r="C17">
        <v>104</v>
      </c>
      <c r="D17" t="s">
        <v>112</v>
      </c>
      <c r="E17" t="str">
        <f>IF(NOT(ISERROR(VLOOKUP(D17,'ESO Dungeon constants'!$A$3:$A$9999,1,FALSE))),"X","")</f>
        <v/>
      </c>
      <c r="F17" s="3" t="str">
        <f>IF(EXACT(A17,C17),"X","")</f>
        <v>X</v>
      </c>
      <c r="G17" s="3" t="str">
        <f>IF(A17&lt;&gt;C17,VLOOKUP(C17,$A$5:$D$9954,4,FALSE),"")</f>
        <v/>
      </c>
      <c r="H17" s="17">
        <f>A17</f>
        <v>104</v>
      </c>
      <c r="I17" s="17">
        <f>C17</f>
        <v>104</v>
      </c>
      <c r="J17">
        <v>0</v>
      </c>
      <c r="K17" s="3" t="str">
        <f>VLOOKUP(J17,'LibSets constants'!$A$4:$B$1017,2,FALSE)</f>
        <v>DLC_BASE_GAME</v>
      </c>
      <c r="L17" s="3" t="str">
        <f>VLOOKUP(J17,'LibSets constants'!$A$4:$C$1017,3,FALSE)</f>
        <v>Included in base game</v>
      </c>
    </row>
    <row r="18" spans="1:12" x14ac:dyDescent="0.25">
      <c r="A18">
        <v>108</v>
      </c>
      <c r="B18">
        <v>18</v>
      </c>
      <c r="C18">
        <v>108</v>
      </c>
      <c r="D18" t="s">
        <v>113</v>
      </c>
      <c r="E18" t="str">
        <f>IF(NOT(ISERROR(VLOOKUP(D18,'ESO Dungeon constants'!$A$3:$A$9999,1,FALSE))),"X","")</f>
        <v/>
      </c>
      <c r="F18" s="3" t="str">
        <f>IF(EXACT(A18,C18),"X","")</f>
        <v>X</v>
      </c>
      <c r="G18" s="3" t="str">
        <f>IF(A18&lt;&gt;C18,VLOOKUP(C18,$A$5:$D$9954,4,FALSE),"")</f>
        <v/>
      </c>
      <c r="H18" s="17">
        <f>A18</f>
        <v>108</v>
      </c>
      <c r="I18" s="17">
        <f>C18</f>
        <v>108</v>
      </c>
      <c r="J18">
        <v>0</v>
      </c>
      <c r="K18" s="3" t="str">
        <f>VLOOKUP(J18,'LibSets constants'!$A$4:$B$1017,2,FALSE)</f>
        <v>DLC_BASE_GAME</v>
      </c>
      <c r="L18" s="3" t="str">
        <f>VLOOKUP(J18,'LibSets constants'!$A$4:$C$1017,3,FALSE)</f>
        <v>Included in base game</v>
      </c>
    </row>
    <row r="19" spans="1:12" x14ac:dyDescent="0.25">
      <c r="A19">
        <v>117</v>
      </c>
      <c r="B19">
        <v>19</v>
      </c>
      <c r="C19">
        <v>117</v>
      </c>
      <c r="D19" t="s">
        <v>114</v>
      </c>
      <c r="E19" t="str">
        <f>IF(NOT(ISERROR(VLOOKUP(D19,'ESO Dungeon constants'!$A$3:$A$9999,1,FALSE))),"X","")</f>
        <v/>
      </c>
      <c r="F19" s="3" t="str">
        <f>IF(EXACT(A19,C19),"X","")</f>
        <v>X</v>
      </c>
      <c r="G19" s="3" t="str">
        <f>IF(A19&lt;&gt;C19,VLOOKUP(C19,$A$5:$D$9954,4,FALSE),"")</f>
        <v/>
      </c>
      <c r="H19" s="17">
        <f>A19</f>
        <v>117</v>
      </c>
      <c r="I19" s="17">
        <f>C19</f>
        <v>117</v>
      </c>
      <c r="J19">
        <v>0</v>
      </c>
      <c r="K19" s="3" t="str">
        <f>VLOOKUP(J19,'LibSets constants'!$A$4:$B$1017,2,FALSE)</f>
        <v>DLC_BASE_GAME</v>
      </c>
      <c r="L19" s="3" t="str">
        <f>VLOOKUP(J19,'LibSets constants'!$A$4:$C$1017,3,FALSE)</f>
        <v>Included in base game</v>
      </c>
    </row>
    <row r="20" spans="1:12" x14ac:dyDescent="0.25">
      <c r="A20">
        <v>124</v>
      </c>
      <c r="B20">
        <v>20</v>
      </c>
      <c r="C20">
        <v>383</v>
      </c>
      <c r="D20" t="s">
        <v>115</v>
      </c>
      <c r="E20" t="str">
        <f>IF(NOT(ISERROR(VLOOKUP(D20,'ESO Dungeon constants'!$A$3:$A$9999,1,FALSE))),"X","")</f>
        <v/>
      </c>
      <c r="F20" s="3" t="str">
        <f>IF(EXACT(A20,C20),"X","")</f>
        <v/>
      </c>
      <c r="G20" s="3" t="str">
        <f>IF(A20&lt;&gt;C20,VLOOKUP(C20,$A$5:$D$9954,4,FALSE),"")</f>
        <v>Grahtwood</v>
      </c>
      <c r="H20" s="17">
        <f>A20</f>
        <v>124</v>
      </c>
      <c r="I20" s="17">
        <f>C20</f>
        <v>383</v>
      </c>
      <c r="J20">
        <v>0</v>
      </c>
      <c r="K20" s="3" t="str">
        <f>VLOOKUP(J20,'LibSets constants'!$A$4:$B$1017,2,FALSE)</f>
        <v>DLC_BASE_GAME</v>
      </c>
      <c r="L20" s="3" t="str">
        <f>VLOOKUP(J20,'LibSets constants'!$A$4:$C$1017,3,FALSE)</f>
        <v>Included in base game</v>
      </c>
    </row>
    <row r="21" spans="1:12" x14ac:dyDescent="0.25">
      <c r="A21">
        <v>134</v>
      </c>
      <c r="B21">
        <v>24</v>
      </c>
      <c r="C21">
        <v>117</v>
      </c>
      <c r="D21" t="s">
        <v>116</v>
      </c>
      <c r="E21" t="str">
        <f>IF(NOT(ISERROR(VLOOKUP(D21,'ESO Dungeon constants'!$A$3:$A$9999,1,FALSE))),"X","")</f>
        <v/>
      </c>
      <c r="F21" s="3" t="str">
        <f>IF(EXACT(A21,C21),"X","")</f>
        <v/>
      </c>
      <c r="G21" s="3" t="str">
        <f>IF(A21&lt;&gt;C21,VLOOKUP(C21,$A$5:$D$9954,4,FALSE),"")</f>
        <v>Shadowfen</v>
      </c>
      <c r="H21" s="17">
        <f>A21</f>
        <v>134</v>
      </c>
      <c r="I21" s="17">
        <f>C21</f>
        <v>117</v>
      </c>
      <c r="J21">
        <v>0</v>
      </c>
      <c r="K21" s="3" t="str">
        <f>VLOOKUP(J21,'LibSets constants'!$A$4:$B$1017,2,FALSE)</f>
        <v>DLC_BASE_GAME</v>
      </c>
      <c r="L21" s="3" t="str">
        <f>VLOOKUP(J21,'LibSets constants'!$A$4:$C$1017,3,FALSE)</f>
        <v>Included in base game</v>
      </c>
    </row>
    <row r="22" spans="1:12" x14ac:dyDescent="0.25">
      <c r="A22">
        <v>137</v>
      </c>
      <c r="B22">
        <v>25</v>
      </c>
      <c r="C22">
        <v>108</v>
      </c>
      <c r="D22" t="s">
        <v>117</v>
      </c>
      <c r="E22" t="str">
        <f>IF(NOT(ISERROR(VLOOKUP(D22,'ESO Dungeon constants'!$A$3:$A$9999,1,FALSE))),"X","")</f>
        <v/>
      </c>
      <c r="F22" s="3" t="str">
        <f>IF(EXACT(A22,C22),"X","")</f>
        <v/>
      </c>
      <c r="G22" s="3" t="str">
        <f>IF(A22&lt;&gt;C22,VLOOKUP(C22,$A$5:$D$9954,4,FALSE),"")</f>
        <v>Greenshade</v>
      </c>
      <c r="H22" s="17">
        <f>A22</f>
        <v>137</v>
      </c>
      <c r="I22" s="17">
        <f>C22</f>
        <v>108</v>
      </c>
      <c r="J22">
        <v>0</v>
      </c>
      <c r="K22" s="3" t="str">
        <f>VLOOKUP(J22,'LibSets constants'!$A$4:$B$1017,2,FALSE)</f>
        <v>DLC_BASE_GAME</v>
      </c>
      <c r="L22" s="3" t="str">
        <f>VLOOKUP(J22,'LibSets constants'!$A$4:$C$1017,3,FALSE)</f>
        <v>Included in base game</v>
      </c>
    </row>
    <row r="23" spans="1:12" x14ac:dyDescent="0.25">
      <c r="A23">
        <v>138</v>
      </c>
      <c r="B23">
        <v>26</v>
      </c>
      <c r="C23">
        <v>58</v>
      </c>
      <c r="D23" t="s">
        <v>118</v>
      </c>
      <c r="E23" t="str">
        <f>IF(NOT(ISERROR(VLOOKUP(D23,'ESO Dungeon constants'!$A$3:$A$9999,1,FALSE))),"X","")</f>
        <v/>
      </c>
      <c r="F23" s="3" t="str">
        <f>IF(EXACT(A23,C23),"X","")</f>
        <v/>
      </c>
      <c r="G23" s="3" t="str">
        <f>IF(A23&lt;&gt;C23,VLOOKUP(C23,$A$5:$D$9954,4,FALSE),"")</f>
        <v>Malabal Tor</v>
      </c>
      <c r="H23" s="17">
        <f>A23</f>
        <v>138</v>
      </c>
      <c r="I23" s="17">
        <f>C23</f>
        <v>58</v>
      </c>
      <c r="J23">
        <v>0</v>
      </c>
      <c r="K23" s="3" t="str">
        <f>VLOOKUP(J23,'LibSets constants'!$A$4:$B$1017,2,FALSE)</f>
        <v>DLC_BASE_GAME</v>
      </c>
      <c r="L23" s="3" t="str">
        <f>VLOOKUP(J23,'LibSets constants'!$A$4:$C$1017,3,FALSE)</f>
        <v>Included in base game</v>
      </c>
    </row>
    <row r="24" spans="1:12" x14ac:dyDescent="0.25">
      <c r="A24">
        <v>142</v>
      </c>
      <c r="B24">
        <v>27</v>
      </c>
      <c r="C24">
        <v>19</v>
      </c>
      <c r="D24" t="s">
        <v>119</v>
      </c>
      <c r="E24" t="str">
        <f>IF(NOT(ISERROR(VLOOKUP(D24,'ESO Dungeon constants'!$A$3:$A$9999,1,FALSE))),"X","")</f>
        <v/>
      </c>
      <c r="F24" s="3" t="str">
        <f>IF(EXACT(A24,C24),"X","")</f>
        <v/>
      </c>
      <c r="G24" s="3" t="str">
        <f>IF(A24&lt;&gt;C24,VLOOKUP(C24,$A$5:$D$9954,4,FALSE),"")</f>
        <v>Stormhaven</v>
      </c>
      <c r="H24" s="17">
        <f>A24</f>
        <v>142</v>
      </c>
      <c r="I24" s="17">
        <f>C24</f>
        <v>19</v>
      </c>
      <c r="J24">
        <v>0</v>
      </c>
      <c r="K24" s="3" t="str">
        <f>VLOOKUP(J24,'LibSets constants'!$A$4:$B$1017,2,FALSE)</f>
        <v>DLC_BASE_GAME</v>
      </c>
      <c r="L24" s="3" t="str">
        <f>VLOOKUP(J24,'LibSets constants'!$A$4:$C$1017,3,FALSE)</f>
        <v>Included in base game</v>
      </c>
    </row>
    <row r="25" spans="1:12" x14ac:dyDescent="0.25">
      <c r="A25">
        <v>159</v>
      </c>
      <c r="B25">
        <v>31</v>
      </c>
      <c r="C25">
        <v>19</v>
      </c>
      <c r="D25" t="s">
        <v>120</v>
      </c>
      <c r="E25" t="str">
        <f>IF(NOT(ISERROR(VLOOKUP(D25,'ESO Dungeon constants'!$A$3:$A$9999,1,FALSE))),"X","")</f>
        <v/>
      </c>
      <c r="F25" s="3" t="str">
        <f>IF(EXACT(A25,C25),"X","")</f>
        <v/>
      </c>
      <c r="G25" s="3" t="str">
        <f>IF(A25&lt;&gt;C25,VLOOKUP(C25,$A$5:$D$9954,4,FALSE),"")</f>
        <v>Stormhaven</v>
      </c>
      <c r="H25" s="17">
        <f>A25</f>
        <v>159</v>
      </c>
      <c r="I25" s="17">
        <f>C25</f>
        <v>19</v>
      </c>
      <c r="J25">
        <v>0</v>
      </c>
      <c r="K25" s="3" t="str">
        <f>VLOOKUP(J25,'LibSets constants'!$A$4:$B$1017,2,FALSE)</f>
        <v>DLC_BASE_GAME</v>
      </c>
      <c r="L25" s="3" t="str">
        <f>VLOOKUP(J25,'LibSets constants'!$A$4:$C$1017,3,FALSE)</f>
        <v>Included in base game</v>
      </c>
    </row>
    <row r="26" spans="1:12" x14ac:dyDescent="0.25">
      <c r="A26">
        <v>162</v>
      </c>
      <c r="B26">
        <v>32</v>
      </c>
      <c r="C26">
        <v>20</v>
      </c>
      <c r="D26" t="s">
        <v>121</v>
      </c>
      <c r="E26" t="str">
        <f>IF(NOT(ISERROR(VLOOKUP(D26,'ESO Dungeon constants'!$A$3:$A$9999,1,FALSE))),"X","")</f>
        <v/>
      </c>
      <c r="F26" s="3" t="str">
        <f>IF(EXACT(A26,C26),"X","")</f>
        <v/>
      </c>
      <c r="G26" s="3" t="str">
        <f>IF(A26&lt;&gt;C26,VLOOKUP(C26,$A$5:$D$9954,4,FALSE),"")</f>
        <v>Rivenspire</v>
      </c>
      <c r="H26" s="17">
        <f>A26</f>
        <v>162</v>
      </c>
      <c r="I26" s="17">
        <f>C26</f>
        <v>20</v>
      </c>
      <c r="J26">
        <v>0</v>
      </c>
      <c r="K26" s="3" t="str">
        <f>VLOOKUP(J26,'LibSets constants'!$A$4:$B$1017,2,FALSE)</f>
        <v>DLC_BASE_GAME</v>
      </c>
      <c r="L26" s="3" t="str">
        <f>VLOOKUP(J26,'LibSets constants'!$A$4:$C$1017,3,FALSE)</f>
        <v>Included in base game</v>
      </c>
    </row>
    <row r="27" spans="1:12" x14ac:dyDescent="0.25">
      <c r="A27">
        <v>166</v>
      </c>
      <c r="B27">
        <v>33</v>
      </c>
      <c r="C27">
        <v>3</v>
      </c>
      <c r="D27" t="s">
        <v>122</v>
      </c>
      <c r="E27" t="str">
        <f>IF(NOT(ISERROR(VLOOKUP(D27,'ESO Dungeon constants'!$A$3:$A$9999,1,FALSE))),"X","")</f>
        <v/>
      </c>
      <c r="F27" s="3" t="str">
        <f>IF(EXACT(A27,C27),"X","")</f>
        <v/>
      </c>
      <c r="G27" s="3" t="str">
        <f>IF(A27&lt;&gt;C27,VLOOKUP(C27,$A$5:$D$9954,4,FALSE),"")</f>
        <v>Glenumbra</v>
      </c>
      <c r="H27" s="17">
        <f>A27</f>
        <v>166</v>
      </c>
      <c r="I27" s="17">
        <f>C27</f>
        <v>3</v>
      </c>
      <c r="J27">
        <v>0</v>
      </c>
      <c r="K27" s="3" t="str">
        <f>VLOOKUP(J27,'LibSets constants'!$A$4:$B$1017,2,FALSE)</f>
        <v>DLC_BASE_GAME</v>
      </c>
      <c r="L27" s="3" t="str">
        <f>VLOOKUP(J27,'LibSets constants'!$A$4:$C$1017,3,FALSE)</f>
        <v>Included in base game</v>
      </c>
    </row>
    <row r="28" spans="1:12" x14ac:dyDescent="0.25">
      <c r="A28">
        <v>168</v>
      </c>
      <c r="B28">
        <v>34</v>
      </c>
      <c r="C28">
        <v>92</v>
      </c>
      <c r="D28" t="s">
        <v>123</v>
      </c>
      <c r="E28" t="str">
        <f>IF(NOT(ISERROR(VLOOKUP(D28,'ESO Dungeon constants'!$A$3:$A$9999,1,FALSE))),"X","")</f>
        <v/>
      </c>
      <c r="F28" s="3" t="str">
        <f>IF(EXACT(A28,C28),"X","")</f>
        <v/>
      </c>
      <c r="G28" s="3" t="str">
        <f>IF(A28&lt;&gt;C28,VLOOKUP(C28,$A$5:$D$9954,4,FALSE),"")</f>
        <v>Bangkorai</v>
      </c>
      <c r="H28" s="17">
        <f>A28</f>
        <v>168</v>
      </c>
      <c r="I28" s="17">
        <f>C28</f>
        <v>92</v>
      </c>
      <c r="J28">
        <v>0</v>
      </c>
      <c r="K28" s="3" t="str">
        <f>VLOOKUP(J28,'LibSets constants'!$A$4:$B$1017,2,FALSE)</f>
        <v>DLC_BASE_GAME</v>
      </c>
      <c r="L28" s="3" t="str">
        <f>VLOOKUP(J28,'LibSets constants'!$A$4:$C$1017,3,FALSE)</f>
        <v>Included in base game</v>
      </c>
    </row>
    <row r="29" spans="1:12" x14ac:dyDescent="0.25">
      <c r="A29">
        <v>169</v>
      </c>
      <c r="B29">
        <v>35</v>
      </c>
      <c r="C29">
        <v>92</v>
      </c>
      <c r="D29" t="s">
        <v>124</v>
      </c>
      <c r="E29" t="str">
        <f>IF(NOT(ISERROR(VLOOKUP(D29,'ESO Dungeon constants'!$A$3:$A$9999,1,FALSE))),"X","")</f>
        <v/>
      </c>
      <c r="F29" s="3" t="str">
        <f>IF(EXACT(A29,C29),"X","")</f>
        <v/>
      </c>
      <c r="G29" s="3" t="str">
        <f>IF(A29&lt;&gt;C29,VLOOKUP(C29,$A$5:$D$9954,4,FALSE),"")</f>
        <v>Bangkorai</v>
      </c>
      <c r="H29" s="17">
        <f>A29</f>
        <v>169</v>
      </c>
      <c r="I29" s="17">
        <f>C29</f>
        <v>92</v>
      </c>
      <c r="J29">
        <v>0</v>
      </c>
      <c r="K29" s="3" t="str">
        <f>VLOOKUP(J29,'LibSets constants'!$A$4:$B$1017,2,FALSE)</f>
        <v>DLC_BASE_GAME</v>
      </c>
      <c r="L29" s="3" t="str">
        <f>VLOOKUP(J29,'LibSets constants'!$A$4:$C$1017,3,FALSE)</f>
        <v>Included in base game</v>
      </c>
    </row>
    <row r="30" spans="1:12" x14ac:dyDescent="0.25">
      <c r="A30">
        <v>174</v>
      </c>
      <c r="B30">
        <v>36</v>
      </c>
      <c r="C30">
        <v>174</v>
      </c>
      <c r="D30" t="s">
        <v>3891</v>
      </c>
      <c r="E30" t="str">
        <f>IF(NOT(ISERROR(VLOOKUP(D30,'ESO Dungeon constants'!$A$3:$A$9999,1,FALSE))),"X","")</f>
        <v/>
      </c>
      <c r="F30" s="3" t="str">
        <f>IF(EXACT(A30,C30),"X","")</f>
        <v>X</v>
      </c>
      <c r="G30" s="3" t="str">
        <f>IF(A30&lt;&gt;C30,VLOOKUP(C30,$A$5:$D$9954,4,FALSE),"")</f>
        <v/>
      </c>
      <c r="H30" s="17">
        <f>A30</f>
        <v>174</v>
      </c>
      <c r="I30" s="17">
        <f>C30</f>
        <v>174</v>
      </c>
      <c r="J30">
        <v>0</v>
      </c>
      <c r="K30" s="3" t="str">
        <f>VLOOKUP(J30,'LibSets constants'!$A$4:$B$1017,2,FALSE)</f>
        <v>DLC_BASE_GAME</v>
      </c>
      <c r="L30" s="3" t="str">
        <f>VLOOKUP(J30,'LibSets constants'!$A$4:$C$1017,3,FALSE)</f>
        <v>Included in base game</v>
      </c>
    </row>
    <row r="31" spans="1:12" x14ac:dyDescent="0.25">
      <c r="A31">
        <v>181</v>
      </c>
      <c r="B31">
        <v>38</v>
      </c>
      <c r="C31">
        <v>181</v>
      </c>
      <c r="D31" t="s">
        <v>125</v>
      </c>
      <c r="E31" t="str">
        <f>IF(NOT(ISERROR(VLOOKUP(D31,'ESO Dungeon constants'!$A$3:$A$9999,1,FALSE))),"X","")</f>
        <v/>
      </c>
      <c r="F31" s="3" t="str">
        <f>IF(EXACT(A31,C31),"X","")</f>
        <v>X</v>
      </c>
      <c r="G31" s="3" t="str">
        <f>IF(A31&lt;&gt;C31,VLOOKUP(C31,$A$5:$D$9954,4,FALSE),"")</f>
        <v/>
      </c>
      <c r="H31" s="17">
        <f>A31</f>
        <v>181</v>
      </c>
      <c r="I31" s="17">
        <f>C31</f>
        <v>181</v>
      </c>
      <c r="J31">
        <v>0</v>
      </c>
      <c r="K31" s="3" t="str">
        <f>VLOOKUP(J31,'LibSets constants'!$A$4:$B$1017,2,FALSE)</f>
        <v>DLC_BASE_GAME</v>
      </c>
      <c r="L31" s="3" t="str">
        <f>VLOOKUP(J31,'LibSets constants'!$A$4:$C$1017,3,FALSE)</f>
        <v>Included in base game</v>
      </c>
    </row>
    <row r="32" spans="1:12" x14ac:dyDescent="0.25">
      <c r="A32">
        <v>187</v>
      </c>
      <c r="B32">
        <v>39</v>
      </c>
      <c r="C32">
        <v>117</v>
      </c>
      <c r="D32" t="s">
        <v>126</v>
      </c>
      <c r="E32" t="str">
        <f>IF(NOT(ISERROR(VLOOKUP(D32,'ESO Dungeon constants'!$A$3:$A$9999,1,FALSE))),"X","")</f>
        <v/>
      </c>
      <c r="F32" s="3" t="str">
        <f>IF(EXACT(A32,C32),"X","")</f>
        <v/>
      </c>
      <c r="G32" s="3" t="str">
        <f>IF(A32&lt;&gt;C32,VLOOKUP(C32,$A$5:$D$9954,4,FALSE),"")</f>
        <v>Shadowfen</v>
      </c>
      <c r="H32" s="17">
        <f>A32</f>
        <v>187</v>
      </c>
      <c r="I32" s="17">
        <f>C32</f>
        <v>117</v>
      </c>
      <c r="J32">
        <v>0</v>
      </c>
      <c r="K32" s="3" t="str">
        <f>VLOOKUP(J32,'LibSets constants'!$A$4:$B$1017,2,FALSE)</f>
        <v>DLC_BASE_GAME</v>
      </c>
      <c r="L32" s="3" t="str">
        <f>VLOOKUP(J32,'LibSets constants'!$A$4:$C$1017,3,FALSE)</f>
        <v>Included in base game</v>
      </c>
    </row>
    <row r="33" spans="1:12" x14ac:dyDescent="0.25">
      <c r="A33">
        <v>188</v>
      </c>
      <c r="B33">
        <v>40</v>
      </c>
      <c r="C33">
        <v>57</v>
      </c>
      <c r="D33" t="s">
        <v>127</v>
      </c>
      <c r="E33" t="str">
        <f>IF(NOT(ISERROR(VLOOKUP(D33,'ESO Dungeon constants'!$A$3:$A$9999,1,FALSE))),"X","")</f>
        <v/>
      </c>
      <c r="F33" s="3" t="str">
        <f>IF(EXACT(A33,C33),"X","")</f>
        <v/>
      </c>
      <c r="G33" s="3" t="str">
        <f>IF(A33&lt;&gt;C33,VLOOKUP(C33,$A$5:$D$9954,4,FALSE),"")</f>
        <v>Deshaan</v>
      </c>
      <c r="H33" s="17">
        <f>A33</f>
        <v>188</v>
      </c>
      <c r="I33" s="17">
        <f>C33</f>
        <v>57</v>
      </c>
      <c r="J33">
        <v>0</v>
      </c>
      <c r="K33" s="3" t="str">
        <f>VLOOKUP(J33,'LibSets constants'!$A$4:$B$1017,2,FALSE)</f>
        <v>DLC_BASE_GAME</v>
      </c>
      <c r="L33" s="3" t="str">
        <f>VLOOKUP(J33,'LibSets constants'!$A$4:$C$1017,3,FALSE)</f>
        <v>Included in base game</v>
      </c>
    </row>
    <row r="34" spans="1:12" x14ac:dyDescent="0.25">
      <c r="A34">
        <v>189</v>
      </c>
      <c r="B34">
        <v>41</v>
      </c>
      <c r="C34">
        <v>57</v>
      </c>
      <c r="D34" t="s">
        <v>128</v>
      </c>
      <c r="E34" t="str">
        <f>IF(NOT(ISERROR(VLOOKUP(D34,'ESO Dungeon constants'!$A$3:$A$9999,1,FALSE))),"X","")</f>
        <v/>
      </c>
      <c r="F34" s="3" t="str">
        <f>IF(EXACT(A34,C34),"X","")</f>
        <v/>
      </c>
      <c r="G34" s="3" t="str">
        <f>IF(A34&lt;&gt;C34,VLOOKUP(C34,$A$5:$D$9954,4,FALSE),"")</f>
        <v>Deshaan</v>
      </c>
      <c r="H34" s="17">
        <f>A34</f>
        <v>189</v>
      </c>
      <c r="I34" s="17">
        <f>C34</f>
        <v>57</v>
      </c>
      <c r="J34">
        <v>0</v>
      </c>
      <c r="K34" s="3" t="str">
        <f>VLOOKUP(J34,'LibSets constants'!$A$4:$B$1017,2,FALSE)</f>
        <v>DLC_BASE_GAME</v>
      </c>
      <c r="L34" s="3" t="str">
        <f>VLOOKUP(J34,'LibSets constants'!$A$4:$C$1017,3,FALSE)</f>
        <v>Included in base game</v>
      </c>
    </row>
    <row r="35" spans="1:12" x14ac:dyDescent="0.25">
      <c r="A35">
        <v>190</v>
      </c>
      <c r="B35">
        <v>42</v>
      </c>
      <c r="C35">
        <v>57</v>
      </c>
      <c r="D35" t="s">
        <v>129</v>
      </c>
      <c r="E35" t="str">
        <f>IF(NOT(ISERROR(VLOOKUP(D35,'ESO Dungeon constants'!$A$3:$A$9999,1,FALSE))),"X","")</f>
        <v/>
      </c>
      <c r="F35" s="3" t="str">
        <f>IF(EXACT(A35,C35),"X","")</f>
        <v/>
      </c>
      <c r="G35" s="3" t="str">
        <f>IF(A35&lt;&gt;C35,VLOOKUP(C35,$A$5:$D$9954,4,FALSE),"")</f>
        <v>Deshaan</v>
      </c>
      <c r="H35" s="17">
        <f>A35</f>
        <v>190</v>
      </c>
      <c r="I35" s="17">
        <f>C35</f>
        <v>57</v>
      </c>
      <c r="J35">
        <v>0</v>
      </c>
      <c r="K35" s="3" t="str">
        <f>VLOOKUP(J35,'LibSets constants'!$A$4:$B$1017,2,FALSE)</f>
        <v>DLC_BASE_GAME</v>
      </c>
      <c r="L35" s="3" t="str">
        <f>VLOOKUP(J35,'LibSets constants'!$A$4:$C$1017,3,FALSE)</f>
        <v>Included in base game</v>
      </c>
    </row>
    <row r="36" spans="1:12" x14ac:dyDescent="0.25">
      <c r="A36">
        <v>191</v>
      </c>
      <c r="B36">
        <v>43</v>
      </c>
      <c r="C36">
        <v>41</v>
      </c>
      <c r="D36" t="s">
        <v>130</v>
      </c>
      <c r="E36" t="str">
        <f>IF(NOT(ISERROR(VLOOKUP(D36,'ESO Dungeon constants'!$A$3:$A$9999,1,FALSE))),"X","")</f>
        <v/>
      </c>
      <c r="F36" s="3" t="str">
        <f>IF(EXACT(A36,C36),"X","")</f>
        <v/>
      </c>
      <c r="G36" s="3" t="str">
        <f>IF(A36&lt;&gt;C36,VLOOKUP(C36,$A$5:$D$9954,4,FALSE),"")</f>
        <v>Stonefalls</v>
      </c>
      <c r="H36" s="17">
        <f>A36</f>
        <v>191</v>
      </c>
      <c r="I36" s="17">
        <f>C36</f>
        <v>41</v>
      </c>
      <c r="J36">
        <v>0</v>
      </c>
      <c r="K36" s="3" t="str">
        <f>VLOOKUP(J36,'LibSets constants'!$A$4:$B$1017,2,FALSE)</f>
        <v>DLC_BASE_GAME</v>
      </c>
      <c r="L36" s="3" t="str">
        <f>VLOOKUP(J36,'LibSets constants'!$A$4:$C$1017,3,FALSE)</f>
        <v>Included in base game</v>
      </c>
    </row>
    <row r="37" spans="1:12" x14ac:dyDescent="0.25">
      <c r="A37">
        <v>192</v>
      </c>
      <c r="B37">
        <v>44</v>
      </c>
      <c r="C37">
        <v>41</v>
      </c>
      <c r="D37" t="s">
        <v>131</v>
      </c>
      <c r="E37" t="str">
        <f>IF(NOT(ISERROR(VLOOKUP(D37,'ESO Dungeon constants'!$A$3:$A$9999,1,FALSE))),"X","")</f>
        <v/>
      </c>
      <c r="F37" s="3" t="str">
        <f>IF(EXACT(A37,C37),"X","")</f>
        <v/>
      </c>
      <c r="G37" s="3" t="str">
        <f>IF(A37&lt;&gt;C37,VLOOKUP(C37,$A$5:$D$9954,4,FALSE),"")</f>
        <v>Stonefalls</v>
      </c>
      <c r="H37" s="17">
        <f>A37</f>
        <v>192</v>
      </c>
      <c r="I37" s="17">
        <f>C37</f>
        <v>41</v>
      </c>
      <c r="J37">
        <v>0</v>
      </c>
      <c r="K37" s="3" t="str">
        <f>VLOOKUP(J37,'LibSets constants'!$A$4:$B$1017,2,FALSE)</f>
        <v>DLC_BASE_GAME</v>
      </c>
      <c r="L37" s="3" t="str">
        <f>VLOOKUP(J37,'LibSets constants'!$A$4:$C$1017,3,FALSE)</f>
        <v>Included in base game</v>
      </c>
    </row>
    <row r="38" spans="1:12" x14ac:dyDescent="0.25">
      <c r="A38">
        <v>193</v>
      </c>
      <c r="B38">
        <v>45</v>
      </c>
      <c r="C38">
        <v>41</v>
      </c>
      <c r="D38" t="s">
        <v>132</v>
      </c>
      <c r="E38" t="str">
        <f>IF(NOT(ISERROR(VLOOKUP(D38,'ESO Dungeon constants'!$A$3:$A$9999,1,FALSE))),"X","")</f>
        <v/>
      </c>
      <c r="F38" s="3" t="str">
        <f>IF(EXACT(A38,C38),"X","")</f>
        <v/>
      </c>
      <c r="G38" s="3" t="str">
        <f>IF(A38&lt;&gt;C38,VLOOKUP(C38,$A$5:$D$9954,4,FALSE),"")</f>
        <v>Stonefalls</v>
      </c>
      <c r="H38" s="17">
        <f>A38</f>
        <v>193</v>
      </c>
      <c r="I38" s="17">
        <f>C38</f>
        <v>41</v>
      </c>
      <c r="J38">
        <v>0</v>
      </c>
      <c r="K38" s="3" t="str">
        <f>VLOOKUP(J38,'LibSets constants'!$A$4:$B$1017,2,FALSE)</f>
        <v>DLC_BASE_GAME</v>
      </c>
      <c r="L38" s="3" t="str">
        <f>VLOOKUP(J38,'LibSets constants'!$A$4:$C$1017,3,FALSE)</f>
        <v>Included in base game</v>
      </c>
    </row>
    <row r="39" spans="1:12" x14ac:dyDescent="0.25">
      <c r="A39">
        <v>199</v>
      </c>
      <c r="B39">
        <v>46</v>
      </c>
      <c r="C39">
        <v>199</v>
      </c>
      <c r="D39" t="s">
        <v>133</v>
      </c>
      <c r="E39" t="str">
        <f>IF(NOT(ISERROR(VLOOKUP(D39,'ESO Dungeon constants'!$A$3:$A$9999,1,FALSE))),"X","")</f>
        <v/>
      </c>
      <c r="F39" s="3" t="str">
        <f>IF(EXACT(A39,C39),"X","")</f>
        <v>X</v>
      </c>
      <c r="G39" s="3" t="str">
        <f>IF(A39&lt;&gt;C39,VLOOKUP(C39,$A$5:$D$9954,4,FALSE),"")</f>
        <v/>
      </c>
      <c r="H39" s="17">
        <f>A39</f>
        <v>199</v>
      </c>
      <c r="I39" s="17">
        <f>C39</f>
        <v>199</v>
      </c>
      <c r="J39">
        <v>0</v>
      </c>
      <c r="K39" s="3" t="str">
        <f>VLOOKUP(J39,'LibSets constants'!$A$4:$B$1017,2,FALSE)</f>
        <v>DLC_BASE_GAME</v>
      </c>
      <c r="L39" s="3" t="str">
        <f>VLOOKUP(J39,'LibSets constants'!$A$4:$C$1017,3,FALSE)</f>
        <v>Included in base game</v>
      </c>
    </row>
    <row r="40" spans="1:12" x14ac:dyDescent="0.25">
      <c r="A40">
        <v>200</v>
      </c>
      <c r="B40">
        <v>47</v>
      </c>
      <c r="C40">
        <v>199</v>
      </c>
      <c r="D40" t="s">
        <v>134</v>
      </c>
      <c r="E40" t="str">
        <f>IF(NOT(ISERROR(VLOOKUP(D40,'ESO Dungeon constants'!$A$3:$A$9999,1,FALSE))),"X","")</f>
        <v/>
      </c>
      <c r="F40" s="3" t="str">
        <f>IF(EXACT(A40,C40),"X","")</f>
        <v/>
      </c>
      <c r="G40" s="3" t="str">
        <f>IF(A40&lt;&gt;C40,VLOOKUP(C40,$A$5:$D$9954,4,FALSE),"")</f>
        <v>The Harborage</v>
      </c>
      <c r="H40" s="17">
        <f>A40</f>
        <v>200</v>
      </c>
      <c r="I40" s="17">
        <f>C40</f>
        <v>199</v>
      </c>
      <c r="J40">
        <v>0</v>
      </c>
      <c r="K40" s="3" t="str">
        <f>VLOOKUP(J40,'LibSets constants'!$A$4:$B$1017,2,FALSE)</f>
        <v>DLC_BASE_GAME</v>
      </c>
      <c r="L40" s="3" t="str">
        <f>VLOOKUP(J40,'LibSets constants'!$A$4:$C$1017,3,FALSE)</f>
        <v>Included in base game</v>
      </c>
    </row>
    <row r="41" spans="1:12" x14ac:dyDescent="0.25">
      <c r="A41">
        <v>201</v>
      </c>
      <c r="B41">
        <v>48</v>
      </c>
      <c r="C41">
        <v>199</v>
      </c>
      <c r="D41" t="s">
        <v>135</v>
      </c>
      <c r="E41" t="str">
        <f>IF(NOT(ISERROR(VLOOKUP(D41,'ESO Dungeon constants'!$A$3:$A$9999,1,FALSE))),"X","")</f>
        <v/>
      </c>
      <c r="F41" s="3" t="str">
        <f>IF(EXACT(A41,C41),"X","")</f>
        <v/>
      </c>
      <c r="G41" s="3" t="str">
        <f>IF(A41&lt;&gt;C41,VLOOKUP(C41,$A$5:$D$9954,4,FALSE),"")</f>
        <v>The Harborage</v>
      </c>
      <c r="H41" s="17">
        <f>A41</f>
        <v>201</v>
      </c>
      <c r="I41" s="17">
        <f>C41</f>
        <v>199</v>
      </c>
      <c r="J41">
        <v>0</v>
      </c>
      <c r="K41" s="3" t="str">
        <f>VLOOKUP(J41,'LibSets constants'!$A$4:$B$1017,2,FALSE)</f>
        <v>DLC_BASE_GAME</v>
      </c>
      <c r="L41" s="3" t="str">
        <f>VLOOKUP(J41,'LibSets constants'!$A$4:$C$1017,3,FALSE)</f>
        <v>Included in base game</v>
      </c>
    </row>
    <row r="42" spans="1:12" x14ac:dyDescent="0.25">
      <c r="A42">
        <v>203</v>
      </c>
      <c r="B42">
        <v>49</v>
      </c>
      <c r="C42">
        <v>267</v>
      </c>
      <c r="D42" t="s">
        <v>136</v>
      </c>
      <c r="E42" t="str">
        <f>IF(NOT(ISERROR(VLOOKUP(D42,'ESO Dungeon constants'!$A$3:$A$9999,1,FALSE))),"X","")</f>
        <v/>
      </c>
      <c r="F42" s="3" t="str">
        <f>IF(EXACT(A42,C42),"X","")</f>
        <v/>
      </c>
      <c r="G42" s="3" t="str">
        <f>IF(A42&lt;&gt;C42,VLOOKUP(C42,$A$5:$D$9954,4,FALSE),"")</f>
        <v>Eyevea</v>
      </c>
      <c r="H42" s="17">
        <f>A42</f>
        <v>203</v>
      </c>
      <c r="I42" s="17">
        <f>C42</f>
        <v>267</v>
      </c>
      <c r="J42">
        <v>0</v>
      </c>
      <c r="K42" s="3" t="str">
        <f>VLOOKUP(J42,'LibSets constants'!$A$4:$B$1017,2,FALSE)</f>
        <v>DLC_BASE_GAME</v>
      </c>
      <c r="L42" s="3" t="str">
        <f>VLOOKUP(J42,'LibSets constants'!$A$4:$C$1017,3,FALSE)</f>
        <v>Included in base game</v>
      </c>
    </row>
    <row r="43" spans="1:12" x14ac:dyDescent="0.25">
      <c r="A43">
        <v>207</v>
      </c>
      <c r="B43">
        <v>50</v>
      </c>
      <c r="C43">
        <v>208</v>
      </c>
      <c r="D43" t="s">
        <v>137</v>
      </c>
      <c r="E43" t="str">
        <f>IF(NOT(ISERROR(VLOOKUP(D43,'ESO Dungeon constants'!$A$3:$A$9999,1,FALSE))),"X","")</f>
        <v/>
      </c>
      <c r="F43" s="3" t="str">
        <f>IF(EXACT(A43,C43),"X","")</f>
        <v/>
      </c>
      <c r="G43" s="3" t="str">
        <f>IF(A43&lt;&gt;C43,VLOOKUP(C43,$A$5:$D$9954,4,FALSE),"")</f>
        <v>The Earth Forge</v>
      </c>
      <c r="H43" s="17">
        <f>A43</f>
        <v>207</v>
      </c>
      <c r="I43" s="17">
        <f>C43</f>
        <v>208</v>
      </c>
      <c r="J43">
        <v>0</v>
      </c>
      <c r="K43" s="3" t="str">
        <f>VLOOKUP(J43,'LibSets constants'!$A$4:$B$1017,2,FALSE)</f>
        <v>DLC_BASE_GAME</v>
      </c>
      <c r="L43" s="3" t="str">
        <f>VLOOKUP(J43,'LibSets constants'!$A$4:$C$1017,3,FALSE)</f>
        <v>Included in base game</v>
      </c>
    </row>
    <row r="44" spans="1:12" x14ac:dyDescent="0.25">
      <c r="A44">
        <v>208</v>
      </c>
      <c r="B44">
        <v>51</v>
      </c>
      <c r="C44">
        <v>208</v>
      </c>
      <c r="D44" t="s">
        <v>138</v>
      </c>
      <c r="E44" t="str">
        <f>IF(NOT(ISERROR(VLOOKUP(D44,'ESO Dungeon constants'!$A$3:$A$9999,1,FALSE))),"X","")</f>
        <v/>
      </c>
      <c r="F44" s="3" t="str">
        <f>IF(EXACT(A44,C44),"X","")</f>
        <v>X</v>
      </c>
      <c r="G44" s="3" t="str">
        <f>IF(A44&lt;&gt;C44,VLOOKUP(C44,$A$5:$D$9954,4,FALSE),"")</f>
        <v/>
      </c>
      <c r="H44" s="17">
        <f>A44</f>
        <v>208</v>
      </c>
      <c r="I44" s="17">
        <f>C44</f>
        <v>208</v>
      </c>
      <c r="J44">
        <v>0</v>
      </c>
      <c r="K44" s="3" t="str">
        <f>VLOOKUP(J44,'LibSets constants'!$A$4:$B$1017,2,FALSE)</f>
        <v>DLC_BASE_GAME</v>
      </c>
      <c r="L44" s="3" t="str">
        <f>VLOOKUP(J44,'LibSets constants'!$A$4:$C$1017,3,FALSE)</f>
        <v>Included in base game</v>
      </c>
    </row>
    <row r="45" spans="1:12" x14ac:dyDescent="0.25">
      <c r="A45">
        <v>148</v>
      </c>
      <c r="B45">
        <v>30</v>
      </c>
      <c r="C45">
        <v>117</v>
      </c>
      <c r="D45" t="s">
        <v>60</v>
      </c>
      <c r="E45" t="str">
        <f>IF(NOT(ISERROR(VLOOKUP(D45,'ESO Dungeon constants'!$A$3:$A$9999,1,FALSE))),"X","")</f>
        <v>X</v>
      </c>
      <c r="F45" s="3" t="str">
        <f>IF(EXACT(A45,C45),"X","")</f>
        <v/>
      </c>
      <c r="G45" s="3" t="str">
        <f>IF(A45&lt;&gt;C45,VLOOKUP(C45,$A$5:$D$9954,4,FALSE),"")</f>
        <v>Shadowfen</v>
      </c>
      <c r="H45" s="17">
        <f>A45</f>
        <v>148</v>
      </c>
      <c r="I45" s="17">
        <f>C45</f>
        <v>117</v>
      </c>
      <c r="J45">
        <f>IF(E45="X",VLOOKUP(D45,'ESO Dungeon constants'!$A$3:$H$9999,8,FALSE),0)</f>
        <v>0</v>
      </c>
      <c r="K45" s="3" t="str">
        <f>VLOOKUP(J45,'LibSets constants'!$A$4:$B$1017,2,FALSE)</f>
        <v>DLC_BASE_GAME</v>
      </c>
      <c r="L45" s="3" t="str">
        <f>VLOOKUP(J45,'LibSets constants'!$A$4:$C$1017,3,FALSE)</f>
        <v>Included in base game</v>
      </c>
    </row>
    <row r="46" spans="1:12" x14ac:dyDescent="0.25">
      <c r="A46">
        <v>209</v>
      </c>
      <c r="B46">
        <v>52</v>
      </c>
      <c r="C46">
        <v>208</v>
      </c>
      <c r="D46" t="s">
        <v>139</v>
      </c>
      <c r="E46" t="str">
        <f>IF(NOT(ISERROR(VLOOKUP(D46,'ESO Dungeon constants'!$A$3:$A$9999,1,FALSE))),"X","")</f>
        <v/>
      </c>
      <c r="F46" s="3" t="str">
        <f>IF(EXACT(A46,C46),"X","")</f>
        <v/>
      </c>
      <c r="G46" s="3" t="str">
        <f>IF(A46&lt;&gt;C46,VLOOKUP(C46,$A$5:$D$9954,4,FALSE),"")</f>
        <v>The Earth Forge</v>
      </c>
      <c r="H46" s="17">
        <f>A46</f>
        <v>209</v>
      </c>
      <c r="I46" s="17">
        <f>C46</f>
        <v>208</v>
      </c>
      <c r="J46">
        <v>0</v>
      </c>
      <c r="K46" s="3" t="str">
        <f>VLOOKUP(J46,'LibSets constants'!$A$4:$B$1017,2,FALSE)</f>
        <v>DLC_BASE_GAME</v>
      </c>
      <c r="L46" s="3" t="str">
        <f>VLOOKUP(J46,'LibSets constants'!$A$4:$C$1017,3,FALSE)</f>
        <v>Included in base game</v>
      </c>
    </row>
    <row r="47" spans="1:12" x14ac:dyDescent="0.25">
      <c r="A47">
        <v>212</v>
      </c>
      <c r="B47">
        <v>53</v>
      </c>
      <c r="C47">
        <v>57</v>
      </c>
      <c r="D47" t="s">
        <v>140</v>
      </c>
      <c r="E47" t="str">
        <f>IF(NOT(ISERROR(VLOOKUP(D47,'ESO Dungeon constants'!$A$3:$A$9999,1,FALSE))),"X","")</f>
        <v/>
      </c>
      <c r="F47" s="3" t="str">
        <f>IF(EXACT(A47,C47),"X","")</f>
        <v/>
      </c>
      <c r="G47" s="3" t="str">
        <f>IF(A47&lt;&gt;C47,VLOOKUP(C47,$A$5:$D$9954,4,FALSE),"")</f>
        <v>Deshaan</v>
      </c>
      <c r="H47" s="17">
        <f>A47</f>
        <v>212</v>
      </c>
      <c r="I47" s="17">
        <f>C47</f>
        <v>57</v>
      </c>
      <c r="J47">
        <v>0</v>
      </c>
      <c r="K47" s="3" t="str">
        <f>VLOOKUP(J47,'LibSets constants'!$A$4:$B$1017,2,FALSE)</f>
        <v>DLC_BASE_GAME</v>
      </c>
      <c r="L47" s="3" t="str">
        <f>VLOOKUP(J47,'LibSets constants'!$A$4:$C$1017,3,FALSE)</f>
        <v>Included in base game</v>
      </c>
    </row>
    <row r="48" spans="1:12" x14ac:dyDescent="0.25">
      <c r="A48">
        <v>213</v>
      </c>
      <c r="B48">
        <v>54</v>
      </c>
      <c r="C48">
        <v>117</v>
      </c>
      <c r="D48" t="s">
        <v>141</v>
      </c>
      <c r="E48" t="str">
        <f>IF(NOT(ISERROR(VLOOKUP(D48,'ESO Dungeon constants'!$A$3:$A$9999,1,FALSE))),"X","")</f>
        <v/>
      </c>
      <c r="F48" s="3" t="str">
        <f>IF(EXACT(A48,C48),"X","")</f>
        <v/>
      </c>
      <c r="G48" s="3" t="str">
        <f>IF(A48&lt;&gt;C48,VLOOKUP(C48,$A$5:$D$9954,4,FALSE),"")</f>
        <v>Shadowfen</v>
      </c>
      <c r="H48" s="17">
        <f>A48</f>
        <v>213</v>
      </c>
      <c r="I48" s="17">
        <f>C48</f>
        <v>117</v>
      </c>
      <c r="J48">
        <v>0</v>
      </c>
      <c r="K48" s="3" t="str">
        <f>VLOOKUP(J48,'LibSets constants'!$A$4:$B$1017,2,FALSE)</f>
        <v>DLC_BASE_GAME</v>
      </c>
      <c r="L48" s="3" t="str">
        <f>VLOOKUP(J48,'LibSets constants'!$A$4:$C$1017,3,FALSE)</f>
        <v>Included in base game</v>
      </c>
    </row>
    <row r="49" spans="1:12" x14ac:dyDescent="0.25">
      <c r="A49">
        <v>214</v>
      </c>
      <c r="B49">
        <v>55</v>
      </c>
      <c r="C49">
        <v>117</v>
      </c>
      <c r="D49" t="s">
        <v>142</v>
      </c>
      <c r="E49" t="str">
        <f>IF(NOT(ISERROR(VLOOKUP(D49,'ESO Dungeon constants'!$A$3:$A$9999,1,FALSE))),"X","")</f>
        <v/>
      </c>
      <c r="F49" s="3" t="str">
        <f>IF(EXACT(A49,C49),"X","")</f>
        <v/>
      </c>
      <c r="G49" s="3" t="str">
        <f>IF(A49&lt;&gt;C49,VLOOKUP(C49,$A$5:$D$9954,4,FALSE),"")</f>
        <v>Shadowfen</v>
      </c>
      <c r="H49" s="17">
        <f>A49</f>
        <v>214</v>
      </c>
      <c r="I49" s="17">
        <f>C49</f>
        <v>117</v>
      </c>
      <c r="J49">
        <v>0</v>
      </c>
      <c r="K49" s="3" t="str">
        <f>VLOOKUP(J49,'LibSets constants'!$A$4:$B$1017,2,FALSE)</f>
        <v>DLC_BASE_GAME</v>
      </c>
      <c r="L49" s="3" t="str">
        <f>VLOOKUP(J49,'LibSets constants'!$A$4:$C$1017,3,FALSE)</f>
        <v>Included in base game</v>
      </c>
    </row>
    <row r="50" spans="1:12" x14ac:dyDescent="0.25">
      <c r="A50">
        <v>215</v>
      </c>
      <c r="B50">
        <v>56</v>
      </c>
      <c r="C50">
        <v>117</v>
      </c>
      <c r="D50" t="s">
        <v>143</v>
      </c>
      <c r="E50" t="str">
        <f>IF(NOT(ISERROR(VLOOKUP(D50,'ESO Dungeon constants'!$A$3:$A$9999,1,FALSE))),"X","")</f>
        <v/>
      </c>
      <c r="F50" s="3" t="str">
        <f>IF(EXACT(A50,C50),"X","")</f>
        <v/>
      </c>
      <c r="G50" s="3" t="str">
        <f>IF(A50&lt;&gt;C50,VLOOKUP(C50,$A$5:$D$9954,4,FALSE),"")</f>
        <v>Shadowfen</v>
      </c>
      <c r="H50" s="17">
        <f>A50</f>
        <v>215</v>
      </c>
      <c r="I50" s="17">
        <f>C50</f>
        <v>117</v>
      </c>
      <c r="J50">
        <v>0</v>
      </c>
      <c r="K50" s="3" t="str">
        <f>VLOOKUP(J50,'LibSets constants'!$A$4:$B$1017,2,FALSE)</f>
        <v>DLC_BASE_GAME</v>
      </c>
      <c r="L50" s="3" t="str">
        <f>VLOOKUP(J50,'LibSets constants'!$A$4:$C$1017,3,FALSE)</f>
        <v>Included in base game</v>
      </c>
    </row>
    <row r="51" spans="1:12" x14ac:dyDescent="0.25">
      <c r="A51">
        <v>216</v>
      </c>
      <c r="B51">
        <v>57</v>
      </c>
      <c r="C51">
        <v>41</v>
      </c>
      <c r="D51" t="s">
        <v>144</v>
      </c>
      <c r="E51" t="str">
        <f>IF(NOT(ISERROR(VLOOKUP(D51,'ESO Dungeon constants'!$A$3:$A$9999,1,FALSE))),"X","")</f>
        <v/>
      </c>
      <c r="F51" s="3" t="str">
        <f>IF(EXACT(A51,C51),"X","")</f>
        <v/>
      </c>
      <c r="G51" s="3" t="str">
        <f>IF(A51&lt;&gt;C51,VLOOKUP(C51,$A$5:$D$9954,4,FALSE),"")</f>
        <v>Stonefalls</v>
      </c>
      <c r="H51" s="17">
        <f>A51</f>
        <v>216</v>
      </c>
      <c r="I51" s="17">
        <f>C51</f>
        <v>41</v>
      </c>
      <c r="J51">
        <v>0</v>
      </c>
      <c r="K51" s="3" t="str">
        <f>VLOOKUP(J51,'LibSets constants'!$A$4:$B$1017,2,FALSE)</f>
        <v>DLC_BASE_GAME</v>
      </c>
      <c r="L51" s="3" t="str">
        <f>VLOOKUP(J51,'LibSets constants'!$A$4:$C$1017,3,FALSE)</f>
        <v>Included in base game</v>
      </c>
    </row>
    <row r="52" spans="1:12" x14ac:dyDescent="0.25">
      <c r="A52">
        <v>1000</v>
      </c>
      <c r="B52">
        <v>610</v>
      </c>
      <c r="C52">
        <v>980</v>
      </c>
      <c r="D52" t="s">
        <v>657</v>
      </c>
      <c r="E52" t="str">
        <f>IF(NOT(ISERROR(VLOOKUP(D52,'ESO Dungeon constants'!$A$3:$A$9999,1,FALSE))),"X","")</f>
        <v>X</v>
      </c>
      <c r="F52" s="3" t="str">
        <f>IF(EXACT(A52,C52),"X","")</f>
        <v/>
      </c>
      <c r="G52" s="3" t="str">
        <f>IF(A52&lt;&gt;C52,VLOOKUP(C52,$A$5:$D$9954,4,FALSE),"")</f>
        <v>Clockwork City</v>
      </c>
      <c r="H52" s="17">
        <f>A52</f>
        <v>1000</v>
      </c>
      <c r="I52" s="17">
        <f>C52</f>
        <v>980</v>
      </c>
      <c r="J52">
        <f>IF(E52="X",VLOOKUP(D52,'ESO Dungeon constants'!$A$3:$H$9999,8,FALSE),0)</f>
        <v>8</v>
      </c>
      <c r="K52" s="3" t="str">
        <f>VLOOKUP(J52,'LibSets constants'!$A$4:$B$1017,2,FALSE)</f>
        <v>DLC_CLOCKWORK_CITY</v>
      </c>
      <c r="L52" s="3" t="str">
        <f>VLOOKUP(J52,'LibSets constants'!$A$4:$C$1017,3,FALSE)</f>
        <v>Clockwork City</v>
      </c>
    </row>
    <row r="53" spans="1:12" x14ac:dyDescent="0.25">
      <c r="A53">
        <v>217</v>
      </c>
      <c r="B53">
        <v>58</v>
      </c>
      <c r="C53">
        <v>199</v>
      </c>
      <c r="D53" t="s">
        <v>145</v>
      </c>
      <c r="E53" t="str">
        <f>IF(NOT(ISERROR(VLOOKUP(D53,'ESO Dungeon constants'!$A$3:$A$9999,1,FALSE))),"X","")</f>
        <v/>
      </c>
      <c r="F53" s="3" t="str">
        <f>IF(EXACT(A53,C53),"X","")</f>
        <v/>
      </c>
      <c r="G53" s="3" t="str">
        <f>IF(A53&lt;&gt;C53,VLOOKUP(C53,$A$5:$D$9954,4,FALSE),"")</f>
        <v>The Harborage</v>
      </c>
      <c r="H53" s="17">
        <f>A53</f>
        <v>217</v>
      </c>
      <c r="I53" s="17">
        <f>C53</f>
        <v>199</v>
      </c>
      <c r="J53">
        <v>0</v>
      </c>
      <c r="K53" s="3" t="str">
        <f>VLOOKUP(J53,'LibSets constants'!$A$4:$B$1017,2,FALSE)</f>
        <v>DLC_BASE_GAME</v>
      </c>
      <c r="L53" s="3" t="str">
        <f>VLOOKUP(J53,'LibSets constants'!$A$4:$C$1017,3,FALSE)</f>
        <v>Included in base game</v>
      </c>
    </row>
    <row r="54" spans="1:12" x14ac:dyDescent="0.25">
      <c r="A54">
        <v>218</v>
      </c>
      <c r="B54">
        <v>59</v>
      </c>
      <c r="C54">
        <v>267</v>
      </c>
      <c r="D54" t="s">
        <v>146</v>
      </c>
      <c r="E54" t="str">
        <f>IF(NOT(ISERROR(VLOOKUP(D54,'ESO Dungeon constants'!$A$3:$A$9999,1,FALSE))),"X","")</f>
        <v/>
      </c>
      <c r="F54" s="3" t="str">
        <f>IF(EXACT(A54,C54),"X","")</f>
        <v/>
      </c>
      <c r="G54" s="3" t="str">
        <f>IF(A54&lt;&gt;C54,VLOOKUP(C54,$A$5:$D$9954,4,FALSE),"")</f>
        <v>Eyevea</v>
      </c>
      <c r="H54" s="17">
        <f>A54</f>
        <v>218</v>
      </c>
      <c r="I54" s="17">
        <f>C54</f>
        <v>267</v>
      </c>
      <c r="J54">
        <v>0</v>
      </c>
      <c r="K54" s="3" t="str">
        <f>VLOOKUP(J54,'LibSets constants'!$A$4:$B$1017,2,FALSE)</f>
        <v>DLC_BASE_GAME</v>
      </c>
      <c r="L54" s="3" t="str">
        <f>VLOOKUP(J54,'LibSets constants'!$A$4:$C$1017,3,FALSE)</f>
        <v>Included in base game</v>
      </c>
    </row>
    <row r="55" spans="1:12" x14ac:dyDescent="0.25">
      <c r="A55">
        <v>219</v>
      </c>
      <c r="B55">
        <v>60</v>
      </c>
      <c r="C55">
        <v>267</v>
      </c>
      <c r="D55" t="s">
        <v>147</v>
      </c>
      <c r="E55" t="str">
        <f>IF(NOT(ISERROR(VLOOKUP(D55,'ESO Dungeon constants'!$A$3:$A$9999,1,FALSE))),"X","")</f>
        <v/>
      </c>
      <c r="F55" s="3" t="str">
        <f>IF(EXACT(A55,C55),"X","")</f>
        <v/>
      </c>
      <c r="G55" s="3" t="str">
        <f>IF(A55&lt;&gt;C55,VLOOKUP(C55,$A$5:$D$9954,4,FALSE),"")</f>
        <v>Eyevea</v>
      </c>
      <c r="H55" s="17">
        <f>A55</f>
        <v>219</v>
      </c>
      <c r="I55" s="17">
        <f>C55</f>
        <v>267</v>
      </c>
      <c r="J55">
        <v>0</v>
      </c>
      <c r="K55" s="3" t="str">
        <f>VLOOKUP(J55,'LibSets constants'!$A$4:$B$1017,2,FALSE)</f>
        <v>DLC_BASE_GAME</v>
      </c>
      <c r="L55" s="3" t="str">
        <f>VLOOKUP(J55,'LibSets constants'!$A$4:$C$1017,3,FALSE)</f>
        <v>Included in base game</v>
      </c>
    </row>
    <row r="56" spans="1:12" x14ac:dyDescent="0.25">
      <c r="A56">
        <v>222</v>
      </c>
      <c r="B56">
        <v>61</v>
      </c>
      <c r="C56">
        <v>3</v>
      </c>
      <c r="D56" t="s">
        <v>148</v>
      </c>
      <c r="E56" t="str">
        <f>IF(NOT(ISERROR(VLOOKUP(D56,'ESO Dungeon constants'!$A$3:$A$9999,1,FALSE))),"X","")</f>
        <v/>
      </c>
      <c r="F56" s="3" t="str">
        <f>IF(EXACT(A56,C56),"X","")</f>
        <v/>
      </c>
      <c r="G56" s="3" t="str">
        <f>IF(A56&lt;&gt;C56,VLOOKUP(C56,$A$5:$D$9954,4,FALSE),"")</f>
        <v>Glenumbra</v>
      </c>
      <c r="H56" s="17">
        <f>A56</f>
        <v>222</v>
      </c>
      <c r="I56" s="17">
        <f>C56</f>
        <v>3</v>
      </c>
      <c r="J56">
        <v>0</v>
      </c>
      <c r="K56" s="3" t="str">
        <f>VLOOKUP(J56,'LibSets constants'!$A$4:$B$1017,2,FALSE)</f>
        <v>DLC_BASE_GAME</v>
      </c>
      <c r="L56" s="3" t="str">
        <f>VLOOKUP(J56,'LibSets constants'!$A$4:$C$1017,3,FALSE)</f>
        <v>Included in base game</v>
      </c>
    </row>
    <row r="57" spans="1:12" x14ac:dyDescent="0.25">
      <c r="A57">
        <v>223</v>
      </c>
      <c r="B57">
        <v>62</v>
      </c>
      <c r="C57">
        <v>3</v>
      </c>
      <c r="D57" t="s">
        <v>149</v>
      </c>
      <c r="E57" t="str">
        <f>IF(NOT(ISERROR(VLOOKUP(D57,'ESO Dungeon constants'!$A$3:$A$9999,1,FALSE))),"X","")</f>
        <v/>
      </c>
      <c r="F57" s="3" t="str">
        <f>IF(EXACT(A57,C57),"X","")</f>
        <v/>
      </c>
      <c r="G57" s="3" t="str">
        <f>IF(A57&lt;&gt;C57,VLOOKUP(C57,$A$5:$D$9954,4,FALSE),"")</f>
        <v>Glenumbra</v>
      </c>
      <c r="H57" s="17">
        <f>A57</f>
        <v>223</v>
      </c>
      <c r="I57" s="17">
        <f>C57</f>
        <v>3</v>
      </c>
      <c r="J57">
        <v>0</v>
      </c>
      <c r="K57" s="3" t="str">
        <f>VLOOKUP(J57,'LibSets constants'!$A$4:$B$1017,2,FALSE)</f>
        <v>DLC_BASE_GAME</v>
      </c>
      <c r="L57" s="3" t="str">
        <f>VLOOKUP(J57,'LibSets constants'!$A$4:$C$1017,3,FALSE)</f>
        <v>Included in base game</v>
      </c>
    </row>
    <row r="58" spans="1:12" x14ac:dyDescent="0.25">
      <c r="A58">
        <v>224</v>
      </c>
      <c r="B58">
        <v>63</v>
      </c>
      <c r="C58">
        <v>20</v>
      </c>
      <c r="D58" t="s">
        <v>150</v>
      </c>
      <c r="E58" t="str">
        <f>IF(NOT(ISERROR(VLOOKUP(D58,'ESO Dungeon constants'!$A$3:$A$9999,1,FALSE))),"X","")</f>
        <v/>
      </c>
      <c r="F58" s="3" t="str">
        <f>IF(EXACT(A58,C58),"X","")</f>
        <v/>
      </c>
      <c r="G58" s="3" t="str">
        <f>IF(A58&lt;&gt;C58,VLOOKUP(C58,$A$5:$D$9954,4,FALSE),"")</f>
        <v>Rivenspire</v>
      </c>
      <c r="H58" s="17">
        <f>A58</f>
        <v>224</v>
      </c>
      <c r="I58" s="17">
        <f>C58</f>
        <v>20</v>
      </c>
      <c r="J58">
        <v>0</v>
      </c>
      <c r="K58" s="3" t="str">
        <f>VLOOKUP(J58,'LibSets constants'!$A$4:$B$1017,2,FALSE)</f>
        <v>DLC_BASE_GAME</v>
      </c>
      <c r="L58" s="3" t="str">
        <f>VLOOKUP(J58,'LibSets constants'!$A$4:$C$1017,3,FALSE)</f>
        <v>Included in base game</v>
      </c>
    </row>
    <row r="59" spans="1:12" x14ac:dyDescent="0.25">
      <c r="A59">
        <v>227</v>
      </c>
      <c r="B59">
        <v>64</v>
      </c>
      <c r="C59">
        <v>92</v>
      </c>
      <c r="D59" t="s">
        <v>3892</v>
      </c>
      <c r="E59" t="str">
        <f>IF(NOT(ISERROR(VLOOKUP(D59,'ESO Dungeon constants'!$A$3:$A$9999,1,FALSE))),"X","")</f>
        <v/>
      </c>
      <c r="F59" s="3" t="str">
        <f>IF(EXACT(A59,C59),"X","")</f>
        <v/>
      </c>
      <c r="G59" s="3" t="str">
        <f>IF(A59&lt;&gt;C59,VLOOKUP(C59,$A$5:$D$9954,4,FALSE),"")</f>
        <v>Bangkorai</v>
      </c>
      <c r="H59" s="17">
        <f>A59</f>
        <v>227</v>
      </c>
      <c r="I59" s="17">
        <f>C59</f>
        <v>92</v>
      </c>
      <c r="J59">
        <v>0</v>
      </c>
      <c r="K59" s="3" t="str">
        <f>VLOOKUP(J59,'LibSets constants'!$A$4:$B$1017,2,FALSE)</f>
        <v>DLC_BASE_GAME</v>
      </c>
      <c r="L59" s="3" t="str">
        <f>VLOOKUP(J59,'LibSets constants'!$A$4:$C$1017,3,FALSE)</f>
        <v>Included in base game</v>
      </c>
    </row>
    <row r="60" spans="1:12" x14ac:dyDescent="0.25">
      <c r="A60">
        <v>228</v>
      </c>
      <c r="B60">
        <v>65</v>
      </c>
      <c r="C60">
        <v>92</v>
      </c>
      <c r="D60" t="s">
        <v>151</v>
      </c>
      <c r="E60" t="str">
        <f>IF(NOT(ISERROR(VLOOKUP(D60,'ESO Dungeon constants'!$A$3:$A$9999,1,FALSE))),"X","")</f>
        <v/>
      </c>
      <c r="F60" s="3" t="str">
        <f>IF(EXACT(A60,C60),"X","")</f>
        <v/>
      </c>
      <c r="G60" s="3" t="str">
        <f>IF(A60&lt;&gt;C60,VLOOKUP(C60,$A$5:$D$9954,4,FALSE),"")</f>
        <v>Bangkorai</v>
      </c>
      <c r="H60" s="17">
        <f>A60</f>
        <v>228</v>
      </c>
      <c r="I60" s="17">
        <f>C60</f>
        <v>92</v>
      </c>
      <c r="J60">
        <v>0</v>
      </c>
      <c r="K60" s="3" t="str">
        <f>VLOOKUP(J60,'LibSets constants'!$A$4:$B$1017,2,FALSE)</f>
        <v>DLC_BASE_GAME</v>
      </c>
      <c r="L60" s="3" t="str">
        <f>VLOOKUP(J60,'LibSets constants'!$A$4:$C$1017,3,FALSE)</f>
        <v>Included in base game</v>
      </c>
    </row>
    <row r="61" spans="1:12" x14ac:dyDescent="0.25">
      <c r="A61">
        <v>229</v>
      </c>
      <c r="B61">
        <v>66</v>
      </c>
      <c r="C61">
        <v>92</v>
      </c>
      <c r="D61" t="s">
        <v>152</v>
      </c>
      <c r="E61" t="str">
        <f>IF(NOT(ISERROR(VLOOKUP(D61,'ESO Dungeon constants'!$A$3:$A$9999,1,FALSE))),"X","")</f>
        <v/>
      </c>
      <c r="F61" s="3" t="str">
        <f>IF(EXACT(A61,C61),"X","")</f>
        <v/>
      </c>
      <c r="G61" s="3" t="str">
        <f>IF(A61&lt;&gt;C61,VLOOKUP(C61,$A$5:$D$9954,4,FALSE),"")</f>
        <v>Bangkorai</v>
      </c>
      <c r="H61" s="17">
        <f>A61</f>
        <v>229</v>
      </c>
      <c r="I61" s="17">
        <f>C61</f>
        <v>92</v>
      </c>
      <c r="J61">
        <v>0</v>
      </c>
      <c r="K61" s="3" t="str">
        <f>VLOOKUP(J61,'LibSets constants'!$A$4:$B$1017,2,FALSE)</f>
        <v>DLC_BASE_GAME</v>
      </c>
      <c r="L61" s="3" t="str">
        <f>VLOOKUP(J61,'LibSets constants'!$A$4:$C$1017,3,FALSE)</f>
        <v>Included in base game</v>
      </c>
    </row>
    <row r="62" spans="1:12" x14ac:dyDescent="0.25">
      <c r="A62">
        <v>231</v>
      </c>
      <c r="B62">
        <v>67</v>
      </c>
      <c r="C62">
        <v>92</v>
      </c>
      <c r="D62" t="s">
        <v>153</v>
      </c>
      <c r="E62" t="str">
        <f>IF(NOT(ISERROR(VLOOKUP(D62,'ESO Dungeon constants'!$A$3:$A$9999,1,FALSE))),"X","")</f>
        <v/>
      </c>
      <c r="F62" s="3" t="str">
        <f>IF(EXACT(A62,C62),"X","")</f>
        <v/>
      </c>
      <c r="G62" s="3" t="str">
        <f>IF(A62&lt;&gt;C62,VLOOKUP(C62,$A$5:$D$9954,4,FALSE),"")</f>
        <v>Bangkorai</v>
      </c>
      <c r="H62" s="17">
        <f>A62</f>
        <v>231</v>
      </c>
      <c r="I62" s="17">
        <f>C62</f>
        <v>92</v>
      </c>
      <c r="J62">
        <v>0</v>
      </c>
      <c r="K62" s="3" t="str">
        <f>VLOOKUP(J62,'LibSets constants'!$A$4:$B$1017,2,FALSE)</f>
        <v>DLC_BASE_GAME</v>
      </c>
      <c r="L62" s="3" t="str">
        <f>VLOOKUP(J62,'LibSets constants'!$A$4:$C$1017,3,FALSE)</f>
        <v>Included in base game</v>
      </c>
    </row>
    <row r="63" spans="1:12" x14ac:dyDescent="0.25">
      <c r="A63">
        <v>1389</v>
      </c>
      <c r="B63">
        <v>936</v>
      </c>
      <c r="C63">
        <v>41</v>
      </c>
      <c r="D63" t="s">
        <v>3538</v>
      </c>
      <c r="E63" t="str">
        <f>IF(NOT(ISERROR(VLOOKUP(D63,'ESO Dungeon constants'!$A$3:$A$9999,1,FALSE))),"X","")</f>
        <v>X</v>
      </c>
      <c r="F63" s="3" t="str">
        <f>IF(EXACT(A63,C63),"X","")</f>
        <v/>
      </c>
      <c r="G63" s="3" t="str">
        <f>IF(A63&lt;&gt;C63,VLOOKUP(C63,$A$5:$D$9954,4,FALSE),"")</f>
        <v>Stonefalls</v>
      </c>
      <c r="H63" s="17">
        <f>A63</f>
        <v>1389</v>
      </c>
      <c r="I63" s="17">
        <f>C63</f>
        <v>41</v>
      </c>
      <c r="J63">
        <f>IF(E63="X",VLOOKUP(D63,'ESO Dungeon constants'!$A$3:$H$9999,8,FALSE),0)</f>
        <v>29</v>
      </c>
      <c r="K63" s="3" t="str">
        <f>VLOOKUP(J63,'LibSets constants'!$A$4:$B$1017,2,FALSE)</f>
        <v>DLC_SCRIBES_OF_FATE</v>
      </c>
      <c r="L63" s="3" t="str">
        <f>VLOOKUP(J63,'LibSets constants'!$A$4:$C$1017,3,FALSE)</f>
        <v>Scribes of Fate</v>
      </c>
    </row>
    <row r="64" spans="1:12" x14ac:dyDescent="0.25">
      <c r="A64">
        <v>232</v>
      </c>
      <c r="B64">
        <v>68</v>
      </c>
      <c r="C64">
        <v>117</v>
      </c>
      <c r="D64" t="s">
        <v>154</v>
      </c>
      <c r="E64" t="str">
        <f>IF(NOT(ISERROR(VLOOKUP(D64,'ESO Dungeon constants'!$A$3:$A$9999,1,FALSE))),"X","")</f>
        <v/>
      </c>
      <c r="F64" s="3" t="str">
        <f>IF(EXACT(A64,C64),"X","")</f>
        <v/>
      </c>
      <c r="G64" s="3" t="str">
        <f>IF(A64&lt;&gt;C64,VLOOKUP(C64,$A$5:$D$9954,4,FALSE),"")</f>
        <v>Shadowfen</v>
      </c>
      <c r="H64" s="17">
        <f>A64</f>
        <v>232</v>
      </c>
      <c r="I64" s="17">
        <f>C64</f>
        <v>117</v>
      </c>
      <c r="J64">
        <v>0</v>
      </c>
      <c r="K64" s="3" t="str">
        <f>VLOOKUP(J64,'LibSets constants'!$A$4:$B$1017,2,FALSE)</f>
        <v>DLC_BASE_GAME</v>
      </c>
      <c r="L64" s="3" t="str">
        <f>VLOOKUP(J64,'LibSets constants'!$A$4:$C$1017,3,FALSE)</f>
        <v>Included in base game</v>
      </c>
    </row>
    <row r="65" spans="1:12" x14ac:dyDescent="0.25">
      <c r="A65">
        <v>233</v>
      </c>
      <c r="B65">
        <v>69</v>
      </c>
      <c r="C65">
        <v>117</v>
      </c>
      <c r="D65" t="s">
        <v>155</v>
      </c>
      <c r="E65" t="str">
        <f>IF(NOT(ISERROR(VLOOKUP(D65,'ESO Dungeon constants'!$A$3:$A$9999,1,FALSE))),"X","")</f>
        <v/>
      </c>
      <c r="F65" s="3" t="str">
        <f>IF(EXACT(A65,C65),"X","")</f>
        <v/>
      </c>
      <c r="G65" s="3" t="str">
        <f>IF(A65&lt;&gt;C65,VLOOKUP(C65,$A$5:$D$9954,4,FALSE),"")</f>
        <v>Shadowfen</v>
      </c>
      <c r="H65" s="17">
        <f>A65</f>
        <v>233</v>
      </c>
      <c r="I65" s="17">
        <f>C65</f>
        <v>117</v>
      </c>
      <c r="J65">
        <v>0</v>
      </c>
      <c r="K65" s="3" t="str">
        <f>VLOOKUP(J65,'LibSets constants'!$A$4:$B$1017,2,FALSE)</f>
        <v>DLC_BASE_GAME</v>
      </c>
      <c r="L65" s="3" t="str">
        <f>VLOOKUP(J65,'LibSets constants'!$A$4:$C$1017,3,FALSE)</f>
        <v>Included in base game</v>
      </c>
    </row>
    <row r="66" spans="1:12" x14ac:dyDescent="0.25">
      <c r="A66">
        <v>234</v>
      </c>
      <c r="B66">
        <v>70</v>
      </c>
      <c r="C66">
        <v>117</v>
      </c>
      <c r="D66" t="s">
        <v>156</v>
      </c>
      <c r="E66" t="str">
        <f>IF(NOT(ISERROR(VLOOKUP(D66,'ESO Dungeon constants'!$A$3:$A$9999,1,FALSE))),"X","")</f>
        <v/>
      </c>
      <c r="F66" s="3" t="str">
        <f>IF(EXACT(A66,C66),"X","")</f>
        <v/>
      </c>
      <c r="G66" s="3" t="str">
        <f>IF(A66&lt;&gt;C66,VLOOKUP(C66,$A$5:$D$9954,4,FALSE),"")</f>
        <v>Shadowfen</v>
      </c>
      <c r="H66" s="17">
        <f>A66</f>
        <v>234</v>
      </c>
      <c r="I66" s="17">
        <f>C66</f>
        <v>117</v>
      </c>
      <c r="J66">
        <v>0</v>
      </c>
      <c r="K66" s="3" t="str">
        <f>VLOOKUP(J66,'LibSets constants'!$A$4:$B$1017,2,FALSE)</f>
        <v>DLC_BASE_GAME</v>
      </c>
      <c r="L66" s="3" t="str">
        <f>VLOOKUP(J66,'LibSets constants'!$A$4:$C$1017,3,FALSE)</f>
        <v>Included in base game</v>
      </c>
    </row>
    <row r="67" spans="1:12" x14ac:dyDescent="0.25">
      <c r="A67">
        <v>235</v>
      </c>
      <c r="B67">
        <v>71</v>
      </c>
      <c r="C67">
        <v>117</v>
      </c>
      <c r="D67" t="s">
        <v>157</v>
      </c>
      <c r="E67" t="str">
        <f>IF(NOT(ISERROR(VLOOKUP(D67,'ESO Dungeon constants'!$A$3:$A$9999,1,FALSE))),"X","")</f>
        <v/>
      </c>
      <c r="F67" s="3" t="str">
        <f>IF(EXACT(A67,C67),"X","")</f>
        <v/>
      </c>
      <c r="G67" s="3" t="str">
        <f>IF(A67&lt;&gt;C67,VLOOKUP(C67,$A$5:$D$9954,4,FALSE),"")</f>
        <v>Shadowfen</v>
      </c>
      <c r="H67" s="17">
        <f>A67</f>
        <v>235</v>
      </c>
      <c r="I67" s="17">
        <f>C67</f>
        <v>117</v>
      </c>
      <c r="J67">
        <v>0</v>
      </c>
      <c r="K67" s="3" t="str">
        <f>VLOOKUP(J67,'LibSets constants'!$A$4:$B$1017,2,FALSE)</f>
        <v>DLC_BASE_GAME</v>
      </c>
      <c r="L67" s="3" t="str">
        <f>VLOOKUP(J67,'LibSets constants'!$A$4:$C$1017,3,FALSE)</f>
        <v>Included in base game</v>
      </c>
    </row>
    <row r="68" spans="1:12" x14ac:dyDescent="0.25">
      <c r="A68">
        <v>236</v>
      </c>
      <c r="B68">
        <v>72</v>
      </c>
      <c r="C68">
        <v>117</v>
      </c>
      <c r="D68" t="s">
        <v>158</v>
      </c>
      <c r="E68" t="str">
        <f>IF(NOT(ISERROR(VLOOKUP(D68,'ESO Dungeon constants'!$A$3:$A$9999,1,FALSE))),"X","")</f>
        <v/>
      </c>
      <c r="F68" s="3" t="str">
        <f>IF(EXACT(A68,C68),"X","")</f>
        <v/>
      </c>
      <c r="G68" s="3" t="str">
        <f>IF(A68&lt;&gt;C68,VLOOKUP(C68,$A$5:$D$9954,4,FALSE),"")</f>
        <v>Shadowfen</v>
      </c>
      <c r="H68" s="17">
        <f>A68</f>
        <v>236</v>
      </c>
      <c r="I68" s="17">
        <f>C68</f>
        <v>117</v>
      </c>
      <c r="J68">
        <v>0</v>
      </c>
      <c r="K68" s="3" t="str">
        <f>VLOOKUP(J68,'LibSets constants'!$A$4:$B$1017,2,FALSE)</f>
        <v>DLC_BASE_GAME</v>
      </c>
      <c r="L68" s="3" t="str">
        <f>VLOOKUP(J68,'LibSets constants'!$A$4:$C$1017,3,FALSE)</f>
        <v>Included in base game</v>
      </c>
    </row>
    <row r="69" spans="1:12" x14ac:dyDescent="0.25">
      <c r="A69">
        <v>237</v>
      </c>
      <c r="B69">
        <v>73</v>
      </c>
      <c r="C69">
        <v>104</v>
      </c>
      <c r="D69" t="s">
        <v>159</v>
      </c>
      <c r="E69" t="str">
        <f>IF(NOT(ISERROR(VLOOKUP(D69,'ESO Dungeon constants'!$A$3:$A$9999,1,FALSE))),"X","")</f>
        <v/>
      </c>
      <c r="F69" s="3" t="str">
        <f>IF(EXACT(A69,C69),"X","")</f>
        <v/>
      </c>
      <c r="G69" s="3" t="str">
        <f>IF(A69&lt;&gt;C69,VLOOKUP(C69,$A$5:$D$9954,4,FALSE),"")</f>
        <v>Alik'r Desert</v>
      </c>
      <c r="H69" s="17">
        <f>A69</f>
        <v>237</v>
      </c>
      <c r="I69" s="17">
        <f>C69</f>
        <v>104</v>
      </c>
      <c r="J69">
        <v>0</v>
      </c>
      <c r="K69" s="3" t="str">
        <f>VLOOKUP(J69,'LibSets constants'!$A$4:$B$1017,2,FALSE)</f>
        <v>DLC_BASE_GAME</v>
      </c>
      <c r="L69" s="3" t="str">
        <f>VLOOKUP(J69,'LibSets constants'!$A$4:$C$1017,3,FALSE)</f>
        <v>Included in base game</v>
      </c>
    </row>
    <row r="70" spans="1:12" x14ac:dyDescent="0.25">
      <c r="A70">
        <v>238</v>
      </c>
      <c r="B70">
        <v>74</v>
      </c>
      <c r="C70">
        <v>104</v>
      </c>
      <c r="D70" t="s">
        <v>160</v>
      </c>
      <c r="E70" t="str">
        <f>IF(NOT(ISERROR(VLOOKUP(D70,'ESO Dungeon constants'!$A$3:$A$9999,1,FALSE))),"X","")</f>
        <v/>
      </c>
      <c r="F70" s="3" t="str">
        <f>IF(EXACT(A70,C70),"X","")</f>
        <v/>
      </c>
      <c r="G70" s="3" t="str">
        <f>IF(A70&lt;&gt;C70,VLOOKUP(C70,$A$5:$D$9954,4,FALSE),"")</f>
        <v>Alik'r Desert</v>
      </c>
      <c r="H70" s="17">
        <f>A70</f>
        <v>238</v>
      </c>
      <c r="I70" s="17">
        <f>C70</f>
        <v>104</v>
      </c>
      <c r="J70">
        <v>0</v>
      </c>
      <c r="K70" s="3" t="str">
        <f>VLOOKUP(J70,'LibSets constants'!$A$4:$B$1017,2,FALSE)</f>
        <v>DLC_BASE_GAME</v>
      </c>
      <c r="L70" s="3" t="str">
        <f>VLOOKUP(J70,'LibSets constants'!$A$4:$C$1017,3,FALSE)</f>
        <v>Included in base game</v>
      </c>
    </row>
    <row r="71" spans="1:12" x14ac:dyDescent="0.25">
      <c r="A71">
        <v>239</v>
      </c>
      <c r="B71">
        <v>75</v>
      </c>
      <c r="C71">
        <v>104</v>
      </c>
      <c r="D71" t="s">
        <v>161</v>
      </c>
      <c r="E71" t="str">
        <f>IF(NOT(ISERROR(VLOOKUP(D71,'ESO Dungeon constants'!$A$3:$A$9999,1,FALSE))),"X","")</f>
        <v/>
      </c>
      <c r="F71" s="3" t="str">
        <f>IF(EXACT(A71,C71),"X","")</f>
        <v/>
      </c>
      <c r="G71" s="3" t="str">
        <f>IF(A71&lt;&gt;C71,VLOOKUP(C71,$A$5:$D$9954,4,FALSE),"")</f>
        <v>Alik'r Desert</v>
      </c>
      <c r="H71" s="17">
        <f>A71</f>
        <v>239</v>
      </c>
      <c r="I71" s="17">
        <f>C71</f>
        <v>104</v>
      </c>
      <c r="J71">
        <v>0</v>
      </c>
      <c r="K71" s="3" t="str">
        <f>VLOOKUP(J71,'LibSets constants'!$A$4:$B$1017,2,FALSE)</f>
        <v>DLC_BASE_GAME</v>
      </c>
      <c r="L71" s="3" t="str">
        <f>VLOOKUP(J71,'LibSets constants'!$A$4:$C$1017,3,FALSE)</f>
        <v>Included in base game</v>
      </c>
    </row>
    <row r="72" spans="1:12" x14ac:dyDescent="0.25">
      <c r="A72">
        <v>241</v>
      </c>
      <c r="B72">
        <v>76</v>
      </c>
      <c r="C72">
        <v>41</v>
      </c>
      <c r="D72" t="s">
        <v>162</v>
      </c>
      <c r="E72" t="str">
        <f>IF(NOT(ISERROR(VLOOKUP(D72,'ESO Dungeon constants'!$A$3:$A$9999,1,FALSE))),"X","")</f>
        <v/>
      </c>
      <c r="F72" s="3" t="str">
        <f>IF(EXACT(A72,C72),"X","")</f>
        <v/>
      </c>
      <c r="G72" s="3" t="str">
        <f>IF(A72&lt;&gt;C72,VLOOKUP(C72,$A$5:$D$9954,4,FALSE),"")</f>
        <v>Stonefalls</v>
      </c>
      <c r="H72" s="17">
        <f>A72</f>
        <v>241</v>
      </c>
      <c r="I72" s="17">
        <f>C72</f>
        <v>41</v>
      </c>
      <c r="J72">
        <v>0</v>
      </c>
      <c r="K72" s="3" t="str">
        <f>VLOOKUP(J72,'LibSets constants'!$A$4:$B$1017,2,FALSE)</f>
        <v>DLC_BASE_GAME</v>
      </c>
      <c r="L72" s="3" t="str">
        <f>VLOOKUP(J72,'LibSets constants'!$A$4:$C$1017,3,FALSE)</f>
        <v>Included in base game</v>
      </c>
    </row>
    <row r="73" spans="1:12" x14ac:dyDescent="0.25">
      <c r="A73">
        <v>242</v>
      </c>
      <c r="B73">
        <v>77</v>
      </c>
      <c r="C73">
        <v>41</v>
      </c>
      <c r="D73" t="s">
        <v>163</v>
      </c>
      <c r="E73" t="str">
        <f>IF(NOT(ISERROR(VLOOKUP(D73,'ESO Dungeon constants'!$A$3:$A$9999,1,FALSE))),"X","")</f>
        <v/>
      </c>
      <c r="F73" s="3" t="str">
        <f>IF(EXACT(A73,C73),"X","")</f>
        <v/>
      </c>
      <c r="G73" s="3" t="str">
        <f>IF(A73&lt;&gt;C73,VLOOKUP(C73,$A$5:$D$9954,4,FALSE),"")</f>
        <v>Stonefalls</v>
      </c>
      <c r="H73" s="17">
        <f>A73</f>
        <v>242</v>
      </c>
      <c r="I73" s="17">
        <f>C73</f>
        <v>41</v>
      </c>
      <c r="J73">
        <v>0</v>
      </c>
      <c r="K73" s="3" t="str">
        <f>VLOOKUP(J73,'LibSets constants'!$A$4:$B$1017,2,FALSE)</f>
        <v>DLC_BASE_GAME</v>
      </c>
      <c r="L73" s="3" t="str">
        <f>VLOOKUP(J73,'LibSets constants'!$A$4:$C$1017,3,FALSE)</f>
        <v>Included in base game</v>
      </c>
    </row>
    <row r="74" spans="1:12" x14ac:dyDescent="0.25">
      <c r="A74">
        <v>243</v>
      </c>
      <c r="B74">
        <v>78</v>
      </c>
      <c r="C74">
        <v>41</v>
      </c>
      <c r="D74" t="s">
        <v>164</v>
      </c>
      <c r="E74" t="str">
        <f>IF(NOT(ISERROR(VLOOKUP(D74,'ESO Dungeon constants'!$A$3:$A$9999,1,FALSE))),"X","")</f>
        <v/>
      </c>
      <c r="F74" s="3" t="str">
        <f>IF(EXACT(A74,C74),"X","")</f>
        <v/>
      </c>
      <c r="G74" s="3" t="str">
        <f>IF(A74&lt;&gt;C74,VLOOKUP(C74,$A$5:$D$9954,4,FALSE),"")</f>
        <v>Stonefalls</v>
      </c>
      <c r="H74" s="17">
        <f>A74</f>
        <v>243</v>
      </c>
      <c r="I74" s="17">
        <f>C74</f>
        <v>41</v>
      </c>
      <c r="J74">
        <v>0</v>
      </c>
      <c r="K74" s="3" t="str">
        <f>VLOOKUP(J74,'LibSets constants'!$A$4:$B$1017,2,FALSE)</f>
        <v>DLC_BASE_GAME</v>
      </c>
      <c r="L74" s="3" t="str">
        <f>VLOOKUP(J74,'LibSets constants'!$A$4:$C$1017,3,FALSE)</f>
        <v>Included in base game</v>
      </c>
    </row>
    <row r="75" spans="1:12" x14ac:dyDescent="0.25">
      <c r="A75">
        <v>245</v>
      </c>
      <c r="B75">
        <v>79</v>
      </c>
      <c r="C75">
        <v>41</v>
      </c>
      <c r="D75" t="s">
        <v>165</v>
      </c>
      <c r="E75" t="str">
        <f>IF(NOT(ISERROR(VLOOKUP(D75,'ESO Dungeon constants'!$A$3:$A$9999,1,FALSE))),"X","")</f>
        <v/>
      </c>
      <c r="F75" s="3" t="str">
        <f>IF(EXACT(A75,C75),"X","")</f>
        <v/>
      </c>
      <c r="G75" s="3" t="str">
        <f>IF(A75&lt;&gt;C75,VLOOKUP(C75,$A$5:$D$9954,4,FALSE),"")</f>
        <v>Stonefalls</v>
      </c>
      <c r="H75" s="17">
        <f>A75</f>
        <v>245</v>
      </c>
      <c r="I75" s="17">
        <f>C75</f>
        <v>41</v>
      </c>
      <c r="J75">
        <v>0</v>
      </c>
      <c r="K75" s="3" t="str">
        <f>VLOOKUP(J75,'LibSets constants'!$A$4:$B$1017,2,FALSE)</f>
        <v>DLC_BASE_GAME</v>
      </c>
      <c r="L75" s="3" t="str">
        <f>VLOOKUP(J75,'LibSets constants'!$A$4:$C$1017,3,FALSE)</f>
        <v>Included in base game</v>
      </c>
    </row>
    <row r="76" spans="1:12" x14ac:dyDescent="0.25">
      <c r="A76">
        <v>1471</v>
      </c>
      <c r="B76">
        <v>1010</v>
      </c>
      <c r="C76">
        <v>684</v>
      </c>
      <c r="D76" t="s">
        <v>3874</v>
      </c>
      <c r="E76" t="str">
        <f>IF(NOT(ISERROR(VLOOKUP(D76,'ESO Dungeon constants'!$A$3:$A$9999,1,FALSE))),"X","")</f>
        <v>X</v>
      </c>
      <c r="F76" s="3" t="str">
        <f>IF(EXACT(A76,C76),"X","")</f>
        <v/>
      </c>
      <c r="G76" s="3" t="str">
        <f>IF(A76&lt;&gt;C76,VLOOKUP(C76,$A$5:$D$9954,4,FALSE),"")</f>
        <v>Wrothgar</v>
      </c>
      <c r="H76" s="17">
        <f>A76</f>
        <v>1471</v>
      </c>
      <c r="I76" s="17">
        <f>C76</f>
        <v>684</v>
      </c>
      <c r="J76">
        <f>IF(E76="X",VLOOKUP(D76,'ESO Dungeon constants'!$A$3:$H$9999,8,FALSE),0)</f>
        <v>33</v>
      </c>
      <c r="K76" s="3" t="str">
        <f>VLOOKUP(J76,'LibSets constants'!$A$4:$B$1017,2,FALSE)</f>
        <v>DLC_SCIONS_OF_ITHELIA</v>
      </c>
      <c r="L76" s="3" t="str">
        <f>VLOOKUP(J76,'LibSets constants'!$A$4:$C$1017,3,FALSE)</f>
        <v>Scions of Ithelia</v>
      </c>
    </row>
    <row r="77" spans="1:12" x14ac:dyDescent="0.25">
      <c r="A77">
        <v>246</v>
      </c>
      <c r="B77">
        <v>80</v>
      </c>
      <c r="C77">
        <v>41</v>
      </c>
      <c r="D77" t="s">
        <v>166</v>
      </c>
      <c r="E77" t="str">
        <f>IF(NOT(ISERROR(VLOOKUP(D77,'ESO Dungeon constants'!$A$3:$A$9999,1,FALSE))),"X","")</f>
        <v/>
      </c>
      <c r="F77" s="3" t="str">
        <f>IF(EXACT(A77,C77),"X","")</f>
        <v/>
      </c>
      <c r="G77" s="3" t="str">
        <f>IF(A77&lt;&gt;C77,VLOOKUP(C77,$A$5:$D$9954,4,FALSE),"")</f>
        <v>Stonefalls</v>
      </c>
      <c r="H77" s="17">
        <f>A77</f>
        <v>246</v>
      </c>
      <c r="I77" s="17">
        <f>C77</f>
        <v>41</v>
      </c>
      <c r="J77">
        <v>0</v>
      </c>
      <c r="K77" s="3" t="str">
        <f>VLOOKUP(J77,'LibSets constants'!$A$4:$B$1017,2,FALSE)</f>
        <v>DLC_BASE_GAME</v>
      </c>
      <c r="L77" s="3" t="str">
        <f>VLOOKUP(J77,'LibSets constants'!$A$4:$C$1017,3,FALSE)</f>
        <v>Included in base game</v>
      </c>
    </row>
    <row r="78" spans="1:12" x14ac:dyDescent="0.25">
      <c r="A78">
        <v>247</v>
      </c>
      <c r="B78">
        <v>81</v>
      </c>
      <c r="C78">
        <v>41</v>
      </c>
      <c r="D78" t="s">
        <v>167</v>
      </c>
      <c r="E78" t="str">
        <f>IF(NOT(ISERROR(VLOOKUP(D78,'ESO Dungeon constants'!$A$3:$A$9999,1,FALSE))),"X","")</f>
        <v/>
      </c>
      <c r="F78" s="3" t="str">
        <f>IF(EXACT(A78,C78),"X","")</f>
        <v/>
      </c>
      <c r="G78" s="3" t="str">
        <f>IF(A78&lt;&gt;C78,VLOOKUP(C78,$A$5:$D$9954,4,FALSE),"")</f>
        <v>Stonefalls</v>
      </c>
      <c r="H78" s="17">
        <f>A78</f>
        <v>247</v>
      </c>
      <c r="I78" s="17">
        <f>C78</f>
        <v>41</v>
      </c>
      <c r="J78">
        <v>0</v>
      </c>
      <c r="K78" s="3" t="str">
        <f>VLOOKUP(J78,'LibSets constants'!$A$4:$B$1017,2,FALSE)</f>
        <v>DLC_BASE_GAME</v>
      </c>
      <c r="L78" s="3" t="str">
        <f>VLOOKUP(J78,'LibSets constants'!$A$4:$C$1017,3,FALSE)</f>
        <v>Included in base game</v>
      </c>
    </row>
    <row r="79" spans="1:12" x14ac:dyDescent="0.25">
      <c r="A79">
        <v>248</v>
      </c>
      <c r="B79">
        <v>82</v>
      </c>
      <c r="C79">
        <v>57</v>
      </c>
      <c r="D79" t="s">
        <v>168</v>
      </c>
      <c r="E79" t="str">
        <f>IF(NOT(ISERROR(VLOOKUP(D79,'ESO Dungeon constants'!$A$3:$A$9999,1,FALSE))),"X","")</f>
        <v/>
      </c>
      <c r="F79" s="3" t="str">
        <f>IF(EXACT(A79,C79),"X","")</f>
        <v/>
      </c>
      <c r="G79" s="3" t="str">
        <f>IF(A79&lt;&gt;C79,VLOOKUP(C79,$A$5:$D$9954,4,FALSE),"")</f>
        <v>Deshaan</v>
      </c>
      <c r="H79" s="17">
        <f>A79</f>
        <v>248</v>
      </c>
      <c r="I79" s="17">
        <f>C79</f>
        <v>57</v>
      </c>
      <c r="J79">
        <v>0</v>
      </c>
      <c r="K79" s="3" t="str">
        <f>VLOOKUP(J79,'LibSets constants'!$A$4:$B$1017,2,FALSE)</f>
        <v>DLC_BASE_GAME</v>
      </c>
      <c r="L79" s="3" t="str">
        <f>VLOOKUP(J79,'LibSets constants'!$A$4:$C$1017,3,FALSE)</f>
        <v>Included in base game</v>
      </c>
    </row>
    <row r="80" spans="1:12" x14ac:dyDescent="0.25">
      <c r="A80">
        <v>249</v>
      </c>
      <c r="B80">
        <v>83</v>
      </c>
      <c r="C80">
        <v>57</v>
      </c>
      <c r="D80" t="s">
        <v>169</v>
      </c>
      <c r="E80" t="str">
        <f>IF(NOT(ISERROR(VLOOKUP(D80,'ESO Dungeon constants'!$A$3:$A$9999,1,FALSE))),"X","")</f>
        <v/>
      </c>
      <c r="F80" s="3" t="str">
        <f>IF(EXACT(A80,C80),"X","")</f>
        <v/>
      </c>
      <c r="G80" s="3" t="str">
        <f>IF(A80&lt;&gt;C80,VLOOKUP(C80,$A$5:$D$9954,4,FALSE),"")</f>
        <v>Deshaan</v>
      </c>
      <c r="H80" s="17">
        <f>A80</f>
        <v>249</v>
      </c>
      <c r="I80" s="17">
        <f>C80</f>
        <v>57</v>
      </c>
      <c r="J80">
        <v>0</v>
      </c>
      <c r="K80" s="3" t="str">
        <f>VLOOKUP(J80,'LibSets constants'!$A$4:$B$1017,2,FALSE)</f>
        <v>DLC_BASE_GAME</v>
      </c>
      <c r="L80" s="3" t="str">
        <f>VLOOKUP(J80,'LibSets constants'!$A$4:$C$1017,3,FALSE)</f>
        <v>Included in base game</v>
      </c>
    </row>
    <row r="81" spans="1:12" x14ac:dyDescent="0.25">
      <c r="A81">
        <v>1228</v>
      </c>
      <c r="B81">
        <v>806</v>
      </c>
      <c r="C81">
        <v>823</v>
      </c>
      <c r="D81" t="s">
        <v>2384</v>
      </c>
      <c r="E81" t="str">
        <f>IF(NOT(ISERROR(VLOOKUP(D81,'ESO Dungeon constants'!$A$3:$A$9999,1,FALSE))),"X","")</f>
        <v>X</v>
      </c>
      <c r="F81" s="3" t="str">
        <f>IF(EXACT(A81,C81),"X","")</f>
        <v/>
      </c>
      <c r="G81" s="3" t="str">
        <f>IF(A81&lt;&gt;C81,VLOOKUP(C81,$A$5:$D$9954,4,FALSE),"")</f>
        <v>Gold Coast</v>
      </c>
      <c r="H81" s="17">
        <f>A81</f>
        <v>1228</v>
      </c>
      <c r="I81" s="17">
        <f>C81</f>
        <v>823</v>
      </c>
      <c r="J81">
        <f>IF(E81="X",VLOOKUP(D81,'ESO Dungeon constants'!$A$3:$H$9999,8,FALSE),0)</f>
        <v>21</v>
      </c>
      <c r="K81" s="3" t="str">
        <f>VLOOKUP(J81,'LibSets constants'!$A$4:$B$1017,2,FALSE)</f>
        <v>DLC_FLAMES_OF_AMBITION</v>
      </c>
      <c r="L81" s="3" t="str">
        <f>VLOOKUP(J81,'LibSets constants'!$A$4:$C$1017,3,FALSE)</f>
        <v>Flames of Ambition</v>
      </c>
    </row>
    <row r="82" spans="1:12" x14ac:dyDescent="0.25">
      <c r="A82">
        <v>250</v>
      </c>
      <c r="B82">
        <v>84</v>
      </c>
      <c r="C82">
        <v>57</v>
      </c>
      <c r="D82" t="s">
        <v>170</v>
      </c>
      <c r="E82" t="str">
        <f>IF(NOT(ISERROR(VLOOKUP(D82,'ESO Dungeon constants'!$A$3:$A$9999,1,FALSE))),"X","")</f>
        <v/>
      </c>
      <c r="F82" s="3" t="str">
        <f>IF(EXACT(A82,C82),"X","")</f>
        <v/>
      </c>
      <c r="G82" s="3" t="str">
        <f>IF(A82&lt;&gt;C82,VLOOKUP(C82,$A$5:$D$9954,4,FALSE),"")</f>
        <v>Deshaan</v>
      </c>
      <c r="H82" s="17">
        <f>A82</f>
        <v>250</v>
      </c>
      <c r="I82" s="17">
        <f>C82</f>
        <v>57</v>
      </c>
      <c r="J82">
        <v>0</v>
      </c>
      <c r="K82" s="3" t="str">
        <f>VLOOKUP(J82,'LibSets constants'!$A$4:$B$1017,2,FALSE)</f>
        <v>DLC_BASE_GAME</v>
      </c>
      <c r="L82" s="3" t="str">
        <f>VLOOKUP(J82,'LibSets constants'!$A$4:$C$1017,3,FALSE)</f>
        <v>Included in base game</v>
      </c>
    </row>
    <row r="83" spans="1:12" x14ac:dyDescent="0.25">
      <c r="A83">
        <v>252</v>
      </c>
      <c r="B83">
        <v>85</v>
      </c>
      <c r="C83">
        <v>57</v>
      </c>
      <c r="D83" t="s">
        <v>171</v>
      </c>
      <c r="E83" t="str">
        <f>IF(NOT(ISERROR(VLOOKUP(D83,'ESO Dungeon constants'!$A$3:$A$9999,1,FALSE))),"X","")</f>
        <v/>
      </c>
      <c r="F83" s="3" t="str">
        <f>IF(EXACT(A83,C83),"X","")</f>
        <v/>
      </c>
      <c r="G83" s="3" t="str">
        <f>IF(A83&lt;&gt;C83,VLOOKUP(C83,$A$5:$D$9954,4,FALSE),"")</f>
        <v>Deshaan</v>
      </c>
      <c r="H83" s="17">
        <f>A83</f>
        <v>252</v>
      </c>
      <c r="I83" s="17">
        <f>C83</f>
        <v>57</v>
      </c>
      <c r="J83">
        <v>0</v>
      </c>
      <c r="K83" s="3" t="str">
        <f>VLOOKUP(J83,'LibSets constants'!$A$4:$B$1017,2,FALSE)</f>
        <v>DLC_BASE_GAME</v>
      </c>
      <c r="L83" s="3" t="str">
        <f>VLOOKUP(J83,'LibSets constants'!$A$4:$C$1017,3,FALSE)</f>
        <v>Included in base game</v>
      </c>
    </row>
    <row r="84" spans="1:12" x14ac:dyDescent="0.25">
      <c r="A84">
        <v>38</v>
      </c>
      <c r="B84">
        <v>8</v>
      </c>
      <c r="C84">
        <v>92</v>
      </c>
      <c r="D84" t="s">
        <v>57</v>
      </c>
      <c r="E84" t="str">
        <f>IF(NOT(ISERROR(VLOOKUP(D84,'ESO Dungeon constants'!$A$3:$A$9999,1,FALSE))),"X","")</f>
        <v>X</v>
      </c>
      <c r="F84" s="3" t="str">
        <f>IF(EXACT(A84,C84),"X","")</f>
        <v/>
      </c>
      <c r="G84" s="3" t="str">
        <f>IF(A84&lt;&gt;C84,VLOOKUP(C84,$A$5:$D$9954,4,FALSE),"")</f>
        <v>Bangkorai</v>
      </c>
      <c r="H84" s="17">
        <f>A84</f>
        <v>38</v>
      </c>
      <c r="I84" s="17">
        <f>C84</f>
        <v>92</v>
      </c>
      <c r="J84">
        <f>IF(E84="X",VLOOKUP(D84,'ESO Dungeon constants'!$A$3:$H$9999,8,FALSE),0)</f>
        <v>0</v>
      </c>
      <c r="K84" s="3" t="str">
        <f>VLOOKUP(J84,'LibSets constants'!$A$4:$B$1017,2,FALSE)</f>
        <v>DLC_BASE_GAME</v>
      </c>
      <c r="L84" s="3" t="str">
        <f>VLOOKUP(J84,'LibSets constants'!$A$4:$C$1017,3,FALSE)</f>
        <v>Included in base game</v>
      </c>
    </row>
    <row r="85" spans="1:12" x14ac:dyDescent="0.25">
      <c r="A85">
        <v>253</v>
      </c>
      <c r="B85">
        <v>86</v>
      </c>
      <c r="C85">
        <v>57</v>
      </c>
      <c r="D85" t="s">
        <v>172</v>
      </c>
      <c r="E85" t="str">
        <f>IF(NOT(ISERROR(VLOOKUP(D85,'ESO Dungeon constants'!$A$3:$A$9999,1,FALSE))),"X","")</f>
        <v/>
      </c>
      <c r="F85" s="3" t="str">
        <f>IF(EXACT(A85,C85),"X","")</f>
        <v/>
      </c>
      <c r="G85" s="3" t="str">
        <f>IF(A85&lt;&gt;C85,VLOOKUP(C85,$A$5:$D$9954,4,FALSE),"")</f>
        <v>Deshaan</v>
      </c>
      <c r="H85" s="17">
        <f>A85</f>
        <v>253</v>
      </c>
      <c r="I85" s="17">
        <f>C85</f>
        <v>57</v>
      </c>
      <c r="J85">
        <v>0</v>
      </c>
      <c r="K85" s="3" t="str">
        <f>VLOOKUP(J85,'LibSets constants'!$A$4:$B$1017,2,FALSE)</f>
        <v>DLC_BASE_GAME</v>
      </c>
      <c r="L85" s="3" t="str">
        <f>VLOOKUP(J85,'LibSets constants'!$A$4:$C$1017,3,FALSE)</f>
        <v>Included in base game</v>
      </c>
    </row>
    <row r="86" spans="1:12" x14ac:dyDescent="0.25">
      <c r="A86">
        <v>254</v>
      </c>
      <c r="B86">
        <v>87</v>
      </c>
      <c r="C86">
        <v>57</v>
      </c>
      <c r="D86" t="s">
        <v>173</v>
      </c>
      <c r="E86" t="str">
        <f>IF(NOT(ISERROR(VLOOKUP(D86,'ESO Dungeon constants'!$A$3:$A$9999,1,FALSE))),"X","")</f>
        <v/>
      </c>
      <c r="F86" s="3" t="str">
        <f>IF(EXACT(A86,C86),"X","")</f>
        <v/>
      </c>
      <c r="G86" s="3" t="str">
        <f>IF(A86&lt;&gt;C86,VLOOKUP(C86,$A$5:$D$9954,4,FALSE),"")</f>
        <v>Deshaan</v>
      </c>
      <c r="H86" s="17">
        <f>A86</f>
        <v>254</v>
      </c>
      <c r="I86" s="17">
        <f>C86</f>
        <v>57</v>
      </c>
      <c r="J86">
        <v>0</v>
      </c>
      <c r="K86" s="3" t="str">
        <f>VLOOKUP(J86,'LibSets constants'!$A$4:$B$1017,2,FALSE)</f>
        <v>DLC_BASE_GAME</v>
      </c>
      <c r="L86" s="3" t="str">
        <f>VLOOKUP(J86,'LibSets constants'!$A$4:$C$1017,3,FALSE)</f>
        <v>Included in base game</v>
      </c>
    </row>
    <row r="87" spans="1:12" x14ac:dyDescent="0.25">
      <c r="A87">
        <v>255</v>
      </c>
      <c r="B87">
        <v>88</v>
      </c>
      <c r="C87">
        <v>57</v>
      </c>
      <c r="D87" t="s">
        <v>174</v>
      </c>
      <c r="E87" t="str">
        <f>IF(NOT(ISERROR(VLOOKUP(D87,'ESO Dungeon constants'!$A$3:$A$9999,1,FALSE))),"X","")</f>
        <v/>
      </c>
      <c r="F87" s="3" t="str">
        <f>IF(EXACT(A87,C87),"X","")</f>
        <v/>
      </c>
      <c r="G87" s="3" t="str">
        <f>IF(A87&lt;&gt;C87,VLOOKUP(C87,$A$5:$D$9954,4,FALSE),"")</f>
        <v>Deshaan</v>
      </c>
      <c r="H87" s="17">
        <f>A87</f>
        <v>255</v>
      </c>
      <c r="I87" s="17">
        <f>C87</f>
        <v>57</v>
      </c>
      <c r="J87">
        <v>0</v>
      </c>
      <c r="K87" s="3" t="str">
        <f>VLOOKUP(J87,'LibSets constants'!$A$4:$B$1017,2,FALSE)</f>
        <v>DLC_BASE_GAME</v>
      </c>
      <c r="L87" s="3" t="str">
        <f>VLOOKUP(J87,'LibSets constants'!$A$4:$C$1017,3,FALSE)</f>
        <v>Included in base game</v>
      </c>
    </row>
    <row r="88" spans="1:12" x14ac:dyDescent="0.25">
      <c r="A88">
        <v>256</v>
      </c>
      <c r="B88">
        <v>89</v>
      </c>
      <c r="C88">
        <v>3</v>
      </c>
      <c r="D88" t="s">
        <v>175</v>
      </c>
      <c r="E88" t="str">
        <f>IF(NOT(ISERROR(VLOOKUP(D88,'ESO Dungeon constants'!$A$3:$A$9999,1,FALSE))),"X","")</f>
        <v/>
      </c>
      <c r="F88" s="3" t="str">
        <f>IF(EXACT(A88,C88),"X","")</f>
        <v/>
      </c>
      <c r="G88" s="3" t="str">
        <f>IF(A88&lt;&gt;C88,VLOOKUP(C88,$A$5:$D$9954,4,FALSE),"")</f>
        <v>Glenumbra</v>
      </c>
      <c r="H88" s="17">
        <f>A88</f>
        <v>256</v>
      </c>
      <c r="I88" s="17">
        <f>C88</f>
        <v>3</v>
      </c>
      <c r="J88">
        <v>0</v>
      </c>
      <c r="K88" s="3" t="str">
        <f>VLOOKUP(J88,'LibSets constants'!$A$4:$B$1017,2,FALSE)</f>
        <v>DLC_BASE_GAME</v>
      </c>
      <c r="L88" s="3" t="str">
        <f>VLOOKUP(J88,'LibSets constants'!$A$4:$C$1017,3,FALSE)</f>
        <v>Included in base game</v>
      </c>
    </row>
    <row r="89" spans="1:12" x14ac:dyDescent="0.25">
      <c r="A89">
        <v>257</v>
      </c>
      <c r="B89">
        <v>90</v>
      </c>
      <c r="C89">
        <v>103</v>
      </c>
      <c r="D89" t="s">
        <v>176</v>
      </c>
      <c r="E89" t="str">
        <f>IF(NOT(ISERROR(VLOOKUP(D89,'ESO Dungeon constants'!$A$3:$A$9999,1,FALSE))),"X","")</f>
        <v/>
      </c>
      <c r="F89" s="3" t="str">
        <f>IF(EXACT(A89,C89),"X","")</f>
        <v/>
      </c>
      <c r="G89" s="3" t="str">
        <f>IF(A89&lt;&gt;C89,VLOOKUP(C89,$A$5:$D$9954,4,FALSE),"")</f>
        <v>The Rift</v>
      </c>
      <c r="H89" s="17">
        <f>A89</f>
        <v>257</v>
      </c>
      <c r="I89" s="17">
        <f>C89</f>
        <v>103</v>
      </c>
      <c r="J89">
        <v>0</v>
      </c>
      <c r="K89" s="3" t="str">
        <f>VLOOKUP(J89,'LibSets constants'!$A$4:$B$1017,2,FALSE)</f>
        <v>DLC_BASE_GAME</v>
      </c>
      <c r="L89" s="3" t="str">
        <f>VLOOKUP(J89,'LibSets constants'!$A$4:$C$1017,3,FALSE)</f>
        <v>Included in base game</v>
      </c>
    </row>
    <row r="90" spans="1:12" x14ac:dyDescent="0.25">
      <c r="A90">
        <v>258</v>
      </c>
      <c r="B90">
        <v>91</v>
      </c>
      <c r="C90">
        <v>103</v>
      </c>
      <c r="D90" t="s">
        <v>177</v>
      </c>
      <c r="E90" t="str">
        <f>IF(NOT(ISERROR(VLOOKUP(D90,'ESO Dungeon constants'!$A$3:$A$9999,1,FALSE))),"X","")</f>
        <v/>
      </c>
      <c r="F90" s="3" t="str">
        <f>IF(EXACT(A90,C90),"X","")</f>
        <v/>
      </c>
      <c r="G90" s="3" t="str">
        <f>IF(A90&lt;&gt;C90,VLOOKUP(C90,$A$5:$D$9954,4,FALSE),"")</f>
        <v>The Rift</v>
      </c>
      <c r="H90" s="17">
        <f>A90</f>
        <v>258</v>
      </c>
      <c r="I90" s="17">
        <f>C90</f>
        <v>103</v>
      </c>
      <c r="J90">
        <v>0</v>
      </c>
      <c r="K90" s="3" t="str">
        <f>VLOOKUP(J90,'LibSets constants'!$A$4:$B$1017,2,FALSE)</f>
        <v>DLC_BASE_GAME</v>
      </c>
      <c r="L90" s="3" t="str">
        <f>VLOOKUP(J90,'LibSets constants'!$A$4:$C$1017,3,FALSE)</f>
        <v>Included in base game</v>
      </c>
    </row>
    <row r="91" spans="1:12" x14ac:dyDescent="0.25">
      <c r="A91">
        <v>259</v>
      </c>
      <c r="B91">
        <v>92</v>
      </c>
      <c r="C91">
        <v>103</v>
      </c>
      <c r="D91" t="s">
        <v>178</v>
      </c>
      <c r="E91" t="str">
        <f>IF(NOT(ISERROR(VLOOKUP(D91,'ESO Dungeon constants'!$A$3:$A$9999,1,FALSE))),"X","")</f>
        <v/>
      </c>
      <c r="F91" s="3" t="str">
        <f>IF(EXACT(A91,C91),"X","")</f>
        <v/>
      </c>
      <c r="G91" s="3" t="str">
        <f>IF(A91&lt;&gt;C91,VLOOKUP(C91,$A$5:$D$9954,4,FALSE),"")</f>
        <v>The Rift</v>
      </c>
      <c r="H91" s="17">
        <f>A91</f>
        <v>259</v>
      </c>
      <c r="I91" s="17">
        <f>C91</f>
        <v>103</v>
      </c>
      <c r="J91">
        <v>0</v>
      </c>
      <c r="K91" s="3" t="str">
        <f>VLOOKUP(J91,'LibSets constants'!$A$4:$B$1017,2,FALSE)</f>
        <v>DLC_BASE_GAME</v>
      </c>
      <c r="L91" s="3" t="str">
        <f>VLOOKUP(J91,'LibSets constants'!$A$4:$C$1017,3,FALSE)</f>
        <v>Included in base game</v>
      </c>
    </row>
    <row r="92" spans="1:12" x14ac:dyDescent="0.25">
      <c r="A92">
        <v>260</v>
      </c>
      <c r="B92">
        <v>93</v>
      </c>
      <c r="C92">
        <v>101</v>
      </c>
      <c r="D92" t="s">
        <v>179</v>
      </c>
      <c r="E92" t="str">
        <f>IF(NOT(ISERROR(VLOOKUP(D92,'ESO Dungeon constants'!$A$3:$A$9999,1,FALSE))),"X","")</f>
        <v/>
      </c>
      <c r="F92" s="3" t="str">
        <f>IF(EXACT(A92,C92),"X","")</f>
        <v/>
      </c>
      <c r="G92" s="3" t="str">
        <f>IF(A92&lt;&gt;C92,VLOOKUP(C92,$A$5:$D$9954,4,FALSE),"")</f>
        <v>Eastmarch</v>
      </c>
      <c r="H92" s="17">
        <f>A92</f>
        <v>260</v>
      </c>
      <c r="I92" s="17">
        <f>C92</f>
        <v>101</v>
      </c>
      <c r="J92">
        <v>0</v>
      </c>
      <c r="K92" s="3" t="str">
        <f>VLOOKUP(J92,'LibSets constants'!$A$4:$B$1017,2,FALSE)</f>
        <v>DLC_BASE_GAME</v>
      </c>
      <c r="L92" s="3" t="str">
        <f>VLOOKUP(J92,'LibSets constants'!$A$4:$C$1017,3,FALSE)</f>
        <v>Included in base game</v>
      </c>
    </row>
    <row r="93" spans="1:12" x14ac:dyDescent="0.25">
      <c r="A93">
        <v>64</v>
      </c>
      <c r="B93">
        <v>13</v>
      </c>
      <c r="C93">
        <v>103</v>
      </c>
      <c r="D93" t="s">
        <v>70</v>
      </c>
      <c r="E93" t="str">
        <f>IF(NOT(ISERROR(VLOOKUP(D93,'ESO Dungeon constants'!$A$3:$A$9999,1,FALSE))),"X","")</f>
        <v>X</v>
      </c>
      <c r="F93" s="3" t="str">
        <f>IF(EXACT(A93,C93),"X","")</f>
        <v/>
      </c>
      <c r="G93" s="3" t="str">
        <f>IF(A93&lt;&gt;C93,VLOOKUP(C93,$A$5:$D$9954,4,FALSE),"")</f>
        <v>The Rift</v>
      </c>
      <c r="H93" s="17">
        <f>A93</f>
        <v>64</v>
      </c>
      <c r="I93" s="17">
        <f>C93</f>
        <v>103</v>
      </c>
      <c r="J93">
        <f>IF(E93="X",VLOOKUP(D93,'ESO Dungeon constants'!$A$3:$H$9999,8,FALSE),0)</f>
        <v>0</v>
      </c>
      <c r="K93" s="3" t="str">
        <f>VLOOKUP(J93,'LibSets constants'!$A$4:$B$1017,2,FALSE)</f>
        <v>DLC_BASE_GAME</v>
      </c>
      <c r="L93" s="3" t="str">
        <f>VLOOKUP(J93,'LibSets constants'!$A$4:$C$1017,3,FALSE)</f>
        <v>Included in base game</v>
      </c>
    </row>
    <row r="94" spans="1:12" x14ac:dyDescent="0.25">
      <c r="A94">
        <v>261</v>
      </c>
      <c r="B94">
        <v>94</v>
      </c>
      <c r="C94">
        <v>101</v>
      </c>
      <c r="D94" t="s">
        <v>180</v>
      </c>
      <c r="E94" t="str">
        <f>IF(NOT(ISERROR(VLOOKUP(D94,'ESO Dungeon constants'!$A$3:$A$9999,1,FALSE))),"X","")</f>
        <v/>
      </c>
      <c r="F94" s="3" t="str">
        <f>IF(EXACT(A94,C94),"X","")</f>
        <v/>
      </c>
      <c r="G94" s="3" t="str">
        <f>IF(A94&lt;&gt;C94,VLOOKUP(C94,$A$5:$D$9954,4,FALSE),"")</f>
        <v>Eastmarch</v>
      </c>
      <c r="H94" s="17">
        <f>A94</f>
        <v>261</v>
      </c>
      <c r="I94" s="17">
        <f>C94</f>
        <v>101</v>
      </c>
      <c r="J94">
        <v>0</v>
      </c>
      <c r="K94" s="3" t="str">
        <f>VLOOKUP(J94,'LibSets constants'!$A$4:$B$1017,2,FALSE)</f>
        <v>DLC_BASE_GAME</v>
      </c>
      <c r="L94" s="3" t="str">
        <f>VLOOKUP(J94,'LibSets constants'!$A$4:$C$1017,3,FALSE)</f>
        <v>Included in base game</v>
      </c>
    </row>
    <row r="95" spans="1:12" x14ac:dyDescent="0.25">
      <c r="A95">
        <v>262</v>
      </c>
      <c r="B95">
        <v>95</v>
      </c>
      <c r="C95">
        <v>101</v>
      </c>
      <c r="D95" t="s">
        <v>181</v>
      </c>
      <c r="E95" t="str">
        <f>IF(NOT(ISERROR(VLOOKUP(D95,'ESO Dungeon constants'!$A$3:$A$9999,1,FALSE))),"X","")</f>
        <v/>
      </c>
      <c r="F95" s="3" t="str">
        <f>IF(EXACT(A95,C95),"X","")</f>
        <v/>
      </c>
      <c r="G95" s="3" t="str">
        <f>IF(A95&lt;&gt;C95,VLOOKUP(C95,$A$5:$D$9954,4,FALSE),"")</f>
        <v>Eastmarch</v>
      </c>
      <c r="H95" s="17">
        <f>A95</f>
        <v>262</v>
      </c>
      <c r="I95" s="17">
        <f>C95</f>
        <v>101</v>
      </c>
      <c r="J95">
        <v>0</v>
      </c>
      <c r="K95" s="3" t="str">
        <f>VLOOKUP(J95,'LibSets constants'!$A$4:$B$1017,2,FALSE)</f>
        <v>DLC_BASE_GAME</v>
      </c>
      <c r="L95" s="3" t="str">
        <f>VLOOKUP(J95,'LibSets constants'!$A$4:$C$1017,3,FALSE)</f>
        <v>Included in base game</v>
      </c>
    </row>
    <row r="96" spans="1:12" x14ac:dyDescent="0.25">
      <c r="A96">
        <v>263</v>
      </c>
      <c r="B96">
        <v>96</v>
      </c>
      <c r="C96">
        <v>101</v>
      </c>
      <c r="D96" t="s">
        <v>182</v>
      </c>
      <c r="E96" t="str">
        <f>IF(NOT(ISERROR(VLOOKUP(D96,'ESO Dungeon constants'!$A$3:$A$9999,1,FALSE))),"X","")</f>
        <v/>
      </c>
      <c r="F96" s="3" t="str">
        <f>IF(EXACT(A96,C96),"X","")</f>
        <v/>
      </c>
      <c r="G96" s="3" t="str">
        <f>IF(A96&lt;&gt;C96,VLOOKUP(C96,$A$5:$D$9954,4,FALSE),"")</f>
        <v>Eastmarch</v>
      </c>
      <c r="H96" s="17">
        <f>A96</f>
        <v>263</v>
      </c>
      <c r="I96" s="17">
        <f>C96</f>
        <v>101</v>
      </c>
      <c r="J96">
        <v>0</v>
      </c>
      <c r="K96" s="3" t="str">
        <f>VLOOKUP(J96,'LibSets constants'!$A$4:$B$1017,2,FALSE)</f>
        <v>DLC_BASE_GAME</v>
      </c>
      <c r="L96" s="3" t="str">
        <f>VLOOKUP(J96,'LibSets constants'!$A$4:$C$1017,3,FALSE)</f>
        <v>Included in base game</v>
      </c>
    </row>
    <row r="97" spans="1:12" x14ac:dyDescent="0.25">
      <c r="A97">
        <v>973</v>
      </c>
      <c r="B97">
        <v>586</v>
      </c>
      <c r="C97">
        <v>888</v>
      </c>
      <c r="D97" t="s">
        <v>45</v>
      </c>
      <c r="E97" t="str">
        <f>IF(NOT(ISERROR(VLOOKUP(D97,'ESO Dungeon constants'!$A$3:$A$9999,1,FALSE))),"X","")</f>
        <v>X</v>
      </c>
      <c r="F97" s="3" t="str">
        <f>IF(EXACT(A97,C97),"X","")</f>
        <v/>
      </c>
      <c r="G97" s="3" t="str">
        <f>IF(A97&lt;&gt;C97,VLOOKUP(C97,$A$5:$D$9954,4,FALSE),"")</f>
        <v>Craglorn</v>
      </c>
      <c r="H97" s="17">
        <f>A97</f>
        <v>973</v>
      </c>
      <c r="I97" s="17">
        <f>C97</f>
        <v>888</v>
      </c>
      <c r="J97">
        <f>IF(E97="X",VLOOKUP(D97,'ESO Dungeon constants'!$A$3:$H$9999,8,FALSE),0)</f>
        <v>7</v>
      </c>
      <c r="K97" s="3" t="str">
        <f>VLOOKUP(J97,'LibSets constants'!$A$4:$B$1017,2,FALSE)</f>
        <v>DLC_HORNS_OF_THE_REACH</v>
      </c>
      <c r="L97" s="3" t="str">
        <f>VLOOKUP(J97,'LibSets constants'!$A$4:$C$1017,3,FALSE)</f>
        <v>Horns of the Reach</v>
      </c>
    </row>
    <row r="98" spans="1:12" x14ac:dyDescent="0.25">
      <c r="A98">
        <v>264</v>
      </c>
      <c r="B98">
        <v>97</v>
      </c>
      <c r="C98">
        <v>101</v>
      </c>
      <c r="D98" t="s">
        <v>183</v>
      </c>
      <c r="E98" t="str">
        <f>IF(NOT(ISERROR(VLOOKUP(D98,'ESO Dungeon constants'!$A$3:$A$9999,1,FALSE))),"X","")</f>
        <v/>
      </c>
      <c r="F98" s="3" t="str">
        <f>IF(EXACT(A98,C98),"X","")</f>
        <v/>
      </c>
      <c r="G98" s="3" t="str">
        <f>IF(A98&lt;&gt;C98,VLOOKUP(C98,$A$5:$D$9954,4,FALSE),"")</f>
        <v>Eastmarch</v>
      </c>
      <c r="H98" s="17">
        <f>A98</f>
        <v>264</v>
      </c>
      <c r="I98" s="17">
        <f>C98</f>
        <v>101</v>
      </c>
      <c r="J98">
        <v>0</v>
      </c>
      <c r="K98" s="3" t="str">
        <f>VLOOKUP(J98,'LibSets constants'!$A$4:$B$1017,2,FALSE)</f>
        <v>DLC_BASE_GAME</v>
      </c>
      <c r="L98" s="3" t="str">
        <f>VLOOKUP(J98,'LibSets constants'!$A$4:$C$1017,3,FALSE)</f>
        <v>Included in base game</v>
      </c>
    </row>
    <row r="99" spans="1:12" x14ac:dyDescent="0.25">
      <c r="A99">
        <v>265</v>
      </c>
      <c r="B99">
        <v>98</v>
      </c>
      <c r="C99">
        <v>101</v>
      </c>
      <c r="D99" t="s">
        <v>184</v>
      </c>
      <c r="E99" t="str">
        <f>IF(NOT(ISERROR(VLOOKUP(D99,'ESO Dungeon constants'!$A$3:$A$9999,1,FALSE))),"X","")</f>
        <v/>
      </c>
      <c r="F99" s="3" t="str">
        <f>IF(EXACT(A99,C99),"X","")</f>
        <v/>
      </c>
      <c r="G99" s="3" t="str">
        <f>IF(A99&lt;&gt;C99,VLOOKUP(C99,$A$5:$D$9954,4,FALSE),"")</f>
        <v>Eastmarch</v>
      </c>
      <c r="H99" s="17">
        <f>A99</f>
        <v>265</v>
      </c>
      <c r="I99" s="17">
        <f>C99</f>
        <v>101</v>
      </c>
      <c r="J99">
        <v>0</v>
      </c>
      <c r="K99" s="3" t="str">
        <f>VLOOKUP(J99,'LibSets constants'!$A$4:$B$1017,2,FALSE)</f>
        <v>DLC_BASE_GAME</v>
      </c>
      <c r="L99" s="3" t="str">
        <f>VLOOKUP(J99,'LibSets constants'!$A$4:$C$1017,3,FALSE)</f>
        <v>Included in base game</v>
      </c>
    </row>
    <row r="100" spans="1:12" x14ac:dyDescent="0.25">
      <c r="A100">
        <v>266</v>
      </c>
      <c r="B100">
        <v>99</v>
      </c>
      <c r="C100">
        <v>101</v>
      </c>
      <c r="D100" t="s">
        <v>185</v>
      </c>
      <c r="E100" t="str">
        <f>IF(NOT(ISERROR(VLOOKUP(D100,'ESO Dungeon constants'!$A$3:$A$9999,1,FALSE))),"X","")</f>
        <v/>
      </c>
      <c r="F100" s="3" t="str">
        <f>IF(EXACT(A100,C100),"X","")</f>
        <v/>
      </c>
      <c r="G100" s="3" t="str">
        <f>IF(A100&lt;&gt;C100,VLOOKUP(C100,$A$5:$D$9954,4,FALSE),"")</f>
        <v>Eastmarch</v>
      </c>
      <c r="H100" s="17">
        <f>A100</f>
        <v>266</v>
      </c>
      <c r="I100" s="17">
        <f>C100</f>
        <v>101</v>
      </c>
      <c r="J100">
        <v>0</v>
      </c>
      <c r="K100" s="3" t="str">
        <f>VLOOKUP(J100,'LibSets constants'!$A$4:$B$1017,2,FALSE)</f>
        <v>DLC_BASE_GAME</v>
      </c>
      <c r="L100" s="3" t="str">
        <f>VLOOKUP(J100,'LibSets constants'!$A$4:$C$1017,3,FALSE)</f>
        <v>Included in base game</v>
      </c>
    </row>
    <row r="101" spans="1:12" x14ac:dyDescent="0.25">
      <c r="A101">
        <v>267</v>
      </c>
      <c r="B101">
        <v>100</v>
      </c>
      <c r="C101">
        <v>267</v>
      </c>
      <c r="D101" t="s">
        <v>186</v>
      </c>
      <c r="E101" t="str">
        <f>IF(NOT(ISERROR(VLOOKUP(D101,'ESO Dungeon constants'!$A$3:$A$9999,1,FALSE))),"X","")</f>
        <v/>
      </c>
      <c r="F101" s="3" t="str">
        <f>IF(EXACT(A101,C101),"X","")</f>
        <v>X</v>
      </c>
      <c r="G101" s="3" t="str">
        <f>IF(A101&lt;&gt;C101,VLOOKUP(C101,$A$5:$D$9954,4,FALSE),"")</f>
        <v/>
      </c>
      <c r="H101" s="17">
        <f>A101</f>
        <v>267</v>
      </c>
      <c r="I101" s="17">
        <f>C101</f>
        <v>267</v>
      </c>
      <c r="J101">
        <v>0</v>
      </c>
      <c r="K101" s="3" t="str">
        <f>VLOOKUP(J101,'LibSets constants'!$A$4:$B$1017,2,FALSE)</f>
        <v>DLC_BASE_GAME</v>
      </c>
      <c r="L101" s="3" t="str">
        <f>VLOOKUP(J101,'LibSets constants'!$A$4:$C$1017,3,FALSE)</f>
        <v>Included in base game</v>
      </c>
    </row>
    <row r="102" spans="1:12" x14ac:dyDescent="0.25">
      <c r="A102">
        <v>268</v>
      </c>
      <c r="B102">
        <v>101</v>
      </c>
      <c r="C102">
        <v>58</v>
      </c>
      <c r="D102" t="s">
        <v>187</v>
      </c>
      <c r="E102" t="str">
        <f>IF(NOT(ISERROR(VLOOKUP(D102,'ESO Dungeon constants'!$A$3:$A$9999,1,FALSE))),"X","")</f>
        <v/>
      </c>
      <c r="F102" s="3" t="str">
        <f>IF(EXACT(A102,C102),"X","")</f>
        <v/>
      </c>
      <c r="G102" s="3" t="str">
        <f>IF(A102&lt;&gt;C102,VLOOKUP(C102,$A$5:$D$9954,4,FALSE),"")</f>
        <v>Malabal Tor</v>
      </c>
      <c r="H102" s="17">
        <f>A102</f>
        <v>268</v>
      </c>
      <c r="I102" s="17">
        <f>C102</f>
        <v>58</v>
      </c>
      <c r="J102">
        <v>0</v>
      </c>
      <c r="K102" s="3" t="str">
        <f>VLOOKUP(J102,'LibSets constants'!$A$4:$B$1017,2,FALSE)</f>
        <v>DLC_BASE_GAME</v>
      </c>
      <c r="L102" s="3" t="str">
        <f>VLOOKUP(J102,'LibSets constants'!$A$4:$C$1017,3,FALSE)</f>
        <v>Included in base game</v>
      </c>
    </row>
    <row r="103" spans="1:12" x14ac:dyDescent="0.25">
      <c r="A103">
        <v>269</v>
      </c>
      <c r="B103">
        <v>102</v>
      </c>
      <c r="C103">
        <v>58</v>
      </c>
      <c r="D103" s="40" t="s">
        <v>188</v>
      </c>
      <c r="E103" s="40" t="str">
        <f>IF(NOT(ISERROR(VLOOKUP(D103,'ESO Dungeon constants'!$A$3:$A$9999,1,FALSE))),"X","")</f>
        <v/>
      </c>
      <c r="F103" s="3" t="str">
        <f>IF(EXACT(A103,C103),"X","")</f>
        <v/>
      </c>
      <c r="G103" s="3" t="str">
        <f>IF(A103&lt;&gt;C103,VLOOKUP(C103,$A$5:$D$9954,4,FALSE),"")</f>
        <v>Malabal Tor</v>
      </c>
      <c r="H103" s="17">
        <f>A103</f>
        <v>269</v>
      </c>
      <c r="I103" s="17">
        <f>C103</f>
        <v>58</v>
      </c>
      <c r="J103">
        <v>0</v>
      </c>
      <c r="K103" s="3" t="str">
        <f>VLOOKUP(J103,'LibSets constants'!$A$4:$B$1017,2,FALSE)</f>
        <v>DLC_BASE_GAME</v>
      </c>
      <c r="L103" s="3" t="str">
        <f>VLOOKUP(J103,'LibSets constants'!$A$4:$C$1017,3,FALSE)</f>
        <v>Included in base game</v>
      </c>
    </row>
    <row r="104" spans="1:12" x14ac:dyDescent="0.25">
      <c r="A104">
        <v>270</v>
      </c>
      <c r="B104">
        <v>103</v>
      </c>
      <c r="C104">
        <v>117</v>
      </c>
      <c r="D104" t="s">
        <v>189</v>
      </c>
      <c r="E104" t="str">
        <f>IF(NOT(ISERROR(VLOOKUP(D104,'ESO Dungeon constants'!$A$3:$A$9999,1,FALSE))),"X","")</f>
        <v/>
      </c>
      <c r="F104" s="3" t="str">
        <f>IF(EXACT(A104,C104),"X","")</f>
        <v/>
      </c>
      <c r="G104" s="3" t="str">
        <f>IF(A104&lt;&gt;C104,VLOOKUP(C104,$A$5:$D$9954,4,FALSE),"")</f>
        <v>Shadowfen</v>
      </c>
      <c r="H104" s="17">
        <f>A104</f>
        <v>270</v>
      </c>
      <c r="I104" s="17">
        <f>C104</f>
        <v>117</v>
      </c>
      <c r="J104">
        <v>0</v>
      </c>
      <c r="K104" s="3" t="str">
        <f>VLOOKUP(J104,'LibSets constants'!$A$4:$B$1017,2,FALSE)</f>
        <v>DLC_BASE_GAME</v>
      </c>
      <c r="L104" s="3" t="str">
        <f>VLOOKUP(J104,'LibSets constants'!$A$4:$C$1017,3,FALSE)</f>
        <v>Included in base game</v>
      </c>
    </row>
    <row r="105" spans="1:12" x14ac:dyDescent="0.25">
      <c r="A105">
        <v>271</v>
      </c>
      <c r="B105">
        <v>104</v>
      </c>
      <c r="C105">
        <v>117</v>
      </c>
      <c r="D105" t="s">
        <v>190</v>
      </c>
      <c r="E105" t="str">
        <f>IF(NOT(ISERROR(VLOOKUP(D105,'ESO Dungeon constants'!$A$3:$A$9999,1,FALSE))),"X","")</f>
        <v/>
      </c>
      <c r="F105" s="3" t="str">
        <f>IF(EXACT(A105,C105),"X","")</f>
        <v/>
      </c>
      <c r="G105" s="3" t="str">
        <f>IF(A105&lt;&gt;C105,VLOOKUP(C105,$A$5:$D$9954,4,FALSE),"")</f>
        <v>Shadowfen</v>
      </c>
      <c r="H105" s="17">
        <f>A105</f>
        <v>271</v>
      </c>
      <c r="I105" s="17">
        <f>C105</f>
        <v>117</v>
      </c>
      <c r="J105">
        <v>0</v>
      </c>
      <c r="K105" s="3" t="str">
        <f>VLOOKUP(J105,'LibSets constants'!$A$4:$B$1017,2,FALSE)</f>
        <v>DLC_BASE_GAME</v>
      </c>
      <c r="L105" s="3" t="str">
        <f>VLOOKUP(J105,'LibSets constants'!$A$4:$C$1017,3,FALSE)</f>
        <v>Included in base game</v>
      </c>
    </row>
    <row r="106" spans="1:12" x14ac:dyDescent="0.25">
      <c r="A106">
        <v>272</v>
      </c>
      <c r="B106">
        <v>105</v>
      </c>
      <c r="C106">
        <v>117</v>
      </c>
      <c r="D106" t="s">
        <v>191</v>
      </c>
      <c r="E106" t="str">
        <f>IF(NOT(ISERROR(VLOOKUP(D106,'ESO Dungeon constants'!$A$3:$A$9999,1,FALSE))),"X","")</f>
        <v/>
      </c>
      <c r="F106" s="3" t="str">
        <f>IF(EXACT(A106,C106),"X","")</f>
        <v/>
      </c>
      <c r="G106" s="3" t="str">
        <f>IF(A106&lt;&gt;C106,VLOOKUP(C106,$A$5:$D$9954,4,FALSE),"")</f>
        <v>Shadowfen</v>
      </c>
      <c r="H106" s="17">
        <f>A106</f>
        <v>272</v>
      </c>
      <c r="I106" s="17">
        <f>C106</f>
        <v>117</v>
      </c>
      <c r="J106">
        <v>0</v>
      </c>
      <c r="K106" s="3" t="str">
        <f>VLOOKUP(J106,'LibSets constants'!$A$4:$B$1017,2,FALSE)</f>
        <v>DLC_BASE_GAME</v>
      </c>
      <c r="L106" s="3" t="str">
        <f>VLOOKUP(J106,'LibSets constants'!$A$4:$C$1017,3,FALSE)</f>
        <v>Included in base game</v>
      </c>
    </row>
    <row r="107" spans="1:12" x14ac:dyDescent="0.25">
      <c r="A107">
        <v>273</v>
      </c>
      <c r="B107">
        <v>106</v>
      </c>
      <c r="C107">
        <v>117</v>
      </c>
      <c r="D107" t="s">
        <v>192</v>
      </c>
      <c r="E107" t="str">
        <f>IF(NOT(ISERROR(VLOOKUP(D107,'ESO Dungeon constants'!$A$3:$A$9999,1,FALSE))),"X","")</f>
        <v/>
      </c>
      <c r="F107" s="3" t="str">
        <f>IF(EXACT(A107,C107),"X","")</f>
        <v/>
      </c>
      <c r="G107" s="3" t="str">
        <f>IF(A107&lt;&gt;C107,VLOOKUP(C107,$A$5:$D$9954,4,FALSE),"")</f>
        <v>Shadowfen</v>
      </c>
      <c r="H107" s="17">
        <f>A107</f>
        <v>273</v>
      </c>
      <c r="I107" s="17">
        <f>C107</f>
        <v>117</v>
      </c>
      <c r="J107">
        <v>0</v>
      </c>
      <c r="K107" s="3" t="str">
        <f>VLOOKUP(J107,'LibSets constants'!$A$4:$B$1017,2,FALSE)</f>
        <v>DLC_BASE_GAME</v>
      </c>
      <c r="L107" s="3" t="str">
        <f>VLOOKUP(J107,'LibSets constants'!$A$4:$C$1017,3,FALSE)</f>
        <v>Included in base game</v>
      </c>
    </row>
    <row r="108" spans="1:12" x14ac:dyDescent="0.25">
      <c r="A108">
        <v>274</v>
      </c>
      <c r="B108">
        <v>107</v>
      </c>
      <c r="C108">
        <v>117</v>
      </c>
      <c r="D108" t="s">
        <v>193</v>
      </c>
      <c r="E108" t="str">
        <f>IF(NOT(ISERROR(VLOOKUP(D108,'ESO Dungeon constants'!$A$3:$A$9999,1,FALSE))),"X","")</f>
        <v/>
      </c>
      <c r="F108" s="3" t="str">
        <f>IF(EXACT(A108,C108),"X","")</f>
        <v/>
      </c>
      <c r="G108" s="3" t="str">
        <f>IF(A108&lt;&gt;C108,VLOOKUP(C108,$A$5:$D$9954,4,FALSE),"")</f>
        <v>Shadowfen</v>
      </c>
      <c r="H108" s="17">
        <f>A108</f>
        <v>274</v>
      </c>
      <c r="I108" s="17">
        <f>C108</f>
        <v>117</v>
      </c>
      <c r="J108">
        <v>0</v>
      </c>
      <c r="K108" s="3" t="str">
        <f>VLOOKUP(J108,'LibSets constants'!$A$4:$B$1017,2,FALSE)</f>
        <v>DLC_BASE_GAME</v>
      </c>
      <c r="L108" s="3" t="str">
        <f>VLOOKUP(J108,'LibSets constants'!$A$4:$C$1017,3,FALSE)</f>
        <v>Included in base game</v>
      </c>
    </row>
    <row r="109" spans="1:12" x14ac:dyDescent="0.25">
      <c r="A109">
        <v>275</v>
      </c>
      <c r="B109">
        <v>108</v>
      </c>
      <c r="C109">
        <v>117</v>
      </c>
      <c r="D109" t="s">
        <v>194</v>
      </c>
      <c r="E109" t="str">
        <f>IF(NOT(ISERROR(VLOOKUP(D109,'ESO Dungeon constants'!$A$3:$A$9999,1,FALSE))),"X","")</f>
        <v/>
      </c>
      <c r="F109" s="3" t="str">
        <f>IF(EXACT(A109,C109),"X","")</f>
        <v/>
      </c>
      <c r="G109" s="3" t="str">
        <f>IF(A109&lt;&gt;C109,VLOOKUP(C109,$A$5:$D$9954,4,FALSE),"")</f>
        <v>Shadowfen</v>
      </c>
      <c r="H109" s="17">
        <f>A109</f>
        <v>275</v>
      </c>
      <c r="I109" s="17">
        <f>C109</f>
        <v>117</v>
      </c>
      <c r="J109">
        <v>0</v>
      </c>
      <c r="K109" s="3" t="str">
        <f>VLOOKUP(J109,'LibSets constants'!$A$4:$B$1017,2,FALSE)</f>
        <v>DLC_BASE_GAME</v>
      </c>
      <c r="L109" s="3" t="str">
        <f>VLOOKUP(J109,'LibSets constants'!$A$4:$C$1017,3,FALSE)</f>
        <v>Included in base game</v>
      </c>
    </row>
    <row r="110" spans="1:12" x14ac:dyDescent="0.25">
      <c r="A110">
        <v>279</v>
      </c>
      <c r="B110">
        <v>109</v>
      </c>
      <c r="C110">
        <v>279</v>
      </c>
      <c r="D110" t="s">
        <v>195</v>
      </c>
      <c r="E110" t="str">
        <f>IF(NOT(ISERROR(VLOOKUP(D110,'ESO Dungeon constants'!$A$3:$A$9999,1,FALSE))),"X","")</f>
        <v/>
      </c>
      <c r="F110" s="3" t="str">
        <f>IF(EXACT(A110,C110),"X","")</f>
        <v>X</v>
      </c>
      <c r="G110" s="3" t="str">
        <f>IF(A110&lt;&gt;C110,VLOOKUP(C110,$A$5:$D$9954,4,FALSE),"")</f>
        <v/>
      </c>
      <c r="H110" s="17">
        <f>A110</f>
        <v>279</v>
      </c>
      <c r="I110" s="17">
        <f>C110</f>
        <v>279</v>
      </c>
      <c r="J110">
        <v>0</v>
      </c>
      <c r="K110" s="3" t="str">
        <f>VLOOKUP(J110,'LibSets constants'!$A$4:$B$1017,2,FALSE)</f>
        <v>DLC_BASE_GAME</v>
      </c>
      <c r="L110" s="3" t="str">
        <f>VLOOKUP(J110,'LibSets constants'!$A$4:$C$1017,3,FALSE)</f>
        <v>Included in base game</v>
      </c>
    </row>
    <row r="111" spans="1:12" x14ac:dyDescent="0.25">
      <c r="A111">
        <v>280</v>
      </c>
      <c r="B111">
        <v>110</v>
      </c>
      <c r="C111">
        <v>280</v>
      </c>
      <c r="D111" t="s">
        <v>196</v>
      </c>
      <c r="E111" t="str">
        <f>IF(NOT(ISERROR(VLOOKUP(D111,'ESO Dungeon constants'!$A$3:$A$9999,1,FALSE))),"X","")</f>
        <v/>
      </c>
      <c r="F111" s="3" t="str">
        <f>IF(EXACT(A111,C111),"X","")</f>
        <v>X</v>
      </c>
      <c r="G111" s="3" t="str">
        <f>IF(A111&lt;&gt;C111,VLOOKUP(C111,$A$5:$D$9954,4,FALSE),"")</f>
        <v/>
      </c>
      <c r="H111" s="17">
        <f>A111</f>
        <v>280</v>
      </c>
      <c r="I111" s="17">
        <f>C111</f>
        <v>280</v>
      </c>
      <c r="J111">
        <v>0</v>
      </c>
      <c r="K111" s="3" t="str">
        <f>VLOOKUP(J111,'LibSets constants'!$A$4:$B$1017,2,FALSE)</f>
        <v>DLC_BASE_GAME</v>
      </c>
      <c r="L111" s="3" t="str">
        <f>VLOOKUP(J111,'LibSets constants'!$A$4:$C$1017,3,FALSE)</f>
        <v>Included in base game</v>
      </c>
    </row>
    <row r="112" spans="1:12" x14ac:dyDescent="0.25">
      <c r="A112">
        <v>281</v>
      </c>
      <c r="B112">
        <v>111</v>
      </c>
      <c r="C112">
        <v>281</v>
      </c>
      <c r="D112" t="s">
        <v>197</v>
      </c>
      <c r="E112" t="str">
        <f>IF(NOT(ISERROR(VLOOKUP(D112,'ESO Dungeon constants'!$A$3:$A$9999,1,FALSE))),"X","")</f>
        <v/>
      </c>
      <c r="F112" s="3" t="str">
        <f>IF(EXACT(A112,C112),"X","")</f>
        <v>X</v>
      </c>
      <c r="G112" s="3" t="str">
        <f>IF(A112&lt;&gt;C112,VLOOKUP(C112,$A$5:$D$9954,4,FALSE),"")</f>
        <v/>
      </c>
      <c r="H112" s="17">
        <f>A112</f>
        <v>281</v>
      </c>
      <c r="I112" s="17">
        <f>C112</f>
        <v>281</v>
      </c>
      <c r="J112">
        <v>0</v>
      </c>
      <c r="K112" s="3" t="str">
        <f>VLOOKUP(J112,'LibSets constants'!$A$4:$B$1017,2,FALSE)</f>
        <v>DLC_BASE_GAME</v>
      </c>
      <c r="L112" s="3" t="str">
        <f>VLOOKUP(J112,'LibSets constants'!$A$4:$C$1017,3,FALSE)</f>
        <v>Included in base game</v>
      </c>
    </row>
    <row r="113" spans="1:12" x14ac:dyDescent="0.25">
      <c r="A113">
        <v>284</v>
      </c>
      <c r="B113">
        <v>113</v>
      </c>
      <c r="C113">
        <v>3</v>
      </c>
      <c r="D113" t="s">
        <v>198</v>
      </c>
      <c r="E113" t="str">
        <f>IF(NOT(ISERROR(VLOOKUP(D113,'ESO Dungeon constants'!$A$3:$A$9999,1,FALSE))),"X","")</f>
        <v/>
      </c>
      <c r="F113" s="3" t="str">
        <f>IF(EXACT(A113,C113),"X","")</f>
        <v/>
      </c>
      <c r="G113" s="3" t="str">
        <f>IF(A113&lt;&gt;C113,VLOOKUP(C113,$A$5:$D$9954,4,FALSE),"")</f>
        <v>Glenumbra</v>
      </c>
      <c r="H113" s="17">
        <f>A113</f>
        <v>284</v>
      </c>
      <c r="I113" s="17">
        <f>C113</f>
        <v>3</v>
      </c>
      <c r="J113">
        <v>0</v>
      </c>
      <c r="K113" s="3" t="str">
        <f>VLOOKUP(J113,'LibSets constants'!$A$4:$B$1017,2,FALSE)</f>
        <v>DLC_BASE_GAME</v>
      </c>
      <c r="L113" s="3" t="str">
        <f>VLOOKUP(J113,'LibSets constants'!$A$4:$C$1017,3,FALSE)</f>
        <v>Included in base game</v>
      </c>
    </row>
    <row r="114" spans="1:12" x14ac:dyDescent="0.25">
      <c r="A114">
        <v>287</v>
      </c>
      <c r="B114">
        <v>114</v>
      </c>
      <c r="C114">
        <v>41</v>
      </c>
      <c r="D114" t="s">
        <v>199</v>
      </c>
      <c r="E114" t="str">
        <f>IF(NOT(ISERROR(VLOOKUP(D114,'ESO Dungeon constants'!$A$3:$A$9999,1,FALSE))),"X","")</f>
        <v/>
      </c>
      <c r="F114" s="3" t="str">
        <f>IF(EXACT(A114,C114),"X","")</f>
        <v/>
      </c>
      <c r="G114" s="3" t="str">
        <f>IF(A114&lt;&gt;C114,VLOOKUP(C114,$A$5:$D$9954,4,FALSE),"")</f>
        <v>Stonefalls</v>
      </c>
      <c r="H114" s="17">
        <f>A114</f>
        <v>287</v>
      </c>
      <c r="I114" s="17">
        <f>C114</f>
        <v>41</v>
      </c>
      <c r="J114">
        <v>0</v>
      </c>
      <c r="K114" s="3" t="str">
        <f>VLOOKUP(J114,'LibSets constants'!$A$4:$B$1017,2,FALSE)</f>
        <v>DLC_BASE_GAME</v>
      </c>
      <c r="L114" s="3" t="str">
        <f>VLOOKUP(J114,'LibSets constants'!$A$4:$C$1017,3,FALSE)</f>
        <v>Included in base game</v>
      </c>
    </row>
    <row r="115" spans="1:12" x14ac:dyDescent="0.25">
      <c r="A115">
        <v>288</v>
      </c>
      <c r="B115">
        <v>115</v>
      </c>
      <c r="C115">
        <v>41</v>
      </c>
      <c r="D115" t="s">
        <v>200</v>
      </c>
      <c r="E115" t="str">
        <f>IF(NOT(ISERROR(VLOOKUP(D115,'ESO Dungeon constants'!$A$3:$A$9999,1,FALSE))),"X","")</f>
        <v/>
      </c>
      <c r="F115" s="3" t="str">
        <f>IF(EXACT(A115,C115),"X","")</f>
        <v/>
      </c>
      <c r="G115" s="3" t="str">
        <f>IF(A115&lt;&gt;C115,VLOOKUP(C115,$A$5:$D$9954,4,FALSE),"")</f>
        <v>Stonefalls</v>
      </c>
      <c r="H115" s="17">
        <f>A115</f>
        <v>288</v>
      </c>
      <c r="I115" s="17">
        <f>C115</f>
        <v>41</v>
      </c>
      <c r="J115">
        <v>0</v>
      </c>
      <c r="K115" s="3" t="str">
        <f>VLOOKUP(J115,'LibSets constants'!$A$4:$B$1017,2,FALSE)</f>
        <v>DLC_BASE_GAME</v>
      </c>
      <c r="L115" s="3" t="str">
        <f>VLOOKUP(J115,'LibSets constants'!$A$4:$C$1017,3,FALSE)</f>
        <v>Included in base game</v>
      </c>
    </row>
    <row r="116" spans="1:12" x14ac:dyDescent="0.25">
      <c r="A116">
        <v>289</v>
      </c>
      <c r="B116">
        <v>116</v>
      </c>
      <c r="C116">
        <v>41</v>
      </c>
      <c r="D116" t="s">
        <v>201</v>
      </c>
      <c r="E116" t="str">
        <f>IF(NOT(ISERROR(VLOOKUP(D116,'ESO Dungeon constants'!$A$3:$A$9999,1,FALSE))),"X","")</f>
        <v/>
      </c>
      <c r="F116" s="3" t="str">
        <f>IF(EXACT(A116,C116),"X","")</f>
        <v/>
      </c>
      <c r="G116" s="3" t="str">
        <f>IF(A116&lt;&gt;C116,VLOOKUP(C116,$A$5:$D$9954,4,FALSE),"")</f>
        <v>Stonefalls</v>
      </c>
      <c r="H116" s="17">
        <f>A116</f>
        <v>289</v>
      </c>
      <c r="I116" s="17">
        <f>C116</f>
        <v>41</v>
      </c>
      <c r="J116">
        <v>0</v>
      </c>
      <c r="K116" s="3" t="str">
        <f>VLOOKUP(J116,'LibSets constants'!$A$4:$B$1017,2,FALSE)</f>
        <v>DLC_BASE_GAME</v>
      </c>
      <c r="L116" s="3" t="str">
        <f>VLOOKUP(J116,'LibSets constants'!$A$4:$C$1017,3,FALSE)</f>
        <v>Included in base game</v>
      </c>
    </row>
    <row r="117" spans="1:12" x14ac:dyDescent="0.25">
      <c r="A117">
        <v>290</v>
      </c>
      <c r="B117">
        <v>117</v>
      </c>
      <c r="C117">
        <v>41</v>
      </c>
      <c r="D117" t="s">
        <v>202</v>
      </c>
      <c r="E117" t="str">
        <f>IF(NOT(ISERROR(VLOOKUP(D117,'ESO Dungeon constants'!$A$3:$A$9999,1,FALSE))),"X","")</f>
        <v/>
      </c>
      <c r="F117" s="3" t="str">
        <f>IF(EXACT(A117,C117),"X","")</f>
        <v/>
      </c>
      <c r="G117" s="3" t="str">
        <f>IF(A117&lt;&gt;C117,VLOOKUP(C117,$A$5:$D$9954,4,FALSE),"")</f>
        <v>Stonefalls</v>
      </c>
      <c r="H117" s="17">
        <f>A117</f>
        <v>290</v>
      </c>
      <c r="I117" s="17">
        <f>C117</f>
        <v>41</v>
      </c>
      <c r="J117">
        <v>0</v>
      </c>
      <c r="K117" s="3" t="str">
        <f>VLOOKUP(J117,'LibSets constants'!$A$4:$B$1017,2,FALSE)</f>
        <v>DLC_BASE_GAME</v>
      </c>
      <c r="L117" s="3" t="str">
        <f>VLOOKUP(J117,'LibSets constants'!$A$4:$C$1017,3,FALSE)</f>
        <v>Included in base game</v>
      </c>
    </row>
    <row r="118" spans="1:12" x14ac:dyDescent="0.25">
      <c r="A118">
        <v>291</v>
      </c>
      <c r="B118">
        <v>118</v>
      </c>
      <c r="C118">
        <v>41</v>
      </c>
      <c r="D118" t="s">
        <v>203</v>
      </c>
      <c r="E118" t="str">
        <f>IF(NOT(ISERROR(VLOOKUP(D118,'ESO Dungeon constants'!$A$3:$A$9999,1,FALSE))),"X","")</f>
        <v/>
      </c>
      <c r="F118" s="3" t="str">
        <f>IF(EXACT(A118,C118),"X","")</f>
        <v/>
      </c>
      <c r="G118" s="3" t="str">
        <f>IF(A118&lt;&gt;C118,VLOOKUP(C118,$A$5:$D$9954,4,FALSE),"")</f>
        <v>Stonefalls</v>
      </c>
      <c r="H118" s="17">
        <f>A118</f>
        <v>291</v>
      </c>
      <c r="I118" s="17">
        <f>C118</f>
        <v>41</v>
      </c>
      <c r="J118">
        <v>0</v>
      </c>
      <c r="K118" s="3" t="str">
        <f>VLOOKUP(J118,'LibSets constants'!$A$4:$B$1017,2,FALSE)</f>
        <v>DLC_BASE_GAME</v>
      </c>
      <c r="L118" s="3" t="str">
        <f>VLOOKUP(J118,'LibSets constants'!$A$4:$C$1017,3,FALSE)</f>
        <v>Included in base game</v>
      </c>
    </row>
    <row r="119" spans="1:12" x14ac:dyDescent="0.25">
      <c r="A119">
        <v>296</v>
      </c>
      <c r="B119">
        <v>119</v>
      </c>
      <c r="C119">
        <v>41</v>
      </c>
      <c r="D119" t="s">
        <v>204</v>
      </c>
      <c r="E119" t="str">
        <f>IF(NOT(ISERROR(VLOOKUP(D119,'ESO Dungeon constants'!$A$3:$A$9999,1,FALSE))),"X","")</f>
        <v/>
      </c>
      <c r="F119" s="3" t="str">
        <f>IF(EXACT(A119,C119),"X","")</f>
        <v/>
      </c>
      <c r="G119" s="3" t="str">
        <f>IF(A119&lt;&gt;C119,VLOOKUP(C119,$A$5:$D$9954,4,FALSE),"")</f>
        <v>Stonefalls</v>
      </c>
      <c r="H119" s="17">
        <f>A119</f>
        <v>296</v>
      </c>
      <c r="I119" s="17">
        <f>C119</f>
        <v>41</v>
      </c>
      <c r="J119">
        <v>0</v>
      </c>
      <c r="K119" s="3" t="str">
        <f>VLOOKUP(J119,'LibSets constants'!$A$4:$B$1017,2,FALSE)</f>
        <v>DLC_BASE_GAME</v>
      </c>
      <c r="L119" s="3" t="str">
        <f>VLOOKUP(J119,'LibSets constants'!$A$4:$C$1017,3,FALSE)</f>
        <v>Included in base game</v>
      </c>
    </row>
    <row r="120" spans="1:12" x14ac:dyDescent="0.25">
      <c r="A120">
        <v>306</v>
      </c>
      <c r="B120">
        <v>120</v>
      </c>
      <c r="C120">
        <v>57</v>
      </c>
      <c r="D120" t="s">
        <v>205</v>
      </c>
      <c r="E120" t="str">
        <f>IF(NOT(ISERROR(VLOOKUP(D120,'ESO Dungeon constants'!$A$3:$A$9999,1,FALSE))),"X","")</f>
        <v/>
      </c>
      <c r="F120" s="3" t="str">
        <f>IF(EXACT(A120,C120),"X","")</f>
        <v/>
      </c>
      <c r="G120" s="3" t="str">
        <f>IF(A120&lt;&gt;C120,VLOOKUP(C120,$A$5:$D$9954,4,FALSE),"")</f>
        <v>Deshaan</v>
      </c>
      <c r="H120" s="17">
        <f>A120</f>
        <v>306</v>
      </c>
      <c r="I120" s="17">
        <f>C120</f>
        <v>57</v>
      </c>
      <c r="J120">
        <v>0</v>
      </c>
      <c r="K120" s="3" t="str">
        <f>VLOOKUP(J120,'LibSets constants'!$A$4:$B$1017,2,FALSE)</f>
        <v>DLC_BASE_GAME</v>
      </c>
      <c r="L120" s="3" t="str">
        <f>VLOOKUP(J120,'LibSets constants'!$A$4:$C$1017,3,FALSE)</f>
        <v>Included in base game</v>
      </c>
    </row>
    <row r="121" spans="1:12" x14ac:dyDescent="0.25">
      <c r="A121">
        <v>308</v>
      </c>
      <c r="B121">
        <v>121</v>
      </c>
      <c r="C121">
        <v>104</v>
      </c>
      <c r="D121" t="s">
        <v>206</v>
      </c>
      <c r="E121" t="str">
        <f>IF(NOT(ISERROR(VLOOKUP(D121,'ESO Dungeon constants'!$A$3:$A$9999,1,FALSE))),"X","")</f>
        <v/>
      </c>
      <c r="F121" s="3" t="str">
        <f>IF(EXACT(A121,C121),"X","")</f>
        <v/>
      </c>
      <c r="G121" s="3" t="str">
        <f>IF(A121&lt;&gt;C121,VLOOKUP(C121,$A$5:$D$9954,4,FALSE),"")</f>
        <v>Alik'r Desert</v>
      </c>
      <c r="H121" s="17">
        <f>A121</f>
        <v>308</v>
      </c>
      <c r="I121" s="17">
        <f>C121</f>
        <v>104</v>
      </c>
      <c r="J121">
        <v>0</v>
      </c>
      <c r="K121" s="3" t="str">
        <f>VLOOKUP(J121,'LibSets constants'!$A$4:$B$1017,2,FALSE)</f>
        <v>DLC_BASE_GAME</v>
      </c>
      <c r="L121" s="3" t="str">
        <f>VLOOKUP(J121,'LibSets constants'!$A$4:$C$1017,3,FALSE)</f>
        <v>Included in base game</v>
      </c>
    </row>
    <row r="122" spans="1:12" x14ac:dyDescent="0.25">
      <c r="A122">
        <v>309</v>
      </c>
      <c r="B122">
        <v>122</v>
      </c>
      <c r="C122">
        <v>3</v>
      </c>
      <c r="D122" t="s">
        <v>207</v>
      </c>
      <c r="E122" t="str">
        <f>IF(NOT(ISERROR(VLOOKUP(D122,'ESO Dungeon constants'!$A$3:$A$9999,1,FALSE))),"X","")</f>
        <v/>
      </c>
      <c r="F122" s="3" t="str">
        <f>IF(EXACT(A122,C122),"X","")</f>
        <v/>
      </c>
      <c r="G122" s="3" t="str">
        <f>IF(A122&lt;&gt;C122,VLOOKUP(C122,$A$5:$D$9954,4,FALSE),"")</f>
        <v>Glenumbra</v>
      </c>
      <c r="H122" s="17">
        <f>A122</f>
        <v>309</v>
      </c>
      <c r="I122" s="17">
        <f>C122</f>
        <v>3</v>
      </c>
      <c r="J122">
        <v>0</v>
      </c>
      <c r="K122" s="3" t="str">
        <f>VLOOKUP(J122,'LibSets constants'!$A$4:$B$1017,2,FALSE)</f>
        <v>DLC_BASE_GAME</v>
      </c>
      <c r="L122" s="3" t="str">
        <f>VLOOKUP(J122,'LibSets constants'!$A$4:$C$1017,3,FALSE)</f>
        <v>Included in base game</v>
      </c>
    </row>
    <row r="123" spans="1:12" x14ac:dyDescent="0.25">
      <c r="A123">
        <v>310</v>
      </c>
      <c r="B123">
        <v>123</v>
      </c>
      <c r="C123">
        <v>3</v>
      </c>
      <c r="D123" t="s">
        <v>208</v>
      </c>
      <c r="E123" t="str">
        <f>IF(NOT(ISERROR(VLOOKUP(D123,'ESO Dungeon constants'!$A$3:$A$9999,1,FALSE))),"X","")</f>
        <v/>
      </c>
      <c r="F123" s="3" t="str">
        <f>IF(EXACT(A123,C123),"X","")</f>
        <v/>
      </c>
      <c r="G123" s="3" t="str">
        <f>IF(A123&lt;&gt;C123,VLOOKUP(C123,$A$5:$D$9954,4,FALSE),"")</f>
        <v>Glenumbra</v>
      </c>
      <c r="H123" s="17">
        <f>A123</f>
        <v>310</v>
      </c>
      <c r="I123" s="17">
        <f>C123</f>
        <v>3</v>
      </c>
      <c r="J123">
        <v>0</v>
      </c>
      <c r="K123" s="3" t="str">
        <f>VLOOKUP(J123,'LibSets constants'!$A$4:$B$1017,2,FALSE)</f>
        <v>DLC_BASE_GAME</v>
      </c>
      <c r="L123" s="3" t="str">
        <f>VLOOKUP(J123,'LibSets constants'!$A$4:$C$1017,3,FALSE)</f>
        <v>Included in base game</v>
      </c>
    </row>
    <row r="124" spans="1:12" x14ac:dyDescent="0.25">
      <c r="A124">
        <v>311</v>
      </c>
      <c r="B124">
        <v>124</v>
      </c>
      <c r="C124">
        <v>3</v>
      </c>
      <c r="D124" t="s">
        <v>3894</v>
      </c>
      <c r="E124" t="str">
        <f>IF(NOT(ISERROR(VLOOKUP(D124,'ESO Dungeon constants'!$A$3:$A$9999,1,FALSE))),"X","")</f>
        <v/>
      </c>
      <c r="F124" s="3" t="str">
        <f>IF(EXACT(A124,C124),"X","")</f>
        <v/>
      </c>
      <c r="G124" s="3" t="str">
        <f>IF(A124&lt;&gt;C124,VLOOKUP(C124,$A$5:$D$9954,4,FALSE),"")</f>
        <v>Glenumbra</v>
      </c>
      <c r="H124" s="17">
        <f>A124</f>
        <v>311</v>
      </c>
      <c r="I124" s="17">
        <f>C124</f>
        <v>3</v>
      </c>
      <c r="J124">
        <v>0</v>
      </c>
      <c r="K124" s="3" t="str">
        <f>VLOOKUP(J124,'LibSets constants'!$A$4:$B$1017,2,FALSE)</f>
        <v>DLC_BASE_GAME</v>
      </c>
      <c r="L124" s="3" t="str">
        <f>VLOOKUP(J124,'LibSets constants'!$A$4:$C$1017,3,FALSE)</f>
        <v>Included in base game</v>
      </c>
    </row>
    <row r="125" spans="1:12" x14ac:dyDescent="0.25">
      <c r="A125">
        <v>312</v>
      </c>
      <c r="B125">
        <v>125</v>
      </c>
      <c r="C125">
        <v>3</v>
      </c>
      <c r="D125" t="s">
        <v>209</v>
      </c>
      <c r="E125" t="str">
        <f>IF(NOT(ISERROR(VLOOKUP(D125,'ESO Dungeon constants'!$A$3:$A$9999,1,FALSE))),"X","")</f>
        <v/>
      </c>
      <c r="F125" s="3" t="str">
        <f>IF(EXACT(A125,C125),"X","")</f>
        <v/>
      </c>
      <c r="G125" s="3" t="str">
        <f>IF(A125&lt;&gt;C125,VLOOKUP(C125,$A$5:$D$9954,4,FALSE),"")</f>
        <v>Glenumbra</v>
      </c>
      <c r="H125" s="17">
        <f>A125</f>
        <v>312</v>
      </c>
      <c r="I125" s="17">
        <f>C125</f>
        <v>3</v>
      </c>
      <c r="J125">
        <v>0</v>
      </c>
      <c r="K125" s="3" t="str">
        <f>VLOOKUP(J125,'LibSets constants'!$A$4:$B$1017,2,FALSE)</f>
        <v>DLC_BASE_GAME</v>
      </c>
      <c r="L125" s="3" t="str">
        <f>VLOOKUP(J125,'LibSets constants'!$A$4:$C$1017,3,FALSE)</f>
        <v>Included in base game</v>
      </c>
    </row>
    <row r="126" spans="1:12" x14ac:dyDescent="0.25">
      <c r="A126">
        <v>313</v>
      </c>
      <c r="B126">
        <v>126</v>
      </c>
      <c r="C126">
        <v>3</v>
      </c>
      <c r="D126" t="s">
        <v>210</v>
      </c>
      <c r="E126" t="str">
        <f>IF(NOT(ISERROR(VLOOKUP(D126,'ESO Dungeon constants'!$A$3:$A$9999,1,FALSE))),"X","")</f>
        <v/>
      </c>
      <c r="F126" s="3" t="str">
        <f>IF(EXACT(A126,C126),"X","")</f>
        <v/>
      </c>
      <c r="G126" s="3" t="str">
        <f>IF(A126&lt;&gt;C126,VLOOKUP(C126,$A$5:$D$9954,4,FALSE),"")</f>
        <v>Glenumbra</v>
      </c>
      <c r="H126" s="17">
        <f>A126</f>
        <v>313</v>
      </c>
      <c r="I126" s="17">
        <f>C126</f>
        <v>3</v>
      </c>
      <c r="J126">
        <v>0</v>
      </c>
      <c r="K126" s="3" t="str">
        <f>VLOOKUP(J126,'LibSets constants'!$A$4:$B$1017,2,FALSE)</f>
        <v>DLC_BASE_GAME</v>
      </c>
      <c r="L126" s="3" t="str">
        <f>VLOOKUP(J126,'LibSets constants'!$A$4:$C$1017,3,FALSE)</f>
        <v>Included in base game</v>
      </c>
    </row>
    <row r="127" spans="1:12" x14ac:dyDescent="0.25">
      <c r="A127">
        <v>314</v>
      </c>
      <c r="B127">
        <v>127</v>
      </c>
      <c r="C127">
        <v>3</v>
      </c>
      <c r="D127" t="s">
        <v>211</v>
      </c>
      <c r="E127" t="str">
        <f>IF(NOT(ISERROR(VLOOKUP(D127,'ESO Dungeon constants'!$A$3:$A$9999,1,FALSE))),"X","")</f>
        <v/>
      </c>
      <c r="F127" s="3" t="str">
        <f>IF(EXACT(A127,C127),"X","")</f>
        <v/>
      </c>
      <c r="G127" s="3" t="str">
        <f>IF(A127&lt;&gt;C127,VLOOKUP(C127,$A$5:$D$9954,4,FALSE),"")</f>
        <v>Glenumbra</v>
      </c>
      <c r="H127" s="17">
        <f>A127</f>
        <v>314</v>
      </c>
      <c r="I127" s="17">
        <f>C127</f>
        <v>3</v>
      </c>
      <c r="J127">
        <v>0</v>
      </c>
      <c r="K127" s="3" t="str">
        <f>VLOOKUP(J127,'LibSets constants'!$A$4:$B$1017,2,FALSE)</f>
        <v>DLC_BASE_GAME</v>
      </c>
      <c r="L127" s="3" t="str">
        <f>VLOOKUP(J127,'LibSets constants'!$A$4:$C$1017,3,FALSE)</f>
        <v>Included in base game</v>
      </c>
    </row>
    <row r="128" spans="1:12" x14ac:dyDescent="0.25">
      <c r="A128">
        <v>315</v>
      </c>
      <c r="B128">
        <v>128</v>
      </c>
      <c r="C128">
        <v>19</v>
      </c>
      <c r="D128" t="s">
        <v>212</v>
      </c>
      <c r="E128" t="str">
        <f>IF(NOT(ISERROR(VLOOKUP(D128,'ESO Dungeon constants'!$A$3:$A$9999,1,FALSE))),"X","")</f>
        <v/>
      </c>
      <c r="F128" s="3" t="str">
        <f>IF(EXACT(A128,C128),"X","")</f>
        <v/>
      </c>
      <c r="G128" s="3" t="str">
        <f>IF(A128&lt;&gt;C128,VLOOKUP(C128,$A$5:$D$9954,4,FALSE),"")</f>
        <v>Stormhaven</v>
      </c>
      <c r="H128" s="17">
        <f>A128</f>
        <v>315</v>
      </c>
      <c r="I128" s="17">
        <f>C128</f>
        <v>19</v>
      </c>
      <c r="J128">
        <v>0</v>
      </c>
      <c r="K128" s="3" t="str">
        <f>VLOOKUP(J128,'LibSets constants'!$A$4:$B$1017,2,FALSE)</f>
        <v>DLC_BASE_GAME</v>
      </c>
      <c r="L128" s="3" t="str">
        <f>VLOOKUP(J128,'LibSets constants'!$A$4:$C$1017,3,FALSE)</f>
        <v>Included in base game</v>
      </c>
    </row>
    <row r="129" spans="1:12" x14ac:dyDescent="0.25">
      <c r="A129">
        <v>1201</v>
      </c>
      <c r="B129">
        <v>781</v>
      </c>
      <c r="C129">
        <v>1160</v>
      </c>
      <c r="D129" t="s">
        <v>1792</v>
      </c>
      <c r="E129" t="str">
        <f>IF(NOT(ISERROR(VLOOKUP(D129,'ESO Dungeon constants'!$A$3:$A$9999,1,FALSE))),"X","")</f>
        <v>X</v>
      </c>
      <c r="F129" s="3" t="str">
        <f>IF(EXACT(A129,C129),"X","")</f>
        <v/>
      </c>
      <c r="G129" s="3" t="str">
        <f>IF(A129&lt;&gt;C129,VLOOKUP(C129,$A$5:$D$9954,4,FALSE),"")</f>
        <v>Western Skyrim</v>
      </c>
      <c r="H129" s="17">
        <f>A129</f>
        <v>1201</v>
      </c>
      <c r="I129" s="17">
        <f>C129</f>
        <v>1160</v>
      </c>
      <c r="J129">
        <f>IF(E129="X",VLOOKUP(D129,'ESO Dungeon constants'!$A$3:$H$9999,8,FALSE),0)</f>
        <v>19</v>
      </c>
      <c r="K129" s="3" t="str">
        <f>VLOOKUP(J129,'LibSets constants'!$A$4:$B$1017,2,FALSE)</f>
        <v>DLC_STONETHORN</v>
      </c>
      <c r="L129" s="3" t="str">
        <f>VLOOKUP(J129,'LibSets constants'!$A$4:$C$1017,3,FALSE)</f>
        <v>Stonethorn</v>
      </c>
    </row>
    <row r="130" spans="1:12" x14ac:dyDescent="0.25">
      <c r="A130">
        <v>316</v>
      </c>
      <c r="B130">
        <v>129</v>
      </c>
      <c r="C130">
        <v>19</v>
      </c>
      <c r="D130" t="s">
        <v>213</v>
      </c>
      <c r="E130" t="str">
        <f>IF(NOT(ISERROR(VLOOKUP(D130,'ESO Dungeon constants'!$A$3:$A$9999,1,FALSE))),"X","")</f>
        <v/>
      </c>
      <c r="F130" s="3" t="str">
        <f>IF(EXACT(A130,C130),"X","")</f>
        <v/>
      </c>
      <c r="G130" s="3" t="str">
        <f>IF(A130&lt;&gt;C130,VLOOKUP(C130,$A$5:$D$9954,4,FALSE),"")</f>
        <v>Stormhaven</v>
      </c>
      <c r="H130" s="17">
        <f>A130</f>
        <v>316</v>
      </c>
      <c r="I130" s="17">
        <f>C130</f>
        <v>19</v>
      </c>
      <c r="J130">
        <v>0</v>
      </c>
      <c r="K130" s="3" t="str">
        <f>VLOOKUP(J130,'LibSets constants'!$A$4:$B$1017,2,FALSE)</f>
        <v>DLC_BASE_GAME</v>
      </c>
      <c r="L130" s="3" t="str">
        <f>VLOOKUP(J130,'LibSets constants'!$A$4:$C$1017,3,FALSE)</f>
        <v>Included in base game</v>
      </c>
    </row>
    <row r="131" spans="1:12" x14ac:dyDescent="0.25">
      <c r="A131">
        <v>317</v>
      </c>
      <c r="B131">
        <v>130</v>
      </c>
      <c r="C131">
        <v>19</v>
      </c>
      <c r="D131" t="s">
        <v>214</v>
      </c>
      <c r="E131" t="str">
        <f>IF(NOT(ISERROR(VLOOKUP(D131,'ESO Dungeon constants'!$A$3:$A$9999,1,FALSE))),"X","")</f>
        <v/>
      </c>
      <c r="F131" s="3" t="str">
        <f>IF(EXACT(A131,C131),"X","")</f>
        <v/>
      </c>
      <c r="G131" s="3" t="str">
        <f>IF(A131&lt;&gt;C131,VLOOKUP(C131,$A$5:$D$9954,4,FALSE),"")</f>
        <v>Stormhaven</v>
      </c>
      <c r="H131" s="17">
        <f>A131</f>
        <v>317</v>
      </c>
      <c r="I131" s="17">
        <f>C131</f>
        <v>19</v>
      </c>
      <c r="J131">
        <v>0</v>
      </c>
      <c r="K131" s="3" t="str">
        <f>VLOOKUP(J131,'LibSets constants'!$A$4:$B$1017,2,FALSE)</f>
        <v>DLC_BASE_GAME</v>
      </c>
      <c r="L131" s="3" t="str">
        <f>VLOOKUP(J131,'LibSets constants'!$A$4:$C$1017,3,FALSE)</f>
        <v>Included in base game</v>
      </c>
    </row>
    <row r="132" spans="1:12" x14ac:dyDescent="0.25">
      <c r="A132">
        <v>318</v>
      </c>
      <c r="B132">
        <v>131</v>
      </c>
      <c r="C132">
        <v>19</v>
      </c>
      <c r="D132" t="s">
        <v>215</v>
      </c>
      <c r="E132" t="str">
        <f>IF(NOT(ISERROR(VLOOKUP(D132,'ESO Dungeon constants'!$A$3:$A$9999,1,FALSE))),"X","")</f>
        <v/>
      </c>
      <c r="F132" s="3" t="str">
        <f>IF(EXACT(A132,C132),"X","")</f>
        <v/>
      </c>
      <c r="G132" s="3" t="str">
        <f>IF(A132&lt;&gt;C132,VLOOKUP(C132,$A$5:$D$9954,4,FALSE),"")</f>
        <v>Stormhaven</v>
      </c>
      <c r="H132" s="17">
        <f>A132</f>
        <v>318</v>
      </c>
      <c r="I132" s="17">
        <f>C132</f>
        <v>19</v>
      </c>
      <c r="J132">
        <v>0</v>
      </c>
      <c r="K132" s="3" t="str">
        <f>VLOOKUP(J132,'LibSets constants'!$A$4:$B$1017,2,FALSE)</f>
        <v>DLC_BASE_GAME</v>
      </c>
      <c r="L132" s="3" t="str">
        <f>VLOOKUP(J132,'LibSets constants'!$A$4:$C$1017,3,FALSE)</f>
        <v>Included in base game</v>
      </c>
    </row>
    <row r="133" spans="1:12" x14ac:dyDescent="0.25">
      <c r="A133">
        <v>319</v>
      </c>
      <c r="B133">
        <v>132</v>
      </c>
      <c r="C133">
        <v>19</v>
      </c>
      <c r="D133" t="s">
        <v>216</v>
      </c>
      <c r="E133" t="str">
        <f>IF(NOT(ISERROR(VLOOKUP(D133,'ESO Dungeon constants'!$A$3:$A$9999,1,FALSE))),"X","")</f>
        <v/>
      </c>
      <c r="F133" s="3" t="str">
        <f>IF(EXACT(A133,C133),"X","")</f>
        <v/>
      </c>
      <c r="G133" s="3" t="str">
        <f>IF(A133&lt;&gt;C133,VLOOKUP(C133,$A$5:$D$9954,4,FALSE),"")</f>
        <v>Stormhaven</v>
      </c>
      <c r="H133" s="17">
        <f>A133</f>
        <v>319</v>
      </c>
      <c r="I133" s="17">
        <f>C133</f>
        <v>19</v>
      </c>
      <c r="J133">
        <v>0</v>
      </c>
      <c r="K133" s="3" t="str">
        <f>VLOOKUP(J133,'LibSets constants'!$A$4:$B$1017,2,FALSE)</f>
        <v>DLC_BASE_GAME</v>
      </c>
      <c r="L133" s="3" t="str">
        <f>VLOOKUP(J133,'LibSets constants'!$A$4:$C$1017,3,FALSE)</f>
        <v>Included in base game</v>
      </c>
    </row>
    <row r="134" spans="1:12" x14ac:dyDescent="0.25">
      <c r="A134">
        <v>320</v>
      </c>
      <c r="B134">
        <v>133</v>
      </c>
      <c r="C134">
        <v>19</v>
      </c>
      <c r="D134" t="s">
        <v>217</v>
      </c>
      <c r="E134" t="str">
        <f>IF(NOT(ISERROR(VLOOKUP(D134,'ESO Dungeon constants'!$A$3:$A$9999,1,FALSE))),"X","")</f>
        <v/>
      </c>
      <c r="F134" s="3" t="str">
        <f>IF(EXACT(A134,C134),"X","")</f>
        <v/>
      </c>
      <c r="G134" s="3" t="str">
        <f>IF(A134&lt;&gt;C134,VLOOKUP(C134,$A$5:$D$9954,4,FALSE),"")</f>
        <v>Stormhaven</v>
      </c>
      <c r="H134" s="17">
        <f>A134</f>
        <v>320</v>
      </c>
      <c r="I134" s="17">
        <f>C134</f>
        <v>19</v>
      </c>
      <c r="J134">
        <v>0</v>
      </c>
      <c r="K134" s="3" t="str">
        <f>VLOOKUP(J134,'LibSets constants'!$A$4:$B$1017,2,FALSE)</f>
        <v>DLC_BASE_GAME</v>
      </c>
      <c r="L134" s="3" t="str">
        <f>VLOOKUP(J134,'LibSets constants'!$A$4:$C$1017,3,FALSE)</f>
        <v>Included in base game</v>
      </c>
    </row>
    <row r="135" spans="1:12" x14ac:dyDescent="0.25">
      <c r="A135">
        <v>321</v>
      </c>
      <c r="B135">
        <v>134</v>
      </c>
      <c r="C135">
        <v>20</v>
      </c>
      <c r="D135" t="s">
        <v>218</v>
      </c>
      <c r="E135" t="str">
        <f>IF(NOT(ISERROR(VLOOKUP(D135,'ESO Dungeon constants'!$A$3:$A$9999,1,FALSE))),"X","")</f>
        <v/>
      </c>
      <c r="F135" s="3" t="str">
        <f>IF(EXACT(A135,C135),"X","")</f>
        <v/>
      </c>
      <c r="G135" s="3" t="str">
        <f>IF(A135&lt;&gt;C135,VLOOKUP(C135,$A$5:$D$9954,4,FALSE),"")</f>
        <v>Rivenspire</v>
      </c>
      <c r="H135" s="17">
        <f>A135</f>
        <v>321</v>
      </c>
      <c r="I135" s="17">
        <f>C135</f>
        <v>20</v>
      </c>
      <c r="J135">
        <v>0</v>
      </c>
      <c r="K135" s="3" t="str">
        <f>VLOOKUP(J135,'LibSets constants'!$A$4:$B$1017,2,FALSE)</f>
        <v>DLC_BASE_GAME</v>
      </c>
      <c r="L135" s="3" t="str">
        <f>VLOOKUP(J135,'LibSets constants'!$A$4:$C$1017,3,FALSE)</f>
        <v>Included in base game</v>
      </c>
    </row>
    <row r="136" spans="1:12" x14ac:dyDescent="0.25">
      <c r="A136">
        <v>322</v>
      </c>
      <c r="B136">
        <v>135</v>
      </c>
      <c r="C136">
        <v>20</v>
      </c>
      <c r="D136" t="s">
        <v>219</v>
      </c>
      <c r="E136" t="str">
        <f>IF(NOT(ISERROR(VLOOKUP(D136,'ESO Dungeon constants'!$A$3:$A$9999,1,FALSE))),"X","")</f>
        <v/>
      </c>
      <c r="F136" s="3" t="str">
        <f>IF(EXACT(A136,C136),"X","")</f>
        <v/>
      </c>
      <c r="G136" s="3" t="str">
        <f>IF(A136&lt;&gt;C136,VLOOKUP(C136,$A$5:$D$9954,4,FALSE),"")</f>
        <v>Rivenspire</v>
      </c>
      <c r="H136" s="17">
        <f>A136</f>
        <v>322</v>
      </c>
      <c r="I136" s="17">
        <f>C136</f>
        <v>20</v>
      </c>
      <c r="J136">
        <v>0</v>
      </c>
      <c r="K136" s="3" t="str">
        <f>VLOOKUP(J136,'LibSets constants'!$A$4:$B$1017,2,FALSE)</f>
        <v>DLC_BASE_GAME</v>
      </c>
      <c r="L136" s="3" t="str">
        <f>VLOOKUP(J136,'LibSets constants'!$A$4:$C$1017,3,FALSE)</f>
        <v>Included in base game</v>
      </c>
    </row>
    <row r="137" spans="1:12" x14ac:dyDescent="0.25">
      <c r="A137">
        <v>323</v>
      </c>
      <c r="B137">
        <v>136</v>
      </c>
      <c r="C137">
        <v>20</v>
      </c>
      <c r="D137" t="s">
        <v>220</v>
      </c>
      <c r="E137" t="str">
        <f>IF(NOT(ISERROR(VLOOKUP(D137,'ESO Dungeon constants'!$A$3:$A$9999,1,FALSE))),"X","")</f>
        <v/>
      </c>
      <c r="F137" s="3" t="str">
        <f>IF(EXACT(A137,C137),"X","")</f>
        <v/>
      </c>
      <c r="G137" s="3" t="str">
        <f>IF(A137&lt;&gt;C137,VLOOKUP(C137,$A$5:$D$9954,4,FALSE),"")</f>
        <v>Rivenspire</v>
      </c>
      <c r="H137" s="17">
        <f>A137</f>
        <v>323</v>
      </c>
      <c r="I137" s="17">
        <f>C137</f>
        <v>20</v>
      </c>
      <c r="J137">
        <v>0</v>
      </c>
      <c r="K137" s="3" t="str">
        <f>VLOOKUP(J137,'LibSets constants'!$A$4:$B$1017,2,FALSE)</f>
        <v>DLC_BASE_GAME</v>
      </c>
      <c r="L137" s="3" t="str">
        <f>VLOOKUP(J137,'LibSets constants'!$A$4:$C$1017,3,FALSE)</f>
        <v>Included in base game</v>
      </c>
    </row>
    <row r="138" spans="1:12" x14ac:dyDescent="0.25">
      <c r="A138">
        <v>324</v>
      </c>
      <c r="B138">
        <v>137</v>
      </c>
      <c r="C138">
        <v>20</v>
      </c>
      <c r="D138" t="s">
        <v>221</v>
      </c>
      <c r="E138" t="str">
        <f>IF(NOT(ISERROR(VLOOKUP(D138,'ESO Dungeon constants'!$A$3:$A$9999,1,FALSE))),"X","")</f>
        <v/>
      </c>
      <c r="F138" s="3" t="str">
        <f>IF(EXACT(A138,C138),"X","")</f>
        <v/>
      </c>
      <c r="G138" s="3" t="str">
        <f>IF(A138&lt;&gt;C138,VLOOKUP(C138,$A$5:$D$9954,4,FALSE),"")</f>
        <v>Rivenspire</v>
      </c>
      <c r="H138" s="17">
        <f>A138</f>
        <v>324</v>
      </c>
      <c r="I138" s="17">
        <f>C138</f>
        <v>20</v>
      </c>
      <c r="J138">
        <v>0</v>
      </c>
      <c r="K138" s="3" t="str">
        <f>VLOOKUP(J138,'LibSets constants'!$A$4:$B$1017,2,FALSE)</f>
        <v>DLC_BASE_GAME</v>
      </c>
      <c r="L138" s="3" t="str">
        <f>VLOOKUP(J138,'LibSets constants'!$A$4:$C$1017,3,FALSE)</f>
        <v>Included in base game</v>
      </c>
    </row>
    <row r="139" spans="1:12" x14ac:dyDescent="0.25">
      <c r="A139">
        <v>325</v>
      </c>
      <c r="B139">
        <v>138</v>
      </c>
      <c r="C139">
        <v>20</v>
      </c>
      <c r="D139" t="s">
        <v>222</v>
      </c>
      <c r="E139" t="str">
        <f>IF(NOT(ISERROR(VLOOKUP(D139,'ESO Dungeon constants'!$A$3:$A$9999,1,FALSE))),"X","")</f>
        <v/>
      </c>
      <c r="F139" s="3" t="str">
        <f>IF(EXACT(A139,C139),"X","")</f>
        <v/>
      </c>
      <c r="G139" s="3" t="str">
        <f>IF(A139&lt;&gt;C139,VLOOKUP(C139,$A$5:$D$9954,4,FALSE),"")</f>
        <v>Rivenspire</v>
      </c>
      <c r="H139" s="17">
        <f>A139</f>
        <v>325</v>
      </c>
      <c r="I139" s="17">
        <f>C139</f>
        <v>20</v>
      </c>
      <c r="J139">
        <v>0</v>
      </c>
      <c r="K139" s="3" t="str">
        <f>VLOOKUP(J139,'LibSets constants'!$A$4:$B$1017,2,FALSE)</f>
        <v>DLC_BASE_GAME</v>
      </c>
      <c r="L139" s="3" t="str">
        <f>VLOOKUP(J139,'LibSets constants'!$A$4:$C$1017,3,FALSE)</f>
        <v>Included in base game</v>
      </c>
    </row>
    <row r="140" spans="1:12" x14ac:dyDescent="0.25">
      <c r="A140">
        <v>326</v>
      </c>
      <c r="B140">
        <v>139</v>
      </c>
      <c r="C140">
        <v>20</v>
      </c>
      <c r="D140" t="s">
        <v>223</v>
      </c>
      <c r="E140" t="str">
        <f>IF(NOT(ISERROR(VLOOKUP(D140,'ESO Dungeon constants'!$A$3:$A$9999,1,FALSE))),"X","")</f>
        <v/>
      </c>
      <c r="F140" s="3" t="str">
        <f>IF(EXACT(A140,C140),"X","")</f>
        <v/>
      </c>
      <c r="G140" s="3" t="str">
        <f>IF(A140&lt;&gt;C140,VLOOKUP(C140,$A$5:$D$9954,4,FALSE),"")</f>
        <v>Rivenspire</v>
      </c>
      <c r="H140" s="17">
        <f>A140</f>
        <v>326</v>
      </c>
      <c r="I140" s="17">
        <f>C140</f>
        <v>20</v>
      </c>
      <c r="J140">
        <v>0</v>
      </c>
      <c r="K140" s="3" t="str">
        <f>VLOOKUP(J140,'LibSets constants'!$A$4:$B$1017,2,FALSE)</f>
        <v>DLC_BASE_GAME</v>
      </c>
      <c r="L140" s="3" t="str">
        <f>VLOOKUP(J140,'LibSets constants'!$A$4:$C$1017,3,FALSE)</f>
        <v>Included in base game</v>
      </c>
    </row>
    <row r="141" spans="1:12" x14ac:dyDescent="0.25">
      <c r="A141">
        <v>327</v>
      </c>
      <c r="B141">
        <v>140</v>
      </c>
      <c r="C141">
        <v>104</v>
      </c>
      <c r="D141" t="s">
        <v>224</v>
      </c>
      <c r="E141" t="str">
        <f>IF(NOT(ISERROR(VLOOKUP(D141,'ESO Dungeon constants'!$A$3:$A$9999,1,FALSE))),"X","")</f>
        <v/>
      </c>
      <c r="F141" s="3" t="str">
        <f>IF(EXACT(A141,C141),"X","")</f>
        <v/>
      </c>
      <c r="G141" s="3" t="str">
        <f>IF(A141&lt;&gt;C141,VLOOKUP(C141,$A$5:$D$9954,4,FALSE),"")</f>
        <v>Alik'r Desert</v>
      </c>
      <c r="H141" s="17">
        <f>A141</f>
        <v>327</v>
      </c>
      <c r="I141" s="17">
        <f>C141</f>
        <v>104</v>
      </c>
      <c r="J141">
        <v>0</v>
      </c>
      <c r="K141" s="3" t="str">
        <f>VLOOKUP(J141,'LibSets constants'!$A$4:$B$1017,2,FALSE)</f>
        <v>DLC_BASE_GAME</v>
      </c>
      <c r="L141" s="3" t="str">
        <f>VLOOKUP(J141,'LibSets constants'!$A$4:$C$1017,3,FALSE)</f>
        <v>Included in base game</v>
      </c>
    </row>
    <row r="142" spans="1:12" x14ac:dyDescent="0.25">
      <c r="A142">
        <v>328</v>
      </c>
      <c r="B142">
        <v>141</v>
      </c>
      <c r="C142">
        <v>104</v>
      </c>
      <c r="D142" t="s">
        <v>225</v>
      </c>
      <c r="E142" t="str">
        <f>IF(NOT(ISERROR(VLOOKUP(D142,'ESO Dungeon constants'!$A$3:$A$9999,1,FALSE))),"X","")</f>
        <v/>
      </c>
      <c r="F142" s="3" t="str">
        <f>IF(EXACT(A142,C142),"X","")</f>
        <v/>
      </c>
      <c r="G142" s="3" t="str">
        <f>IF(A142&lt;&gt;C142,VLOOKUP(C142,$A$5:$D$9954,4,FALSE),"")</f>
        <v>Alik'r Desert</v>
      </c>
      <c r="H142" s="17">
        <f>A142</f>
        <v>328</v>
      </c>
      <c r="I142" s="17">
        <f>C142</f>
        <v>104</v>
      </c>
      <c r="J142">
        <v>0</v>
      </c>
      <c r="K142" s="3" t="str">
        <f>VLOOKUP(J142,'LibSets constants'!$A$4:$B$1017,2,FALSE)</f>
        <v>DLC_BASE_GAME</v>
      </c>
      <c r="L142" s="3" t="str">
        <f>VLOOKUP(J142,'LibSets constants'!$A$4:$C$1017,3,FALSE)</f>
        <v>Included in base game</v>
      </c>
    </row>
    <row r="143" spans="1:12" x14ac:dyDescent="0.25">
      <c r="A143">
        <v>329</v>
      </c>
      <c r="B143">
        <v>142</v>
      </c>
      <c r="C143">
        <v>104</v>
      </c>
      <c r="D143" t="s">
        <v>226</v>
      </c>
      <c r="E143" t="str">
        <f>IF(NOT(ISERROR(VLOOKUP(D143,'ESO Dungeon constants'!$A$3:$A$9999,1,FALSE))),"X","")</f>
        <v/>
      </c>
      <c r="F143" s="3" t="str">
        <f>IF(EXACT(A143,C143),"X","")</f>
        <v/>
      </c>
      <c r="G143" s="3" t="str">
        <f>IF(A143&lt;&gt;C143,VLOOKUP(C143,$A$5:$D$9954,4,FALSE),"")</f>
        <v>Alik'r Desert</v>
      </c>
      <c r="H143" s="17">
        <f>A143</f>
        <v>329</v>
      </c>
      <c r="I143" s="17">
        <f>C143</f>
        <v>104</v>
      </c>
      <c r="J143">
        <v>0</v>
      </c>
      <c r="K143" s="3" t="str">
        <f>VLOOKUP(J143,'LibSets constants'!$A$4:$B$1017,2,FALSE)</f>
        <v>DLC_BASE_GAME</v>
      </c>
      <c r="L143" s="3" t="str">
        <f>VLOOKUP(J143,'LibSets constants'!$A$4:$C$1017,3,FALSE)</f>
        <v>Included in base game</v>
      </c>
    </row>
    <row r="144" spans="1:12" x14ac:dyDescent="0.25">
      <c r="A144">
        <v>330</v>
      </c>
      <c r="B144">
        <v>143</v>
      </c>
      <c r="C144">
        <v>104</v>
      </c>
      <c r="D144" t="s">
        <v>227</v>
      </c>
      <c r="E144" t="str">
        <f>IF(NOT(ISERROR(VLOOKUP(D144,'ESO Dungeon constants'!$A$3:$A$9999,1,FALSE))),"X","")</f>
        <v/>
      </c>
      <c r="F144" s="3" t="str">
        <f>IF(EXACT(A144,C144),"X","")</f>
        <v/>
      </c>
      <c r="G144" s="3" t="str">
        <f>IF(A144&lt;&gt;C144,VLOOKUP(C144,$A$5:$D$9954,4,FALSE),"")</f>
        <v>Alik'r Desert</v>
      </c>
      <c r="H144" s="17">
        <f>A144</f>
        <v>330</v>
      </c>
      <c r="I144" s="17">
        <f>C144</f>
        <v>104</v>
      </c>
      <c r="J144">
        <v>0</v>
      </c>
      <c r="K144" s="3" t="str">
        <f>VLOOKUP(J144,'LibSets constants'!$A$4:$B$1017,2,FALSE)</f>
        <v>DLC_BASE_GAME</v>
      </c>
      <c r="L144" s="3" t="str">
        <f>VLOOKUP(J144,'LibSets constants'!$A$4:$C$1017,3,FALSE)</f>
        <v>Included in base game</v>
      </c>
    </row>
    <row r="145" spans="1:12" x14ac:dyDescent="0.25">
      <c r="A145">
        <v>331</v>
      </c>
      <c r="B145">
        <v>144</v>
      </c>
      <c r="C145">
        <v>104</v>
      </c>
      <c r="D145" t="s">
        <v>228</v>
      </c>
      <c r="E145" t="str">
        <f>IF(NOT(ISERROR(VLOOKUP(D145,'ESO Dungeon constants'!$A$3:$A$9999,1,FALSE))),"X","")</f>
        <v/>
      </c>
      <c r="F145" s="3" t="str">
        <f>IF(EXACT(A145,C145),"X","")</f>
        <v/>
      </c>
      <c r="G145" s="3" t="str">
        <f>IF(A145&lt;&gt;C145,VLOOKUP(C145,$A$5:$D$9954,4,FALSE),"")</f>
        <v>Alik'r Desert</v>
      </c>
      <c r="H145" s="17">
        <f>A145</f>
        <v>331</v>
      </c>
      <c r="I145" s="17">
        <f>C145</f>
        <v>104</v>
      </c>
      <c r="J145">
        <v>0</v>
      </c>
      <c r="K145" s="3" t="str">
        <f>VLOOKUP(J145,'LibSets constants'!$A$4:$B$1017,2,FALSE)</f>
        <v>DLC_BASE_GAME</v>
      </c>
      <c r="L145" s="3" t="str">
        <f>VLOOKUP(J145,'LibSets constants'!$A$4:$C$1017,3,FALSE)</f>
        <v>Included in base game</v>
      </c>
    </row>
    <row r="146" spans="1:12" x14ac:dyDescent="0.25">
      <c r="A146">
        <v>332</v>
      </c>
      <c r="B146">
        <v>145</v>
      </c>
      <c r="C146">
        <v>104</v>
      </c>
      <c r="D146" t="s">
        <v>229</v>
      </c>
      <c r="E146" t="str">
        <f>IF(NOT(ISERROR(VLOOKUP(D146,'ESO Dungeon constants'!$A$3:$A$9999,1,FALSE))),"X","")</f>
        <v/>
      </c>
      <c r="F146" s="3" t="str">
        <f>IF(EXACT(A146,C146),"X","")</f>
        <v/>
      </c>
      <c r="G146" s="3" t="str">
        <f>IF(A146&lt;&gt;C146,VLOOKUP(C146,$A$5:$D$9954,4,FALSE),"")</f>
        <v>Alik'r Desert</v>
      </c>
      <c r="H146" s="17">
        <f>A146</f>
        <v>332</v>
      </c>
      <c r="I146" s="17">
        <f>C146</f>
        <v>104</v>
      </c>
      <c r="J146">
        <v>0</v>
      </c>
      <c r="K146" s="3" t="str">
        <f>VLOOKUP(J146,'LibSets constants'!$A$4:$B$1017,2,FALSE)</f>
        <v>DLC_BASE_GAME</v>
      </c>
      <c r="L146" s="3" t="str">
        <f>VLOOKUP(J146,'LibSets constants'!$A$4:$C$1017,3,FALSE)</f>
        <v>Included in base game</v>
      </c>
    </row>
    <row r="147" spans="1:12" x14ac:dyDescent="0.25">
      <c r="A147">
        <v>333</v>
      </c>
      <c r="B147">
        <v>146</v>
      </c>
      <c r="C147">
        <v>92</v>
      </c>
      <c r="D147" t="s">
        <v>230</v>
      </c>
      <c r="E147" t="str">
        <f>IF(NOT(ISERROR(VLOOKUP(D147,'ESO Dungeon constants'!$A$3:$A$9999,1,FALSE))),"X","")</f>
        <v/>
      </c>
      <c r="F147" s="3" t="str">
        <f>IF(EXACT(A147,C147),"X","")</f>
        <v/>
      </c>
      <c r="G147" s="3" t="str">
        <f>IF(A147&lt;&gt;C147,VLOOKUP(C147,$A$5:$D$9954,4,FALSE),"")</f>
        <v>Bangkorai</v>
      </c>
      <c r="H147" s="17">
        <f>A147</f>
        <v>333</v>
      </c>
      <c r="I147" s="17">
        <f>C147</f>
        <v>92</v>
      </c>
      <c r="J147">
        <v>0</v>
      </c>
      <c r="K147" s="3" t="str">
        <f>VLOOKUP(J147,'LibSets constants'!$A$4:$B$1017,2,FALSE)</f>
        <v>DLC_BASE_GAME</v>
      </c>
      <c r="L147" s="3" t="str">
        <f>VLOOKUP(J147,'LibSets constants'!$A$4:$C$1017,3,FALSE)</f>
        <v>Included in base game</v>
      </c>
    </row>
    <row r="148" spans="1:12" x14ac:dyDescent="0.25">
      <c r="A148">
        <v>334</v>
      </c>
      <c r="B148">
        <v>147</v>
      </c>
      <c r="C148">
        <v>92</v>
      </c>
      <c r="D148" t="s">
        <v>231</v>
      </c>
      <c r="E148" t="str">
        <f>IF(NOT(ISERROR(VLOOKUP(D148,'ESO Dungeon constants'!$A$3:$A$9999,1,FALSE))),"X","")</f>
        <v/>
      </c>
      <c r="F148" s="3" t="str">
        <f>IF(EXACT(A148,C148),"X","")</f>
        <v/>
      </c>
      <c r="G148" s="3" t="str">
        <f>IF(A148&lt;&gt;C148,VLOOKUP(C148,$A$5:$D$9954,4,FALSE),"")</f>
        <v>Bangkorai</v>
      </c>
      <c r="H148" s="17">
        <f>A148</f>
        <v>334</v>
      </c>
      <c r="I148" s="17">
        <f>C148</f>
        <v>92</v>
      </c>
      <c r="J148">
        <v>0</v>
      </c>
      <c r="K148" s="3" t="str">
        <f>VLOOKUP(J148,'LibSets constants'!$A$4:$B$1017,2,FALSE)</f>
        <v>DLC_BASE_GAME</v>
      </c>
      <c r="L148" s="3" t="str">
        <f>VLOOKUP(J148,'LibSets constants'!$A$4:$C$1017,3,FALSE)</f>
        <v>Included in base game</v>
      </c>
    </row>
    <row r="149" spans="1:12" x14ac:dyDescent="0.25">
      <c r="A149">
        <v>335</v>
      </c>
      <c r="B149">
        <v>148</v>
      </c>
      <c r="C149">
        <v>92</v>
      </c>
      <c r="D149" t="s">
        <v>232</v>
      </c>
      <c r="E149" t="str">
        <f>IF(NOT(ISERROR(VLOOKUP(D149,'ESO Dungeon constants'!$A$3:$A$9999,1,FALSE))),"X","")</f>
        <v/>
      </c>
      <c r="F149" s="3" t="str">
        <f>IF(EXACT(A149,C149),"X","")</f>
        <v/>
      </c>
      <c r="G149" s="3" t="str">
        <f>IF(A149&lt;&gt;C149,VLOOKUP(C149,$A$5:$D$9954,4,FALSE),"")</f>
        <v>Bangkorai</v>
      </c>
      <c r="H149" s="17">
        <f>A149</f>
        <v>335</v>
      </c>
      <c r="I149" s="17">
        <f>C149</f>
        <v>92</v>
      </c>
      <c r="J149">
        <v>0</v>
      </c>
      <c r="K149" s="3" t="str">
        <f>VLOOKUP(J149,'LibSets constants'!$A$4:$B$1017,2,FALSE)</f>
        <v>DLC_BASE_GAME</v>
      </c>
      <c r="L149" s="3" t="str">
        <f>VLOOKUP(J149,'LibSets constants'!$A$4:$C$1017,3,FALSE)</f>
        <v>Included in base game</v>
      </c>
    </row>
    <row r="150" spans="1:12" x14ac:dyDescent="0.25">
      <c r="A150">
        <v>336</v>
      </c>
      <c r="B150">
        <v>149</v>
      </c>
      <c r="C150">
        <v>92</v>
      </c>
      <c r="D150" t="s">
        <v>233</v>
      </c>
      <c r="E150" t="str">
        <f>IF(NOT(ISERROR(VLOOKUP(D150,'ESO Dungeon constants'!$A$3:$A$9999,1,FALSE))),"X","")</f>
        <v/>
      </c>
      <c r="F150" s="3" t="str">
        <f>IF(EXACT(A150,C150),"X","")</f>
        <v/>
      </c>
      <c r="G150" s="3" t="str">
        <f>IF(A150&lt;&gt;C150,VLOOKUP(C150,$A$5:$D$9954,4,FALSE),"")</f>
        <v>Bangkorai</v>
      </c>
      <c r="H150" s="17">
        <f>A150</f>
        <v>336</v>
      </c>
      <c r="I150" s="17">
        <f>C150</f>
        <v>92</v>
      </c>
      <c r="J150">
        <v>0</v>
      </c>
      <c r="K150" s="3" t="str">
        <f>VLOOKUP(J150,'LibSets constants'!$A$4:$B$1017,2,FALSE)</f>
        <v>DLC_BASE_GAME</v>
      </c>
      <c r="L150" s="3" t="str">
        <f>VLOOKUP(J150,'LibSets constants'!$A$4:$C$1017,3,FALSE)</f>
        <v>Included in base game</v>
      </c>
    </row>
    <row r="151" spans="1:12" x14ac:dyDescent="0.25">
      <c r="A151">
        <v>337</v>
      </c>
      <c r="B151">
        <v>150</v>
      </c>
      <c r="C151">
        <v>92</v>
      </c>
      <c r="D151" t="s">
        <v>234</v>
      </c>
      <c r="E151" t="str">
        <f>IF(NOT(ISERROR(VLOOKUP(D151,'ESO Dungeon constants'!$A$3:$A$9999,1,FALSE))),"X","")</f>
        <v/>
      </c>
      <c r="F151" s="3" t="str">
        <f>IF(EXACT(A151,C151),"X","")</f>
        <v/>
      </c>
      <c r="G151" s="3" t="str">
        <f>IF(A151&lt;&gt;C151,VLOOKUP(C151,$A$5:$D$9954,4,FALSE),"")</f>
        <v>Bangkorai</v>
      </c>
      <c r="H151" s="17">
        <f>A151</f>
        <v>337</v>
      </c>
      <c r="I151" s="17">
        <f>C151</f>
        <v>92</v>
      </c>
      <c r="J151">
        <v>0</v>
      </c>
      <c r="K151" s="3" t="str">
        <f>VLOOKUP(J151,'LibSets constants'!$A$4:$B$1017,2,FALSE)</f>
        <v>DLC_BASE_GAME</v>
      </c>
      <c r="L151" s="3" t="str">
        <f>VLOOKUP(J151,'LibSets constants'!$A$4:$C$1017,3,FALSE)</f>
        <v>Included in base game</v>
      </c>
    </row>
    <row r="152" spans="1:12" x14ac:dyDescent="0.25">
      <c r="A152">
        <v>176</v>
      </c>
      <c r="B152">
        <v>37</v>
      </c>
      <c r="C152">
        <v>108</v>
      </c>
      <c r="D152" t="s">
        <v>50</v>
      </c>
      <c r="E152" t="str">
        <f>IF(NOT(ISERROR(VLOOKUP(D152,'ESO Dungeon constants'!$A$3:$A$9999,1,FALSE))),"X","")</f>
        <v>X</v>
      </c>
      <c r="F152" s="3" t="str">
        <f>IF(EXACT(A152,C152),"X","")</f>
        <v/>
      </c>
      <c r="G152" s="3" t="str">
        <f>IF(A152&lt;&gt;C152,VLOOKUP(C152,$A$5:$D$9954,4,FALSE),"")</f>
        <v>Greenshade</v>
      </c>
      <c r="H152" s="17">
        <f>A152</f>
        <v>176</v>
      </c>
      <c r="I152" s="17">
        <f>C152</f>
        <v>108</v>
      </c>
      <c r="J152">
        <f>IF(E152="X",VLOOKUP(D152,'ESO Dungeon constants'!$A$3:$H$9999,8,FALSE),0)</f>
        <v>0</v>
      </c>
      <c r="K152" s="3" t="str">
        <f>VLOOKUP(J152,'LibSets constants'!$A$4:$B$1017,2,FALSE)</f>
        <v>DLC_BASE_GAME</v>
      </c>
      <c r="L152" s="3" t="str">
        <f>VLOOKUP(J152,'LibSets constants'!$A$4:$C$1017,3,FALSE)</f>
        <v>Included in base game</v>
      </c>
    </row>
    <row r="153" spans="1:12" x14ac:dyDescent="0.25">
      <c r="A153">
        <v>681</v>
      </c>
      <c r="B153">
        <v>380</v>
      </c>
      <c r="C153">
        <v>108</v>
      </c>
      <c r="D153" t="s">
        <v>71</v>
      </c>
      <c r="E153" t="str">
        <f>IF(NOT(ISERROR(VLOOKUP(D153,'ESO Dungeon constants'!$A$3:$A$9999,1,FALSE))),"X","")</f>
        <v>X</v>
      </c>
      <c r="F153" s="3" t="str">
        <f>IF(EXACT(A153,C153),"X","")</f>
        <v/>
      </c>
      <c r="G153" s="3" t="str">
        <f>IF(A153&lt;&gt;C153,VLOOKUP(C153,$A$5:$D$9954,4,FALSE),"")</f>
        <v>Greenshade</v>
      </c>
      <c r="H153" s="17">
        <f>A153</f>
        <v>681</v>
      </c>
      <c r="I153" s="17">
        <f>C153</f>
        <v>108</v>
      </c>
      <c r="J153">
        <f>IF(E153="X",VLOOKUP(D153,'ESO Dungeon constants'!$A$3:$H$9999,8,FALSE),0)</f>
        <v>0</v>
      </c>
      <c r="K153" s="3" t="str">
        <f>VLOOKUP(J153,'LibSets constants'!$A$4:$B$1017,2,FALSE)</f>
        <v>DLC_BASE_GAME</v>
      </c>
      <c r="L153" s="3" t="str">
        <f>VLOOKUP(J153,'LibSets constants'!$A$4:$C$1017,3,FALSE)</f>
        <v>Included in base game</v>
      </c>
    </row>
    <row r="154" spans="1:12" x14ac:dyDescent="0.25">
      <c r="A154">
        <v>338</v>
      </c>
      <c r="B154">
        <v>151</v>
      </c>
      <c r="C154">
        <v>92</v>
      </c>
      <c r="D154" t="s">
        <v>235</v>
      </c>
      <c r="E154" t="str">
        <f>IF(NOT(ISERROR(VLOOKUP(D154,'ESO Dungeon constants'!$A$3:$A$9999,1,FALSE))),"X","")</f>
        <v/>
      </c>
      <c r="F154" s="3" t="str">
        <f>IF(EXACT(A154,C154),"X","")</f>
        <v/>
      </c>
      <c r="G154" s="3" t="str">
        <f>IF(A154&lt;&gt;C154,VLOOKUP(C154,$A$5:$D$9954,4,FALSE),"")</f>
        <v>Bangkorai</v>
      </c>
      <c r="H154" s="17">
        <f>A154</f>
        <v>338</v>
      </c>
      <c r="I154" s="17">
        <f>C154</f>
        <v>92</v>
      </c>
      <c r="J154">
        <v>0</v>
      </c>
      <c r="K154" s="3" t="str">
        <f>VLOOKUP(J154,'LibSets constants'!$A$4:$B$1017,2,FALSE)</f>
        <v>DLC_BASE_GAME</v>
      </c>
      <c r="L154" s="3" t="str">
        <f>VLOOKUP(J154,'LibSets constants'!$A$4:$C$1017,3,FALSE)</f>
        <v>Included in base game</v>
      </c>
    </row>
    <row r="155" spans="1:12" x14ac:dyDescent="0.25">
      <c r="A155">
        <v>339</v>
      </c>
      <c r="B155">
        <v>152</v>
      </c>
      <c r="C155">
        <v>101</v>
      </c>
      <c r="D155" t="s">
        <v>236</v>
      </c>
      <c r="E155" t="str">
        <f>IF(NOT(ISERROR(VLOOKUP(D155,'ESO Dungeon constants'!$A$3:$A$9999,1,FALSE))),"X","")</f>
        <v/>
      </c>
      <c r="F155" s="3" t="str">
        <f>IF(EXACT(A155,C155),"X","")</f>
        <v/>
      </c>
      <c r="G155" s="3" t="str">
        <f>IF(A155&lt;&gt;C155,VLOOKUP(C155,$A$5:$D$9954,4,FALSE),"")</f>
        <v>Eastmarch</v>
      </c>
      <c r="H155" s="17">
        <f>A155</f>
        <v>339</v>
      </c>
      <c r="I155" s="17">
        <f>C155</f>
        <v>101</v>
      </c>
      <c r="J155">
        <v>0</v>
      </c>
      <c r="K155" s="3" t="str">
        <f>VLOOKUP(J155,'LibSets constants'!$A$4:$B$1017,2,FALSE)</f>
        <v>DLC_BASE_GAME</v>
      </c>
      <c r="L155" s="3" t="str">
        <f>VLOOKUP(J155,'LibSets constants'!$A$4:$C$1017,3,FALSE)</f>
        <v>Included in base game</v>
      </c>
    </row>
    <row r="156" spans="1:12" x14ac:dyDescent="0.25">
      <c r="A156">
        <v>341</v>
      </c>
      <c r="B156">
        <v>153</v>
      </c>
      <c r="C156">
        <v>103</v>
      </c>
      <c r="D156" t="s">
        <v>237</v>
      </c>
      <c r="E156" t="str">
        <f>IF(NOT(ISERROR(VLOOKUP(D156,'ESO Dungeon constants'!$A$3:$A$9999,1,FALSE))),"X","")</f>
        <v/>
      </c>
      <c r="F156" s="3" t="str">
        <f>IF(EXACT(A156,C156),"X","")</f>
        <v/>
      </c>
      <c r="G156" s="3" t="str">
        <f>IF(A156&lt;&gt;C156,VLOOKUP(C156,$A$5:$D$9954,4,FALSE),"")</f>
        <v>The Rift</v>
      </c>
      <c r="H156" s="17">
        <f>A156</f>
        <v>341</v>
      </c>
      <c r="I156" s="17">
        <f>C156</f>
        <v>103</v>
      </c>
      <c r="J156">
        <v>0</v>
      </c>
      <c r="K156" s="3" t="str">
        <f>VLOOKUP(J156,'LibSets constants'!$A$4:$B$1017,2,FALSE)</f>
        <v>DLC_BASE_GAME</v>
      </c>
      <c r="L156" s="3" t="str">
        <f>VLOOKUP(J156,'LibSets constants'!$A$4:$C$1017,3,FALSE)</f>
        <v>Included in base game</v>
      </c>
    </row>
    <row r="157" spans="1:12" x14ac:dyDescent="0.25">
      <c r="A157">
        <v>346</v>
      </c>
      <c r="B157">
        <v>154</v>
      </c>
      <c r="C157">
        <v>101</v>
      </c>
      <c r="D157" t="s">
        <v>238</v>
      </c>
      <c r="E157" t="str">
        <f>IF(NOT(ISERROR(VLOOKUP(D157,'ESO Dungeon constants'!$A$3:$A$9999,1,FALSE))),"X","")</f>
        <v/>
      </c>
      <c r="F157" s="3" t="str">
        <f>IF(EXACT(A157,C157),"X","")</f>
        <v/>
      </c>
      <c r="G157" s="3" t="str">
        <f>IF(A157&lt;&gt;C157,VLOOKUP(C157,$A$5:$D$9954,4,FALSE),"")</f>
        <v>Eastmarch</v>
      </c>
      <c r="H157" s="17">
        <f>A157</f>
        <v>346</v>
      </c>
      <c r="I157" s="17">
        <f>C157</f>
        <v>101</v>
      </c>
      <c r="J157">
        <v>0</v>
      </c>
      <c r="K157" s="3" t="str">
        <f>VLOOKUP(J157,'LibSets constants'!$A$4:$B$1017,2,FALSE)</f>
        <v>DLC_BASE_GAME</v>
      </c>
      <c r="L157" s="3" t="str">
        <f>VLOOKUP(J157,'LibSets constants'!$A$4:$C$1017,3,FALSE)</f>
        <v>Included in base game</v>
      </c>
    </row>
    <row r="158" spans="1:12" x14ac:dyDescent="0.25">
      <c r="A158">
        <v>347</v>
      </c>
      <c r="B158">
        <v>155</v>
      </c>
      <c r="C158">
        <v>347</v>
      </c>
      <c r="D158" t="s">
        <v>239</v>
      </c>
      <c r="E158" t="str">
        <f>IF(NOT(ISERROR(VLOOKUP(D158,'ESO Dungeon constants'!$A$3:$A$9999,1,FALSE))),"X","")</f>
        <v/>
      </c>
      <c r="F158" s="3" t="str">
        <f>IF(EXACT(A158,C158),"X","")</f>
        <v>X</v>
      </c>
      <c r="G158" s="3" t="str">
        <f>IF(A158&lt;&gt;C158,VLOOKUP(C158,$A$5:$D$9954,4,FALSE),"")</f>
        <v/>
      </c>
      <c r="H158" s="17">
        <f>A158</f>
        <v>347</v>
      </c>
      <c r="I158" s="17">
        <f>C158</f>
        <v>347</v>
      </c>
      <c r="J158">
        <v>0</v>
      </c>
      <c r="K158" s="3" t="str">
        <f>VLOOKUP(J158,'LibSets constants'!$A$4:$B$1017,2,FALSE)</f>
        <v>DLC_BASE_GAME</v>
      </c>
      <c r="L158" s="3" t="str">
        <f>VLOOKUP(J158,'LibSets constants'!$A$4:$C$1017,3,FALSE)</f>
        <v>Included in base game</v>
      </c>
    </row>
    <row r="159" spans="1:12" x14ac:dyDescent="0.25">
      <c r="A159">
        <v>353</v>
      </c>
      <c r="B159">
        <v>156</v>
      </c>
      <c r="C159">
        <v>101</v>
      </c>
      <c r="D159" t="s">
        <v>240</v>
      </c>
      <c r="E159" t="str">
        <f>IF(NOT(ISERROR(VLOOKUP(D159,'ESO Dungeon constants'!$A$3:$A$9999,1,FALSE))),"X","")</f>
        <v/>
      </c>
      <c r="F159" s="3" t="str">
        <f>IF(EXACT(A159,C159),"X","")</f>
        <v/>
      </c>
      <c r="G159" s="3" t="str">
        <f>IF(A159&lt;&gt;C159,VLOOKUP(C159,$A$5:$D$9954,4,FALSE),"")</f>
        <v>Eastmarch</v>
      </c>
      <c r="H159" s="17">
        <f>A159</f>
        <v>353</v>
      </c>
      <c r="I159" s="17">
        <f>C159</f>
        <v>101</v>
      </c>
      <c r="J159">
        <v>0</v>
      </c>
      <c r="K159" s="3" t="str">
        <f>VLOOKUP(J159,'LibSets constants'!$A$4:$B$1017,2,FALSE)</f>
        <v>DLC_BASE_GAME</v>
      </c>
      <c r="L159" s="3" t="str">
        <f>VLOOKUP(J159,'LibSets constants'!$A$4:$C$1017,3,FALSE)</f>
        <v>Included in base game</v>
      </c>
    </row>
    <row r="160" spans="1:12" x14ac:dyDescent="0.25">
      <c r="A160">
        <v>354</v>
      </c>
      <c r="B160">
        <v>157</v>
      </c>
      <c r="C160">
        <v>101</v>
      </c>
      <c r="D160" t="s">
        <v>241</v>
      </c>
      <c r="E160" t="str">
        <f>IF(NOT(ISERROR(VLOOKUP(D160,'ESO Dungeon constants'!$A$3:$A$9999,1,FALSE))),"X","")</f>
        <v/>
      </c>
      <c r="F160" s="3" t="str">
        <f>IF(EXACT(A160,C160),"X","")</f>
        <v/>
      </c>
      <c r="G160" s="3" t="str">
        <f>IF(A160&lt;&gt;C160,VLOOKUP(C160,$A$5:$D$9954,4,FALSE),"")</f>
        <v>Eastmarch</v>
      </c>
      <c r="H160" s="17">
        <f>A160</f>
        <v>354</v>
      </c>
      <c r="I160" s="17">
        <f>C160</f>
        <v>101</v>
      </c>
      <c r="J160">
        <v>0</v>
      </c>
      <c r="K160" s="3" t="str">
        <f>VLOOKUP(J160,'LibSets constants'!$A$4:$B$1017,2,FALSE)</f>
        <v>DLC_BASE_GAME</v>
      </c>
      <c r="L160" s="3" t="str">
        <f>VLOOKUP(J160,'LibSets constants'!$A$4:$C$1017,3,FALSE)</f>
        <v>Included in base game</v>
      </c>
    </row>
    <row r="161" spans="1:12" x14ac:dyDescent="0.25">
      <c r="A161">
        <v>359</v>
      </c>
      <c r="B161">
        <v>158</v>
      </c>
      <c r="C161">
        <v>101</v>
      </c>
      <c r="D161" t="s">
        <v>242</v>
      </c>
      <c r="E161" t="str">
        <f>IF(NOT(ISERROR(VLOOKUP(D161,'ESO Dungeon constants'!$A$3:$A$9999,1,FALSE))),"X","")</f>
        <v/>
      </c>
      <c r="F161" s="3" t="str">
        <f>IF(EXACT(A161,C161),"X","")</f>
        <v/>
      </c>
      <c r="G161" s="3" t="str">
        <f>IF(A161&lt;&gt;C161,VLOOKUP(C161,$A$5:$D$9954,4,FALSE),"")</f>
        <v>Eastmarch</v>
      </c>
      <c r="H161" s="17">
        <f>A161</f>
        <v>359</v>
      </c>
      <c r="I161" s="17">
        <f>C161</f>
        <v>101</v>
      </c>
      <c r="J161">
        <v>0</v>
      </c>
      <c r="K161" s="3" t="str">
        <f>VLOOKUP(J161,'LibSets constants'!$A$4:$B$1017,2,FALSE)</f>
        <v>DLC_BASE_GAME</v>
      </c>
      <c r="L161" s="3" t="str">
        <f>VLOOKUP(J161,'LibSets constants'!$A$4:$C$1017,3,FALSE)</f>
        <v>Included in base game</v>
      </c>
    </row>
    <row r="162" spans="1:12" x14ac:dyDescent="0.25">
      <c r="A162">
        <v>1051</v>
      </c>
      <c r="B162">
        <v>655</v>
      </c>
      <c r="C162">
        <v>1011</v>
      </c>
      <c r="D162" t="s">
        <v>697</v>
      </c>
      <c r="E162" t="str">
        <f>IF(NOT(ISERROR(VLOOKUP(D162,'ESO Dungeon constants'!$A$3:$A$9999,1,FALSE))),"X","")</f>
        <v>X</v>
      </c>
      <c r="F162" s="3" t="str">
        <f>IF(EXACT(A162,C162),"X","")</f>
        <v/>
      </c>
      <c r="G162" s="3" t="str">
        <f>IF(A162&lt;&gt;C162,VLOOKUP(C162,$A$5:$D$9954,4,FALSE),"")</f>
        <v>Summerset</v>
      </c>
      <c r="H162" s="17">
        <f>A162</f>
        <v>1051</v>
      </c>
      <c r="I162" s="17">
        <f>C162</f>
        <v>1011</v>
      </c>
      <c r="J162">
        <f>IF(E162="X",VLOOKUP(D162,'ESO Dungeon constants'!$A$3:$H$9999,8,FALSE),0)</f>
        <v>10</v>
      </c>
      <c r="K162" s="3" t="str">
        <f>VLOOKUP(J162,'LibSets constants'!$A$4:$B$1017,2,FALSE)</f>
        <v>DLC_SUMMERSET</v>
      </c>
      <c r="L162" s="3" t="str">
        <f>VLOOKUP(J162,'LibSets constants'!$A$4:$C$1017,3,FALSE)</f>
        <v>Summerset</v>
      </c>
    </row>
    <row r="163" spans="1:12" x14ac:dyDescent="0.25">
      <c r="A163">
        <v>360</v>
      </c>
      <c r="B163">
        <v>159</v>
      </c>
      <c r="C163">
        <v>101</v>
      </c>
      <c r="D163" t="s">
        <v>243</v>
      </c>
      <c r="E163" t="str">
        <f>IF(NOT(ISERROR(VLOOKUP(D163,'ESO Dungeon constants'!$A$3:$A$9999,1,FALSE))),"X","")</f>
        <v/>
      </c>
      <c r="F163" s="3" t="str">
        <f>IF(EXACT(A163,C163),"X","")</f>
        <v/>
      </c>
      <c r="G163" s="3" t="str">
        <f>IF(A163&lt;&gt;C163,VLOOKUP(C163,$A$5:$D$9954,4,FALSE),"")</f>
        <v>Eastmarch</v>
      </c>
      <c r="H163" s="17">
        <f>A163</f>
        <v>360</v>
      </c>
      <c r="I163" s="17">
        <f>C163</f>
        <v>101</v>
      </c>
      <c r="J163">
        <v>0</v>
      </c>
      <c r="K163" s="3" t="str">
        <f>VLOOKUP(J163,'LibSets constants'!$A$4:$B$1017,2,FALSE)</f>
        <v>DLC_BASE_GAME</v>
      </c>
      <c r="L163" s="3" t="str">
        <f>VLOOKUP(J163,'LibSets constants'!$A$4:$C$1017,3,FALSE)</f>
        <v>Included in base game</v>
      </c>
    </row>
    <row r="164" spans="1:12" x14ac:dyDescent="0.25">
      <c r="A164">
        <v>361</v>
      </c>
      <c r="B164">
        <v>160</v>
      </c>
      <c r="C164">
        <v>101</v>
      </c>
      <c r="D164" t="s">
        <v>244</v>
      </c>
      <c r="E164" t="str">
        <f>IF(NOT(ISERROR(VLOOKUP(D164,'ESO Dungeon constants'!$A$3:$A$9999,1,FALSE))),"X","")</f>
        <v/>
      </c>
      <c r="F164" s="3" t="str">
        <f>IF(EXACT(A164,C164),"X","")</f>
        <v/>
      </c>
      <c r="G164" s="3" t="str">
        <f>IF(A164&lt;&gt;C164,VLOOKUP(C164,$A$5:$D$9954,4,FALSE),"")</f>
        <v>Eastmarch</v>
      </c>
      <c r="H164" s="17">
        <f>A164</f>
        <v>361</v>
      </c>
      <c r="I164" s="17">
        <f>C164</f>
        <v>101</v>
      </c>
      <c r="J164">
        <v>0</v>
      </c>
      <c r="K164" s="3" t="str">
        <f>VLOOKUP(J164,'LibSets constants'!$A$4:$B$1017,2,FALSE)</f>
        <v>DLC_BASE_GAME</v>
      </c>
      <c r="L164" s="3" t="str">
        <f>VLOOKUP(J164,'LibSets constants'!$A$4:$C$1017,3,FALSE)</f>
        <v>Included in base game</v>
      </c>
    </row>
    <row r="165" spans="1:12" x14ac:dyDescent="0.25">
      <c r="A165">
        <v>362</v>
      </c>
      <c r="B165">
        <v>161</v>
      </c>
      <c r="C165">
        <v>101</v>
      </c>
      <c r="D165" t="s">
        <v>245</v>
      </c>
      <c r="E165" t="str">
        <f>IF(NOT(ISERROR(VLOOKUP(D165,'ESO Dungeon constants'!$A$3:$A$9999,1,FALSE))),"X","")</f>
        <v/>
      </c>
      <c r="F165" s="3" t="str">
        <f>IF(EXACT(A165,C165),"X","")</f>
        <v/>
      </c>
      <c r="G165" s="3" t="str">
        <f>IF(A165&lt;&gt;C165,VLOOKUP(C165,$A$5:$D$9954,4,FALSE),"")</f>
        <v>Eastmarch</v>
      </c>
      <c r="H165" s="17">
        <f>A165</f>
        <v>362</v>
      </c>
      <c r="I165" s="17">
        <f>C165</f>
        <v>101</v>
      </c>
      <c r="J165">
        <v>0</v>
      </c>
      <c r="K165" s="3" t="str">
        <f>VLOOKUP(J165,'LibSets constants'!$A$4:$B$1017,2,FALSE)</f>
        <v>DLC_BASE_GAME</v>
      </c>
      <c r="L165" s="3" t="str">
        <f>VLOOKUP(J165,'LibSets constants'!$A$4:$C$1017,3,FALSE)</f>
        <v>Included in base game</v>
      </c>
    </row>
    <row r="166" spans="1:12" x14ac:dyDescent="0.25">
      <c r="A166">
        <v>363</v>
      </c>
      <c r="B166">
        <v>162</v>
      </c>
      <c r="C166">
        <v>101</v>
      </c>
      <c r="D166" t="s">
        <v>246</v>
      </c>
      <c r="E166" t="str">
        <f>IF(NOT(ISERROR(VLOOKUP(D166,'ESO Dungeon constants'!$A$3:$A$9999,1,FALSE))),"X","")</f>
        <v/>
      </c>
      <c r="F166" s="3" t="str">
        <f>IF(EXACT(A166,C166),"X","")</f>
        <v/>
      </c>
      <c r="G166" s="3" t="str">
        <f>IF(A166&lt;&gt;C166,VLOOKUP(C166,$A$5:$D$9954,4,FALSE),"")</f>
        <v>Eastmarch</v>
      </c>
      <c r="H166" s="17">
        <f>A166</f>
        <v>363</v>
      </c>
      <c r="I166" s="17">
        <f>C166</f>
        <v>101</v>
      </c>
      <c r="J166">
        <v>0</v>
      </c>
      <c r="K166" s="3" t="str">
        <f>VLOOKUP(J166,'LibSets constants'!$A$4:$B$1017,2,FALSE)</f>
        <v>DLC_BASE_GAME</v>
      </c>
      <c r="L166" s="3" t="str">
        <f>VLOOKUP(J166,'LibSets constants'!$A$4:$C$1017,3,FALSE)</f>
        <v>Included in base game</v>
      </c>
    </row>
    <row r="167" spans="1:12" x14ac:dyDescent="0.25">
      <c r="A167">
        <v>364</v>
      </c>
      <c r="B167">
        <v>163</v>
      </c>
      <c r="C167">
        <v>101</v>
      </c>
      <c r="D167" t="s">
        <v>247</v>
      </c>
      <c r="E167" t="str">
        <f>IF(NOT(ISERROR(VLOOKUP(D167,'ESO Dungeon constants'!$A$3:$A$9999,1,FALSE))),"X","")</f>
        <v/>
      </c>
      <c r="F167" s="3" t="str">
        <f>IF(EXACT(A167,C167),"X","")</f>
        <v/>
      </c>
      <c r="G167" s="3" t="str">
        <f>IF(A167&lt;&gt;C167,VLOOKUP(C167,$A$5:$D$9954,4,FALSE),"")</f>
        <v>Eastmarch</v>
      </c>
      <c r="H167" s="17">
        <f>A167</f>
        <v>364</v>
      </c>
      <c r="I167" s="17">
        <f>C167</f>
        <v>101</v>
      </c>
      <c r="J167">
        <v>0</v>
      </c>
      <c r="K167" s="3" t="str">
        <f>VLOOKUP(J167,'LibSets constants'!$A$4:$B$1017,2,FALSE)</f>
        <v>DLC_BASE_GAME</v>
      </c>
      <c r="L167" s="3" t="str">
        <f>VLOOKUP(J167,'LibSets constants'!$A$4:$C$1017,3,FALSE)</f>
        <v>Included in base game</v>
      </c>
    </row>
    <row r="168" spans="1:12" x14ac:dyDescent="0.25">
      <c r="A168">
        <v>365</v>
      </c>
      <c r="B168">
        <v>164</v>
      </c>
      <c r="C168">
        <v>347</v>
      </c>
      <c r="D168" t="s">
        <v>248</v>
      </c>
      <c r="E168" t="str">
        <f>IF(NOT(ISERROR(VLOOKUP(D168,'ESO Dungeon constants'!$A$3:$A$9999,1,FALSE))),"X","")</f>
        <v/>
      </c>
      <c r="F168" s="3" t="str">
        <f>IF(EXACT(A168,C168),"X","")</f>
        <v/>
      </c>
      <c r="G168" s="3" t="str">
        <f>IF(A168&lt;&gt;C168,VLOOKUP(C168,$A$5:$D$9954,4,FALSE),"")</f>
        <v>Coldharbour</v>
      </c>
      <c r="H168" s="17">
        <f>A168</f>
        <v>365</v>
      </c>
      <c r="I168" s="17">
        <f>C168</f>
        <v>347</v>
      </c>
      <c r="J168">
        <v>0</v>
      </c>
      <c r="K168" s="3" t="str">
        <f>VLOOKUP(J168,'LibSets constants'!$A$4:$B$1017,2,FALSE)</f>
        <v>DLC_BASE_GAME</v>
      </c>
      <c r="L168" s="3" t="str">
        <f>VLOOKUP(J168,'LibSets constants'!$A$4:$C$1017,3,FALSE)</f>
        <v>Included in base game</v>
      </c>
    </row>
    <row r="169" spans="1:12" x14ac:dyDescent="0.25">
      <c r="A169">
        <v>366</v>
      </c>
      <c r="B169">
        <v>165</v>
      </c>
      <c r="C169">
        <v>347</v>
      </c>
      <c r="D169" t="s">
        <v>249</v>
      </c>
      <c r="E169" t="str">
        <f>IF(NOT(ISERROR(VLOOKUP(D169,'ESO Dungeon constants'!$A$3:$A$9999,1,FALSE))),"X","")</f>
        <v/>
      </c>
      <c r="F169" s="3" t="str">
        <f>IF(EXACT(A169,C169),"X","")</f>
        <v/>
      </c>
      <c r="G169" s="3" t="str">
        <f>IF(A169&lt;&gt;C169,VLOOKUP(C169,$A$5:$D$9954,4,FALSE),"")</f>
        <v>Coldharbour</v>
      </c>
      <c r="H169" s="17">
        <f>A169</f>
        <v>366</v>
      </c>
      <c r="I169" s="17">
        <f>C169</f>
        <v>347</v>
      </c>
      <c r="J169">
        <v>0</v>
      </c>
      <c r="K169" s="3" t="str">
        <f>VLOOKUP(J169,'LibSets constants'!$A$4:$B$1017,2,FALSE)</f>
        <v>DLC_BASE_GAME</v>
      </c>
      <c r="L169" s="3" t="str">
        <f>VLOOKUP(J169,'LibSets constants'!$A$4:$C$1017,3,FALSE)</f>
        <v>Included in base game</v>
      </c>
    </row>
    <row r="170" spans="1:12" x14ac:dyDescent="0.25">
      <c r="A170">
        <v>367</v>
      </c>
      <c r="B170">
        <v>166</v>
      </c>
      <c r="C170">
        <v>347</v>
      </c>
      <c r="D170" t="s">
        <v>250</v>
      </c>
      <c r="E170" t="str">
        <f>IF(NOT(ISERROR(VLOOKUP(D170,'ESO Dungeon constants'!$A$3:$A$9999,1,FALSE))),"X","")</f>
        <v/>
      </c>
      <c r="F170" s="3" t="str">
        <f>IF(EXACT(A170,C170),"X","")</f>
        <v/>
      </c>
      <c r="G170" s="3" t="str">
        <f>IF(A170&lt;&gt;C170,VLOOKUP(C170,$A$5:$D$9954,4,FALSE),"")</f>
        <v>Coldharbour</v>
      </c>
      <c r="H170" s="17">
        <f>A170</f>
        <v>367</v>
      </c>
      <c r="I170" s="17">
        <f>C170</f>
        <v>347</v>
      </c>
      <c r="J170">
        <v>0</v>
      </c>
      <c r="K170" s="3" t="str">
        <f>VLOOKUP(J170,'LibSets constants'!$A$4:$B$1017,2,FALSE)</f>
        <v>DLC_BASE_GAME</v>
      </c>
      <c r="L170" s="3" t="str">
        <f>VLOOKUP(J170,'LibSets constants'!$A$4:$C$1017,3,FALSE)</f>
        <v>Included in base game</v>
      </c>
    </row>
    <row r="171" spans="1:12" x14ac:dyDescent="0.25">
      <c r="A171">
        <v>368</v>
      </c>
      <c r="B171">
        <v>167</v>
      </c>
      <c r="C171">
        <v>347</v>
      </c>
      <c r="D171" t="s">
        <v>251</v>
      </c>
      <c r="E171" t="str">
        <f>IF(NOT(ISERROR(VLOOKUP(D171,'ESO Dungeon constants'!$A$3:$A$9999,1,FALSE))),"X","")</f>
        <v/>
      </c>
      <c r="F171" s="3" t="str">
        <f>IF(EXACT(A171,C171),"X","")</f>
        <v/>
      </c>
      <c r="G171" s="3" t="str">
        <f>IF(A171&lt;&gt;C171,VLOOKUP(C171,$A$5:$D$9954,4,FALSE),"")</f>
        <v>Coldharbour</v>
      </c>
      <c r="H171" s="17">
        <f>A171</f>
        <v>368</v>
      </c>
      <c r="I171" s="17">
        <f>C171</f>
        <v>347</v>
      </c>
      <c r="J171">
        <v>0</v>
      </c>
      <c r="K171" s="3" t="str">
        <f>VLOOKUP(J171,'LibSets constants'!$A$4:$B$1017,2,FALSE)</f>
        <v>DLC_BASE_GAME</v>
      </c>
      <c r="L171" s="3" t="str">
        <f>VLOOKUP(J171,'LibSets constants'!$A$4:$C$1017,3,FALSE)</f>
        <v>Included in base game</v>
      </c>
    </row>
    <row r="172" spans="1:12" x14ac:dyDescent="0.25">
      <c r="A172">
        <v>369</v>
      </c>
      <c r="B172">
        <v>168</v>
      </c>
      <c r="C172">
        <v>347</v>
      </c>
      <c r="D172" t="s">
        <v>252</v>
      </c>
      <c r="E172" t="str">
        <f>IF(NOT(ISERROR(VLOOKUP(D172,'ESO Dungeon constants'!$A$3:$A$9999,1,FALSE))),"X","")</f>
        <v/>
      </c>
      <c r="F172" s="3" t="str">
        <f>IF(EXACT(A172,C172),"X","")</f>
        <v/>
      </c>
      <c r="G172" s="3" t="str">
        <f>IF(A172&lt;&gt;C172,VLOOKUP(C172,$A$5:$D$9954,4,FALSE),"")</f>
        <v>Coldharbour</v>
      </c>
      <c r="H172" s="17">
        <f>A172</f>
        <v>369</v>
      </c>
      <c r="I172" s="17">
        <f>C172</f>
        <v>347</v>
      </c>
      <c r="J172">
        <v>0</v>
      </c>
      <c r="K172" s="3" t="str">
        <f>VLOOKUP(J172,'LibSets constants'!$A$4:$B$1017,2,FALSE)</f>
        <v>DLC_BASE_GAME</v>
      </c>
      <c r="L172" s="3" t="str">
        <f>VLOOKUP(J172,'LibSets constants'!$A$4:$C$1017,3,FALSE)</f>
        <v>Included in base game</v>
      </c>
    </row>
    <row r="173" spans="1:12" x14ac:dyDescent="0.25">
      <c r="A173">
        <v>1301</v>
      </c>
      <c r="B173">
        <v>872</v>
      </c>
      <c r="C173">
        <v>1011</v>
      </c>
      <c r="D173" t="s">
        <v>2704</v>
      </c>
      <c r="E173" t="str">
        <f>IF(NOT(ISERROR(VLOOKUP(D173,'ESO Dungeon constants'!$A$3:$A$9999,1,FALSE))),"X","")</f>
        <v>X</v>
      </c>
      <c r="F173" s="3" t="str">
        <f>IF(EXACT(A173,C173),"X","")</f>
        <v/>
      </c>
      <c r="G173" s="3" t="str">
        <f>IF(A173&lt;&gt;C173,VLOOKUP(C173,$A$5:$D$9954,4,FALSE),"")</f>
        <v>Summerset</v>
      </c>
      <c r="H173" s="17">
        <f>A173</f>
        <v>1301</v>
      </c>
      <c r="I173" s="17">
        <f>C173</f>
        <v>1011</v>
      </c>
      <c r="J173">
        <f>IF(E173="X",VLOOKUP(D173,'ESO Dungeon constants'!$A$3:$H$9999,8,FALSE),0)</f>
        <v>25</v>
      </c>
      <c r="K173" s="3" t="str">
        <f>VLOOKUP(J173,'LibSets constants'!$A$4:$B$1017,2,FALSE)</f>
        <v>DLC_ASCENDING_TIDE</v>
      </c>
      <c r="L173" s="3" t="str">
        <f>VLOOKUP(J173,'LibSets constants'!$A$4:$C$1017,3,FALSE)</f>
        <v>Ascending Tide</v>
      </c>
    </row>
    <row r="174" spans="1:12" x14ac:dyDescent="0.25">
      <c r="A174">
        <v>370</v>
      </c>
      <c r="B174">
        <v>169</v>
      </c>
      <c r="C174">
        <v>347</v>
      </c>
      <c r="D174" t="s">
        <v>253</v>
      </c>
      <c r="E174" t="str">
        <f>IF(NOT(ISERROR(VLOOKUP(D174,'ESO Dungeon constants'!$A$3:$A$9999,1,FALSE))),"X","")</f>
        <v/>
      </c>
      <c r="F174" s="3" t="str">
        <f>IF(EXACT(A174,C174),"X","")</f>
        <v/>
      </c>
      <c r="G174" s="3" t="str">
        <f>IF(A174&lt;&gt;C174,VLOOKUP(C174,$A$5:$D$9954,4,FALSE),"")</f>
        <v>Coldharbour</v>
      </c>
      <c r="H174" s="17">
        <f>A174</f>
        <v>370</v>
      </c>
      <c r="I174" s="17">
        <f>C174</f>
        <v>347</v>
      </c>
      <c r="J174">
        <v>0</v>
      </c>
      <c r="K174" s="3" t="str">
        <f>VLOOKUP(J174,'LibSets constants'!$A$4:$B$1017,2,FALSE)</f>
        <v>DLC_BASE_GAME</v>
      </c>
      <c r="L174" s="3" t="str">
        <f>VLOOKUP(J174,'LibSets constants'!$A$4:$C$1017,3,FALSE)</f>
        <v>Included in base game</v>
      </c>
    </row>
    <row r="175" spans="1:12" x14ac:dyDescent="0.25">
      <c r="A175">
        <v>371</v>
      </c>
      <c r="B175">
        <v>170</v>
      </c>
      <c r="C175">
        <v>347</v>
      </c>
      <c r="D175" t="s">
        <v>254</v>
      </c>
      <c r="E175" t="str">
        <f>IF(NOT(ISERROR(VLOOKUP(D175,'ESO Dungeon constants'!$A$3:$A$9999,1,FALSE))),"X","")</f>
        <v/>
      </c>
      <c r="F175" s="3" t="str">
        <f>IF(EXACT(A175,C175),"X","")</f>
        <v/>
      </c>
      <c r="G175" s="3" t="str">
        <f>IF(A175&lt;&gt;C175,VLOOKUP(C175,$A$5:$D$9954,4,FALSE),"")</f>
        <v>Coldharbour</v>
      </c>
      <c r="H175" s="17">
        <f>A175</f>
        <v>371</v>
      </c>
      <c r="I175" s="17">
        <f>C175</f>
        <v>347</v>
      </c>
      <c r="J175">
        <v>0</v>
      </c>
      <c r="K175" s="3" t="str">
        <f>VLOOKUP(J175,'LibSets constants'!$A$4:$B$1017,2,FALSE)</f>
        <v>DLC_BASE_GAME</v>
      </c>
      <c r="L175" s="3" t="str">
        <f>VLOOKUP(J175,'LibSets constants'!$A$4:$C$1017,3,FALSE)</f>
        <v>Included in base game</v>
      </c>
    </row>
    <row r="176" spans="1:12" x14ac:dyDescent="0.25">
      <c r="A176">
        <v>372</v>
      </c>
      <c r="B176">
        <v>171</v>
      </c>
      <c r="C176">
        <v>347</v>
      </c>
      <c r="D176" t="s">
        <v>255</v>
      </c>
      <c r="E176" t="str">
        <f>IF(NOT(ISERROR(VLOOKUP(D176,'ESO Dungeon constants'!$A$3:$A$9999,1,FALSE))),"X","")</f>
        <v/>
      </c>
      <c r="F176" s="3" t="str">
        <f>IF(EXACT(A176,C176),"X","")</f>
        <v/>
      </c>
      <c r="G176" s="3" t="str">
        <f>IF(A176&lt;&gt;C176,VLOOKUP(C176,$A$5:$D$9954,4,FALSE),"")</f>
        <v>Coldharbour</v>
      </c>
      <c r="H176" s="17">
        <f>A176</f>
        <v>372</v>
      </c>
      <c r="I176" s="17">
        <f>C176</f>
        <v>347</v>
      </c>
      <c r="J176">
        <v>0</v>
      </c>
      <c r="K176" s="3" t="str">
        <f>VLOOKUP(J176,'LibSets constants'!$A$4:$B$1017,2,FALSE)</f>
        <v>DLC_BASE_GAME</v>
      </c>
      <c r="L176" s="3" t="str">
        <f>VLOOKUP(J176,'LibSets constants'!$A$4:$C$1017,3,FALSE)</f>
        <v>Included in base game</v>
      </c>
    </row>
    <row r="177" spans="1:12" x14ac:dyDescent="0.25">
      <c r="A177">
        <v>374</v>
      </c>
      <c r="B177">
        <v>172</v>
      </c>
      <c r="C177">
        <v>347</v>
      </c>
      <c r="D177" t="s">
        <v>256</v>
      </c>
      <c r="E177" t="str">
        <f>IF(NOT(ISERROR(VLOOKUP(D177,'ESO Dungeon constants'!$A$3:$A$9999,1,FALSE))),"X","")</f>
        <v/>
      </c>
      <c r="F177" s="3" t="str">
        <f>IF(EXACT(A177,C177),"X","")</f>
        <v/>
      </c>
      <c r="G177" s="3" t="str">
        <f>IF(A177&lt;&gt;C177,VLOOKUP(C177,$A$5:$D$9954,4,FALSE),"")</f>
        <v>Coldharbour</v>
      </c>
      <c r="H177" s="17">
        <f>A177</f>
        <v>374</v>
      </c>
      <c r="I177" s="17">
        <f>C177</f>
        <v>347</v>
      </c>
      <c r="J177">
        <v>0</v>
      </c>
      <c r="K177" s="3" t="str">
        <f>VLOOKUP(J177,'LibSets constants'!$A$4:$B$1017,2,FALSE)</f>
        <v>DLC_BASE_GAME</v>
      </c>
      <c r="L177" s="3" t="str">
        <f>VLOOKUP(J177,'LibSets constants'!$A$4:$C$1017,3,FALSE)</f>
        <v>Included in base game</v>
      </c>
    </row>
    <row r="178" spans="1:12" x14ac:dyDescent="0.25">
      <c r="A178">
        <v>848</v>
      </c>
      <c r="B178">
        <v>468</v>
      </c>
      <c r="C178">
        <v>117</v>
      </c>
      <c r="D178" t="s">
        <v>72</v>
      </c>
      <c r="E178" t="str">
        <f>IF(NOT(ISERROR(VLOOKUP(D178,'ESO Dungeon constants'!$A$3:$A$9999,1,FALSE))),"X","")</f>
        <v>X</v>
      </c>
      <c r="F178" s="3" t="str">
        <f>IF(EXACT(A178,C178),"X","")</f>
        <v/>
      </c>
      <c r="G178" s="3" t="str">
        <f>IF(A178&lt;&gt;C178,VLOOKUP(C178,$A$5:$D$9954,4,FALSE),"")</f>
        <v>Shadowfen</v>
      </c>
      <c r="H178" s="17">
        <f>A178</f>
        <v>848</v>
      </c>
      <c r="I178" s="17">
        <f>C178</f>
        <v>117</v>
      </c>
      <c r="J178">
        <f>IF(E178="X",VLOOKUP(D178,'ESO Dungeon constants'!$A$3:$H$9999,8,FALSE),0)</f>
        <v>5</v>
      </c>
      <c r="K178" s="3" t="str">
        <f>VLOOKUP(J178,'LibSets constants'!$A$4:$B$1017,2,FALSE)</f>
        <v>DLC_SHADOWS_OF_THE_HIST</v>
      </c>
      <c r="L178" s="3" t="str">
        <f>VLOOKUP(J178,'LibSets constants'!$A$4:$C$1017,3,FALSE)</f>
        <v>Shadows of the Hist</v>
      </c>
    </row>
    <row r="179" spans="1:12" x14ac:dyDescent="0.25">
      <c r="A179">
        <v>375</v>
      </c>
      <c r="B179">
        <v>173</v>
      </c>
      <c r="C179">
        <v>347</v>
      </c>
      <c r="D179" t="s">
        <v>257</v>
      </c>
      <c r="E179" t="str">
        <f>IF(NOT(ISERROR(VLOOKUP(D179,'ESO Dungeon constants'!$A$3:$A$9999,1,FALSE))),"X","")</f>
        <v/>
      </c>
      <c r="F179" s="3" t="str">
        <f>IF(EXACT(A179,C179),"X","")</f>
        <v/>
      </c>
      <c r="G179" s="3" t="str">
        <f>IF(A179&lt;&gt;C179,VLOOKUP(C179,$A$5:$D$9954,4,FALSE),"")</f>
        <v>Coldharbour</v>
      </c>
      <c r="H179" s="17">
        <f>A179</f>
        <v>375</v>
      </c>
      <c r="I179" s="17">
        <f>C179</f>
        <v>347</v>
      </c>
      <c r="J179">
        <v>0</v>
      </c>
      <c r="K179" s="3" t="str">
        <f>VLOOKUP(J179,'LibSets constants'!$A$4:$B$1017,2,FALSE)</f>
        <v>DLC_BASE_GAME</v>
      </c>
      <c r="L179" s="3" t="str">
        <f>VLOOKUP(J179,'LibSets constants'!$A$4:$C$1017,3,FALSE)</f>
        <v>Included in base game</v>
      </c>
    </row>
    <row r="180" spans="1:12" x14ac:dyDescent="0.25">
      <c r="A180">
        <v>376</v>
      </c>
      <c r="B180">
        <v>174</v>
      </c>
      <c r="C180">
        <v>347</v>
      </c>
      <c r="D180" t="s">
        <v>258</v>
      </c>
      <c r="E180" t="str">
        <f>IF(NOT(ISERROR(VLOOKUP(D180,'ESO Dungeon constants'!$A$3:$A$9999,1,FALSE))),"X","")</f>
        <v/>
      </c>
      <c r="F180" s="3" t="str">
        <f>IF(EXACT(A180,C180),"X","")</f>
        <v/>
      </c>
      <c r="G180" s="3" t="str">
        <f>IF(A180&lt;&gt;C180,VLOOKUP(C180,$A$5:$D$9954,4,FALSE),"")</f>
        <v>Coldharbour</v>
      </c>
      <c r="H180" s="17">
        <f>A180</f>
        <v>376</v>
      </c>
      <c r="I180" s="17">
        <f>C180</f>
        <v>347</v>
      </c>
      <c r="J180">
        <v>0</v>
      </c>
      <c r="K180" s="3" t="str">
        <f>VLOOKUP(J180,'LibSets constants'!$A$4:$B$1017,2,FALSE)</f>
        <v>DLC_BASE_GAME</v>
      </c>
      <c r="L180" s="3" t="str">
        <f>VLOOKUP(J180,'LibSets constants'!$A$4:$C$1017,3,FALSE)</f>
        <v>Included in base game</v>
      </c>
    </row>
    <row r="181" spans="1:12" x14ac:dyDescent="0.25">
      <c r="A181">
        <v>377</v>
      </c>
      <c r="B181">
        <v>175</v>
      </c>
      <c r="C181">
        <v>58</v>
      </c>
      <c r="D181" t="s">
        <v>259</v>
      </c>
      <c r="E181" t="str">
        <f>IF(NOT(ISERROR(VLOOKUP(D181,'ESO Dungeon constants'!$A$3:$A$9999,1,FALSE))),"X","")</f>
        <v/>
      </c>
      <c r="F181" s="3" t="str">
        <f>IF(EXACT(A181,C181),"X","")</f>
        <v/>
      </c>
      <c r="G181" s="3" t="str">
        <f>IF(A181&lt;&gt;C181,VLOOKUP(C181,$A$5:$D$9954,4,FALSE),"")</f>
        <v>Malabal Tor</v>
      </c>
      <c r="H181" s="17">
        <f>A181</f>
        <v>377</v>
      </c>
      <c r="I181" s="17">
        <f>C181</f>
        <v>58</v>
      </c>
      <c r="J181">
        <v>0</v>
      </c>
      <c r="K181" s="3" t="str">
        <f>VLOOKUP(J181,'LibSets constants'!$A$4:$B$1017,2,FALSE)</f>
        <v>DLC_BASE_GAME</v>
      </c>
      <c r="L181" s="3" t="str">
        <f>VLOOKUP(J181,'LibSets constants'!$A$4:$C$1017,3,FALSE)</f>
        <v>Included in base game</v>
      </c>
    </row>
    <row r="182" spans="1:12" x14ac:dyDescent="0.25">
      <c r="A182">
        <v>378</v>
      </c>
      <c r="B182">
        <v>176</v>
      </c>
      <c r="C182">
        <v>58</v>
      </c>
      <c r="D182" t="s">
        <v>260</v>
      </c>
      <c r="E182" t="str">
        <f>IF(NOT(ISERROR(VLOOKUP(D182,'ESO Dungeon constants'!$A$3:$A$9999,1,FALSE))),"X","")</f>
        <v/>
      </c>
      <c r="F182" s="3" t="str">
        <f>IF(EXACT(A182,C182),"X","")</f>
        <v/>
      </c>
      <c r="G182" s="3" t="str">
        <f>IF(A182&lt;&gt;C182,VLOOKUP(C182,$A$5:$D$9954,4,FALSE),"")</f>
        <v>Malabal Tor</v>
      </c>
      <c r="H182" s="17">
        <f>A182</f>
        <v>378</v>
      </c>
      <c r="I182" s="17">
        <f>C182</f>
        <v>58</v>
      </c>
      <c r="J182">
        <v>0</v>
      </c>
      <c r="K182" s="3" t="str">
        <f>VLOOKUP(J182,'LibSets constants'!$A$4:$B$1017,2,FALSE)</f>
        <v>DLC_BASE_GAME</v>
      </c>
      <c r="L182" s="3" t="str">
        <f>VLOOKUP(J182,'LibSets constants'!$A$4:$C$1017,3,FALSE)</f>
        <v>Included in base game</v>
      </c>
    </row>
    <row r="183" spans="1:12" x14ac:dyDescent="0.25">
      <c r="A183">
        <v>379</v>
      </c>
      <c r="B183">
        <v>177</v>
      </c>
      <c r="C183">
        <v>58</v>
      </c>
      <c r="D183" t="s">
        <v>261</v>
      </c>
      <c r="E183" t="str">
        <f>IF(NOT(ISERROR(VLOOKUP(D183,'ESO Dungeon constants'!$A$3:$A$9999,1,FALSE))),"X","")</f>
        <v/>
      </c>
      <c r="F183" s="3" t="str">
        <f>IF(EXACT(A183,C183),"X","")</f>
        <v/>
      </c>
      <c r="G183" s="3" t="str">
        <f>IF(A183&lt;&gt;C183,VLOOKUP(C183,$A$5:$D$9954,4,FALSE),"")</f>
        <v>Malabal Tor</v>
      </c>
      <c r="H183" s="17">
        <f>A183</f>
        <v>379</v>
      </c>
      <c r="I183" s="17">
        <f>C183</f>
        <v>58</v>
      </c>
      <c r="J183">
        <v>0</v>
      </c>
      <c r="K183" s="3" t="str">
        <f>VLOOKUP(J183,'LibSets constants'!$A$4:$B$1017,2,FALSE)</f>
        <v>DLC_BASE_GAME</v>
      </c>
      <c r="L183" s="3" t="str">
        <f>VLOOKUP(J183,'LibSets constants'!$A$4:$C$1017,3,FALSE)</f>
        <v>Included in base game</v>
      </c>
    </row>
    <row r="184" spans="1:12" x14ac:dyDescent="0.25">
      <c r="A184">
        <v>381</v>
      </c>
      <c r="B184">
        <v>179</v>
      </c>
      <c r="C184">
        <v>381</v>
      </c>
      <c r="D184" t="s">
        <v>262</v>
      </c>
      <c r="E184" t="str">
        <f>IF(NOT(ISERROR(VLOOKUP(D184,'ESO Dungeon constants'!$A$3:$A$9999,1,FALSE))),"X","")</f>
        <v/>
      </c>
      <c r="F184" s="3" t="str">
        <f>IF(EXACT(A184,C184),"X","")</f>
        <v>X</v>
      </c>
      <c r="G184" s="3" t="str">
        <f>IF(A184&lt;&gt;C184,VLOOKUP(C184,$A$5:$D$9954,4,FALSE),"")</f>
        <v/>
      </c>
      <c r="H184" s="17">
        <f>A184</f>
        <v>381</v>
      </c>
      <c r="I184" s="17">
        <f>C184</f>
        <v>381</v>
      </c>
      <c r="J184">
        <v>0</v>
      </c>
      <c r="K184" s="3" t="str">
        <f>VLOOKUP(J184,'LibSets constants'!$A$4:$B$1017,2,FALSE)</f>
        <v>DLC_BASE_GAME</v>
      </c>
      <c r="L184" s="3" t="str">
        <f>VLOOKUP(J184,'LibSets constants'!$A$4:$C$1017,3,FALSE)</f>
        <v>Included in base game</v>
      </c>
    </row>
    <row r="185" spans="1:12" x14ac:dyDescent="0.25">
      <c r="A185">
        <v>382</v>
      </c>
      <c r="B185">
        <v>180</v>
      </c>
      <c r="C185">
        <v>382</v>
      </c>
      <c r="D185" t="s">
        <v>263</v>
      </c>
      <c r="E185" t="str">
        <f>IF(NOT(ISERROR(VLOOKUP(D185,'ESO Dungeon constants'!$A$3:$A$9999,1,FALSE))),"X","")</f>
        <v/>
      </c>
      <c r="F185" s="3" t="str">
        <f>IF(EXACT(A185,C185),"X","")</f>
        <v>X</v>
      </c>
      <c r="G185" s="3" t="str">
        <f>IF(A185&lt;&gt;C185,VLOOKUP(C185,$A$5:$D$9954,4,FALSE),"")</f>
        <v/>
      </c>
      <c r="H185" s="17">
        <f>A185</f>
        <v>382</v>
      </c>
      <c r="I185" s="17">
        <f>C185</f>
        <v>382</v>
      </c>
      <c r="J185">
        <v>0</v>
      </c>
      <c r="K185" s="3" t="str">
        <f>VLOOKUP(J185,'LibSets constants'!$A$4:$B$1017,2,FALSE)</f>
        <v>DLC_BASE_GAME</v>
      </c>
      <c r="L185" s="3" t="str">
        <f>VLOOKUP(J185,'LibSets constants'!$A$4:$C$1017,3,FALSE)</f>
        <v>Included in base game</v>
      </c>
    </row>
    <row r="186" spans="1:12" x14ac:dyDescent="0.25">
      <c r="A186">
        <v>130</v>
      </c>
      <c r="B186">
        <v>22</v>
      </c>
      <c r="C186">
        <v>20</v>
      </c>
      <c r="D186" t="s">
        <v>49</v>
      </c>
      <c r="E186" t="str">
        <f>IF(NOT(ISERROR(VLOOKUP(D186,'ESO Dungeon constants'!$A$3:$A$9999,1,FALSE))),"X","")</f>
        <v>X</v>
      </c>
      <c r="F186" s="3" t="str">
        <f>IF(EXACT(A186,C186),"X","")</f>
        <v/>
      </c>
      <c r="G186" s="3" t="str">
        <f>IF(A186&lt;&gt;C186,VLOOKUP(C186,$A$5:$D$9954,4,FALSE),"")</f>
        <v>Rivenspire</v>
      </c>
      <c r="H186" s="17">
        <f>A186</f>
        <v>130</v>
      </c>
      <c r="I186" s="17">
        <f>C186</f>
        <v>20</v>
      </c>
      <c r="J186">
        <f>IF(E186="X",VLOOKUP(D186,'ESO Dungeon constants'!$A$3:$H$9999,8,FALSE),0)</f>
        <v>0</v>
      </c>
      <c r="K186" s="3" t="str">
        <f>VLOOKUP(J186,'LibSets constants'!$A$4:$B$1017,2,FALSE)</f>
        <v>DLC_BASE_GAME</v>
      </c>
      <c r="L186" s="3" t="str">
        <f>VLOOKUP(J186,'LibSets constants'!$A$4:$C$1017,3,FALSE)</f>
        <v>Included in base game</v>
      </c>
    </row>
    <row r="187" spans="1:12" x14ac:dyDescent="0.25">
      <c r="A187">
        <v>932</v>
      </c>
      <c r="B187">
        <v>545</v>
      </c>
      <c r="C187">
        <v>20</v>
      </c>
      <c r="D187" t="s">
        <v>55</v>
      </c>
      <c r="E187" t="str">
        <f>IF(NOT(ISERROR(VLOOKUP(D187,'ESO Dungeon constants'!$A$3:$A$9999,1,FALSE))),"X","")</f>
        <v>X</v>
      </c>
      <c r="F187" s="3" t="str">
        <f>IF(EXACT(A187,C187),"X","")</f>
        <v/>
      </c>
      <c r="G187" s="3" t="str">
        <f>IF(A187&lt;&gt;C187,VLOOKUP(C187,$A$5:$D$9954,4,FALSE),"")</f>
        <v>Rivenspire</v>
      </c>
      <c r="H187" s="17">
        <f>A187</f>
        <v>932</v>
      </c>
      <c r="I187" s="17">
        <f>C187</f>
        <v>20</v>
      </c>
      <c r="J187">
        <f>IF(E187="X",VLOOKUP(D187,'ESO Dungeon constants'!$A$3:$H$9999,8,FALSE),0)</f>
        <v>0</v>
      </c>
      <c r="K187" s="3" t="str">
        <f>VLOOKUP(J187,'LibSets constants'!$A$4:$B$1017,2,FALSE)</f>
        <v>DLC_BASE_GAME</v>
      </c>
      <c r="L187" s="3" t="str">
        <f>VLOOKUP(J187,'LibSets constants'!$A$4:$C$1017,3,FALSE)</f>
        <v>Included in base game</v>
      </c>
    </row>
    <row r="188" spans="1:12" x14ac:dyDescent="0.25">
      <c r="A188">
        <v>383</v>
      </c>
      <c r="B188">
        <v>181</v>
      </c>
      <c r="C188">
        <v>383</v>
      </c>
      <c r="D188" t="s">
        <v>264</v>
      </c>
      <c r="E188" t="str">
        <f>IF(NOT(ISERROR(VLOOKUP(D188,'ESO Dungeon constants'!$A$3:$A$9999,1,FALSE))),"X","")</f>
        <v/>
      </c>
      <c r="F188" s="3" t="str">
        <f>IF(EXACT(A188,C188),"X","")</f>
        <v>X</v>
      </c>
      <c r="G188" s="3" t="str">
        <f>IF(A188&lt;&gt;C188,VLOOKUP(C188,$A$5:$D$9954,4,FALSE),"")</f>
        <v/>
      </c>
      <c r="H188" s="17">
        <f>A188</f>
        <v>383</v>
      </c>
      <c r="I188" s="17">
        <f>C188</f>
        <v>383</v>
      </c>
      <c r="J188">
        <v>0</v>
      </c>
      <c r="K188" s="3" t="str">
        <f>VLOOKUP(J188,'LibSets constants'!$A$4:$B$1017,2,FALSE)</f>
        <v>DLC_BASE_GAME</v>
      </c>
      <c r="L188" s="3" t="str">
        <f>VLOOKUP(J188,'LibSets constants'!$A$4:$C$1017,3,FALSE)</f>
        <v>Included in base game</v>
      </c>
    </row>
    <row r="189" spans="1:12" x14ac:dyDescent="0.25">
      <c r="A189">
        <v>385</v>
      </c>
      <c r="B189">
        <v>182</v>
      </c>
      <c r="C189">
        <v>208</v>
      </c>
      <c r="D189" t="s">
        <v>265</v>
      </c>
      <c r="E189" t="str">
        <f>IF(NOT(ISERROR(VLOOKUP(D189,'ESO Dungeon constants'!$A$3:$A$9999,1,FALSE))),"X","")</f>
        <v/>
      </c>
      <c r="F189" s="3" t="str">
        <f>IF(EXACT(A189,C189),"X","")</f>
        <v/>
      </c>
      <c r="G189" s="3" t="str">
        <f>IF(A189&lt;&gt;C189,VLOOKUP(C189,$A$5:$D$9954,4,FALSE),"")</f>
        <v>The Earth Forge</v>
      </c>
      <c r="H189" s="17">
        <f>A189</f>
        <v>385</v>
      </c>
      <c r="I189" s="17">
        <f>C189</f>
        <v>208</v>
      </c>
      <c r="J189">
        <v>0</v>
      </c>
      <c r="K189" s="3" t="str">
        <f>VLOOKUP(J189,'LibSets constants'!$A$4:$B$1017,2,FALSE)</f>
        <v>DLC_BASE_GAME</v>
      </c>
      <c r="L189" s="3" t="str">
        <f>VLOOKUP(J189,'LibSets constants'!$A$4:$C$1017,3,FALSE)</f>
        <v>Included in base game</v>
      </c>
    </row>
    <row r="190" spans="1:12" x14ac:dyDescent="0.25">
      <c r="A190">
        <v>386</v>
      </c>
      <c r="B190">
        <v>183</v>
      </c>
      <c r="C190">
        <v>41</v>
      </c>
      <c r="D190" t="s">
        <v>266</v>
      </c>
      <c r="E190" t="str">
        <f>IF(NOT(ISERROR(VLOOKUP(D190,'ESO Dungeon constants'!$A$3:$A$9999,1,FALSE))),"X","")</f>
        <v/>
      </c>
      <c r="F190" s="3" t="str">
        <f>IF(EXACT(A190,C190),"X","")</f>
        <v/>
      </c>
      <c r="G190" s="3" t="str">
        <f>IF(A190&lt;&gt;C190,VLOOKUP(C190,$A$5:$D$9954,4,FALSE),"")</f>
        <v>Stonefalls</v>
      </c>
      <c r="H190" s="17">
        <f>A190</f>
        <v>386</v>
      </c>
      <c r="I190" s="17">
        <f>C190</f>
        <v>41</v>
      </c>
      <c r="J190">
        <v>0</v>
      </c>
      <c r="K190" s="3" t="str">
        <f>VLOOKUP(J190,'LibSets constants'!$A$4:$B$1017,2,FALSE)</f>
        <v>DLC_BASE_GAME</v>
      </c>
      <c r="L190" s="3" t="str">
        <f>VLOOKUP(J190,'LibSets constants'!$A$4:$C$1017,3,FALSE)</f>
        <v>Included in base game</v>
      </c>
    </row>
    <row r="191" spans="1:12" x14ac:dyDescent="0.25">
      <c r="A191">
        <v>387</v>
      </c>
      <c r="B191">
        <v>184</v>
      </c>
      <c r="C191">
        <v>381</v>
      </c>
      <c r="D191" t="s">
        <v>267</v>
      </c>
      <c r="E191" t="str">
        <f>IF(NOT(ISERROR(VLOOKUP(D191,'ESO Dungeon constants'!$A$3:$A$9999,1,FALSE))),"X","")</f>
        <v/>
      </c>
      <c r="F191" s="3" t="str">
        <f>IF(EXACT(A191,C191),"X","")</f>
        <v/>
      </c>
      <c r="G191" s="3" t="str">
        <f>IF(A191&lt;&gt;C191,VLOOKUP(C191,$A$5:$D$9954,4,FALSE),"")</f>
        <v>Auridon</v>
      </c>
      <c r="H191" s="17">
        <f>A191</f>
        <v>387</v>
      </c>
      <c r="I191" s="17">
        <f>C191</f>
        <v>381</v>
      </c>
      <c r="J191">
        <v>0</v>
      </c>
      <c r="K191" s="3" t="str">
        <f>VLOOKUP(J191,'LibSets constants'!$A$4:$B$1017,2,FALSE)</f>
        <v>DLC_BASE_GAME</v>
      </c>
      <c r="L191" s="3" t="str">
        <f>VLOOKUP(J191,'LibSets constants'!$A$4:$C$1017,3,FALSE)</f>
        <v>Included in base game</v>
      </c>
    </row>
    <row r="192" spans="1:12" x14ac:dyDescent="0.25">
      <c r="A192">
        <v>388</v>
      </c>
      <c r="B192">
        <v>185</v>
      </c>
      <c r="C192">
        <v>381</v>
      </c>
      <c r="D192" t="s">
        <v>268</v>
      </c>
      <c r="E192" t="str">
        <f>IF(NOT(ISERROR(VLOOKUP(D192,'ESO Dungeon constants'!$A$3:$A$9999,1,FALSE))),"X","")</f>
        <v/>
      </c>
      <c r="F192" s="3" t="str">
        <f>IF(EXACT(A192,C192),"X","")</f>
        <v/>
      </c>
      <c r="G192" s="3" t="str">
        <f>IF(A192&lt;&gt;C192,VLOOKUP(C192,$A$5:$D$9954,4,FALSE),"")</f>
        <v>Auridon</v>
      </c>
      <c r="H192" s="17">
        <f>A192</f>
        <v>388</v>
      </c>
      <c r="I192" s="17">
        <f>C192</f>
        <v>381</v>
      </c>
      <c r="J192">
        <v>0</v>
      </c>
      <c r="K192" s="3" t="str">
        <f>VLOOKUP(J192,'LibSets constants'!$A$4:$B$1017,2,FALSE)</f>
        <v>DLC_BASE_GAME</v>
      </c>
      <c r="L192" s="3" t="str">
        <f>VLOOKUP(J192,'LibSets constants'!$A$4:$C$1017,3,FALSE)</f>
        <v>Included in base game</v>
      </c>
    </row>
    <row r="193" spans="1:12" x14ac:dyDescent="0.25">
      <c r="A193">
        <v>389</v>
      </c>
      <c r="B193">
        <v>186</v>
      </c>
      <c r="C193">
        <v>383</v>
      </c>
      <c r="D193" t="s">
        <v>269</v>
      </c>
      <c r="E193" t="str">
        <f>IF(NOT(ISERROR(VLOOKUP(D193,'ESO Dungeon constants'!$A$3:$A$9999,1,FALSE))),"X","")</f>
        <v/>
      </c>
      <c r="F193" s="3" t="str">
        <f>IF(EXACT(A193,C193),"X","")</f>
        <v/>
      </c>
      <c r="G193" s="3" t="str">
        <f>IF(A193&lt;&gt;C193,VLOOKUP(C193,$A$5:$D$9954,4,FALSE),"")</f>
        <v>Grahtwood</v>
      </c>
      <c r="H193" s="17">
        <f>A193</f>
        <v>389</v>
      </c>
      <c r="I193" s="17">
        <f>C193</f>
        <v>383</v>
      </c>
      <c r="J193">
        <v>0</v>
      </c>
      <c r="K193" s="3" t="str">
        <f>VLOOKUP(J193,'LibSets constants'!$A$4:$B$1017,2,FALSE)</f>
        <v>DLC_BASE_GAME</v>
      </c>
      <c r="L193" s="3" t="str">
        <f>VLOOKUP(J193,'LibSets constants'!$A$4:$C$1017,3,FALSE)</f>
        <v>Included in base game</v>
      </c>
    </row>
    <row r="194" spans="1:12" x14ac:dyDescent="0.25">
      <c r="A194">
        <v>390</v>
      </c>
      <c r="B194">
        <v>187</v>
      </c>
      <c r="C194">
        <v>381</v>
      </c>
      <c r="D194" t="s">
        <v>270</v>
      </c>
      <c r="E194" t="str">
        <f>IF(NOT(ISERROR(VLOOKUP(D194,'ESO Dungeon constants'!$A$3:$A$9999,1,FALSE))),"X","")</f>
        <v/>
      </c>
      <c r="F194" s="3" t="str">
        <f>IF(EXACT(A194,C194),"X","")</f>
        <v/>
      </c>
      <c r="G194" s="3" t="str">
        <f>IF(A194&lt;&gt;C194,VLOOKUP(C194,$A$5:$D$9954,4,FALSE),"")</f>
        <v>Auridon</v>
      </c>
      <c r="H194" s="17">
        <f>A194</f>
        <v>390</v>
      </c>
      <c r="I194" s="17">
        <f>C194</f>
        <v>381</v>
      </c>
      <c r="J194">
        <v>0</v>
      </c>
      <c r="K194" s="3" t="str">
        <f>VLOOKUP(J194,'LibSets constants'!$A$4:$B$1017,2,FALSE)</f>
        <v>DLC_BASE_GAME</v>
      </c>
      <c r="L194" s="3" t="str">
        <f>VLOOKUP(J194,'LibSets constants'!$A$4:$C$1017,3,FALSE)</f>
        <v>Included in base game</v>
      </c>
    </row>
    <row r="195" spans="1:12" x14ac:dyDescent="0.25">
      <c r="A195">
        <v>392</v>
      </c>
      <c r="B195">
        <v>188</v>
      </c>
      <c r="C195">
        <v>381</v>
      </c>
      <c r="D195" t="s">
        <v>271</v>
      </c>
      <c r="E195" t="str">
        <f>IF(NOT(ISERROR(VLOOKUP(D195,'ESO Dungeon constants'!$A$3:$A$9999,1,FALSE))),"X","")</f>
        <v/>
      </c>
      <c r="F195" s="3" t="str">
        <f>IF(EXACT(A195,C195),"X","")</f>
        <v/>
      </c>
      <c r="G195" s="3" t="str">
        <f>IF(A195&lt;&gt;C195,VLOOKUP(C195,$A$5:$D$9954,4,FALSE),"")</f>
        <v>Auridon</v>
      </c>
      <c r="H195" s="17">
        <f>A195</f>
        <v>392</v>
      </c>
      <c r="I195" s="17">
        <f>C195</f>
        <v>381</v>
      </c>
      <c r="J195">
        <v>0</v>
      </c>
      <c r="K195" s="3" t="str">
        <f>VLOOKUP(J195,'LibSets constants'!$A$4:$B$1017,2,FALSE)</f>
        <v>DLC_BASE_GAME</v>
      </c>
      <c r="L195" s="3" t="str">
        <f>VLOOKUP(J195,'LibSets constants'!$A$4:$C$1017,3,FALSE)</f>
        <v>Included in base game</v>
      </c>
    </row>
    <row r="196" spans="1:12" x14ac:dyDescent="0.25">
      <c r="A196">
        <v>393</v>
      </c>
      <c r="B196">
        <v>189</v>
      </c>
      <c r="C196">
        <v>381</v>
      </c>
      <c r="D196" t="s">
        <v>272</v>
      </c>
      <c r="E196" t="str">
        <f>IF(NOT(ISERROR(VLOOKUP(D196,'ESO Dungeon constants'!$A$3:$A$9999,1,FALSE))),"X","")</f>
        <v/>
      </c>
      <c r="F196" s="3" t="str">
        <f>IF(EXACT(A196,C196),"X","")</f>
        <v/>
      </c>
      <c r="G196" s="3" t="str">
        <f>IF(A196&lt;&gt;C196,VLOOKUP(C196,$A$5:$D$9954,4,FALSE),"")</f>
        <v>Auridon</v>
      </c>
      <c r="H196" s="17">
        <f>A196</f>
        <v>393</v>
      </c>
      <c r="I196" s="17">
        <f>C196</f>
        <v>381</v>
      </c>
      <c r="J196">
        <v>0</v>
      </c>
      <c r="K196" s="3" t="str">
        <f>VLOOKUP(J196,'LibSets constants'!$A$4:$B$1017,2,FALSE)</f>
        <v>DLC_BASE_GAME</v>
      </c>
      <c r="L196" s="3" t="str">
        <f>VLOOKUP(J196,'LibSets constants'!$A$4:$C$1017,3,FALSE)</f>
        <v>Included in base game</v>
      </c>
    </row>
    <row r="197" spans="1:12" x14ac:dyDescent="0.25">
      <c r="A197">
        <v>394</v>
      </c>
      <c r="B197">
        <v>190</v>
      </c>
      <c r="C197">
        <v>381</v>
      </c>
      <c r="D197" t="s">
        <v>273</v>
      </c>
      <c r="E197" t="str">
        <f>IF(NOT(ISERROR(VLOOKUP(D197,'ESO Dungeon constants'!$A$3:$A$9999,1,FALSE))),"X","")</f>
        <v/>
      </c>
      <c r="F197" s="3" t="str">
        <f>IF(EXACT(A197,C197),"X","")</f>
        <v/>
      </c>
      <c r="G197" s="3" t="str">
        <f>IF(A197&lt;&gt;C197,VLOOKUP(C197,$A$5:$D$9954,4,FALSE),"")</f>
        <v>Auridon</v>
      </c>
      <c r="H197" s="17">
        <f>A197</f>
        <v>394</v>
      </c>
      <c r="I197" s="17">
        <f>C197</f>
        <v>381</v>
      </c>
      <c r="J197">
        <v>0</v>
      </c>
      <c r="K197" s="3" t="str">
        <f>VLOOKUP(J197,'LibSets constants'!$A$4:$B$1017,2,FALSE)</f>
        <v>DLC_BASE_GAME</v>
      </c>
      <c r="L197" s="3" t="str">
        <f>VLOOKUP(J197,'LibSets constants'!$A$4:$C$1017,3,FALSE)</f>
        <v>Included in base game</v>
      </c>
    </row>
    <row r="198" spans="1:12" x14ac:dyDescent="0.25">
      <c r="A198">
        <v>63</v>
      </c>
      <c r="B198">
        <v>12</v>
      </c>
      <c r="C198">
        <v>57</v>
      </c>
      <c r="D198" t="s">
        <v>61</v>
      </c>
      <c r="E198" t="str">
        <f>IF(NOT(ISERROR(VLOOKUP(D198,'ESO Dungeon constants'!$A$3:$A$9999,1,FALSE))),"X","")</f>
        <v>X</v>
      </c>
      <c r="F198" s="3" t="str">
        <f>IF(EXACT(A198,C198),"X","")</f>
        <v/>
      </c>
      <c r="G198" s="3" t="str">
        <f>IF(A198&lt;&gt;C198,VLOOKUP(C198,$A$5:$D$9954,4,FALSE),"")</f>
        <v>Deshaan</v>
      </c>
      <c r="H198" s="17">
        <f>A198</f>
        <v>63</v>
      </c>
      <c r="I198" s="17">
        <f>C198</f>
        <v>57</v>
      </c>
      <c r="J198">
        <f>IF(E198="X",VLOOKUP(D198,'ESO Dungeon constants'!$A$3:$H$9999,8,FALSE),0)</f>
        <v>0</v>
      </c>
      <c r="K198" s="3" t="str">
        <f>VLOOKUP(J198,'LibSets constants'!$A$4:$B$1017,2,FALSE)</f>
        <v>DLC_BASE_GAME</v>
      </c>
      <c r="L198" s="3" t="str">
        <f>VLOOKUP(J198,'LibSets constants'!$A$4:$C$1017,3,FALSE)</f>
        <v>Included in base game</v>
      </c>
    </row>
    <row r="199" spans="1:12" x14ac:dyDescent="0.25">
      <c r="A199">
        <v>930</v>
      </c>
      <c r="B199">
        <v>543</v>
      </c>
      <c r="C199">
        <v>57</v>
      </c>
      <c r="D199" t="s">
        <v>46</v>
      </c>
      <c r="E199" t="str">
        <f>IF(NOT(ISERROR(VLOOKUP(D199,'ESO Dungeon constants'!$A$3:$A$9999,1,FALSE))),"X","")</f>
        <v>X</v>
      </c>
      <c r="F199" s="3" t="str">
        <f>IF(EXACT(A199,C199),"X","")</f>
        <v/>
      </c>
      <c r="G199" s="3" t="str">
        <f>IF(A199&lt;&gt;C199,VLOOKUP(C199,$A$5:$D$9954,4,FALSE),"")</f>
        <v>Deshaan</v>
      </c>
      <c r="H199" s="17">
        <f>A199</f>
        <v>930</v>
      </c>
      <c r="I199" s="17">
        <f>C199</f>
        <v>57</v>
      </c>
      <c r="J199">
        <f>IF(E199="X",VLOOKUP(D199,'ESO Dungeon constants'!$A$3:$H$9999,8,FALSE),0)</f>
        <v>0</v>
      </c>
      <c r="K199" s="3" t="str">
        <f>VLOOKUP(J199,'LibSets constants'!$A$4:$B$1017,2,FALSE)</f>
        <v>DLC_BASE_GAME</v>
      </c>
      <c r="L199" s="3" t="str">
        <f>VLOOKUP(J199,'LibSets constants'!$A$4:$C$1017,3,FALSE)</f>
        <v>Included in base game</v>
      </c>
    </row>
    <row r="200" spans="1:12" x14ac:dyDescent="0.25">
      <c r="A200">
        <v>395</v>
      </c>
      <c r="B200">
        <v>191</v>
      </c>
      <c r="C200">
        <v>381</v>
      </c>
      <c r="D200" t="s">
        <v>274</v>
      </c>
      <c r="E200" t="str">
        <f>IF(NOT(ISERROR(VLOOKUP(D200,'ESO Dungeon constants'!$A$3:$A$9999,1,FALSE))),"X","")</f>
        <v/>
      </c>
      <c r="F200" s="3" t="str">
        <f>IF(EXACT(A200,C200),"X","")</f>
        <v/>
      </c>
      <c r="G200" s="3" t="str">
        <f>IF(A200&lt;&gt;C200,VLOOKUP(C200,$A$5:$D$9954,4,FALSE),"")</f>
        <v>Auridon</v>
      </c>
      <c r="H200" s="17">
        <f>A200</f>
        <v>395</v>
      </c>
      <c r="I200" s="17">
        <f>C200</f>
        <v>381</v>
      </c>
      <c r="J200">
        <v>0</v>
      </c>
      <c r="K200" s="3" t="str">
        <f>VLOOKUP(J200,'LibSets constants'!$A$4:$B$1017,2,FALSE)</f>
        <v>DLC_BASE_GAME</v>
      </c>
      <c r="L200" s="3" t="str">
        <f>VLOOKUP(J200,'LibSets constants'!$A$4:$C$1017,3,FALSE)</f>
        <v>Included in base game</v>
      </c>
    </row>
    <row r="201" spans="1:12" x14ac:dyDescent="0.25">
      <c r="A201">
        <v>396</v>
      </c>
      <c r="B201">
        <v>192</v>
      </c>
      <c r="C201">
        <v>381</v>
      </c>
      <c r="D201" t="s">
        <v>275</v>
      </c>
      <c r="E201" t="str">
        <f>IF(NOT(ISERROR(VLOOKUP(D201,'ESO Dungeon constants'!$A$3:$A$9999,1,FALSE))),"X","")</f>
        <v/>
      </c>
      <c r="F201" s="3" t="str">
        <f>IF(EXACT(A201,C201),"X","")</f>
        <v/>
      </c>
      <c r="G201" s="3" t="str">
        <f>IF(A201&lt;&gt;C201,VLOOKUP(C201,$A$5:$D$9954,4,FALSE),"")</f>
        <v>Auridon</v>
      </c>
      <c r="H201" s="17">
        <f>A201</f>
        <v>396</v>
      </c>
      <c r="I201" s="17">
        <f>C201</f>
        <v>381</v>
      </c>
      <c r="J201">
        <v>0</v>
      </c>
      <c r="K201" s="3" t="str">
        <f>VLOOKUP(J201,'LibSets constants'!$A$4:$B$1017,2,FALSE)</f>
        <v>DLC_BASE_GAME</v>
      </c>
      <c r="L201" s="3" t="str">
        <f>VLOOKUP(J201,'LibSets constants'!$A$4:$C$1017,3,FALSE)</f>
        <v>Included in base game</v>
      </c>
    </row>
    <row r="202" spans="1:12" x14ac:dyDescent="0.25">
      <c r="A202">
        <v>397</v>
      </c>
      <c r="B202">
        <v>193</v>
      </c>
      <c r="C202">
        <v>381</v>
      </c>
      <c r="D202" t="s">
        <v>276</v>
      </c>
      <c r="E202" t="str">
        <f>IF(NOT(ISERROR(VLOOKUP(D202,'ESO Dungeon constants'!$A$3:$A$9999,1,FALSE))),"X","")</f>
        <v/>
      </c>
      <c r="F202" s="3" t="str">
        <f>IF(EXACT(A202,C202),"X","")</f>
        <v/>
      </c>
      <c r="G202" s="3" t="str">
        <f>IF(A202&lt;&gt;C202,VLOOKUP(C202,$A$5:$D$9954,4,FALSE),"")</f>
        <v>Auridon</v>
      </c>
      <c r="H202" s="17">
        <f>A202</f>
        <v>397</v>
      </c>
      <c r="I202" s="17">
        <f>C202</f>
        <v>381</v>
      </c>
      <c r="J202">
        <v>0</v>
      </c>
      <c r="K202" s="3" t="str">
        <f>VLOOKUP(J202,'LibSets constants'!$A$4:$B$1017,2,FALSE)</f>
        <v>DLC_BASE_GAME</v>
      </c>
      <c r="L202" s="3" t="str">
        <f>VLOOKUP(J202,'LibSets constants'!$A$4:$C$1017,3,FALSE)</f>
        <v>Included in base game</v>
      </c>
    </row>
    <row r="203" spans="1:12" x14ac:dyDescent="0.25">
      <c r="A203">
        <v>398</v>
      </c>
      <c r="B203">
        <v>194</v>
      </c>
      <c r="C203">
        <v>381</v>
      </c>
      <c r="D203" t="s">
        <v>277</v>
      </c>
      <c r="E203" t="str">
        <f>IF(NOT(ISERROR(VLOOKUP(D203,'ESO Dungeon constants'!$A$3:$A$9999,1,FALSE))),"X","")</f>
        <v/>
      </c>
      <c r="F203" s="3" t="str">
        <f>IF(EXACT(A203,C203),"X","")</f>
        <v/>
      </c>
      <c r="G203" s="3" t="str">
        <f>IF(A203&lt;&gt;C203,VLOOKUP(C203,$A$5:$D$9954,4,FALSE),"")</f>
        <v>Auridon</v>
      </c>
      <c r="H203" s="17">
        <f>A203</f>
        <v>398</v>
      </c>
      <c r="I203" s="17">
        <f>C203</f>
        <v>381</v>
      </c>
      <c r="J203">
        <v>0</v>
      </c>
      <c r="K203" s="3" t="str">
        <f>VLOOKUP(J203,'LibSets constants'!$A$4:$B$1017,2,FALSE)</f>
        <v>DLC_BASE_GAME</v>
      </c>
      <c r="L203" s="3" t="str">
        <f>VLOOKUP(J203,'LibSets constants'!$A$4:$C$1017,3,FALSE)</f>
        <v>Included in base game</v>
      </c>
    </row>
    <row r="204" spans="1:12" x14ac:dyDescent="0.25">
      <c r="A204">
        <v>399</v>
      </c>
      <c r="B204">
        <v>195</v>
      </c>
      <c r="C204">
        <v>381</v>
      </c>
      <c r="D204" t="s">
        <v>278</v>
      </c>
      <c r="E204" t="str">
        <f>IF(NOT(ISERROR(VLOOKUP(D204,'ESO Dungeon constants'!$A$3:$A$9999,1,FALSE))),"X","")</f>
        <v/>
      </c>
      <c r="F204" s="3" t="str">
        <f>IF(EXACT(A204,C204),"X","")</f>
        <v/>
      </c>
      <c r="G204" s="3" t="str">
        <f>IF(A204&lt;&gt;C204,VLOOKUP(C204,$A$5:$D$9954,4,FALSE),"")</f>
        <v>Auridon</v>
      </c>
      <c r="H204" s="17">
        <f>A204</f>
        <v>399</v>
      </c>
      <c r="I204" s="17">
        <f>C204</f>
        <v>381</v>
      </c>
      <c r="J204">
        <v>0</v>
      </c>
      <c r="K204" s="3" t="str">
        <f>VLOOKUP(J204,'LibSets constants'!$A$4:$B$1017,2,FALSE)</f>
        <v>DLC_BASE_GAME</v>
      </c>
      <c r="L204" s="3" t="str">
        <f>VLOOKUP(J204,'LibSets constants'!$A$4:$C$1017,3,FALSE)</f>
        <v>Included in base game</v>
      </c>
    </row>
    <row r="205" spans="1:12" x14ac:dyDescent="0.25">
      <c r="A205">
        <v>400</v>
      </c>
      <c r="B205">
        <v>196</v>
      </c>
      <c r="C205">
        <v>381</v>
      </c>
      <c r="D205" t="s">
        <v>279</v>
      </c>
      <c r="E205" t="str">
        <f>IF(NOT(ISERROR(VLOOKUP(D205,'ESO Dungeon constants'!$A$3:$A$9999,1,FALSE))),"X","")</f>
        <v/>
      </c>
      <c r="F205" s="3" t="str">
        <f>IF(EXACT(A205,C205),"X","")</f>
        <v/>
      </c>
      <c r="G205" s="3" t="str">
        <f>IF(A205&lt;&gt;C205,VLOOKUP(C205,$A$5:$D$9954,4,FALSE),"")</f>
        <v>Auridon</v>
      </c>
      <c r="H205" s="17">
        <f>A205</f>
        <v>400</v>
      </c>
      <c r="I205" s="17">
        <f>C205</f>
        <v>381</v>
      </c>
      <c r="J205">
        <v>0</v>
      </c>
      <c r="K205" s="3" t="str">
        <f>VLOOKUP(J205,'LibSets constants'!$A$4:$B$1017,2,FALSE)</f>
        <v>DLC_BASE_GAME</v>
      </c>
      <c r="L205" s="3" t="str">
        <f>VLOOKUP(J205,'LibSets constants'!$A$4:$C$1017,3,FALSE)</f>
        <v>Included in base game</v>
      </c>
    </row>
    <row r="206" spans="1:12" x14ac:dyDescent="0.25">
      <c r="A206">
        <v>401</v>
      </c>
      <c r="B206">
        <v>197</v>
      </c>
      <c r="C206">
        <v>381</v>
      </c>
      <c r="D206" t="s">
        <v>280</v>
      </c>
      <c r="E206" t="str">
        <f>IF(NOT(ISERROR(VLOOKUP(D206,'ESO Dungeon constants'!$A$3:$A$9999,1,FALSE))),"X","")</f>
        <v/>
      </c>
      <c r="F206" s="3" t="str">
        <f>IF(EXACT(A206,C206),"X","")</f>
        <v/>
      </c>
      <c r="G206" s="3" t="str">
        <f>IF(A206&lt;&gt;C206,VLOOKUP(C206,$A$5:$D$9954,4,FALSE),"")</f>
        <v>Auridon</v>
      </c>
      <c r="H206" s="17">
        <f>A206</f>
        <v>401</v>
      </c>
      <c r="I206" s="17">
        <f>C206</f>
        <v>381</v>
      </c>
      <c r="J206">
        <v>0</v>
      </c>
      <c r="K206" s="3" t="str">
        <f>VLOOKUP(J206,'LibSets constants'!$A$4:$B$1017,2,FALSE)</f>
        <v>DLC_BASE_GAME</v>
      </c>
      <c r="L206" s="3" t="str">
        <f>VLOOKUP(J206,'LibSets constants'!$A$4:$C$1017,3,FALSE)</f>
        <v>Included in base game</v>
      </c>
    </row>
    <row r="207" spans="1:12" x14ac:dyDescent="0.25">
      <c r="A207">
        <v>402</v>
      </c>
      <c r="B207">
        <v>198</v>
      </c>
      <c r="C207">
        <v>103</v>
      </c>
      <c r="D207" t="s">
        <v>281</v>
      </c>
      <c r="E207" t="str">
        <f>IF(NOT(ISERROR(VLOOKUP(D207,'ESO Dungeon constants'!$A$3:$A$9999,1,FALSE))),"X","")</f>
        <v/>
      </c>
      <c r="F207" s="3" t="str">
        <f>IF(EXACT(A207,C207),"X","")</f>
        <v/>
      </c>
      <c r="G207" s="3" t="str">
        <f>IF(A207&lt;&gt;C207,VLOOKUP(C207,$A$5:$D$9954,4,FALSE),"")</f>
        <v>The Rift</v>
      </c>
      <c r="H207" s="17">
        <f>A207</f>
        <v>402</v>
      </c>
      <c r="I207" s="17">
        <f>C207</f>
        <v>103</v>
      </c>
      <c r="J207">
        <v>0</v>
      </c>
      <c r="K207" s="3" t="str">
        <f>VLOOKUP(J207,'LibSets constants'!$A$4:$B$1017,2,FALSE)</f>
        <v>DLC_BASE_GAME</v>
      </c>
      <c r="L207" s="3" t="str">
        <f>VLOOKUP(J207,'LibSets constants'!$A$4:$C$1017,3,FALSE)</f>
        <v>Included in base game</v>
      </c>
    </row>
    <row r="208" spans="1:12" x14ac:dyDescent="0.25">
      <c r="A208">
        <v>403</v>
      </c>
      <c r="B208">
        <v>199</v>
      </c>
      <c r="C208">
        <v>103</v>
      </c>
      <c r="D208" t="s">
        <v>282</v>
      </c>
      <c r="E208" t="str">
        <f>IF(NOT(ISERROR(VLOOKUP(D208,'ESO Dungeon constants'!$A$3:$A$9999,1,FALSE))),"X","")</f>
        <v/>
      </c>
      <c r="F208" s="3" t="str">
        <f>IF(EXACT(A208,C208),"X","")</f>
        <v/>
      </c>
      <c r="G208" s="3" t="str">
        <f>IF(A208&lt;&gt;C208,VLOOKUP(C208,$A$5:$D$9954,4,FALSE),"")</f>
        <v>The Rift</v>
      </c>
      <c r="H208" s="17">
        <f>A208</f>
        <v>403</v>
      </c>
      <c r="I208" s="17">
        <f>C208</f>
        <v>103</v>
      </c>
      <c r="J208">
        <v>0</v>
      </c>
      <c r="K208" s="3" t="str">
        <f>VLOOKUP(J208,'LibSets constants'!$A$4:$B$1017,2,FALSE)</f>
        <v>DLC_BASE_GAME</v>
      </c>
      <c r="L208" s="3" t="str">
        <f>VLOOKUP(J208,'LibSets constants'!$A$4:$C$1017,3,FALSE)</f>
        <v>Included in base game</v>
      </c>
    </row>
    <row r="209" spans="1:12" x14ac:dyDescent="0.25">
      <c r="A209">
        <v>404</v>
      </c>
      <c r="B209">
        <v>200</v>
      </c>
      <c r="C209">
        <v>103</v>
      </c>
      <c r="D209" t="s">
        <v>283</v>
      </c>
      <c r="E209" t="str">
        <f>IF(NOT(ISERROR(VLOOKUP(D209,'ESO Dungeon constants'!$A$3:$A$9999,1,FALSE))),"X","")</f>
        <v/>
      </c>
      <c r="F209" s="3" t="str">
        <f>IF(EXACT(A209,C209),"X","")</f>
        <v/>
      </c>
      <c r="G209" s="3" t="str">
        <f>IF(A209&lt;&gt;C209,VLOOKUP(C209,$A$5:$D$9954,4,FALSE),"")</f>
        <v>The Rift</v>
      </c>
      <c r="H209" s="17">
        <f>A209</f>
        <v>404</v>
      </c>
      <c r="I209" s="17">
        <f>C209</f>
        <v>103</v>
      </c>
      <c r="J209">
        <v>0</v>
      </c>
      <c r="K209" s="3" t="str">
        <f>VLOOKUP(J209,'LibSets constants'!$A$4:$B$1017,2,FALSE)</f>
        <v>DLC_BASE_GAME</v>
      </c>
      <c r="L209" s="3" t="str">
        <f>VLOOKUP(J209,'LibSets constants'!$A$4:$C$1017,3,FALSE)</f>
        <v>Included in base game</v>
      </c>
    </row>
    <row r="210" spans="1:12" x14ac:dyDescent="0.25">
      <c r="A210">
        <v>405</v>
      </c>
      <c r="B210">
        <v>201</v>
      </c>
      <c r="C210">
        <v>57</v>
      </c>
      <c r="D210" t="s">
        <v>284</v>
      </c>
      <c r="E210" t="str">
        <f>IF(NOT(ISERROR(VLOOKUP(D210,'ESO Dungeon constants'!$A$3:$A$9999,1,FALSE))),"X","")</f>
        <v/>
      </c>
      <c r="F210" s="3" t="str">
        <f>IF(EXACT(A210,C210),"X","")</f>
        <v/>
      </c>
      <c r="G210" s="3" t="str">
        <f>IF(A210&lt;&gt;C210,VLOOKUP(C210,$A$5:$D$9954,4,FALSE),"")</f>
        <v>Deshaan</v>
      </c>
      <c r="H210" s="17">
        <f>A210</f>
        <v>405</v>
      </c>
      <c r="I210" s="17">
        <f>C210</f>
        <v>57</v>
      </c>
      <c r="J210">
        <v>0</v>
      </c>
      <c r="K210" s="3" t="str">
        <f>VLOOKUP(J210,'LibSets constants'!$A$4:$B$1017,2,FALSE)</f>
        <v>DLC_BASE_GAME</v>
      </c>
      <c r="L210" s="3" t="str">
        <f>VLOOKUP(J210,'LibSets constants'!$A$4:$C$1017,3,FALSE)</f>
        <v>Included in base game</v>
      </c>
    </row>
    <row r="211" spans="1:12" x14ac:dyDescent="0.25">
      <c r="A211">
        <v>406</v>
      </c>
      <c r="B211">
        <v>202</v>
      </c>
      <c r="C211">
        <v>57</v>
      </c>
      <c r="D211" t="s">
        <v>285</v>
      </c>
      <c r="E211" t="str">
        <f>IF(NOT(ISERROR(VLOOKUP(D211,'ESO Dungeon constants'!$A$3:$A$9999,1,FALSE))),"X","")</f>
        <v/>
      </c>
      <c r="F211" s="3" t="str">
        <f>IF(EXACT(A211,C211),"X","")</f>
        <v/>
      </c>
      <c r="G211" s="3" t="str">
        <f>IF(A211&lt;&gt;C211,VLOOKUP(C211,$A$5:$D$9954,4,FALSE),"")</f>
        <v>Deshaan</v>
      </c>
      <c r="H211" s="17">
        <f>A211</f>
        <v>406</v>
      </c>
      <c r="I211" s="17">
        <f>C211</f>
        <v>57</v>
      </c>
      <c r="J211">
        <v>0</v>
      </c>
      <c r="K211" s="3" t="str">
        <f>VLOOKUP(J211,'LibSets constants'!$A$4:$B$1017,2,FALSE)</f>
        <v>DLC_BASE_GAME</v>
      </c>
      <c r="L211" s="3" t="str">
        <f>VLOOKUP(J211,'LibSets constants'!$A$4:$C$1017,3,FALSE)</f>
        <v>Included in base game</v>
      </c>
    </row>
    <row r="212" spans="1:12" x14ac:dyDescent="0.25">
      <c r="A212">
        <v>407</v>
      </c>
      <c r="B212">
        <v>203</v>
      </c>
      <c r="C212">
        <v>57</v>
      </c>
      <c r="D212" t="s">
        <v>286</v>
      </c>
      <c r="E212" t="str">
        <f>IF(NOT(ISERROR(VLOOKUP(D212,'ESO Dungeon constants'!$A$3:$A$9999,1,FALSE))),"X","")</f>
        <v/>
      </c>
      <c r="F212" s="3" t="str">
        <f>IF(EXACT(A212,C212),"X","")</f>
        <v/>
      </c>
      <c r="G212" s="3" t="str">
        <f>IF(A212&lt;&gt;C212,VLOOKUP(C212,$A$5:$D$9954,4,FALSE),"")</f>
        <v>Deshaan</v>
      </c>
      <c r="H212" s="17">
        <f>A212</f>
        <v>407</v>
      </c>
      <c r="I212" s="17">
        <f>C212</f>
        <v>57</v>
      </c>
      <c r="J212">
        <v>0</v>
      </c>
      <c r="K212" s="3" t="str">
        <f>VLOOKUP(J212,'LibSets constants'!$A$4:$B$1017,2,FALSE)</f>
        <v>DLC_BASE_GAME</v>
      </c>
      <c r="L212" s="3" t="str">
        <f>VLOOKUP(J212,'LibSets constants'!$A$4:$C$1017,3,FALSE)</f>
        <v>Included in base game</v>
      </c>
    </row>
    <row r="213" spans="1:12" x14ac:dyDescent="0.25">
      <c r="A213">
        <v>1081</v>
      </c>
      <c r="B213">
        <v>679</v>
      </c>
      <c r="C213">
        <v>823</v>
      </c>
      <c r="D213" t="s">
        <v>67</v>
      </c>
      <c r="E213" t="str">
        <f>IF(NOT(ISERROR(VLOOKUP(D213,'ESO Dungeon constants'!$A$3:$A$9999,1,FALSE))),"X","")</f>
        <v>X</v>
      </c>
      <c r="F213" s="3" t="str">
        <f>IF(EXACT(A213,C213),"X","")</f>
        <v/>
      </c>
      <c r="G213" s="3" t="str">
        <f>IF(A213&lt;&gt;C213,VLOOKUP(C213,$A$5:$D$9954,4,FALSE),"")</f>
        <v>Gold Coast</v>
      </c>
      <c r="H213" s="17">
        <f>A213</f>
        <v>1081</v>
      </c>
      <c r="I213" s="17">
        <f>C213</f>
        <v>823</v>
      </c>
      <c r="J213">
        <f>IF(E213="X",VLOOKUP(D213,'ESO Dungeon constants'!$A$3:$H$9999,8,FALSE),0)</f>
        <v>13</v>
      </c>
      <c r="K213" s="3" t="str">
        <f>VLOOKUP(J213,'LibSets constants'!$A$4:$B$1017,2,FALSE)</f>
        <v>DLC_WRATHSTONE</v>
      </c>
      <c r="L213" s="3" t="str">
        <f>VLOOKUP(J213,'LibSets constants'!$A$4:$C$1017,3,FALSE)</f>
        <v>Wrathstone</v>
      </c>
    </row>
    <row r="214" spans="1:12" x14ac:dyDescent="0.25">
      <c r="A214">
        <v>408</v>
      </c>
      <c r="B214">
        <v>204</v>
      </c>
      <c r="C214">
        <v>57</v>
      </c>
      <c r="D214" t="s">
        <v>287</v>
      </c>
      <c r="E214" t="str">
        <f>IF(NOT(ISERROR(VLOOKUP(D214,'ESO Dungeon constants'!$A$3:$A$9999,1,FALSE))),"X","")</f>
        <v/>
      </c>
      <c r="F214" s="3" t="str">
        <f>IF(EXACT(A214,C214),"X","")</f>
        <v/>
      </c>
      <c r="G214" s="3" t="str">
        <f>IF(A214&lt;&gt;C214,VLOOKUP(C214,$A$5:$D$9954,4,FALSE),"")</f>
        <v>Deshaan</v>
      </c>
      <c r="H214" s="17">
        <f>A214</f>
        <v>408</v>
      </c>
      <c r="I214" s="17">
        <f>C214</f>
        <v>57</v>
      </c>
      <c r="J214">
        <v>0</v>
      </c>
      <c r="K214" s="3" t="str">
        <f>VLOOKUP(J214,'LibSets constants'!$A$4:$B$1017,2,FALSE)</f>
        <v>DLC_BASE_GAME</v>
      </c>
      <c r="L214" s="3" t="str">
        <f>VLOOKUP(J214,'LibSets constants'!$A$4:$C$1017,3,FALSE)</f>
        <v>Included in base game</v>
      </c>
    </row>
    <row r="215" spans="1:12" x14ac:dyDescent="0.25">
      <c r="A215">
        <v>409</v>
      </c>
      <c r="B215">
        <v>205</v>
      </c>
      <c r="C215">
        <v>57</v>
      </c>
      <c r="D215" t="s">
        <v>288</v>
      </c>
      <c r="E215" t="str">
        <f>IF(NOT(ISERROR(VLOOKUP(D215,'ESO Dungeon constants'!$A$3:$A$9999,1,FALSE))),"X","")</f>
        <v/>
      </c>
      <c r="F215" s="3" t="str">
        <f>IF(EXACT(A215,C215),"X","")</f>
        <v/>
      </c>
      <c r="G215" s="3" t="str">
        <f>IF(A215&lt;&gt;C215,VLOOKUP(C215,$A$5:$D$9954,4,FALSE),"")</f>
        <v>Deshaan</v>
      </c>
      <c r="H215" s="17">
        <f>A215</f>
        <v>409</v>
      </c>
      <c r="I215" s="17">
        <f>C215</f>
        <v>57</v>
      </c>
      <c r="J215">
        <v>0</v>
      </c>
      <c r="K215" s="3" t="str">
        <f>VLOOKUP(J215,'LibSets constants'!$A$4:$B$1017,2,FALSE)</f>
        <v>DLC_BASE_GAME</v>
      </c>
      <c r="L215" s="3" t="str">
        <f>VLOOKUP(J215,'LibSets constants'!$A$4:$C$1017,3,FALSE)</f>
        <v>Included in base game</v>
      </c>
    </row>
    <row r="216" spans="1:12" x14ac:dyDescent="0.25">
      <c r="A216">
        <v>410</v>
      </c>
      <c r="B216">
        <v>206</v>
      </c>
      <c r="C216">
        <v>57</v>
      </c>
      <c r="D216" t="s">
        <v>289</v>
      </c>
      <c r="E216" t="str">
        <f>IF(NOT(ISERROR(VLOOKUP(D216,'ESO Dungeon constants'!$A$3:$A$9999,1,FALSE))),"X","")</f>
        <v/>
      </c>
      <c r="F216" s="3" t="str">
        <f>IF(EXACT(A216,C216),"X","")</f>
        <v/>
      </c>
      <c r="G216" s="3" t="str">
        <f>IF(A216&lt;&gt;C216,VLOOKUP(C216,$A$5:$D$9954,4,FALSE),"")</f>
        <v>Deshaan</v>
      </c>
      <c r="H216" s="17">
        <f>A216</f>
        <v>410</v>
      </c>
      <c r="I216" s="17">
        <f>C216</f>
        <v>57</v>
      </c>
      <c r="J216">
        <v>0</v>
      </c>
      <c r="K216" s="3" t="str">
        <f>VLOOKUP(J216,'LibSets constants'!$A$4:$B$1017,2,FALSE)</f>
        <v>DLC_BASE_GAME</v>
      </c>
      <c r="L216" s="3" t="str">
        <f>VLOOKUP(J216,'LibSets constants'!$A$4:$C$1017,3,FALSE)</f>
        <v>Included in base game</v>
      </c>
    </row>
    <row r="217" spans="1:12" x14ac:dyDescent="0.25">
      <c r="A217">
        <v>449</v>
      </c>
      <c r="B217">
        <v>236</v>
      </c>
      <c r="C217">
        <v>101</v>
      </c>
      <c r="D217" t="s">
        <v>48</v>
      </c>
      <c r="E217" t="str">
        <f>IF(NOT(ISERROR(VLOOKUP(D217,'ESO Dungeon constants'!$A$3:$A$9999,1,FALSE))),"X","")</f>
        <v>X</v>
      </c>
      <c r="F217" s="3" t="str">
        <f>IF(EXACT(A217,C217),"X","")</f>
        <v/>
      </c>
      <c r="G217" s="3" t="str">
        <f>IF(A217&lt;&gt;C217,VLOOKUP(C217,$A$5:$D$9954,4,FALSE),"")</f>
        <v>Eastmarch</v>
      </c>
      <c r="H217" s="17">
        <f>A217</f>
        <v>449</v>
      </c>
      <c r="I217" s="17">
        <f>C217</f>
        <v>101</v>
      </c>
      <c r="J217">
        <f>IF(E217="X",VLOOKUP(D217,'ESO Dungeon constants'!$A$3:$H$9999,8,FALSE),0)</f>
        <v>0</v>
      </c>
      <c r="K217" s="3" t="str">
        <f>VLOOKUP(J217,'LibSets constants'!$A$4:$B$1017,2,FALSE)</f>
        <v>DLC_BASE_GAME</v>
      </c>
      <c r="L217" s="3" t="str">
        <f>VLOOKUP(J217,'LibSets constants'!$A$4:$C$1017,3,FALSE)</f>
        <v>Included in base game</v>
      </c>
    </row>
    <row r="218" spans="1:12" x14ac:dyDescent="0.25">
      <c r="A218">
        <v>411</v>
      </c>
      <c r="B218">
        <v>207</v>
      </c>
      <c r="C218">
        <v>58</v>
      </c>
      <c r="D218" t="s">
        <v>290</v>
      </c>
      <c r="E218" t="str">
        <f>IF(NOT(ISERROR(VLOOKUP(D218,'ESO Dungeon constants'!$A$3:$A$9999,1,FALSE))),"X","")</f>
        <v/>
      </c>
      <c r="F218" s="3" t="str">
        <f>IF(EXACT(A218,C218),"X","")</f>
        <v/>
      </c>
      <c r="G218" s="3" t="str">
        <f>IF(A218&lt;&gt;C218,VLOOKUP(C218,$A$5:$D$9954,4,FALSE),"")</f>
        <v>Malabal Tor</v>
      </c>
      <c r="H218" s="17">
        <f>A218</f>
        <v>411</v>
      </c>
      <c r="I218" s="17">
        <f>C218</f>
        <v>58</v>
      </c>
      <c r="J218">
        <v>0</v>
      </c>
      <c r="K218" s="3" t="str">
        <f>VLOOKUP(J218,'LibSets constants'!$A$4:$B$1017,2,FALSE)</f>
        <v>DLC_BASE_GAME</v>
      </c>
      <c r="L218" s="3" t="str">
        <f>VLOOKUP(J218,'LibSets constants'!$A$4:$C$1017,3,FALSE)</f>
        <v>Included in base game</v>
      </c>
    </row>
    <row r="219" spans="1:12" x14ac:dyDescent="0.25">
      <c r="A219">
        <v>412</v>
      </c>
      <c r="B219">
        <v>208</v>
      </c>
      <c r="C219">
        <v>103</v>
      </c>
      <c r="D219" t="s">
        <v>291</v>
      </c>
      <c r="E219" t="str">
        <f>IF(NOT(ISERROR(VLOOKUP(D219,'ESO Dungeon constants'!$A$3:$A$9999,1,FALSE))),"X","")</f>
        <v/>
      </c>
      <c r="F219" s="3" t="str">
        <f>IF(EXACT(A219,C219),"X","")</f>
        <v/>
      </c>
      <c r="G219" s="3" t="str">
        <f>IF(A219&lt;&gt;C219,VLOOKUP(C219,$A$5:$D$9954,4,FALSE),"")</f>
        <v>The Rift</v>
      </c>
      <c r="H219" s="17">
        <f>A219</f>
        <v>412</v>
      </c>
      <c r="I219" s="17">
        <f>C219</f>
        <v>103</v>
      </c>
      <c r="J219">
        <v>0</v>
      </c>
      <c r="K219" s="3" t="str">
        <f>VLOOKUP(J219,'LibSets constants'!$A$4:$B$1017,2,FALSE)</f>
        <v>DLC_BASE_GAME</v>
      </c>
      <c r="L219" s="3" t="str">
        <f>VLOOKUP(J219,'LibSets constants'!$A$4:$C$1017,3,FALSE)</f>
        <v>Included in base game</v>
      </c>
    </row>
    <row r="220" spans="1:12" x14ac:dyDescent="0.25">
      <c r="A220">
        <v>413</v>
      </c>
      <c r="B220">
        <v>209</v>
      </c>
      <c r="C220">
        <v>103</v>
      </c>
      <c r="D220" t="s">
        <v>292</v>
      </c>
      <c r="E220" t="str">
        <f>IF(NOT(ISERROR(VLOOKUP(D220,'ESO Dungeon constants'!$A$3:$A$9999,1,FALSE))),"X","")</f>
        <v/>
      </c>
      <c r="F220" s="3" t="str">
        <f>IF(EXACT(A220,C220),"X","")</f>
        <v/>
      </c>
      <c r="G220" s="3" t="str">
        <f>IF(A220&lt;&gt;C220,VLOOKUP(C220,$A$5:$D$9954,4,FALSE),"")</f>
        <v>The Rift</v>
      </c>
      <c r="H220" s="17">
        <f>A220</f>
        <v>413</v>
      </c>
      <c r="I220" s="17">
        <f>C220</f>
        <v>103</v>
      </c>
      <c r="J220">
        <v>0</v>
      </c>
      <c r="K220" s="3" t="str">
        <f>VLOOKUP(J220,'LibSets constants'!$A$4:$B$1017,2,FALSE)</f>
        <v>DLC_BASE_GAME</v>
      </c>
      <c r="L220" s="3" t="str">
        <f>VLOOKUP(J220,'LibSets constants'!$A$4:$C$1017,3,FALSE)</f>
        <v>Included in base game</v>
      </c>
    </row>
    <row r="221" spans="1:12" x14ac:dyDescent="0.25">
      <c r="A221">
        <v>414</v>
      </c>
      <c r="B221">
        <v>210</v>
      </c>
      <c r="C221">
        <v>103</v>
      </c>
      <c r="D221" t="s">
        <v>293</v>
      </c>
      <c r="E221" t="str">
        <f>IF(NOT(ISERROR(VLOOKUP(D221,'ESO Dungeon constants'!$A$3:$A$9999,1,FALSE))),"X","")</f>
        <v/>
      </c>
      <c r="F221" s="3" t="str">
        <f>IF(EXACT(A221,C221),"X","")</f>
        <v/>
      </c>
      <c r="G221" s="3" t="str">
        <f>IF(A221&lt;&gt;C221,VLOOKUP(C221,$A$5:$D$9954,4,FALSE),"")</f>
        <v>The Rift</v>
      </c>
      <c r="H221" s="17">
        <f>A221</f>
        <v>414</v>
      </c>
      <c r="I221" s="17">
        <f>C221</f>
        <v>103</v>
      </c>
      <c r="J221">
        <v>0</v>
      </c>
      <c r="K221" s="3" t="str">
        <f>VLOOKUP(J221,'LibSets constants'!$A$4:$B$1017,2,FALSE)</f>
        <v>DLC_BASE_GAME</v>
      </c>
      <c r="L221" s="3" t="str">
        <f>VLOOKUP(J221,'LibSets constants'!$A$4:$C$1017,3,FALSE)</f>
        <v>Included in base game</v>
      </c>
    </row>
    <row r="222" spans="1:12" x14ac:dyDescent="0.25">
      <c r="A222">
        <v>415</v>
      </c>
      <c r="B222">
        <v>211</v>
      </c>
      <c r="C222">
        <v>103</v>
      </c>
      <c r="D222" t="s">
        <v>294</v>
      </c>
      <c r="E222" t="str">
        <f>IF(NOT(ISERROR(VLOOKUP(D222,'ESO Dungeon constants'!$A$3:$A$9999,1,FALSE))),"X","")</f>
        <v/>
      </c>
      <c r="F222" s="3" t="str">
        <f>IF(EXACT(A222,C222),"X","")</f>
        <v/>
      </c>
      <c r="G222" s="3" t="str">
        <f>IF(A222&lt;&gt;C222,VLOOKUP(C222,$A$5:$D$9954,4,FALSE),"")</f>
        <v>The Rift</v>
      </c>
      <c r="H222" s="17">
        <f>A222</f>
        <v>415</v>
      </c>
      <c r="I222" s="17">
        <f>C222</f>
        <v>103</v>
      </c>
      <c r="J222">
        <v>0</v>
      </c>
      <c r="K222" s="3" t="str">
        <f>VLOOKUP(J222,'LibSets constants'!$A$4:$B$1017,2,FALSE)</f>
        <v>DLC_BASE_GAME</v>
      </c>
      <c r="L222" s="3" t="str">
        <f>VLOOKUP(J222,'LibSets constants'!$A$4:$C$1017,3,FALSE)</f>
        <v>Included in base game</v>
      </c>
    </row>
    <row r="223" spans="1:12" x14ac:dyDescent="0.25">
      <c r="A223">
        <v>416</v>
      </c>
      <c r="B223">
        <v>212</v>
      </c>
      <c r="C223">
        <v>381</v>
      </c>
      <c r="D223" t="s">
        <v>295</v>
      </c>
      <c r="E223" t="str">
        <f>IF(NOT(ISERROR(VLOOKUP(D223,'ESO Dungeon constants'!$A$3:$A$9999,1,FALSE))),"X","")</f>
        <v/>
      </c>
      <c r="F223" s="3" t="str">
        <f>IF(EXACT(A223,C223),"X","")</f>
        <v/>
      </c>
      <c r="G223" s="3" t="str">
        <f>IF(A223&lt;&gt;C223,VLOOKUP(C223,$A$5:$D$9954,4,FALSE),"")</f>
        <v>Auridon</v>
      </c>
      <c r="H223" s="17">
        <f>A223</f>
        <v>416</v>
      </c>
      <c r="I223" s="17">
        <f>C223</f>
        <v>381</v>
      </c>
      <c r="J223">
        <v>0</v>
      </c>
      <c r="K223" s="3" t="str">
        <f>VLOOKUP(J223,'LibSets constants'!$A$4:$B$1017,2,FALSE)</f>
        <v>DLC_BASE_GAME</v>
      </c>
      <c r="L223" s="3" t="str">
        <f>VLOOKUP(J223,'LibSets constants'!$A$4:$C$1017,3,FALSE)</f>
        <v>Included in base game</v>
      </c>
    </row>
    <row r="224" spans="1:12" x14ac:dyDescent="0.25">
      <c r="A224" s="40">
        <v>417</v>
      </c>
      <c r="B224" s="40">
        <v>213</v>
      </c>
      <c r="C224" s="40">
        <v>347</v>
      </c>
      <c r="D224" s="40" t="s">
        <v>296</v>
      </c>
      <c r="E224" s="40" t="str">
        <f>IF(NOT(ISERROR(VLOOKUP(D224,'ESO Dungeon constants'!$A$3:$A$9999,1,FALSE))),"X","")</f>
        <v/>
      </c>
      <c r="F224" s="41" t="str">
        <f>IF(EXACT(A224,C224),"X","")</f>
        <v/>
      </c>
      <c r="G224" s="41" t="str">
        <f>IF(A224&lt;&gt;C224,VLOOKUP(C224,$A$5:$D$9954,4,FALSE),"")</f>
        <v>Coldharbour</v>
      </c>
      <c r="H224" s="119">
        <f>A224</f>
        <v>417</v>
      </c>
      <c r="I224" s="119">
        <f>C224</f>
        <v>347</v>
      </c>
      <c r="J224" s="40">
        <v>0</v>
      </c>
      <c r="K224" s="41" t="str">
        <f>VLOOKUP(J224,'LibSets constants'!$A$4:$B$1017,2,FALSE)</f>
        <v>DLC_BASE_GAME</v>
      </c>
      <c r="L224" s="41" t="str">
        <f>VLOOKUP(J224,'LibSets constants'!$A$4:$C$1017,3,FALSE)</f>
        <v>Included in base game</v>
      </c>
    </row>
    <row r="225" spans="1:12" x14ac:dyDescent="0.25">
      <c r="A225">
        <v>418</v>
      </c>
      <c r="B225">
        <v>214</v>
      </c>
      <c r="C225">
        <v>347</v>
      </c>
      <c r="D225" t="s">
        <v>297</v>
      </c>
      <c r="E225" t="str">
        <f>IF(NOT(ISERROR(VLOOKUP(D225,'ESO Dungeon constants'!$A$3:$A$9999,1,FALSE))),"X","")</f>
        <v/>
      </c>
      <c r="F225" s="3" t="str">
        <f>IF(EXACT(A225,C225),"X","")</f>
        <v/>
      </c>
      <c r="G225" s="3" t="str">
        <f>IF(A225&lt;&gt;C225,VLOOKUP(C225,$A$5:$D$9954,4,FALSE),"")</f>
        <v>Coldharbour</v>
      </c>
      <c r="H225" s="17">
        <f>A225</f>
        <v>418</v>
      </c>
      <c r="I225" s="17">
        <f>C225</f>
        <v>347</v>
      </c>
      <c r="J225">
        <v>0</v>
      </c>
      <c r="K225" s="3" t="str">
        <f>VLOOKUP(J225,'LibSets constants'!$A$4:$B$1017,2,FALSE)</f>
        <v>DLC_BASE_GAME</v>
      </c>
      <c r="L225" s="3" t="str">
        <f>VLOOKUP(J225,'LibSets constants'!$A$4:$C$1017,3,FALSE)</f>
        <v>Included in base game</v>
      </c>
    </row>
    <row r="226" spans="1:12" x14ac:dyDescent="0.25">
      <c r="A226">
        <v>419</v>
      </c>
      <c r="B226">
        <v>215</v>
      </c>
      <c r="C226">
        <v>347</v>
      </c>
      <c r="D226" t="s">
        <v>298</v>
      </c>
      <c r="E226" t="str">
        <f>IF(NOT(ISERROR(VLOOKUP(D226,'ESO Dungeon constants'!$A$3:$A$9999,1,FALSE))),"X","")</f>
        <v/>
      </c>
      <c r="F226" s="3" t="str">
        <f>IF(EXACT(A226,C226),"X","")</f>
        <v/>
      </c>
      <c r="G226" s="3" t="str">
        <f>IF(A226&lt;&gt;C226,VLOOKUP(C226,$A$5:$D$9954,4,FALSE),"")</f>
        <v>Coldharbour</v>
      </c>
      <c r="H226" s="17">
        <f>A226</f>
        <v>419</v>
      </c>
      <c r="I226" s="17">
        <f>C226</f>
        <v>347</v>
      </c>
      <c r="J226">
        <v>0</v>
      </c>
      <c r="K226" s="3" t="str">
        <f>VLOOKUP(J226,'LibSets constants'!$A$4:$B$1017,2,FALSE)</f>
        <v>DLC_BASE_GAME</v>
      </c>
      <c r="L226" s="3" t="str">
        <f>VLOOKUP(J226,'LibSets constants'!$A$4:$C$1017,3,FALSE)</f>
        <v>Included in base game</v>
      </c>
    </row>
    <row r="227" spans="1:12" x14ac:dyDescent="0.25">
      <c r="A227">
        <v>420</v>
      </c>
      <c r="B227">
        <v>216</v>
      </c>
      <c r="C227">
        <v>347</v>
      </c>
      <c r="D227" t="s">
        <v>299</v>
      </c>
      <c r="E227" t="str">
        <f>IF(NOT(ISERROR(VLOOKUP(D227,'ESO Dungeon constants'!$A$3:$A$9999,1,FALSE))),"X","")</f>
        <v/>
      </c>
      <c r="F227" s="3" t="str">
        <f>IF(EXACT(A227,C227),"X","")</f>
        <v/>
      </c>
      <c r="G227" s="3" t="str">
        <f>IF(A227&lt;&gt;C227,VLOOKUP(C227,$A$5:$D$9954,4,FALSE),"")</f>
        <v>Coldharbour</v>
      </c>
      <c r="H227" s="17">
        <f>A227</f>
        <v>420</v>
      </c>
      <c r="I227" s="17">
        <f>C227</f>
        <v>347</v>
      </c>
      <c r="J227">
        <v>0</v>
      </c>
      <c r="K227" s="3" t="str">
        <f>VLOOKUP(J227,'LibSets constants'!$A$4:$B$1017,2,FALSE)</f>
        <v>DLC_BASE_GAME</v>
      </c>
      <c r="L227" s="3" t="str">
        <f>VLOOKUP(J227,'LibSets constants'!$A$4:$C$1017,3,FALSE)</f>
        <v>Included in base game</v>
      </c>
    </row>
    <row r="228" spans="1:12" x14ac:dyDescent="0.25">
      <c r="A228">
        <v>421</v>
      </c>
      <c r="B228">
        <v>217</v>
      </c>
      <c r="C228">
        <v>347</v>
      </c>
      <c r="D228" t="s">
        <v>300</v>
      </c>
      <c r="E228" t="str">
        <f>IF(NOT(ISERROR(VLOOKUP(D228,'ESO Dungeon constants'!$A$3:$A$9999,1,FALSE))),"X","")</f>
        <v/>
      </c>
      <c r="F228" s="3" t="str">
        <f>IF(EXACT(A228,C228),"X","")</f>
        <v/>
      </c>
      <c r="G228" s="3" t="str">
        <f>IF(A228&lt;&gt;C228,VLOOKUP(C228,$A$5:$D$9954,4,FALSE),"")</f>
        <v>Coldharbour</v>
      </c>
      <c r="H228" s="17">
        <f>A228</f>
        <v>421</v>
      </c>
      <c r="I228" s="17">
        <f>C228</f>
        <v>347</v>
      </c>
      <c r="J228">
        <v>0</v>
      </c>
      <c r="K228" s="3" t="str">
        <f>VLOOKUP(J228,'LibSets constants'!$A$4:$B$1017,2,FALSE)</f>
        <v>DLC_BASE_GAME</v>
      </c>
      <c r="L228" s="3" t="str">
        <f>VLOOKUP(J228,'LibSets constants'!$A$4:$C$1017,3,FALSE)</f>
        <v>Included in base game</v>
      </c>
    </row>
    <row r="229" spans="1:12" x14ac:dyDescent="0.25">
      <c r="A229">
        <v>422</v>
      </c>
      <c r="B229">
        <v>218</v>
      </c>
      <c r="C229">
        <v>347</v>
      </c>
      <c r="D229" t="s">
        <v>301</v>
      </c>
      <c r="E229" t="str">
        <f>IF(NOT(ISERROR(VLOOKUP(D229,'ESO Dungeon constants'!$A$3:$A$9999,1,FALSE))),"X","")</f>
        <v/>
      </c>
      <c r="F229" s="3" t="str">
        <f>IF(EXACT(A229,C229),"X","")</f>
        <v/>
      </c>
      <c r="G229" s="3" t="str">
        <f>IF(A229&lt;&gt;C229,VLOOKUP(C229,$A$5:$D$9954,4,FALSE),"")</f>
        <v>Coldharbour</v>
      </c>
      <c r="H229" s="17">
        <f>A229</f>
        <v>422</v>
      </c>
      <c r="I229" s="17">
        <f>C229</f>
        <v>347</v>
      </c>
      <c r="J229">
        <v>0</v>
      </c>
      <c r="K229" s="3" t="str">
        <f>VLOOKUP(J229,'LibSets constants'!$A$4:$B$1017,2,FALSE)</f>
        <v>DLC_BASE_GAME</v>
      </c>
      <c r="L229" s="3" t="str">
        <f>VLOOKUP(J229,'LibSets constants'!$A$4:$C$1017,3,FALSE)</f>
        <v>Included in base game</v>
      </c>
    </row>
    <row r="230" spans="1:12" x14ac:dyDescent="0.25">
      <c r="A230">
        <v>424</v>
      </c>
      <c r="B230">
        <v>219</v>
      </c>
      <c r="C230">
        <v>3</v>
      </c>
      <c r="D230" t="s">
        <v>302</v>
      </c>
      <c r="E230" t="str">
        <f>IF(NOT(ISERROR(VLOOKUP(D230,'ESO Dungeon constants'!$A$3:$A$9999,1,FALSE))),"X","")</f>
        <v/>
      </c>
      <c r="F230" s="3" t="str">
        <f>IF(EXACT(A230,C230),"X","")</f>
        <v/>
      </c>
      <c r="G230" s="3" t="str">
        <f>IF(A230&lt;&gt;C230,VLOOKUP(C230,$A$5:$D$9954,4,FALSE),"")</f>
        <v>Glenumbra</v>
      </c>
      <c r="H230" s="17">
        <f>A230</f>
        <v>424</v>
      </c>
      <c r="I230" s="17">
        <f>C230</f>
        <v>3</v>
      </c>
      <c r="J230">
        <v>0</v>
      </c>
      <c r="K230" s="3" t="str">
        <f>VLOOKUP(J230,'LibSets constants'!$A$4:$B$1017,2,FALSE)</f>
        <v>DLC_BASE_GAME</v>
      </c>
      <c r="L230" s="3" t="str">
        <f>VLOOKUP(J230,'LibSets constants'!$A$4:$C$1017,3,FALSE)</f>
        <v>Included in base game</v>
      </c>
    </row>
    <row r="231" spans="1:12" x14ac:dyDescent="0.25">
      <c r="A231">
        <v>425</v>
      </c>
      <c r="B231">
        <v>220</v>
      </c>
      <c r="C231">
        <v>3</v>
      </c>
      <c r="D231" t="s">
        <v>303</v>
      </c>
      <c r="E231" t="str">
        <f>IF(NOT(ISERROR(VLOOKUP(D231,'ESO Dungeon constants'!$A$3:$A$9999,1,FALSE))),"X","")</f>
        <v/>
      </c>
      <c r="F231" s="3" t="str">
        <f>IF(EXACT(A231,C231),"X","")</f>
        <v/>
      </c>
      <c r="G231" s="3" t="str">
        <f>IF(A231&lt;&gt;C231,VLOOKUP(C231,$A$5:$D$9954,4,FALSE),"")</f>
        <v>Glenumbra</v>
      </c>
      <c r="H231" s="17">
        <f>A231</f>
        <v>425</v>
      </c>
      <c r="I231" s="17">
        <f>C231</f>
        <v>3</v>
      </c>
      <c r="J231">
        <v>0</v>
      </c>
      <c r="K231" s="3" t="str">
        <f>VLOOKUP(J231,'LibSets constants'!$A$4:$B$1017,2,FALSE)</f>
        <v>DLC_BASE_GAME</v>
      </c>
      <c r="L231" s="3" t="str">
        <f>VLOOKUP(J231,'LibSets constants'!$A$4:$C$1017,3,FALSE)</f>
        <v>Included in base game</v>
      </c>
    </row>
    <row r="232" spans="1:12" x14ac:dyDescent="0.25">
      <c r="A232">
        <v>426</v>
      </c>
      <c r="B232">
        <v>221</v>
      </c>
      <c r="C232">
        <v>3</v>
      </c>
      <c r="D232" t="s">
        <v>304</v>
      </c>
      <c r="E232" t="str">
        <f>IF(NOT(ISERROR(VLOOKUP(D232,'ESO Dungeon constants'!$A$3:$A$9999,1,FALSE))),"X","")</f>
        <v/>
      </c>
      <c r="F232" s="3" t="str">
        <f>IF(EXACT(A232,C232),"X","")</f>
        <v/>
      </c>
      <c r="G232" s="3" t="str">
        <f>IF(A232&lt;&gt;C232,VLOOKUP(C232,$A$5:$D$9954,4,FALSE),"")</f>
        <v>Glenumbra</v>
      </c>
      <c r="H232" s="17">
        <f>A232</f>
        <v>426</v>
      </c>
      <c r="I232" s="17">
        <f>C232</f>
        <v>3</v>
      </c>
      <c r="J232">
        <v>0</v>
      </c>
      <c r="K232" s="3" t="str">
        <f>VLOOKUP(J232,'LibSets constants'!$A$4:$B$1017,2,FALSE)</f>
        <v>DLC_BASE_GAME</v>
      </c>
      <c r="L232" s="3" t="str">
        <f>VLOOKUP(J232,'LibSets constants'!$A$4:$C$1017,3,FALSE)</f>
        <v>Included in base game</v>
      </c>
    </row>
    <row r="233" spans="1:12" x14ac:dyDescent="0.25">
      <c r="A233">
        <v>429</v>
      </c>
      <c r="B233">
        <v>222</v>
      </c>
      <c r="C233">
        <v>3</v>
      </c>
      <c r="D233" t="s">
        <v>305</v>
      </c>
      <c r="E233" t="str">
        <f>IF(NOT(ISERROR(VLOOKUP(D233,'ESO Dungeon constants'!$A$3:$A$9999,1,FALSE))),"X","")</f>
        <v/>
      </c>
      <c r="F233" s="3" t="str">
        <f>IF(EXACT(A233,C233),"X","")</f>
        <v/>
      </c>
      <c r="G233" s="3" t="str">
        <f>IF(A233&lt;&gt;C233,VLOOKUP(C233,$A$5:$D$9954,4,FALSE),"")</f>
        <v>Glenumbra</v>
      </c>
      <c r="H233" s="17">
        <f>A233</f>
        <v>429</v>
      </c>
      <c r="I233" s="17">
        <f>C233</f>
        <v>3</v>
      </c>
      <c r="J233">
        <v>0</v>
      </c>
      <c r="K233" s="3" t="str">
        <f>VLOOKUP(J233,'LibSets constants'!$A$4:$B$1017,2,FALSE)</f>
        <v>DLC_BASE_GAME</v>
      </c>
      <c r="L233" s="3" t="str">
        <f>VLOOKUP(J233,'LibSets constants'!$A$4:$C$1017,3,FALSE)</f>
        <v>Included in base game</v>
      </c>
    </row>
    <row r="234" spans="1:12" x14ac:dyDescent="0.25">
      <c r="A234">
        <v>430</v>
      </c>
      <c r="B234">
        <v>223</v>
      </c>
      <c r="C234">
        <v>19</v>
      </c>
      <c r="D234" t="s">
        <v>306</v>
      </c>
      <c r="E234" t="str">
        <f>IF(NOT(ISERROR(VLOOKUP(D234,'ESO Dungeon constants'!$A$3:$A$9999,1,FALSE))),"X","")</f>
        <v/>
      </c>
      <c r="F234" s="3" t="str">
        <f>IF(EXACT(A234,C234),"X","")</f>
        <v/>
      </c>
      <c r="G234" s="3" t="str">
        <f>IF(A234&lt;&gt;C234,VLOOKUP(C234,$A$5:$D$9954,4,FALSE),"")</f>
        <v>Stormhaven</v>
      </c>
      <c r="H234" s="17">
        <f>A234</f>
        <v>430</v>
      </c>
      <c r="I234" s="17">
        <f>C234</f>
        <v>19</v>
      </c>
      <c r="J234">
        <v>0</v>
      </c>
      <c r="K234" s="3" t="str">
        <f>VLOOKUP(J234,'LibSets constants'!$A$4:$B$1017,2,FALSE)</f>
        <v>DLC_BASE_GAME</v>
      </c>
      <c r="L234" s="3" t="str">
        <f>VLOOKUP(J234,'LibSets constants'!$A$4:$C$1017,3,FALSE)</f>
        <v>Included in base game</v>
      </c>
    </row>
    <row r="235" spans="1:12" x14ac:dyDescent="0.25">
      <c r="A235">
        <v>431</v>
      </c>
      <c r="B235">
        <v>224</v>
      </c>
      <c r="C235">
        <v>103</v>
      </c>
      <c r="D235" t="s">
        <v>307</v>
      </c>
      <c r="E235" t="str">
        <f>IF(NOT(ISERROR(VLOOKUP(D235,'ESO Dungeon constants'!$A$3:$A$9999,1,FALSE))),"X","")</f>
        <v/>
      </c>
      <c r="F235" s="3" t="str">
        <f>IF(EXACT(A235,C235),"X","")</f>
        <v/>
      </c>
      <c r="G235" s="3" t="str">
        <f>IF(A235&lt;&gt;C235,VLOOKUP(C235,$A$5:$D$9954,4,FALSE),"")</f>
        <v>The Rift</v>
      </c>
      <c r="H235" s="17">
        <f>A235</f>
        <v>431</v>
      </c>
      <c r="I235" s="17">
        <f>C235</f>
        <v>103</v>
      </c>
      <c r="J235">
        <v>0</v>
      </c>
      <c r="K235" s="3" t="str">
        <f>VLOOKUP(J235,'LibSets constants'!$A$4:$B$1017,2,FALSE)</f>
        <v>DLC_BASE_GAME</v>
      </c>
      <c r="L235" s="3" t="str">
        <f>VLOOKUP(J235,'LibSets constants'!$A$4:$C$1017,3,FALSE)</f>
        <v>Included in base game</v>
      </c>
    </row>
    <row r="236" spans="1:12" x14ac:dyDescent="0.25">
      <c r="A236">
        <v>433</v>
      </c>
      <c r="B236">
        <v>225</v>
      </c>
      <c r="C236">
        <v>383</v>
      </c>
      <c r="D236" t="s">
        <v>308</v>
      </c>
      <c r="E236" t="str">
        <f>IF(NOT(ISERROR(VLOOKUP(D236,'ESO Dungeon constants'!$A$3:$A$9999,1,FALSE))),"X","")</f>
        <v/>
      </c>
      <c r="F236" s="3" t="str">
        <f>IF(EXACT(A236,C236),"X","")</f>
        <v/>
      </c>
      <c r="G236" s="3" t="str">
        <f>IF(A236&lt;&gt;C236,VLOOKUP(C236,$A$5:$D$9954,4,FALSE),"")</f>
        <v>Grahtwood</v>
      </c>
      <c r="H236" s="17">
        <f>A236</f>
        <v>433</v>
      </c>
      <c r="I236" s="17">
        <f>C236</f>
        <v>383</v>
      </c>
      <c r="J236">
        <v>0</v>
      </c>
      <c r="K236" s="3" t="str">
        <f>VLOOKUP(J236,'LibSets constants'!$A$4:$B$1017,2,FALSE)</f>
        <v>DLC_BASE_GAME</v>
      </c>
      <c r="L236" s="3" t="str">
        <f>VLOOKUP(J236,'LibSets constants'!$A$4:$C$1017,3,FALSE)</f>
        <v>Included in base game</v>
      </c>
    </row>
    <row r="237" spans="1:12" x14ac:dyDescent="0.25">
      <c r="A237">
        <v>434</v>
      </c>
      <c r="B237">
        <v>226</v>
      </c>
      <c r="C237">
        <v>383</v>
      </c>
      <c r="D237" t="s">
        <v>309</v>
      </c>
      <c r="E237" t="str">
        <f>IF(NOT(ISERROR(VLOOKUP(D237,'ESO Dungeon constants'!$A$3:$A$9999,1,FALSE))),"X","")</f>
        <v/>
      </c>
      <c r="F237" s="3" t="str">
        <f>IF(EXACT(A237,C237),"X","")</f>
        <v/>
      </c>
      <c r="G237" s="3" t="str">
        <f>IF(A237&lt;&gt;C237,VLOOKUP(C237,$A$5:$D$9954,4,FALSE),"")</f>
        <v>Grahtwood</v>
      </c>
      <c r="H237" s="17">
        <f>A237</f>
        <v>434</v>
      </c>
      <c r="I237" s="17">
        <f>C237</f>
        <v>383</v>
      </c>
      <c r="J237">
        <v>0</v>
      </c>
      <c r="K237" s="3" t="str">
        <f>VLOOKUP(J237,'LibSets constants'!$A$4:$B$1017,2,FALSE)</f>
        <v>DLC_BASE_GAME</v>
      </c>
      <c r="L237" s="3" t="str">
        <f>VLOOKUP(J237,'LibSets constants'!$A$4:$C$1017,3,FALSE)</f>
        <v>Included in base game</v>
      </c>
    </row>
    <row r="238" spans="1:12" x14ac:dyDescent="0.25">
      <c r="A238">
        <v>435</v>
      </c>
      <c r="B238">
        <v>227</v>
      </c>
      <c r="C238">
        <v>383</v>
      </c>
      <c r="D238" t="s">
        <v>310</v>
      </c>
      <c r="E238" t="str">
        <f>IF(NOT(ISERROR(VLOOKUP(D238,'ESO Dungeon constants'!$A$3:$A$9999,1,FALSE))),"X","")</f>
        <v/>
      </c>
      <c r="F238" s="3" t="str">
        <f>IF(EXACT(A238,C238),"X","")</f>
        <v/>
      </c>
      <c r="G238" s="3" t="str">
        <f>IF(A238&lt;&gt;C238,VLOOKUP(C238,$A$5:$D$9954,4,FALSE),"")</f>
        <v>Grahtwood</v>
      </c>
      <c r="H238" s="17">
        <f>A238</f>
        <v>435</v>
      </c>
      <c r="I238" s="17">
        <f>C238</f>
        <v>383</v>
      </c>
      <c r="J238">
        <v>0</v>
      </c>
      <c r="K238" s="3" t="str">
        <f>VLOOKUP(J238,'LibSets constants'!$A$4:$B$1017,2,FALSE)</f>
        <v>DLC_BASE_GAME</v>
      </c>
      <c r="L238" s="3" t="str">
        <f>VLOOKUP(J238,'LibSets constants'!$A$4:$C$1017,3,FALSE)</f>
        <v>Included in base game</v>
      </c>
    </row>
    <row r="239" spans="1:12" x14ac:dyDescent="0.25">
      <c r="A239">
        <v>436</v>
      </c>
      <c r="B239">
        <v>228</v>
      </c>
      <c r="C239">
        <v>383</v>
      </c>
      <c r="D239" t="s">
        <v>311</v>
      </c>
      <c r="E239" t="str">
        <f>IF(NOT(ISERROR(VLOOKUP(D239,'ESO Dungeon constants'!$A$3:$A$9999,1,FALSE))),"X","")</f>
        <v/>
      </c>
      <c r="F239" s="3" t="str">
        <f>IF(EXACT(A239,C239),"X","")</f>
        <v/>
      </c>
      <c r="G239" s="3" t="str">
        <f>IF(A239&lt;&gt;C239,VLOOKUP(C239,$A$5:$D$9954,4,FALSE),"")</f>
        <v>Grahtwood</v>
      </c>
      <c r="H239" s="17">
        <f>A239</f>
        <v>436</v>
      </c>
      <c r="I239" s="17">
        <f>C239</f>
        <v>383</v>
      </c>
      <c r="J239">
        <v>0</v>
      </c>
      <c r="K239" s="3" t="str">
        <f>VLOOKUP(J239,'LibSets constants'!$A$4:$B$1017,2,FALSE)</f>
        <v>DLC_BASE_GAME</v>
      </c>
      <c r="L239" s="3" t="str">
        <f>VLOOKUP(J239,'LibSets constants'!$A$4:$C$1017,3,FALSE)</f>
        <v>Included in base game</v>
      </c>
    </row>
    <row r="240" spans="1:12" x14ac:dyDescent="0.25">
      <c r="A240">
        <v>1344</v>
      </c>
      <c r="B240">
        <v>907</v>
      </c>
      <c r="C240">
        <v>1318</v>
      </c>
      <c r="D240" t="s">
        <v>3337</v>
      </c>
      <c r="E240" t="str">
        <f>IF(NOT(ISERROR(VLOOKUP(D240,'ESO Dungeon constants'!$A$3:$A$9999,1,FALSE))),"X","")</f>
        <v>X</v>
      </c>
      <c r="F240" s="3" t="str">
        <f>IF(EXACT(A240,C240),"X","")</f>
        <v/>
      </c>
      <c r="G240" s="3" t="str">
        <f>IF(A240&lt;&gt;C240,VLOOKUP(C240,$A$5:$D$9954,4,FALSE),"")</f>
        <v>High Isle</v>
      </c>
      <c r="H240" s="17">
        <f>A240</f>
        <v>1344</v>
      </c>
      <c r="I240" s="17">
        <f>C240</f>
        <v>1318</v>
      </c>
      <c r="J240">
        <f>IF(E240="X",VLOOKUP(D240,'ESO Dungeon constants'!$A$3:$H$9999,8,FALSE),0)</f>
        <v>26</v>
      </c>
      <c r="K240" s="3" t="str">
        <f>VLOOKUP(J240,'LibSets constants'!$A$4:$B$1017,2,FALSE)</f>
        <v>DLC_HIGH_ISLE</v>
      </c>
      <c r="L240" s="3" t="str">
        <f>VLOOKUP(J240,'LibSets constants'!$A$4:$C$1017,3,FALSE)</f>
        <v>High Isle</v>
      </c>
    </row>
    <row r="241" spans="1:12" x14ac:dyDescent="0.25">
      <c r="A241">
        <v>437</v>
      </c>
      <c r="B241">
        <v>229</v>
      </c>
      <c r="C241">
        <v>383</v>
      </c>
      <c r="D241" t="s">
        <v>312</v>
      </c>
      <c r="E241" t="str">
        <f>IF(NOT(ISERROR(VLOOKUP(D241,'ESO Dungeon constants'!$A$3:$A$9999,1,FALSE))),"X","")</f>
        <v/>
      </c>
      <c r="F241" s="3" t="str">
        <f>IF(EXACT(A241,C241),"X","")</f>
        <v/>
      </c>
      <c r="G241" s="3" t="str">
        <f>IF(A241&lt;&gt;C241,VLOOKUP(C241,$A$5:$D$9954,4,FALSE),"")</f>
        <v>Grahtwood</v>
      </c>
      <c r="H241" s="17">
        <f>A241</f>
        <v>437</v>
      </c>
      <c r="I241" s="17">
        <f>C241</f>
        <v>383</v>
      </c>
      <c r="J241">
        <v>0</v>
      </c>
      <c r="K241" s="3" t="str">
        <f>VLOOKUP(J241,'LibSets constants'!$A$4:$B$1017,2,FALSE)</f>
        <v>DLC_BASE_GAME</v>
      </c>
      <c r="L241" s="3" t="str">
        <f>VLOOKUP(J241,'LibSets constants'!$A$4:$C$1017,3,FALSE)</f>
        <v>Included in base game</v>
      </c>
    </row>
    <row r="242" spans="1:12" x14ac:dyDescent="0.25">
      <c r="A242">
        <v>438</v>
      </c>
      <c r="B242">
        <v>230</v>
      </c>
      <c r="C242">
        <v>383</v>
      </c>
      <c r="D242" t="s">
        <v>313</v>
      </c>
      <c r="E242" t="str">
        <f>IF(NOT(ISERROR(VLOOKUP(D242,'ESO Dungeon constants'!$A$3:$A$9999,1,FALSE))),"X","")</f>
        <v/>
      </c>
      <c r="F242" s="3" t="str">
        <f>IF(EXACT(A242,C242),"X","")</f>
        <v/>
      </c>
      <c r="G242" s="3" t="str">
        <f>IF(A242&lt;&gt;C242,VLOOKUP(C242,$A$5:$D$9954,4,FALSE),"")</f>
        <v>Grahtwood</v>
      </c>
      <c r="H242" s="17">
        <f>A242</f>
        <v>438</v>
      </c>
      <c r="I242" s="17">
        <f>C242</f>
        <v>383</v>
      </c>
      <c r="J242">
        <v>0</v>
      </c>
      <c r="K242" s="3" t="str">
        <f>VLOOKUP(J242,'LibSets constants'!$A$4:$B$1017,2,FALSE)</f>
        <v>DLC_BASE_GAME</v>
      </c>
      <c r="L242" s="3" t="str">
        <f>VLOOKUP(J242,'LibSets constants'!$A$4:$C$1017,3,FALSE)</f>
        <v>Included in base game</v>
      </c>
    </row>
    <row r="243" spans="1:12" x14ac:dyDescent="0.25">
      <c r="A243">
        <v>439</v>
      </c>
      <c r="B243">
        <v>231</v>
      </c>
      <c r="C243">
        <v>383</v>
      </c>
      <c r="D243" t="s">
        <v>314</v>
      </c>
      <c r="E243" t="str">
        <f>IF(NOT(ISERROR(VLOOKUP(D243,'ESO Dungeon constants'!$A$3:$A$9999,1,FALSE))),"X","")</f>
        <v/>
      </c>
      <c r="F243" s="3" t="str">
        <f>IF(EXACT(A243,C243),"X","")</f>
        <v/>
      </c>
      <c r="G243" s="3" t="str">
        <f>IF(A243&lt;&gt;C243,VLOOKUP(C243,$A$5:$D$9954,4,FALSE),"")</f>
        <v>Grahtwood</v>
      </c>
      <c r="H243" s="17">
        <f>A243</f>
        <v>439</v>
      </c>
      <c r="I243" s="17">
        <f>C243</f>
        <v>383</v>
      </c>
      <c r="J243">
        <v>0</v>
      </c>
      <c r="K243" s="3" t="str">
        <f>VLOOKUP(J243,'LibSets constants'!$A$4:$B$1017,2,FALSE)</f>
        <v>DLC_BASE_GAME</v>
      </c>
      <c r="L243" s="3" t="str">
        <f>VLOOKUP(J243,'LibSets constants'!$A$4:$C$1017,3,FALSE)</f>
        <v>Included in base game</v>
      </c>
    </row>
    <row r="244" spans="1:12" x14ac:dyDescent="0.25">
      <c r="A244">
        <v>440</v>
      </c>
      <c r="B244">
        <v>232</v>
      </c>
      <c r="C244">
        <v>383</v>
      </c>
      <c r="D244" t="s">
        <v>315</v>
      </c>
      <c r="E244" t="str">
        <f>IF(NOT(ISERROR(VLOOKUP(D244,'ESO Dungeon constants'!$A$3:$A$9999,1,FALSE))),"X","")</f>
        <v/>
      </c>
      <c r="F244" s="3" t="str">
        <f>IF(EXACT(A244,C244),"X","")</f>
        <v/>
      </c>
      <c r="G244" s="3" t="str">
        <f>IF(A244&lt;&gt;C244,VLOOKUP(C244,$A$5:$D$9954,4,FALSE),"")</f>
        <v>Grahtwood</v>
      </c>
      <c r="H244" s="17">
        <f>A244</f>
        <v>440</v>
      </c>
      <c r="I244" s="17">
        <f>C244</f>
        <v>383</v>
      </c>
      <c r="J244">
        <v>0</v>
      </c>
      <c r="K244" s="3" t="str">
        <f>VLOOKUP(J244,'LibSets constants'!$A$4:$B$1017,2,FALSE)</f>
        <v>DLC_BASE_GAME</v>
      </c>
      <c r="L244" s="3" t="str">
        <f>VLOOKUP(J244,'LibSets constants'!$A$4:$C$1017,3,FALSE)</f>
        <v>Included in base game</v>
      </c>
    </row>
    <row r="245" spans="1:12" x14ac:dyDescent="0.25">
      <c r="A245">
        <v>442</v>
      </c>
      <c r="B245">
        <v>233</v>
      </c>
      <c r="C245">
        <v>383</v>
      </c>
      <c r="D245" t="s">
        <v>316</v>
      </c>
      <c r="E245" t="str">
        <f>IF(NOT(ISERROR(VLOOKUP(D245,'ESO Dungeon constants'!$A$3:$A$9999,1,FALSE))),"X","")</f>
        <v/>
      </c>
      <c r="F245" s="3" t="str">
        <f>IF(EXACT(A245,C245),"X","")</f>
        <v/>
      </c>
      <c r="G245" s="3" t="str">
        <f>IF(A245&lt;&gt;C245,VLOOKUP(C245,$A$5:$D$9954,4,FALSE),"")</f>
        <v>Grahtwood</v>
      </c>
      <c r="H245" s="17">
        <f>A245</f>
        <v>442</v>
      </c>
      <c r="I245" s="17">
        <f>C245</f>
        <v>383</v>
      </c>
      <c r="J245">
        <v>0</v>
      </c>
      <c r="K245" s="3" t="str">
        <f>VLOOKUP(J245,'LibSets constants'!$A$4:$B$1017,2,FALSE)</f>
        <v>DLC_BASE_GAME</v>
      </c>
      <c r="L245" s="3" t="str">
        <f>VLOOKUP(J245,'LibSets constants'!$A$4:$C$1017,3,FALSE)</f>
        <v>Included in base game</v>
      </c>
    </row>
    <row r="246" spans="1:12" x14ac:dyDescent="0.25">
      <c r="A246">
        <v>1360</v>
      </c>
      <c r="B246">
        <v>910</v>
      </c>
      <c r="C246">
        <v>1318</v>
      </c>
      <c r="D246" t="s">
        <v>3374</v>
      </c>
      <c r="E246" t="str">
        <f>IF(NOT(ISERROR(VLOOKUP(D246,'ESO Dungeon constants'!$A$3:$A$9999,1,FALSE))),"X","")</f>
        <v>X</v>
      </c>
      <c r="F246" s="3" t="str">
        <f>IF(EXACT(A246,C246),"X","")</f>
        <v/>
      </c>
      <c r="G246" s="3" t="str">
        <f>IF(A246&lt;&gt;C246,VLOOKUP(C246,$A$5:$D$9954,4,FALSE),"")</f>
        <v>High Isle</v>
      </c>
      <c r="H246" s="17">
        <f>A246</f>
        <v>1360</v>
      </c>
      <c r="I246" s="17">
        <f>C246</f>
        <v>1318</v>
      </c>
      <c r="J246">
        <f>IF(E246="X",VLOOKUP(D246,'ESO Dungeon constants'!$A$3:$H$9999,8,FALSE),0)</f>
        <v>27</v>
      </c>
      <c r="K246" s="3" t="str">
        <f>VLOOKUP(J246,'LibSets constants'!$A$4:$B$1017,2,FALSE)</f>
        <v>DLC_LOST_DEPTHS</v>
      </c>
      <c r="L246" s="3" t="str">
        <f>VLOOKUP(J246,'LibSets constants'!$A$4:$C$1017,3,FALSE)</f>
        <v>Lost Depths</v>
      </c>
    </row>
    <row r="247" spans="1:12" x14ac:dyDescent="0.25">
      <c r="A247">
        <v>444</v>
      </c>
      <c r="B247">
        <v>234</v>
      </c>
      <c r="C247">
        <v>383</v>
      </c>
      <c r="D247" t="s">
        <v>317</v>
      </c>
      <c r="E247" t="str">
        <f>IF(NOT(ISERROR(VLOOKUP(D247,'ESO Dungeon constants'!$A$3:$A$9999,1,FALSE))),"X","")</f>
        <v/>
      </c>
      <c r="F247" s="3" t="str">
        <f>IF(EXACT(A247,C247),"X","")</f>
        <v/>
      </c>
      <c r="G247" s="3" t="str">
        <f>IF(A247&lt;&gt;C247,VLOOKUP(C247,$A$5:$D$9954,4,FALSE),"")</f>
        <v>Grahtwood</v>
      </c>
      <c r="H247" s="17">
        <f>A247</f>
        <v>444</v>
      </c>
      <c r="I247" s="17">
        <f>C247</f>
        <v>383</v>
      </c>
      <c r="J247">
        <v>0</v>
      </c>
      <c r="K247" s="3" t="str">
        <f>VLOOKUP(J247,'LibSets constants'!$A$4:$B$1017,2,FALSE)</f>
        <v>DLC_BASE_GAME</v>
      </c>
      <c r="L247" s="3" t="str">
        <f>VLOOKUP(J247,'LibSets constants'!$A$4:$C$1017,3,FALSE)</f>
        <v>Included in base game</v>
      </c>
    </row>
    <row r="248" spans="1:12" x14ac:dyDescent="0.25">
      <c r="A248">
        <v>447</v>
      </c>
      <c r="B248">
        <v>235</v>
      </c>
      <c r="C248">
        <v>383</v>
      </c>
      <c r="D248" t="s">
        <v>318</v>
      </c>
      <c r="E248" t="str">
        <f>IF(NOT(ISERROR(VLOOKUP(D248,'ESO Dungeon constants'!$A$3:$A$9999,1,FALSE))),"X","")</f>
        <v/>
      </c>
      <c r="F248" s="3" t="str">
        <f>IF(EXACT(A248,C248),"X","")</f>
        <v/>
      </c>
      <c r="G248" s="3" t="str">
        <f>IF(A248&lt;&gt;C248,VLOOKUP(C248,$A$5:$D$9954,4,FALSE),"")</f>
        <v>Grahtwood</v>
      </c>
      <c r="H248" s="17">
        <f>A248</f>
        <v>447</v>
      </c>
      <c r="I248" s="17">
        <f>C248</f>
        <v>383</v>
      </c>
      <c r="J248">
        <v>0</v>
      </c>
      <c r="K248" s="3" t="str">
        <f>VLOOKUP(J248,'LibSets constants'!$A$4:$B$1017,2,FALSE)</f>
        <v>DLC_BASE_GAME</v>
      </c>
      <c r="L248" s="3" t="str">
        <f>VLOOKUP(J248,'LibSets constants'!$A$4:$C$1017,3,FALSE)</f>
        <v>Included in base game</v>
      </c>
    </row>
    <row r="249" spans="1:12" x14ac:dyDescent="0.25">
      <c r="A249">
        <v>451</v>
      </c>
      <c r="B249">
        <v>237</v>
      </c>
      <c r="C249">
        <v>382</v>
      </c>
      <c r="D249" t="s">
        <v>319</v>
      </c>
      <c r="E249" t="str">
        <f>IF(NOT(ISERROR(VLOOKUP(D249,'ESO Dungeon constants'!$A$3:$A$9999,1,FALSE))),"X","")</f>
        <v/>
      </c>
      <c r="F249" s="3" t="str">
        <f>IF(EXACT(A249,C249),"X","")</f>
        <v/>
      </c>
      <c r="G249" s="3" t="str">
        <f>IF(A249&lt;&gt;C249,VLOOKUP(C249,$A$5:$D$9954,4,FALSE),"")</f>
        <v>Reaper's March</v>
      </c>
      <c r="H249" s="17">
        <f>A249</f>
        <v>451</v>
      </c>
      <c r="I249" s="17">
        <f>C249</f>
        <v>382</v>
      </c>
      <c r="J249">
        <v>0</v>
      </c>
      <c r="K249" s="3" t="str">
        <f>VLOOKUP(J249,'LibSets constants'!$A$4:$B$1017,2,FALSE)</f>
        <v>DLC_BASE_GAME</v>
      </c>
      <c r="L249" s="3" t="str">
        <f>VLOOKUP(J249,'LibSets constants'!$A$4:$C$1017,3,FALSE)</f>
        <v>Included in base game</v>
      </c>
    </row>
    <row r="250" spans="1:12" x14ac:dyDescent="0.25">
      <c r="A250">
        <v>452</v>
      </c>
      <c r="B250">
        <v>238</v>
      </c>
      <c r="C250">
        <v>382</v>
      </c>
      <c r="D250" t="s">
        <v>320</v>
      </c>
      <c r="E250" t="str">
        <f>IF(NOT(ISERROR(VLOOKUP(D250,'ESO Dungeon constants'!$A$3:$A$9999,1,FALSE))),"X","")</f>
        <v/>
      </c>
      <c r="F250" s="3" t="str">
        <f>IF(EXACT(A250,C250),"X","")</f>
        <v/>
      </c>
      <c r="G250" s="3" t="str">
        <f>IF(A250&lt;&gt;C250,VLOOKUP(C250,$A$5:$D$9954,4,FALSE),"")</f>
        <v>Reaper's March</v>
      </c>
      <c r="H250" s="17">
        <f>A250</f>
        <v>452</v>
      </c>
      <c r="I250" s="17">
        <f>C250</f>
        <v>382</v>
      </c>
      <c r="J250">
        <v>0</v>
      </c>
      <c r="K250" s="3" t="str">
        <f>VLOOKUP(J250,'LibSets constants'!$A$4:$B$1017,2,FALSE)</f>
        <v>DLC_BASE_GAME</v>
      </c>
      <c r="L250" s="3" t="str">
        <f>VLOOKUP(J250,'LibSets constants'!$A$4:$C$1017,3,FALSE)</f>
        <v>Included in base game</v>
      </c>
    </row>
    <row r="251" spans="1:12" x14ac:dyDescent="0.25">
      <c r="A251">
        <v>453</v>
      </c>
      <c r="B251">
        <v>239</v>
      </c>
      <c r="C251">
        <v>382</v>
      </c>
      <c r="D251" t="s">
        <v>321</v>
      </c>
      <c r="E251" t="str">
        <f>IF(NOT(ISERROR(VLOOKUP(D251,'ESO Dungeon constants'!$A$3:$A$9999,1,FALSE))),"X","")</f>
        <v/>
      </c>
      <c r="F251" s="3" t="str">
        <f>IF(EXACT(A251,C251),"X","")</f>
        <v/>
      </c>
      <c r="G251" s="3" t="str">
        <f>IF(A251&lt;&gt;C251,VLOOKUP(C251,$A$5:$D$9954,4,FALSE),"")</f>
        <v>Reaper's March</v>
      </c>
      <c r="H251" s="17">
        <f>A251</f>
        <v>453</v>
      </c>
      <c r="I251" s="17">
        <f>C251</f>
        <v>382</v>
      </c>
      <c r="J251">
        <v>0</v>
      </c>
      <c r="K251" s="3" t="str">
        <f>VLOOKUP(J251,'LibSets constants'!$A$4:$B$1017,2,FALSE)</f>
        <v>DLC_BASE_GAME</v>
      </c>
      <c r="L251" s="3" t="str">
        <f>VLOOKUP(J251,'LibSets constants'!$A$4:$C$1017,3,FALSE)</f>
        <v>Included in base game</v>
      </c>
    </row>
    <row r="252" spans="1:12" x14ac:dyDescent="0.25">
      <c r="A252">
        <v>454</v>
      </c>
      <c r="B252">
        <v>240</v>
      </c>
      <c r="C252">
        <v>382</v>
      </c>
      <c r="D252" t="s">
        <v>322</v>
      </c>
      <c r="E252" t="str">
        <f>IF(NOT(ISERROR(VLOOKUP(D252,'ESO Dungeon constants'!$A$3:$A$9999,1,FALSE))),"X","")</f>
        <v/>
      </c>
      <c r="F252" s="3" t="str">
        <f>IF(EXACT(A252,C252),"X","")</f>
        <v/>
      </c>
      <c r="G252" s="3" t="str">
        <f>IF(A252&lt;&gt;C252,VLOOKUP(C252,$A$5:$D$9954,4,FALSE),"")</f>
        <v>Reaper's March</v>
      </c>
      <c r="H252" s="17">
        <f>A252</f>
        <v>454</v>
      </c>
      <c r="I252" s="17">
        <f>C252</f>
        <v>382</v>
      </c>
      <c r="J252">
        <v>0</v>
      </c>
      <c r="K252" s="3" t="str">
        <f>VLOOKUP(J252,'LibSets constants'!$A$4:$B$1017,2,FALSE)</f>
        <v>DLC_BASE_GAME</v>
      </c>
      <c r="L252" s="3" t="str">
        <f>VLOOKUP(J252,'LibSets constants'!$A$4:$C$1017,3,FALSE)</f>
        <v>Included in base game</v>
      </c>
    </row>
    <row r="253" spans="1:12" x14ac:dyDescent="0.25">
      <c r="A253">
        <v>455</v>
      </c>
      <c r="B253">
        <v>241</v>
      </c>
      <c r="C253">
        <v>382</v>
      </c>
      <c r="D253" t="s">
        <v>323</v>
      </c>
      <c r="E253" t="str">
        <f>IF(NOT(ISERROR(VLOOKUP(D253,'ESO Dungeon constants'!$A$3:$A$9999,1,FALSE))),"X","")</f>
        <v/>
      </c>
      <c r="F253" s="3" t="str">
        <f>IF(EXACT(A253,C253),"X","")</f>
        <v/>
      </c>
      <c r="G253" s="3" t="str">
        <f>IF(A253&lt;&gt;C253,VLOOKUP(C253,$A$5:$D$9954,4,FALSE),"")</f>
        <v>Reaper's March</v>
      </c>
      <c r="H253" s="17">
        <f>A253</f>
        <v>455</v>
      </c>
      <c r="I253" s="17">
        <f>C253</f>
        <v>382</v>
      </c>
      <c r="J253">
        <v>0</v>
      </c>
      <c r="K253" s="3" t="str">
        <f>VLOOKUP(J253,'LibSets constants'!$A$4:$B$1017,2,FALSE)</f>
        <v>DLC_BASE_GAME</v>
      </c>
      <c r="L253" s="3" t="str">
        <f>VLOOKUP(J253,'LibSets constants'!$A$4:$C$1017,3,FALSE)</f>
        <v>Included in base game</v>
      </c>
    </row>
    <row r="254" spans="1:12" x14ac:dyDescent="0.25">
      <c r="A254">
        <v>456</v>
      </c>
      <c r="B254">
        <v>242</v>
      </c>
      <c r="C254">
        <v>382</v>
      </c>
      <c r="D254" t="s">
        <v>324</v>
      </c>
      <c r="E254" t="str">
        <f>IF(NOT(ISERROR(VLOOKUP(D254,'ESO Dungeon constants'!$A$3:$A$9999,1,FALSE))),"X","")</f>
        <v/>
      </c>
      <c r="F254" s="3" t="str">
        <f>IF(EXACT(A254,C254),"X","")</f>
        <v/>
      </c>
      <c r="G254" s="3" t="str">
        <f>IF(A254&lt;&gt;C254,VLOOKUP(C254,$A$5:$D$9954,4,FALSE),"")</f>
        <v>Reaper's March</v>
      </c>
      <c r="H254" s="17">
        <f>A254</f>
        <v>456</v>
      </c>
      <c r="I254" s="17">
        <f>C254</f>
        <v>382</v>
      </c>
      <c r="J254">
        <v>0</v>
      </c>
      <c r="K254" s="3" t="str">
        <f>VLOOKUP(J254,'LibSets constants'!$A$4:$B$1017,2,FALSE)</f>
        <v>DLC_BASE_GAME</v>
      </c>
      <c r="L254" s="3" t="str">
        <f>VLOOKUP(J254,'LibSets constants'!$A$4:$C$1017,3,FALSE)</f>
        <v>Included in base game</v>
      </c>
    </row>
    <row r="255" spans="1:12" x14ac:dyDescent="0.25">
      <c r="A255">
        <v>457</v>
      </c>
      <c r="B255">
        <v>243</v>
      </c>
      <c r="C255">
        <v>382</v>
      </c>
      <c r="D255" t="s">
        <v>325</v>
      </c>
      <c r="E255" t="str">
        <f>IF(NOT(ISERROR(VLOOKUP(D255,'ESO Dungeon constants'!$A$3:$A$9999,1,FALSE))),"X","")</f>
        <v/>
      </c>
      <c r="F255" s="3" t="str">
        <f>IF(EXACT(A255,C255),"X","")</f>
        <v/>
      </c>
      <c r="G255" s="3" t="str">
        <f>IF(A255&lt;&gt;C255,VLOOKUP(C255,$A$5:$D$9954,4,FALSE),"")</f>
        <v>Reaper's March</v>
      </c>
      <c r="H255" s="17">
        <f>A255</f>
        <v>457</v>
      </c>
      <c r="I255" s="17">
        <f>C255</f>
        <v>382</v>
      </c>
      <c r="J255">
        <v>0</v>
      </c>
      <c r="K255" s="3" t="str">
        <f>VLOOKUP(J255,'LibSets constants'!$A$4:$B$1017,2,FALSE)</f>
        <v>DLC_BASE_GAME</v>
      </c>
      <c r="L255" s="3" t="str">
        <f>VLOOKUP(J255,'LibSets constants'!$A$4:$C$1017,3,FALSE)</f>
        <v>Included in base game</v>
      </c>
    </row>
    <row r="256" spans="1:12" x14ac:dyDescent="0.25">
      <c r="A256">
        <v>458</v>
      </c>
      <c r="B256">
        <v>244</v>
      </c>
      <c r="C256">
        <v>382</v>
      </c>
      <c r="D256" t="s">
        <v>326</v>
      </c>
      <c r="E256" t="str">
        <f>IF(NOT(ISERROR(VLOOKUP(D256,'ESO Dungeon constants'!$A$3:$A$9999,1,FALSE))),"X","")</f>
        <v/>
      </c>
      <c r="F256" s="3" t="str">
        <f>IF(EXACT(A256,C256),"X","")</f>
        <v/>
      </c>
      <c r="G256" s="3" t="str">
        <f>IF(A256&lt;&gt;C256,VLOOKUP(C256,$A$5:$D$9954,4,FALSE),"")</f>
        <v>Reaper's March</v>
      </c>
      <c r="H256" s="17">
        <f>A256</f>
        <v>458</v>
      </c>
      <c r="I256" s="17">
        <f>C256</f>
        <v>382</v>
      </c>
      <c r="J256">
        <v>0</v>
      </c>
      <c r="K256" s="3" t="str">
        <f>VLOOKUP(J256,'LibSets constants'!$A$4:$B$1017,2,FALSE)</f>
        <v>DLC_BASE_GAME</v>
      </c>
      <c r="L256" s="3" t="str">
        <f>VLOOKUP(J256,'LibSets constants'!$A$4:$C$1017,3,FALSE)</f>
        <v>Included in base game</v>
      </c>
    </row>
    <row r="257" spans="1:12" x14ac:dyDescent="0.25">
      <c r="A257">
        <v>459</v>
      </c>
      <c r="B257">
        <v>245</v>
      </c>
      <c r="C257">
        <v>382</v>
      </c>
      <c r="D257" t="s">
        <v>327</v>
      </c>
      <c r="E257" t="str">
        <f>IF(NOT(ISERROR(VLOOKUP(D257,'ESO Dungeon constants'!$A$3:$A$9999,1,FALSE))),"X","")</f>
        <v/>
      </c>
      <c r="F257" s="3" t="str">
        <f>IF(EXACT(A257,C257),"X","")</f>
        <v/>
      </c>
      <c r="G257" s="3" t="str">
        <f>IF(A257&lt;&gt;C257,VLOOKUP(C257,$A$5:$D$9954,4,FALSE),"")</f>
        <v>Reaper's March</v>
      </c>
      <c r="H257" s="17">
        <f>A257</f>
        <v>459</v>
      </c>
      <c r="I257" s="17">
        <f>C257</f>
        <v>382</v>
      </c>
      <c r="J257">
        <v>0</v>
      </c>
      <c r="K257" s="3" t="str">
        <f>VLOOKUP(J257,'LibSets constants'!$A$4:$B$1017,2,FALSE)</f>
        <v>DLC_BASE_GAME</v>
      </c>
      <c r="L257" s="3" t="str">
        <f>VLOOKUP(J257,'LibSets constants'!$A$4:$C$1017,3,FALSE)</f>
        <v>Included in base game</v>
      </c>
    </row>
    <row r="258" spans="1:12" x14ac:dyDescent="0.25">
      <c r="A258">
        <v>460</v>
      </c>
      <c r="B258">
        <v>246</v>
      </c>
      <c r="C258">
        <v>382</v>
      </c>
      <c r="D258" t="s">
        <v>3959</v>
      </c>
      <c r="E258" t="str">
        <f>IF(NOT(ISERROR(VLOOKUP(D258,'ESO Dungeon constants'!$A$3:$A$9999,1,FALSE))),"X","")</f>
        <v/>
      </c>
      <c r="F258" s="3" t="str">
        <f>IF(EXACT(A258,C258),"X","")</f>
        <v/>
      </c>
      <c r="G258" s="3" t="str">
        <f>IF(A258&lt;&gt;C258,VLOOKUP(C258,$A$5:$D$9954,4,FALSE),"")</f>
        <v>Reaper's March</v>
      </c>
      <c r="H258" s="17">
        <f>A258</f>
        <v>460</v>
      </c>
      <c r="I258" s="17">
        <f>C258</f>
        <v>382</v>
      </c>
      <c r="J258">
        <v>0</v>
      </c>
      <c r="K258" s="3" t="str">
        <f>VLOOKUP(J258,'LibSets constants'!$A$4:$B$1017,2,FALSE)</f>
        <v>DLC_BASE_GAME</v>
      </c>
      <c r="L258" s="3" t="str">
        <f>VLOOKUP(J258,'LibSets constants'!$A$4:$C$1017,3,FALSE)</f>
        <v>Included in base game</v>
      </c>
    </row>
    <row r="259" spans="1:12" x14ac:dyDescent="0.25">
      <c r="A259">
        <v>126</v>
      </c>
      <c r="B259">
        <v>21</v>
      </c>
      <c r="C259">
        <v>383</v>
      </c>
      <c r="D259" t="s">
        <v>43</v>
      </c>
      <c r="E259" t="str">
        <f>IF(NOT(ISERROR(VLOOKUP(D259,'ESO Dungeon constants'!$A$3:$A$9999,1,FALSE))),"X","")</f>
        <v>X</v>
      </c>
      <c r="F259" s="3" t="str">
        <f>IF(EXACT(A259,C259),"X","")</f>
        <v/>
      </c>
      <c r="G259" s="3" t="str">
        <f>IF(A259&lt;&gt;C259,VLOOKUP(C259,$A$5:$D$9954,4,FALSE),"")</f>
        <v>Grahtwood</v>
      </c>
      <c r="H259" s="17">
        <f>A259</f>
        <v>126</v>
      </c>
      <c r="I259" s="17">
        <f>C259</f>
        <v>383</v>
      </c>
      <c r="J259">
        <f>IF(E259="X",VLOOKUP(D259,'ESO Dungeon constants'!$A$3:$H$9999,8,FALSE),0)</f>
        <v>0</v>
      </c>
      <c r="K259" s="3" t="str">
        <f>VLOOKUP(J259,'LibSets constants'!$A$4:$B$1017,2,FALSE)</f>
        <v>DLC_BASE_GAME</v>
      </c>
      <c r="L259" s="3" t="str">
        <f>VLOOKUP(J259,'LibSets constants'!$A$4:$C$1017,3,FALSE)</f>
        <v>Included in base game</v>
      </c>
    </row>
    <row r="260" spans="1:12" x14ac:dyDescent="0.25">
      <c r="A260">
        <v>931</v>
      </c>
      <c r="B260">
        <v>544</v>
      </c>
      <c r="C260">
        <v>383</v>
      </c>
      <c r="D260" t="s">
        <v>56</v>
      </c>
      <c r="E260" t="str">
        <f>IF(NOT(ISERROR(VLOOKUP(D260,'ESO Dungeon constants'!$A$3:$A$9999,1,FALSE))),"X","")</f>
        <v>X</v>
      </c>
      <c r="F260" s="3" t="str">
        <f>IF(EXACT(A260,C260),"X","")</f>
        <v/>
      </c>
      <c r="G260" s="3" t="str">
        <f>IF(A260&lt;&gt;C260,VLOOKUP(C260,$A$5:$D$9954,4,FALSE),"")</f>
        <v>Grahtwood</v>
      </c>
      <c r="H260" s="17">
        <f>A260</f>
        <v>931</v>
      </c>
      <c r="I260" s="17">
        <f>C260</f>
        <v>383</v>
      </c>
      <c r="J260">
        <f>IF(E260="X",VLOOKUP(D260,'ESO Dungeon constants'!$A$3:$H$9999,8,FALSE),0)</f>
        <v>0</v>
      </c>
      <c r="K260" s="3" t="str">
        <f>VLOOKUP(J260,'LibSets constants'!$A$4:$B$1017,2,FALSE)</f>
        <v>DLC_BASE_GAME</v>
      </c>
      <c r="L260" s="3" t="str">
        <f>VLOOKUP(J260,'LibSets constants'!$A$4:$C$1017,3,FALSE)</f>
        <v>Included in base game</v>
      </c>
    </row>
    <row r="261" spans="1:12" x14ac:dyDescent="0.25">
      <c r="A261">
        <v>461</v>
      </c>
      <c r="B261">
        <v>247</v>
      </c>
      <c r="C261">
        <v>382</v>
      </c>
      <c r="D261" t="s">
        <v>328</v>
      </c>
      <c r="E261" t="str">
        <f>IF(NOT(ISERROR(VLOOKUP(D261,'ESO Dungeon constants'!$A$3:$A$9999,1,FALSE))),"X","")</f>
        <v/>
      </c>
      <c r="F261" s="3" t="str">
        <f>IF(EXACT(A261,C261),"X","")</f>
        <v/>
      </c>
      <c r="G261" s="3" t="str">
        <f>IF(A261&lt;&gt;C261,VLOOKUP(C261,$A$5:$D$9954,4,FALSE),"")</f>
        <v>Reaper's March</v>
      </c>
      <c r="H261" s="17">
        <f>A261</f>
        <v>461</v>
      </c>
      <c r="I261" s="17">
        <f>C261</f>
        <v>382</v>
      </c>
      <c r="J261">
        <v>0</v>
      </c>
      <c r="K261" s="3" t="str">
        <f>VLOOKUP(J261,'LibSets constants'!$A$4:$B$1017,2,FALSE)</f>
        <v>DLC_BASE_GAME</v>
      </c>
      <c r="L261" s="3" t="str">
        <f>VLOOKUP(J261,'LibSets constants'!$A$4:$C$1017,3,FALSE)</f>
        <v>Included in base game</v>
      </c>
    </row>
    <row r="262" spans="1:12" x14ac:dyDescent="0.25">
      <c r="A262">
        <v>462</v>
      </c>
      <c r="B262">
        <v>248</v>
      </c>
      <c r="C262">
        <v>382</v>
      </c>
      <c r="D262" t="s">
        <v>329</v>
      </c>
      <c r="E262" t="str">
        <f>IF(NOT(ISERROR(VLOOKUP(D262,'ESO Dungeon constants'!$A$3:$A$9999,1,FALSE))),"X","")</f>
        <v/>
      </c>
      <c r="F262" s="3" t="str">
        <f>IF(EXACT(A262,C262),"X","")</f>
        <v/>
      </c>
      <c r="G262" s="3" t="str">
        <f>IF(A262&lt;&gt;C262,VLOOKUP(C262,$A$5:$D$9954,4,FALSE),"")</f>
        <v>Reaper's March</v>
      </c>
      <c r="H262" s="17">
        <f>A262</f>
        <v>462</v>
      </c>
      <c r="I262" s="17">
        <f>C262</f>
        <v>382</v>
      </c>
      <c r="J262">
        <v>0</v>
      </c>
      <c r="K262" s="3" t="str">
        <f>VLOOKUP(J262,'LibSets constants'!$A$4:$B$1017,2,FALSE)</f>
        <v>DLC_BASE_GAME</v>
      </c>
      <c r="L262" s="3" t="str">
        <f>VLOOKUP(J262,'LibSets constants'!$A$4:$C$1017,3,FALSE)</f>
        <v>Included in base game</v>
      </c>
    </row>
    <row r="263" spans="1:12" x14ac:dyDescent="0.25">
      <c r="A263">
        <v>463</v>
      </c>
      <c r="B263">
        <v>249</v>
      </c>
      <c r="C263">
        <v>382</v>
      </c>
      <c r="D263" t="s">
        <v>330</v>
      </c>
      <c r="E263" t="str">
        <f>IF(NOT(ISERROR(VLOOKUP(D263,'ESO Dungeon constants'!$A$3:$A$9999,1,FALSE))),"X","")</f>
        <v/>
      </c>
      <c r="F263" s="3" t="str">
        <f>IF(EXACT(A263,C263),"X","")</f>
        <v/>
      </c>
      <c r="G263" s="3" t="str">
        <f>IF(A263&lt;&gt;C263,VLOOKUP(C263,$A$5:$D$9954,4,FALSE),"")</f>
        <v>Reaper's March</v>
      </c>
      <c r="H263" s="17">
        <f>A263</f>
        <v>463</v>
      </c>
      <c r="I263" s="17">
        <f>C263</f>
        <v>382</v>
      </c>
      <c r="J263">
        <v>0</v>
      </c>
      <c r="K263" s="3" t="str">
        <f>VLOOKUP(J263,'LibSets constants'!$A$4:$B$1017,2,FALSE)</f>
        <v>DLC_BASE_GAME</v>
      </c>
      <c r="L263" s="3" t="str">
        <f>VLOOKUP(J263,'LibSets constants'!$A$4:$C$1017,3,FALSE)</f>
        <v>Included in base game</v>
      </c>
    </row>
    <row r="264" spans="1:12" x14ac:dyDescent="0.25">
      <c r="A264">
        <v>464</v>
      </c>
      <c r="B264">
        <v>250</v>
      </c>
      <c r="C264">
        <v>382</v>
      </c>
      <c r="D264" t="s">
        <v>331</v>
      </c>
      <c r="E264" t="str">
        <f>IF(NOT(ISERROR(VLOOKUP(D264,'ESO Dungeon constants'!$A$3:$A$9999,1,FALSE))),"X","")</f>
        <v/>
      </c>
      <c r="F264" s="3" t="str">
        <f>IF(EXACT(A264,C264),"X","")</f>
        <v/>
      </c>
      <c r="G264" s="3" t="str">
        <f>IF(A264&lt;&gt;C264,VLOOKUP(C264,$A$5:$D$9954,4,FALSE),"")</f>
        <v>Reaper's March</v>
      </c>
      <c r="H264" s="17">
        <f>A264</f>
        <v>464</v>
      </c>
      <c r="I264" s="17">
        <f>C264</f>
        <v>382</v>
      </c>
      <c r="J264">
        <v>0</v>
      </c>
      <c r="K264" s="3" t="str">
        <f>VLOOKUP(J264,'LibSets constants'!$A$4:$B$1017,2,FALSE)</f>
        <v>DLC_BASE_GAME</v>
      </c>
      <c r="L264" s="3" t="str">
        <f>VLOOKUP(J264,'LibSets constants'!$A$4:$C$1017,3,FALSE)</f>
        <v>Included in base game</v>
      </c>
    </row>
    <row r="265" spans="1:12" x14ac:dyDescent="0.25">
      <c r="A265">
        <v>465</v>
      </c>
      <c r="B265">
        <v>251</v>
      </c>
      <c r="C265">
        <v>382</v>
      </c>
      <c r="D265" t="s">
        <v>332</v>
      </c>
      <c r="E265" t="str">
        <f>IF(NOT(ISERROR(VLOOKUP(D265,'ESO Dungeon constants'!$A$3:$A$9999,1,FALSE))),"X","")</f>
        <v/>
      </c>
      <c r="F265" s="3" t="str">
        <f>IF(EXACT(A265,C265),"X","")</f>
        <v/>
      </c>
      <c r="G265" s="3" t="str">
        <f>IF(A265&lt;&gt;C265,VLOOKUP(C265,$A$5:$D$9954,4,FALSE),"")</f>
        <v>Reaper's March</v>
      </c>
      <c r="H265" s="17">
        <f>A265</f>
        <v>465</v>
      </c>
      <c r="I265" s="17">
        <f>C265</f>
        <v>382</v>
      </c>
      <c r="J265">
        <v>0</v>
      </c>
      <c r="K265" s="3" t="str">
        <f>VLOOKUP(J265,'LibSets constants'!$A$4:$B$1017,2,FALSE)</f>
        <v>DLC_BASE_GAME</v>
      </c>
      <c r="L265" s="3" t="str">
        <f>VLOOKUP(J265,'LibSets constants'!$A$4:$C$1017,3,FALSE)</f>
        <v>Included in base game</v>
      </c>
    </row>
    <row r="266" spans="1:12" x14ac:dyDescent="0.25">
      <c r="A266">
        <v>466</v>
      </c>
      <c r="B266">
        <v>252</v>
      </c>
      <c r="C266">
        <v>382</v>
      </c>
      <c r="D266" t="s">
        <v>333</v>
      </c>
      <c r="E266" t="str">
        <f>IF(NOT(ISERROR(VLOOKUP(D266,'ESO Dungeon constants'!$A$3:$A$9999,1,FALSE))),"X","")</f>
        <v/>
      </c>
      <c r="F266" s="3" t="str">
        <f>IF(EXACT(A266,C266),"X","")</f>
        <v/>
      </c>
      <c r="G266" s="3" t="str">
        <f>IF(A266&lt;&gt;C266,VLOOKUP(C266,$A$5:$D$9954,4,FALSE),"")</f>
        <v>Reaper's March</v>
      </c>
      <c r="H266" s="17">
        <f>A266</f>
        <v>466</v>
      </c>
      <c r="I266" s="17">
        <f>C266</f>
        <v>382</v>
      </c>
      <c r="J266">
        <v>0</v>
      </c>
      <c r="K266" s="3" t="str">
        <f>VLOOKUP(J266,'LibSets constants'!$A$4:$B$1017,2,FALSE)</f>
        <v>DLC_BASE_GAME</v>
      </c>
      <c r="L266" s="3" t="str">
        <f>VLOOKUP(J266,'LibSets constants'!$A$4:$C$1017,3,FALSE)</f>
        <v>Included in base game</v>
      </c>
    </row>
    <row r="267" spans="1:12" x14ac:dyDescent="0.25">
      <c r="A267">
        <v>467</v>
      </c>
      <c r="B267">
        <v>253</v>
      </c>
      <c r="C267">
        <v>382</v>
      </c>
      <c r="D267" t="s">
        <v>334</v>
      </c>
      <c r="E267" t="str">
        <f>IF(NOT(ISERROR(VLOOKUP(D267,'ESO Dungeon constants'!$A$3:$A$9999,1,FALSE))),"X","")</f>
        <v/>
      </c>
      <c r="F267" s="3" t="str">
        <f>IF(EXACT(A267,C267),"X","")</f>
        <v/>
      </c>
      <c r="G267" s="3" t="str">
        <f>IF(A267&lt;&gt;C267,VLOOKUP(C267,$A$5:$D$9954,4,FALSE),"")</f>
        <v>Reaper's March</v>
      </c>
      <c r="H267" s="17">
        <f>A267</f>
        <v>467</v>
      </c>
      <c r="I267" s="17">
        <f>C267</f>
        <v>382</v>
      </c>
      <c r="J267">
        <v>0</v>
      </c>
      <c r="K267" s="3" t="str">
        <f>VLOOKUP(J267,'LibSets constants'!$A$4:$B$1017,2,FALSE)</f>
        <v>DLC_BASE_GAME</v>
      </c>
      <c r="L267" s="3" t="str">
        <f>VLOOKUP(J267,'LibSets constants'!$A$4:$C$1017,3,FALSE)</f>
        <v>Included in base game</v>
      </c>
    </row>
    <row r="268" spans="1:12" x14ac:dyDescent="0.25">
      <c r="A268">
        <v>468</v>
      </c>
      <c r="B268">
        <v>254</v>
      </c>
      <c r="C268">
        <v>58</v>
      </c>
      <c r="D268" t="s">
        <v>335</v>
      </c>
      <c r="E268" t="str">
        <f>IF(NOT(ISERROR(VLOOKUP(D268,'ESO Dungeon constants'!$A$3:$A$9999,1,FALSE))),"X","")</f>
        <v/>
      </c>
      <c r="F268" s="3" t="str">
        <f>IF(EXACT(A268,C268),"X","")</f>
        <v/>
      </c>
      <c r="G268" s="3" t="str">
        <f>IF(A268&lt;&gt;C268,VLOOKUP(C268,$A$5:$D$9954,4,FALSE),"")</f>
        <v>Malabal Tor</v>
      </c>
      <c r="H268" s="17">
        <f>A268</f>
        <v>468</v>
      </c>
      <c r="I268" s="17">
        <f>C268</f>
        <v>58</v>
      </c>
      <c r="J268">
        <v>0</v>
      </c>
      <c r="K268" s="3" t="str">
        <f>VLOOKUP(J268,'LibSets constants'!$A$4:$B$1017,2,FALSE)</f>
        <v>DLC_BASE_GAME</v>
      </c>
      <c r="L268" s="3" t="str">
        <f>VLOOKUP(J268,'LibSets constants'!$A$4:$C$1017,3,FALSE)</f>
        <v>Included in base game</v>
      </c>
    </row>
    <row r="269" spans="1:12" x14ac:dyDescent="0.25">
      <c r="A269">
        <v>469</v>
      </c>
      <c r="B269">
        <v>255</v>
      </c>
      <c r="C269">
        <v>58</v>
      </c>
      <c r="D269" t="s">
        <v>336</v>
      </c>
      <c r="E269" t="str">
        <f>IF(NOT(ISERROR(VLOOKUP(D269,'ESO Dungeon constants'!$A$3:$A$9999,1,FALSE))),"X","")</f>
        <v/>
      </c>
      <c r="F269" s="3" t="str">
        <f>IF(EXACT(A269,C269),"X","")</f>
        <v/>
      </c>
      <c r="G269" s="3" t="str">
        <f>IF(A269&lt;&gt;C269,VLOOKUP(C269,$A$5:$D$9954,4,FALSE),"")</f>
        <v>Malabal Tor</v>
      </c>
      <c r="H269" s="17">
        <f>A269</f>
        <v>469</v>
      </c>
      <c r="I269" s="17">
        <f>C269</f>
        <v>58</v>
      </c>
      <c r="J269">
        <v>0</v>
      </c>
      <c r="K269" s="3" t="str">
        <f>VLOOKUP(J269,'LibSets constants'!$A$4:$B$1017,2,FALSE)</f>
        <v>DLC_BASE_GAME</v>
      </c>
      <c r="L269" s="3" t="str">
        <f>VLOOKUP(J269,'LibSets constants'!$A$4:$C$1017,3,FALSE)</f>
        <v>Included in base game</v>
      </c>
    </row>
    <row r="270" spans="1:12" x14ac:dyDescent="0.25">
      <c r="A270">
        <v>470</v>
      </c>
      <c r="B270">
        <v>256</v>
      </c>
      <c r="C270">
        <v>58</v>
      </c>
      <c r="D270" t="s">
        <v>337</v>
      </c>
      <c r="E270" t="str">
        <f>IF(NOT(ISERROR(VLOOKUP(D270,'ESO Dungeon constants'!$A$3:$A$9999,1,FALSE))),"X","")</f>
        <v/>
      </c>
      <c r="F270" s="3" t="str">
        <f>IF(EXACT(A270,C270),"X","")</f>
        <v/>
      </c>
      <c r="G270" s="3" t="str">
        <f>IF(A270&lt;&gt;C270,VLOOKUP(C270,$A$5:$D$9954,4,FALSE),"")</f>
        <v>Malabal Tor</v>
      </c>
      <c r="H270" s="17">
        <f>A270</f>
        <v>470</v>
      </c>
      <c r="I270" s="17">
        <f>C270</f>
        <v>58</v>
      </c>
      <c r="J270">
        <v>0</v>
      </c>
      <c r="K270" s="3" t="str">
        <f>VLOOKUP(J270,'LibSets constants'!$A$4:$B$1017,2,FALSE)</f>
        <v>DLC_BASE_GAME</v>
      </c>
      <c r="L270" s="3" t="str">
        <f>VLOOKUP(J270,'LibSets constants'!$A$4:$C$1017,3,FALSE)</f>
        <v>Included in base game</v>
      </c>
    </row>
    <row r="271" spans="1:12" x14ac:dyDescent="0.25">
      <c r="A271">
        <v>471</v>
      </c>
      <c r="B271">
        <v>257</v>
      </c>
      <c r="C271">
        <v>58</v>
      </c>
      <c r="D271" t="s">
        <v>338</v>
      </c>
      <c r="E271" t="str">
        <f>IF(NOT(ISERROR(VLOOKUP(D271,'ESO Dungeon constants'!$A$3:$A$9999,1,FALSE))),"X","")</f>
        <v/>
      </c>
      <c r="F271" s="3" t="str">
        <f>IF(EXACT(A271,C271),"X","")</f>
        <v/>
      </c>
      <c r="G271" s="3" t="str">
        <f>IF(A271&lt;&gt;C271,VLOOKUP(C271,$A$5:$D$9954,4,FALSE),"")</f>
        <v>Malabal Tor</v>
      </c>
      <c r="H271" s="17">
        <f>A271</f>
        <v>471</v>
      </c>
      <c r="I271" s="17">
        <f>C271</f>
        <v>58</v>
      </c>
      <c r="J271">
        <v>0</v>
      </c>
      <c r="K271" s="3" t="str">
        <f>VLOOKUP(J271,'LibSets constants'!$A$4:$B$1017,2,FALSE)</f>
        <v>DLC_BASE_GAME</v>
      </c>
      <c r="L271" s="3" t="str">
        <f>VLOOKUP(J271,'LibSets constants'!$A$4:$C$1017,3,FALSE)</f>
        <v>Included in base game</v>
      </c>
    </row>
    <row r="272" spans="1:12" x14ac:dyDescent="0.25">
      <c r="A272">
        <v>472</v>
      </c>
      <c r="B272">
        <v>258</v>
      </c>
      <c r="C272">
        <v>58</v>
      </c>
      <c r="D272" t="s">
        <v>339</v>
      </c>
      <c r="E272" t="str">
        <f>IF(NOT(ISERROR(VLOOKUP(D272,'ESO Dungeon constants'!$A$3:$A$9999,1,FALSE))),"X","")</f>
        <v/>
      </c>
      <c r="F272" s="3" t="str">
        <f>IF(EXACT(A272,C272),"X","")</f>
        <v/>
      </c>
      <c r="G272" s="3" t="str">
        <f>IF(A272&lt;&gt;C272,VLOOKUP(C272,$A$5:$D$9954,4,FALSE),"")</f>
        <v>Malabal Tor</v>
      </c>
      <c r="H272" s="17">
        <f>A272</f>
        <v>472</v>
      </c>
      <c r="I272" s="17">
        <f>C272</f>
        <v>58</v>
      </c>
      <c r="J272">
        <v>0</v>
      </c>
      <c r="K272" s="3" t="str">
        <f>VLOOKUP(J272,'LibSets constants'!$A$4:$B$1017,2,FALSE)</f>
        <v>DLC_BASE_GAME</v>
      </c>
      <c r="L272" s="3" t="str">
        <f>VLOOKUP(J272,'LibSets constants'!$A$4:$C$1017,3,FALSE)</f>
        <v>Included in base game</v>
      </c>
    </row>
    <row r="273" spans="1:12" x14ac:dyDescent="0.25">
      <c r="A273">
        <v>473</v>
      </c>
      <c r="B273">
        <v>259</v>
      </c>
      <c r="C273">
        <v>58</v>
      </c>
      <c r="D273" t="s">
        <v>340</v>
      </c>
      <c r="E273" t="str">
        <f>IF(NOT(ISERROR(VLOOKUP(D273,'ESO Dungeon constants'!$A$3:$A$9999,1,FALSE))),"X","")</f>
        <v/>
      </c>
      <c r="F273" s="3" t="str">
        <f>IF(EXACT(A273,C273),"X","")</f>
        <v/>
      </c>
      <c r="G273" s="3" t="str">
        <f>IF(A273&lt;&gt;C273,VLOOKUP(C273,$A$5:$D$9954,4,FALSE),"")</f>
        <v>Malabal Tor</v>
      </c>
      <c r="H273" s="17">
        <f>A273</f>
        <v>473</v>
      </c>
      <c r="I273" s="17">
        <f>C273</f>
        <v>58</v>
      </c>
      <c r="J273">
        <v>0</v>
      </c>
      <c r="K273" s="3" t="str">
        <f>VLOOKUP(J273,'LibSets constants'!$A$4:$B$1017,2,FALSE)</f>
        <v>DLC_BASE_GAME</v>
      </c>
      <c r="L273" s="3" t="str">
        <f>VLOOKUP(J273,'LibSets constants'!$A$4:$C$1017,3,FALSE)</f>
        <v>Included in base game</v>
      </c>
    </row>
    <row r="274" spans="1:12" x14ac:dyDescent="0.25">
      <c r="A274">
        <v>475</v>
      </c>
      <c r="B274">
        <v>260</v>
      </c>
      <c r="C274">
        <v>383</v>
      </c>
      <c r="D274" t="s">
        <v>341</v>
      </c>
      <c r="E274" t="str">
        <f>IF(NOT(ISERROR(VLOOKUP(D274,'ESO Dungeon constants'!$A$3:$A$9999,1,FALSE))),"X","")</f>
        <v/>
      </c>
      <c r="F274" s="3" t="str">
        <f>IF(EXACT(A274,C274),"X","")</f>
        <v/>
      </c>
      <c r="G274" s="3" t="str">
        <f>IF(A274&lt;&gt;C274,VLOOKUP(C274,$A$5:$D$9954,4,FALSE),"")</f>
        <v>Grahtwood</v>
      </c>
      <c r="H274" s="17">
        <f>A274</f>
        <v>475</v>
      </c>
      <c r="I274" s="17">
        <f>C274</f>
        <v>383</v>
      </c>
      <c r="J274">
        <v>0</v>
      </c>
      <c r="K274" s="3" t="str">
        <f>VLOOKUP(J274,'LibSets constants'!$A$4:$B$1017,2,FALSE)</f>
        <v>DLC_BASE_GAME</v>
      </c>
      <c r="L274" s="3" t="str">
        <f>VLOOKUP(J274,'LibSets constants'!$A$4:$C$1017,3,FALSE)</f>
        <v>Included in base game</v>
      </c>
    </row>
    <row r="275" spans="1:12" x14ac:dyDescent="0.25">
      <c r="A275">
        <v>477</v>
      </c>
      <c r="B275">
        <v>261</v>
      </c>
      <c r="C275">
        <v>383</v>
      </c>
      <c r="D275" t="s">
        <v>342</v>
      </c>
      <c r="E275" t="str">
        <f>IF(NOT(ISERROR(VLOOKUP(D275,'ESO Dungeon constants'!$A$3:$A$9999,1,FALSE))),"X","")</f>
        <v/>
      </c>
      <c r="F275" s="3" t="str">
        <f>IF(EXACT(A275,C275),"X","")</f>
        <v/>
      </c>
      <c r="G275" s="3" t="str">
        <f>IF(A275&lt;&gt;C275,VLOOKUP(C275,$A$5:$D$9954,4,FALSE),"")</f>
        <v>Grahtwood</v>
      </c>
      <c r="H275" s="17">
        <f>A275</f>
        <v>477</v>
      </c>
      <c r="I275" s="17">
        <f>C275</f>
        <v>383</v>
      </c>
      <c r="J275">
        <v>0</v>
      </c>
      <c r="K275" s="3" t="str">
        <f>VLOOKUP(J275,'LibSets constants'!$A$4:$B$1017,2,FALSE)</f>
        <v>DLC_BASE_GAME</v>
      </c>
      <c r="L275" s="3" t="str">
        <f>VLOOKUP(J275,'LibSets constants'!$A$4:$C$1017,3,FALSE)</f>
        <v>Included in base game</v>
      </c>
    </row>
    <row r="276" spans="1:12" x14ac:dyDescent="0.25">
      <c r="A276">
        <v>478</v>
      </c>
      <c r="B276">
        <v>262</v>
      </c>
      <c r="C276">
        <v>383</v>
      </c>
      <c r="D276" t="s">
        <v>343</v>
      </c>
      <c r="E276" t="str">
        <f>IF(NOT(ISERROR(VLOOKUP(D276,'ESO Dungeon constants'!$A$3:$A$9999,1,FALSE))),"X","")</f>
        <v/>
      </c>
      <c r="F276" s="3" t="str">
        <f>IF(EXACT(A276,C276),"X","")</f>
        <v/>
      </c>
      <c r="G276" s="3" t="str">
        <f>IF(A276&lt;&gt;C276,VLOOKUP(C276,$A$5:$D$9954,4,FALSE),"")</f>
        <v>Grahtwood</v>
      </c>
      <c r="H276" s="17">
        <f>A276</f>
        <v>478</v>
      </c>
      <c r="I276" s="17">
        <f>C276</f>
        <v>383</v>
      </c>
      <c r="J276">
        <v>0</v>
      </c>
      <c r="K276" s="3" t="str">
        <f>VLOOKUP(J276,'LibSets constants'!$A$4:$B$1017,2,FALSE)</f>
        <v>DLC_BASE_GAME</v>
      </c>
      <c r="L276" s="3" t="str">
        <f>VLOOKUP(J276,'LibSets constants'!$A$4:$C$1017,3,FALSE)</f>
        <v>Included in base game</v>
      </c>
    </row>
    <row r="277" spans="1:12" x14ac:dyDescent="0.25">
      <c r="A277">
        <v>480</v>
      </c>
      <c r="B277">
        <v>263</v>
      </c>
      <c r="C277">
        <v>103</v>
      </c>
      <c r="D277" t="s">
        <v>344</v>
      </c>
      <c r="E277" t="str">
        <f>IF(NOT(ISERROR(VLOOKUP(D277,'ESO Dungeon constants'!$A$3:$A$9999,1,FALSE))),"X","")</f>
        <v/>
      </c>
      <c r="F277" s="3" t="str">
        <f>IF(EXACT(A277,C277),"X","")</f>
        <v/>
      </c>
      <c r="G277" s="3" t="str">
        <f>IF(A277&lt;&gt;C277,VLOOKUP(C277,$A$5:$D$9954,4,FALSE),"")</f>
        <v>The Rift</v>
      </c>
      <c r="H277" s="17">
        <f>A277</f>
        <v>480</v>
      </c>
      <c r="I277" s="17">
        <f>C277</f>
        <v>103</v>
      </c>
      <c r="J277">
        <v>0</v>
      </c>
      <c r="K277" s="3" t="str">
        <f>VLOOKUP(J277,'LibSets constants'!$A$4:$B$1017,2,FALSE)</f>
        <v>DLC_BASE_GAME</v>
      </c>
      <c r="L277" s="3" t="str">
        <f>VLOOKUP(J277,'LibSets constants'!$A$4:$C$1017,3,FALSE)</f>
        <v>Included in base game</v>
      </c>
    </row>
    <row r="278" spans="1:12" x14ac:dyDescent="0.25">
      <c r="A278">
        <v>481</v>
      </c>
      <c r="B278">
        <v>264</v>
      </c>
      <c r="C278">
        <v>103</v>
      </c>
      <c r="D278" t="s">
        <v>345</v>
      </c>
      <c r="E278" t="str">
        <f>IF(NOT(ISERROR(VLOOKUP(D278,'ESO Dungeon constants'!$A$3:$A$9999,1,FALSE))),"X","")</f>
        <v/>
      </c>
      <c r="F278" s="3" t="str">
        <f>IF(EXACT(A278,C278),"X","")</f>
        <v/>
      </c>
      <c r="G278" s="3" t="str">
        <f>IF(A278&lt;&gt;C278,VLOOKUP(C278,$A$5:$D$9954,4,FALSE),"")</f>
        <v>The Rift</v>
      </c>
      <c r="H278" s="17">
        <f>A278</f>
        <v>481</v>
      </c>
      <c r="I278" s="17">
        <f>C278</f>
        <v>103</v>
      </c>
      <c r="J278">
        <v>0</v>
      </c>
      <c r="K278" s="3" t="str">
        <f>VLOOKUP(J278,'LibSets constants'!$A$4:$B$1017,2,FALSE)</f>
        <v>DLC_BASE_GAME</v>
      </c>
      <c r="L278" s="3" t="str">
        <f>VLOOKUP(J278,'LibSets constants'!$A$4:$C$1017,3,FALSE)</f>
        <v>Included in base game</v>
      </c>
    </row>
    <row r="279" spans="1:12" x14ac:dyDescent="0.25">
      <c r="A279">
        <v>482</v>
      </c>
      <c r="B279">
        <v>265</v>
      </c>
      <c r="C279">
        <v>103</v>
      </c>
      <c r="D279" t="s">
        <v>346</v>
      </c>
      <c r="E279" t="str">
        <f>IF(NOT(ISERROR(VLOOKUP(D279,'ESO Dungeon constants'!$A$3:$A$9999,1,FALSE))),"X","")</f>
        <v/>
      </c>
      <c r="F279" s="3" t="str">
        <f>IF(EXACT(A279,C279),"X","")</f>
        <v/>
      </c>
      <c r="G279" s="3" t="str">
        <f>IF(A279&lt;&gt;C279,VLOOKUP(C279,$A$5:$D$9954,4,FALSE),"")</f>
        <v>The Rift</v>
      </c>
      <c r="H279" s="17">
        <f>A279</f>
        <v>482</v>
      </c>
      <c r="I279" s="17">
        <f>C279</f>
        <v>103</v>
      </c>
      <c r="J279">
        <v>0</v>
      </c>
      <c r="K279" s="3" t="str">
        <f>VLOOKUP(J279,'LibSets constants'!$A$4:$B$1017,2,FALSE)</f>
        <v>DLC_BASE_GAME</v>
      </c>
      <c r="L279" s="3" t="str">
        <f>VLOOKUP(J279,'LibSets constants'!$A$4:$C$1017,3,FALSE)</f>
        <v>Included in base game</v>
      </c>
    </row>
    <row r="280" spans="1:12" x14ac:dyDescent="0.25">
      <c r="A280">
        <v>484</v>
      </c>
      <c r="B280">
        <v>266</v>
      </c>
      <c r="C280">
        <v>103</v>
      </c>
      <c r="D280" t="s">
        <v>347</v>
      </c>
      <c r="E280" t="str">
        <f>IF(NOT(ISERROR(VLOOKUP(D280,'ESO Dungeon constants'!$A$3:$A$9999,1,FALSE))),"X","")</f>
        <v/>
      </c>
      <c r="F280" s="3" t="str">
        <f>IF(EXACT(A280,C280),"X","")</f>
        <v/>
      </c>
      <c r="G280" s="3" t="str">
        <f>IF(A280&lt;&gt;C280,VLOOKUP(C280,$A$5:$D$9954,4,FALSE),"")</f>
        <v>The Rift</v>
      </c>
      <c r="H280" s="17">
        <f>A280</f>
        <v>484</v>
      </c>
      <c r="I280" s="17">
        <f>C280</f>
        <v>103</v>
      </c>
      <c r="J280">
        <v>0</v>
      </c>
      <c r="K280" s="3" t="str">
        <f>VLOOKUP(J280,'LibSets constants'!$A$4:$B$1017,2,FALSE)</f>
        <v>DLC_BASE_GAME</v>
      </c>
      <c r="L280" s="3" t="str">
        <f>VLOOKUP(J280,'LibSets constants'!$A$4:$C$1017,3,FALSE)</f>
        <v>Included in base game</v>
      </c>
    </row>
    <row r="281" spans="1:12" x14ac:dyDescent="0.25">
      <c r="A281">
        <v>485</v>
      </c>
      <c r="B281">
        <v>267</v>
      </c>
      <c r="C281">
        <v>103</v>
      </c>
      <c r="D281" t="s">
        <v>348</v>
      </c>
      <c r="E281" t="str">
        <f>IF(NOT(ISERROR(VLOOKUP(D281,'ESO Dungeon constants'!$A$3:$A$9999,1,FALSE))),"X","")</f>
        <v/>
      </c>
      <c r="F281" s="3" t="str">
        <f>IF(EXACT(A281,C281),"X","")</f>
        <v/>
      </c>
      <c r="G281" s="3" t="str">
        <f>IF(A281&lt;&gt;C281,VLOOKUP(C281,$A$5:$D$9954,4,FALSE),"")</f>
        <v>The Rift</v>
      </c>
      <c r="H281" s="17">
        <f>A281</f>
        <v>485</v>
      </c>
      <c r="I281" s="17">
        <f>C281</f>
        <v>103</v>
      </c>
      <c r="J281">
        <v>0</v>
      </c>
      <c r="K281" s="3" t="str">
        <f>VLOOKUP(J281,'LibSets constants'!$A$4:$B$1017,2,FALSE)</f>
        <v>DLC_BASE_GAME</v>
      </c>
      <c r="L281" s="3" t="str">
        <f>VLOOKUP(J281,'LibSets constants'!$A$4:$C$1017,3,FALSE)</f>
        <v>Included in base game</v>
      </c>
    </row>
    <row r="282" spans="1:12" x14ac:dyDescent="0.25">
      <c r="A282">
        <v>486</v>
      </c>
      <c r="B282">
        <v>268</v>
      </c>
      <c r="C282">
        <v>381</v>
      </c>
      <c r="D282" t="s">
        <v>349</v>
      </c>
      <c r="E282" t="str">
        <f>IF(NOT(ISERROR(VLOOKUP(D282,'ESO Dungeon constants'!$A$3:$A$9999,1,FALSE))),"X","")</f>
        <v/>
      </c>
      <c r="F282" s="3" t="str">
        <f>IF(EXACT(A282,C282),"X","")</f>
        <v/>
      </c>
      <c r="G282" s="3" t="str">
        <f>IF(A282&lt;&gt;C282,VLOOKUP(C282,$A$5:$D$9954,4,FALSE),"")</f>
        <v>Auridon</v>
      </c>
      <c r="H282" s="17">
        <f>A282</f>
        <v>486</v>
      </c>
      <c r="I282" s="17">
        <f>C282</f>
        <v>381</v>
      </c>
      <c r="J282">
        <v>0</v>
      </c>
      <c r="K282" s="3" t="str">
        <f>VLOOKUP(J282,'LibSets constants'!$A$4:$B$1017,2,FALSE)</f>
        <v>DLC_BASE_GAME</v>
      </c>
      <c r="L282" s="3" t="str">
        <f>VLOOKUP(J282,'LibSets constants'!$A$4:$C$1017,3,FALSE)</f>
        <v>Included in base game</v>
      </c>
    </row>
    <row r="283" spans="1:12" x14ac:dyDescent="0.25">
      <c r="A283">
        <v>487</v>
      </c>
      <c r="B283">
        <v>269</v>
      </c>
      <c r="C283">
        <v>382</v>
      </c>
      <c r="D283" t="s">
        <v>350</v>
      </c>
      <c r="E283" t="str">
        <f>IF(NOT(ISERROR(VLOOKUP(D283,'ESO Dungeon constants'!$A$3:$A$9999,1,FALSE))),"X","")</f>
        <v/>
      </c>
      <c r="F283" s="3" t="str">
        <f>IF(EXACT(A283,C283),"X","")</f>
        <v/>
      </c>
      <c r="G283" s="3" t="str">
        <f>IF(A283&lt;&gt;C283,VLOOKUP(C283,$A$5:$D$9954,4,FALSE),"")</f>
        <v>Reaper's March</v>
      </c>
      <c r="H283" s="17">
        <f>A283</f>
        <v>487</v>
      </c>
      <c r="I283" s="17">
        <f>C283</f>
        <v>382</v>
      </c>
      <c r="J283">
        <v>0</v>
      </c>
      <c r="K283" s="3" t="str">
        <f>VLOOKUP(J283,'LibSets constants'!$A$4:$B$1017,2,FALSE)</f>
        <v>DLC_BASE_GAME</v>
      </c>
      <c r="L283" s="3" t="str">
        <f>VLOOKUP(J283,'LibSets constants'!$A$4:$C$1017,3,FALSE)</f>
        <v>Included in base game</v>
      </c>
    </row>
    <row r="284" spans="1:12" x14ac:dyDescent="0.25">
      <c r="A284">
        <v>492</v>
      </c>
      <c r="B284">
        <v>270</v>
      </c>
      <c r="C284">
        <v>41</v>
      </c>
      <c r="D284" t="s">
        <v>351</v>
      </c>
      <c r="E284" t="str">
        <f>IF(NOT(ISERROR(VLOOKUP(D284,'ESO Dungeon constants'!$A$3:$A$9999,1,FALSE))),"X","")</f>
        <v/>
      </c>
      <c r="F284" s="3" t="str">
        <f>IF(EXACT(A284,C284),"X","")</f>
        <v/>
      </c>
      <c r="G284" s="3" t="str">
        <f>IF(A284&lt;&gt;C284,VLOOKUP(C284,$A$5:$D$9954,4,FALSE),"")</f>
        <v>Stonefalls</v>
      </c>
      <c r="H284" s="17">
        <f>A284</f>
        <v>492</v>
      </c>
      <c r="I284" s="17">
        <f>C284</f>
        <v>41</v>
      </c>
      <c r="J284">
        <v>0</v>
      </c>
      <c r="K284" s="3" t="str">
        <f>VLOOKUP(J284,'LibSets constants'!$A$4:$B$1017,2,FALSE)</f>
        <v>DLC_BASE_GAME</v>
      </c>
      <c r="L284" s="3" t="str">
        <f>VLOOKUP(J284,'LibSets constants'!$A$4:$C$1017,3,FALSE)</f>
        <v>Included in base game</v>
      </c>
    </row>
    <row r="285" spans="1:12" x14ac:dyDescent="0.25">
      <c r="A285">
        <v>493</v>
      </c>
      <c r="B285">
        <v>271</v>
      </c>
      <c r="C285">
        <v>181</v>
      </c>
      <c r="D285" t="s">
        <v>352</v>
      </c>
      <c r="E285" t="str">
        <f>IF(NOT(ISERROR(VLOOKUP(D285,'ESO Dungeon constants'!$A$3:$A$9999,1,FALSE))),"X","")</f>
        <v/>
      </c>
      <c r="F285" s="3" t="str">
        <f>IF(EXACT(A285,C285),"X","")</f>
        <v/>
      </c>
      <c r="G285" s="3" t="str">
        <f>IF(A285&lt;&gt;C285,VLOOKUP(C285,$A$5:$D$9954,4,FALSE),"")</f>
        <v>Cyrodiil</v>
      </c>
      <c r="H285" s="17">
        <f>A285</f>
        <v>493</v>
      </c>
      <c r="I285" s="17">
        <f>C285</f>
        <v>181</v>
      </c>
      <c r="J285">
        <v>0</v>
      </c>
      <c r="K285" s="3" t="str">
        <f>VLOOKUP(J285,'LibSets constants'!$A$4:$B$1017,2,FALSE)</f>
        <v>DLC_BASE_GAME</v>
      </c>
      <c r="L285" s="3" t="str">
        <f>VLOOKUP(J285,'LibSets constants'!$A$4:$C$1017,3,FALSE)</f>
        <v>Included in base game</v>
      </c>
    </row>
    <row r="286" spans="1:12" x14ac:dyDescent="0.25">
      <c r="A286">
        <v>494</v>
      </c>
      <c r="B286">
        <v>272</v>
      </c>
      <c r="C286">
        <v>181</v>
      </c>
      <c r="D286" t="s">
        <v>353</v>
      </c>
      <c r="E286" t="str">
        <f>IF(NOT(ISERROR(VLOOKUP(D286,'ESO Dungeon constants'!$A$3:$A$9999,1,FALSE))),"X","")</f>
        <v/>
      </c>
      <c r="F286" s="3" t="str">
        <f>IF(EXACT(A286,C286),"X","")</f>
        <v/>
      </c>
      <c r="G286" s="3" t="str">
        <f>IF(A286&lt;&gt;C286,VLOOKUP(C286,$A$5:$D$9954,4,FALSE),"")</f>
        <v>Cyrodiil</v>
      </c>
      <c r="H286" s="17">
        <f>A286</f>
        <v>494</v>
      </c>
      <c r="I286" s="17">
        <f>C286</f>
        <v>181</v>
      </c>
      <c r="J286">
        <v>0</v>
      </c>
      <c r="K286" s="3" t="str">
        <f>VLOOKUP(J286,'LibSets constants'!$A$4:$B$1017,2,FALSE)</f>
        <v>DLC_BASE_GAME</v>
      </c>
      <c r="L286" s="3" t="str">
        <f>VLOOKUP(J286,'LibSets constants'!$A$4:$C$1017,3,FALSE)</f>
        <v>Included in base game</v>
      </c>
    </row>
    <row r="287" spans="1:12" x14ac:dyDescent="0.25">
      <c r="A287">
        <v>495</v>
      </c>
      <c r="B287">
        <v>273</v>
      </c>
      <c r="C287">
        <v>181</v>
      </c>
      <c r="D287" t="s">
        <v>354</v>
      </c>
      <c r="E287" t="str">
        <f>IF(NOT(ISERROR(VLOOKUP(D287,'ESO Dungeon constants'!$A$3:$A$9999,1,FALSE))),"X","")</f>
        <v/>
      </c>
      <c r="F287" s="3" t="str">
        <f>IF(EXACT(A287,C287),"X","")</f>
        <v/>
      </c>
      <c r="G287" s="3" t="str">
        <f>IF(A287&lt;&gt;C287,VLOOKUP(C287,$A$5:$D$9954,4,FALSE),"")</f>
        <v>Cyrodiil</v>
      </c>
      <c r="H287" s="17">
        <f>A287</f>
        <v>495</v>
      </c>
      <c r="I287" s="17">
        <f>C287</f>
        <v>181</v>
      </c>
      <c r="J287">
        <v>0</v>
      </c>
      <c r="K287" s="3" t="str">
        <f>VLOOKUP(J287,'LibSets constants'!$A$4:$B$1017,2,FALSE)</f>
        <v>DLC_BASE_GAME</v>
      </c>
      <c r="L287" s="3" t="str">
        <f>VLOOKUP(J287,'LibSets constants'!$A$4:$C$1017,3,FALSE)</f>
        <v>Included in base game</v>
      </c>
    </row>
    <row r="288" spans="1:12" x14ac:dyDescent="0.25">
      <c r="A288">
        <v>496</v>
      </c>
      <c r="B288">
        <v>274</v>
      </c>
      <c r="C288">
        <v>181</v>
      </c>
      <c r="D288" t="s">
        <v>355</v>
      </c>
      <c r="E288" t="str">
        <f>IF(NOT(ISERROR(VLOOKUP(D288,'ESO Dungeon constants'!$A$3:$A$9999,1,FALSE))),"X","")</f>
        <v/>
      </c>
      <c r="F288" s="3" t="str">
        <f>IF(EXACT(A288,C288),"X","")</f>
        <v/>
      </c>
      <c r="G288" s="3" t="str">
        <f>IF(A288&lt;&gt;C288,VLOOKUP(C288,$A$5:$D$9954,4,FALSE),"")</f>
        <v>Cyrodiil</v>
      </c>
      <c r="H288" s="17">
        <f>A288</f>
        <v>496</v>
      </c>
      <c r="I288" s="17">
        <f>C288</f>
        <v>181</v>
      </c>
      <c r="J288">
        <v>0</v>
      </c>
      <c r="K288" s="3" t="str">
        <f>VLOOKUP(J288,'LibSets constants'!$A$4:$B$1017,2,FALSE)</f>
        <v>DLC_BASE_GAME</v>
      </c>
      <c r="L288" s="3" t="str">
        <f>VLOOKUP(J288,'LibSets constants'!$A$4:$C$1017,3,FALSE)</f>
        <v>Included in base game</v>
      </c>
    </row>
    <row r="289" spans="1:12" x14ac:dyDescent="0.25">
      <c r="A289">
        <v>497</v>
      </c>
      <c r="B289">
        <v>275</v>
      </c>
      <c r="C289">
        <v>181</v>
      </c>
      <c r="D289" t="s">
        <v>356</v>
      </c>
      <c r="E289" t="str">
        <f>IF(NOT(ISERROR(VLOOKUP(D289,'ESO Dungeon constants'!$A$3:$A$9999,1,FALSE))),"X","")</f>
        <v/>
      </c>
      <c r="F289" s="3" t="str">
        <f>IF(EXACT(A289,C289),"X","")</f>
        <v/>
      </c>
      <c r="G289" s="3" t="str">
        <f>IF(A289&lt;&gt;C289,VLOOKUP(C289,$A$5:$D$9954,4,FALSE),"")</f>
        <v>Cyrodiil</v>
      </c>
      <c r="H289" s="17">
        <f>A289</f>
        <v>497</v>
      </c>
      <c r="I289" s="17">
        <f>C289</f>
        <v>181</v>
      </c>
      <c r="J289">
        <v>0</v>
      </c>
      <c r="K289" s="3" t="str">
        <f>VLOOKUP(J289,'LibSets constants'!$A$4:$B$1017,2,FALSE)</f>
        <v>DLC_BASE_GAME</v>
      </c>
      <c r="L289" s="3" t="str">
        <f>VLOOKUP(J289,'LibSets constants'!$A$4:$C$1017,3,FALSE)</f>
        <v>Included in base game</v>
      </c>
    </row>
    <row r="290" spans="1:12" x14ac:dyDescent="0.25">
      <c r="A290">
        <v>974</v>
      </c>
      <c r="B290">
        <v>587</v>
      </c>
      <c r="C290">
        <v>888</v>
      </c>
      <c r="D290" t="s">
        <v>44</v>
      </c>
      <c r="E290" t="str">
        <f>IF(NOT(ISERROR(VLOOKUP(D290,'ESO Dungeon constants'!$A$3:$A$9999,1,FALSE))),"X","")</f>
        <v>X</v>
      </c>
      <c r="F290" s="3" t="str">
        <f>IF(EXACT(A290,C290),"X","")</f>
        <v/>
      </c>
      <c r="G290" s="3" t="str">
        <f>IF(A290&lt;&gt;C290,VLOOKUP(C290,$A$5:$D$9954,4,FALSE),"")</f>
        <v>Craglorn</v>
      </c>
      <c r="H290" s="17">
        <f>A290</f>
        <v>974</v>
      </c>
      <c r="I290" s="17">
        <f>C290</f>
        <v>888</v>
      </c>
      <c r="J290">
        <f>IF(E290="X",VLOOKUP(D290,'ESO Dungeon constants'!$A$3:$H$9999,8,FALSE),0)</f>
        <v>7</v>
      </c>
      <c r="K290" s="3" t="str">
        <f>VLOOKUP(J290,'LibSets constants'!$A$4:$B$1017,2,FALSE)</f>
        <v>DLC_HORNS_OF_THE_REACH</v>
      </c>
      <c r="L290" s="3" t="str">
        <f>VLOOKUP(J290,'LibSets constants'!$A$4:$C$1017,3,FALSE)</f>
        <v>Horns of the Reach</v>
      </c>
    </row>
    <row r="291" spans="1:12" x14ac:dyDescent="0.25">
      <c r="A291">
        <v>498</v>
      </c>
      <c r="B291">
        <v>276</v>
      </c>
      <c r="C291">
        <v>181</v>
      </c>
      <c r="D291" t="s">
        <v>357</v>
      </c>
      <c r="E291" t="str">
        <f>IF(NOT(ISERROR(VLOOKUP(D291,'ESO Dungeon constants'!$A$3:$A$9999,1,FALSE))),"X","")</f>
        <v/>
      </c>
      <c r="F291" s="3" t="str">
        <f>IF(EXACT(A291,C291),"X","")</f>
        <v/>
      </c>
      <c r="G291" s="3" t="str">
        <f>IF(A291&lt;&gt;C291,VLOOKUP(C291,$A$5:$D$9954,4,FALSE),"")</f>
        <v>Cyrodiil</v>
      </c>
      <c r="H291" s="17">
        <f>A291</f>
        <v>498</v>
      </c>
      <c r="I291" s="17">
        <f>C291</f>
        <v>181</v>
      </c>
      <c r="J291">
        <v>0</v>
      </c>
      <c r="K291" s="3" t="str">
        <f>VLOOKUP(J291,'LibSets constants'!$A$4:$B$1017,2,FALSE)</f>
        <v>DLC_BASE_GAME</v>
      </c>
      <c r="L291" s="3" t="str">
        <f>VLOOKUP(J291,'LibSets constants'!$A$4:$C$1017,3,FALSE)</f>
        <v>Included in base game</v>
      </c>
    </row>
    <row r="292" spans="1:12" x14ac:dyDescent="0.25">
      <c r="A292">
        <v>499</v>
      </c>
      <c r="B292">
        <v>277</v>
      </c>
      <c r="C292">
        <v>181</v>
      </c>
      <c r="D292" t="s">
        <v>358</v>
      </c>
      <c r="E292" t="str">
        <f>IF(NOT(ISERROR(VLOOKUP(D292,'ESO Dungeon constants'!$A$3:$A$9999,1,FALSE))),"X","")</f>
        <v/>
      </c>
      <c r="F292" s="3" t="str">
        <f>IF(EXACT(A292,C292),"X","")</f>
        <v/>
      </c>
      <c r="G292" s="3" t="str">
        <f>IF(A292&lt;&gt;C292,VLOOKUP(C292,$A$5:$D$9954,4,FALSE),"")</f>
        <v>Cyrodiil</v>
      </c>
      <c r="H292" s="17">
        <f>A292</f>
        <v>499</v>
      </c>
      <c r="I292" s="17">
        <f>C292</f>
        <v>181</v>
      </c>
      <c r="J292">
        <v>0</v>
      </c>
      <c r="K292" s="3" t="str">
        <f>VLOOKUP(J292,'LibSets constants'!$A$4:$B$1017,2,FALSE)</f>
        <v>DLC_BASE_GAME</v>
      </c>
      <c r="L292" s="3" t="str">
        <f>VLOOKUP(J292,'LibSets constants'!$A$4:$C$1017,3,FALSE)</f>
        <v>Included in base game</v>
      </c>
    </row>
    <row r="293" spans="1:12" x14ac:dyDescent="0.25">
      <c r="A293">
        <v>1009</v>
      </c>
      <c r="B293">
        <v>616</v>
      </c>
      <c r="C293">
        <v>92</v>
      </c>
      <c r="D293" t="s">
        <v>69</v>
      </c>
      <c r="E293" t="str">
        <f>IF(NOT(ISERROR(VLOOKUP(D293,'ESO Dungeon constants'!$A$3:$A$9999,1,FALSE))),"X","")</f>
        <v>X</v>
      </c>
      <c r="F293" s="3" t="str">
        <f>IF(EXACT(A293,C293),"X","")</f>
        <v/>
      </c>
      <c r="G293" s="3" t="str">
        <f>IF(A293&lt;&gt;C293,VLOOKUP(C293,$A$5:$D$9954,4,FALSE),"")</f>
        <v>Bangkorai</v>
      </c>
      <c r="H293" s="17">
        <f>A293</f>
        <v>1009</v>
      </c>
      <c r="I293" s="17">
        <f>C293</f>
        <v>92</v>
      </c>
      <c r="J293">
        <f>IF(E293="X",VLOOKUP(D293,'ESO Dungeon constants'!$A$3:$H$9999,8,FALSE),0)</f>
        <v>9</v>
      </c>
      <c r="K293" s="3" t="str">
        <f>VLOOKUP(J293,'LibSets constants'!$A$4:$B$1017,2,FALSE)</f>
        <v>DLC_DRAGON_BONES</v>
      </c>
      <c r="L293" s="3" t="str">
        <f>VLOOKUP(J293,'LibSets constants'!$A$4:$C$1017,3,FALSE)</f>
        <v>Dragon Bones</v>
      </c>
    </row>
    <row r="294" spans="1:12" x14ac:dyDescent="0.25">
      <c r="A294">
        <v>500</v>
      </c>
      <c r="B294">
        <v>278</v>
      </c>
      <c r="C294">
        <v>181</v>
      </c>
      <c r="D294" t="s">
        <v>359</v>
      </c>
      <c r="E294" t="str">
        <f>IF(NOT(ISERROR(VLOOKUP(D294,'ESO Dungeon constants'!$A$3:$A$9999,1,FALSE))),"X","")</f>
        <v/>
      </c>
      <c r="F294" s="3" t="str">
        <f>IF(EXACT(A294,C294),"X","")</f>
        <v/>
      </c>
      <c r="G294" s="3" t="str">
        <f>IF(A294&lt;&gt;C294,VLOOKUP(C294,$A$5:$D$9954,4,FALSE),"")</f>
        <v>Cyrodiil</v>
      </c>
      <c r="H294" s="17">
        <f>A294</f>
        <v>500</v>
      </c>
      <c r="I294" s="17">
        <f>C294</f>
        <v>181</v>
      </c>
      <c r="J294">
        <v>0</v>
      </c>
      <c r="K294" s="3" t="str">
        <f>VLOOKUP(J294,'LibSets constants'!$A$4:$B$1017,2,FALSE)</f>
        <v>DLC_BASE_GAME</v>
      </c>
      <c r="L294" s="3" t="str">
        <f>VLOOKUP(J294,'LibSets constants'!$A$4:$C$1017,3,FALSE)</f>
        <v>Included in base game</v>
      </c>
    </row>
    <row r="295" spans="1:12" x14ac:dyDescent="0.25">
      <c r="A295">
        <v>501</v>
      </c>
      <c r="B295">
        <v>279</v>
      </c>
      <c r="C295">
        <v>181</v>
      </c>
      <c r="D295" t="s">
        <v>360</v>
      </c>
      <c r="E295" t="str">
        <f>IF(NOT(ISERROR(VLOOKUP(D295,'ESO Dungeon constants'!$A$3:$A$9999,1,FALSE))),"X","")</f>
        <v/>
      </c>
      <c r="F295" s="3" t="str">
        <f>IF(EXACT(A295,C295),"X","")</f>
        <v/>
      </c>
      <c r="G295" s="3" t="str">
        <f>IF(A295&lt;&gt;C295,VLOOKUP(C295,$A$5:$D$9954,4,FALSE),"")</f>
        <v>Cyrodiil</v>
      </c>
      <c r="H295" s="17">
        <f>A295</f>
        <v>501</v>
      </c>
      <c r="I295" s="17">
        <f>C295</f>
        <v>181</v>
      </c>
      <c r="J295">
        <v>0</v>
      </c>
      <c r="K295" s="3" t="str">
        <f>VLOOKUP(J295,'LibSets constants'!$A$4:$B$1017,2,FALSE)</f>
        <v>DLC_BASE_GAME</v>
      </c>
      <c r="L295" s="3" t="str">
        <f>VLOOKUP(J295,'LibSets constants'!$A$4:$C$1017,3,FALSE)</f>
        <v>Included in base game</v>
      </c>
    </row>
    <row r="296" spans="1:12" x14ac:dyDescent="0.25">
      <c r="A296">
        <v>502</v>
      </c>
      <c r="B296">
        <v>280</v>
      </c>
      <c r="C296">
        <v>181</v>
      </c>
      <c r="D296" t="s">
        <v>361</v>
      </c>
      <c r="E296" t="str">
        <f>IF(NOT(ISERROR(VLOOKUP(D296,'ESO Dungeon constants'!$A$3:$A$9999,1,FALSE))),"X","")</f>
        <v/>
      </c>
      <c r="F296" s="3" t="str">
        <f>IF(EXACT(A296,C296),"X","")</f>
        <v/>
      </c>
      <c r="G296" s="3" t="str">
        <f>IF(A296&lt;&gt;C296,VLOOKUP(C296,$A$5:$D$9954,4,FALSE),"")</f>
        <v>Cyrodiil</v>
      </c>
      <c r="H296" s="17">
        <f>A296</f>
        <v>502</v>
      </c>
      <c r="I296" s="17">
        <f>C296</f>
        <v>181</v>
      </c>
      <c r="J296">
        <v>0</v>
      </c>
      <c r="K296" s="3" t="str">
        <f>VLOOKUP(J296,'LibSets constants'!$A$4:$B$1017,2,FALSE)</f>
        <v>DLC_BASE_GAME</v>
      </c>
      <c r="L296" s="3" t="str">
        <f>VLOOKUP(J296,'LibSets constants'!$A$4:$C$1017,3,FALSE)</f>
        <v>Included in base game</v>
      </c>
    </row>
    <row r="297" spans="1:12" x14ac:dyDescent="0.25">
      <c r="A297">
        <v>503</v>
      </c>
      <c r="B297">
        <v>281</v>
      </c>
      <c r="C297">
        <v>181</v>
      </c>
      <c r="D297" t="s">
        <v>362</v>
      </c>
      <c r="E297" t="str">
        <f>IF(NOT(ISERROR(VLOOKUP(D297,'ESO Dungeon constants'!$A$3:$A$9999,1,FALSE))),"X","")</f>
        <v/>
      </c>
      <c r="F297" s="3" t="str">
        <f>IF(EXACT(A297,C297),"X","")</f>
        <v/>
      </c>
      <c r="G297" s="3" t="str">
        <f>IF(A297&lt;&gt;C297,VLOOKUP(C297,$A$5:$D$9954,4,FALSE),"")</f>
        <v>Cyrodiil</v>
      </c>
      <c r="H297" s="17">
        <f>A297</f>
        <v>503</v>
      </c>
      <c r="I297" s="17">
        <f>C297</f>
        <v>181</v>
      </c>
      <c r="J297">
        <v>0</v>
      </c>
      <c r="K297" s="3" t="str">
        <f>VLOOKUP(J297,'LibSets constants'!$A$4:$B$1017,2,FALSE)</f>
        <v>DLC_BASE_GAME</v>
      </c>
      <c r="L297" s="3" t="str">
        <f>VLOOKUP(J297,'LibSets constants'!$A$4:$C$1017,3,FALSE)</f>
        <v>Included in base game</v>
      </c>
    </row>
    <row r="298" spans="1:12" x14ac:dyDescent="0.25">
      <c r="A298">
        <v>504</v>
      </c>
      <c r="B298">
        <v>282</v>
      </c>
      <c r="C298">
        <v>181</v>
      </c>
      <c r="D298" t="s">
        <v>363</v>
      </c>
      <c r="E298" t="str">
        <f>IF(NOT(ISERROR(VLOOKUP(D298,'ESO Dungeon constants'!$A$3:$A$9999,1,FALSE))),"X","")</f>
        <v/>
      </c>
      <c r="F298" s="3" t="str">
        <f>IF(EXACT(A298,C298),"X","")</f>
        <v/>
      </c>
      <c r="G298" s="3" t="str">
        <f>IF(A298&lt;&gt;C298,VLOOKUP(C298,$A$5:$D$9954,4,FALSE),"")</f>
        <v>Cyrodiil</v>
      </c>
      <c r="H298" s="17">
        <f>A298</f>
        <v>504</v>
      </c>
      <c r="I298" s="17">
        <f>C298</f>
        <v>181</v>
      </c>
      <c r="J298">
        <v>0</v>
      </c>
      <c r="K298" s="3" t="str">
        <f>VLOOKUP(J298,'LibSets constants'!$A$4:$B$1017,2,FALSE)</f>
        <v>DLC_BASE_GAME</v>
      </c>
      <c r="L298" s="3" t="str">
        <f>VLOOKUP(J298,'LibSets constants'!$A$4:$C$1017,3,FALSE)</f>
        <v>Included in base game</v>
      </c>
    </row>
    <row r="299" spans="1:12" x14ac:dyDescent="0.25">
      <c r="A299">
        <v>505</v>
      </c>
      <c r="B299">
        <v>283</v>
      </c>
      <c r="C299">
        <v>181</v>
      </c>
      <c r="D299" t="s">
        <v>364</v>
      </c>
      <c r="E299" t="str">
        <f>IF(NOT(ISERROR(VLOOKUP(D299,'ESO Dungeon constants'!$A$3:$A$9999,1,FALSE))),"X","")</f>
        <v/>
      </c>
      <c r="F299" s="3" t="str">
        <f>IF(EXACT(A299,C299),"X","")</f>
        <v/>
      </c>
      <c r="G299" s="3" t="str">
        <f>IF(A299&lt;&gt;C299,VLOOKUP(C299,$A$5:$D$9954,4,FALSE),"")</f>
        <v>Cyrodiil</v>
      </c>
      <c r="H299" s="17">
        <f>A299</f>
        <v>505</v>
      </c>
      <c r="I299" s="17">
        <f>C299</f>
        <v>181</v>
      </c>
      <c r="J299">
        <v>0</v>
      </c>
      <c r="K299" s="3" t="str">
        <f>VLOOKUP(J299,'LibSets constants'!$A$4:$B$1017,2,FALSE)</f>
        <v>DLC_BASE_GAME</v>
      </c>
      <c r="L299" s="3" t="str">
        <f>VLOOKUP(J299,'LibSets constants'!$A$4:$C$1017,3,FALSE)</f>
        <v>Included in base game</v>
      </c>
    </row>
    <row r="300" spans="1:12" x14ac:dyDescent="0.25">
      <c r="A300">
        <v>506</v>
      </c>
      <c r="B300">
        <v>284</v>
      </c>
      <c r="C300">
        <v>181</v>
      </c>
      <c r="D300" t="s">
        <v>365</v>
      </c>
      <c r="E300" t="str">
        <f>IF(NOT(ISERROR(VLOOKUP(D300,'ESO Dungeon constants'!$A$3:$A$9999,1,FALSE))),"X","")</f>
        <v/>
      </c>
      <c r="F300" s="3" t="str">
        <f>IF(EXACT(A300,C300),"X","")</f>
        <v/>
      </c>
      <c r="G300" s="3" t="str">
        <f>IF(A300&lt;&gt;C300,VLOOKUP(C300,$A$5:$D$9954,4,FALSE),"")</f>
        <v>Cyrodiil</v>
      </c>
      <c r="H300" s="17">
        <f>A300</f>
        <v>506</v>
      </c>
      <c r="I300" s="17">
        <f>C300</f>
        <v>181</v>
      </c>
      <c r="J300">
        <v>0</v>
      </c>
      <c r="K300" s="3" t="str">
        <f>VLOOKUP(J300,'LibSets constants'!$A$4:$B$1017,2,FALSE)</f>
        <v>DLC_BASE_GAME</v>
      </c>
      <c r="L300" s="3" t="str">
        <f>VLOOKUP(J300,'LibSets constants'!$A$4:$C$1017,3,FALSE)</f>
        <v>Included in base game</v>
      </c>
    </row>
    <row r="301" spans="1:12" x14ac:dyDescent="0.25">
      <c r="A301">
        <v>507</v>
      </c>
      <c r="B301">
        <v>285</v>
      </c>
      <c r="C301">
        <v>181</v>
      </c>
      <c r="D301" t="s">
        <v>366</v>
      </c>
      <c r="E301" t="str">
        <f>IF(NOT(ISERROR(VLOOKUP(D301,'ESO Dungeon constants'!$A$3:$A$9999,1,FALSE))),"X","")</f>
        <v/>
      </c>
      <c r="F301" s="3" t="str">
        <f>IF(EXACT(A301,C301),"X","")</f>
        <v/>
      </c>
      <c r="G301" s="3" t="str">
        <f>IF(A301&lt;&gt;C301,VLOOKUP(C301,$A$5:$D$9954,4,FALSE),"")</f>
        <v>Cyrodiil</v>
      </c>
      <c r="H301" s="17">
        <f>A301</f>
        <v>507</v>
      </c>
      <c r="I301" s="17">
        <f>C301</f>
        <v>181</v>
      </c>
      <c r="J301">
        <v>0</v>
      </c>
      <c r="K301" s="3" t="str">
        <f>VLOOKUP(J301,'LibSets constants'!$A$4:$B$1017,2,FALSE)</f>
        <v>DLC_BASE_GAME</v>
      </c>
      <c r="L301" s="3" t="str">
        <f>VLOOKUP(J301,'LibSets constants'!$A$4:$C$1017,3,FALSE)</f>
        <v>Included in base game</v>
      </c>
    </row>
    <row r="302" spans="1:12" x14ac:dyDescent="0.25">
      <c r="A302">
        <v>508</v>
      </c>
      <c r="B302">
        <v>286</v>
      </c>
      <c r="C302">
        <v>849</v>
      </c>
      <c r="D302" t="s">
        <v>367</v>
      </c>
      <c r="E302" t="str">
        <f>IF(NOT(ISERROR(VLOOKUP(D302,'ESO Dungeon constants'!$A$3:$A$9999,1,FALSE))),"X","")</f>
        <v/>
      </c>
      <c r="F302" s="3" t="str">
        <f>IF(EXACT(A302,C302),"X","")</f>
        <v/>
      </c>
      <c r="G302" s="3" t="str">
        <f>IF(A302&lt;&gt;C302,VLOOKUP(C302,$A$5:$D$9954,4,FALSE),"")</f>
        <v>Vvardenfell</v>
      </c>
      <c r="H302" s="17">
        <f>A302</f>
        <v>508</v>
      </c>
      <c r="I302" s="17">
        <f>C302</f>
        <v>849</v>
      </c>
      <c r="J302">
        <v>6</v>
      </c>
      <c r="K302" s="3" t="str">
        <f>VLOOKUP(J302,'LibSets constants'!$A$4:$B$1017,2,FALSE)</f>
        <v>DLC_MORROWIND</v>
      </c>
      <c r="L302" s="3" t="str">
        <f>VLOOKUP(J302,'LibSets constants'!$A$4:$C$1017,3,FALSE)</f>
        <v>Morrowind</v>
      </c>
    </row>
    <row r="303" spans="1:12" x14ac:dyDescent="0.25">
      <c r="A303">
        <v>509</v>
      </c>
      <c r="B303">
        <v>287</v>
      </c>
      <c r="C303">
        <v>849</v>
      </c>
      <c r="D303" t="s">
        <v>368</v>
      </c>
      <c r="E303" t="str">
        <f>IF(NOT(ISERROR(VLOOKUP(D303,'ESO Dungeon constants'!$A$3:$A$9999,1,FALSE))),"X","")</f>
        <v/>
      </c>
      <c r="F303" s="3" t="str">
        <f>IF(EXACT(A303,C303),"X","")</f>
        <v/>
      </c>
      <c r="G303" s="3" t="str">
        <f>IF(A303&lt;&gt;C303,VLOOKUP(C303,$A$5:$D$9954,4,FALSE),"")</f>
        <v>Vvardenfell</v>
      </c>
      <c r="H303" s="17">
        <f>A303</f>
        <v>509</v>
      </c>
      <c r="I303" s="17">
        <f>C303</f>
        <v>849</v>
      </c>
      <c r="J303">
        <v>6</v>
      </c>
      <c r="K303" s="3" t="str">
        <f>VLOOKUP(J303,'LibSets constants'!$A$4:$B$1017,2,FALSE)</f>
        <v>DLC_MORROWIND</v>
      </c>
      <c r="L303" s="3" t="str">
        <f>VLOOKUP(J303,'LibSets constants'!$A$4:$C$1017,3,FALSE)</f>
        <v>Morrowind</v>
      </c>
    </row>
    <row r="304" spans="1:12" x14ac:dyDescent="0.25">
      <c r="A304">
        <v>510</v>
      </c>
      <c r="B304">
        <v>288</v>
      </c>
      <c r="C304">
        <v>849</v>
      </c>
      <c r="D304" t="s">
        <v>369</v>
      </c>
      <c r="E304" t="str">
        <f>IF(NOT(ISERROR(VLOOKUP(D304,'ESO Dungeon constants'!$A$3:$A$9999,1,FALSE))),"X","")</f>
        <v/>
      </c>
      <c r="F304" s="3" t="str">
        <f>IF(EXACT(A304,C304),"X","")</f>
        <v/>
      </c>
      <c r="G304" s="3" t="str">
        <f>IF(A304&lt;&gt;C304,VLOOKUP(C304,$A$5:$D$9954,4,FALSE),"")</f>
        <v>Vvardenfell</v>
      </c>
      <c r="H304" s="17">
        <f>A304</f>
        <v>510</v>
      </c>
      <c r="I304" s="17">
        <f>C304</f>
        <v>849</v>
      </c>
      <c r="J304">
        <v>6</v>
      </c>
      <c r="K304" s="3" t="str">
        <f>VLOOKUP(J304,'LibSets constants'!$A$4:$B$1017,2,FALSE)</f>
        <v>DLC_MORROWIND</v>
      </c>
      <c r="L304" s="3" t="str">
        <f>VLOOKUP(J304,'LibSets constants'!$A$4:$C$1017,3,FALSE)</f>
        <v>Morrowind</v>
      </c>
    </row>
    <row r="305" spans="1:12" x14ac:dyDescent="0.25">
      <c r="A305">
        <v>511</v>
      </c>
      <c r="B305">
        <v>289</v>
      </c>
      <c r="C305">
        <v>511</v>
      </c>
      <c r="D305" t="s">
        <v>370</v>
      </c>
      <c r="E305" t="str">
        <f>IF(NOT(ISERROR(VLOOKUP(D305,'ESO Dungeon constants'!$A$3:$A$9999,1,FALSE))),"X","")</f>
        <v/>
      </c>
      <c r="F305" s="3" t="str">
        <f>IF(EXACT(A305,C305),"X","")</f>
        <v>X</v>
      </c>
      <c r="G305" s="3" t="str">
        <f>IF(A305&lt;&gt;C305,VLOOKUP(C305,$A$5:$D$9954,4,FALSE),"")</f>
        <v/>
      </c>
      <c r="H305" s="17">
        <f>A305</f>
        <v>511</v>
      </c>
      <c r="I305" s="17">
        <f>C305</f>
        <v>511</v>
      </c>
      <c r="J305">
        <v>0</v>
      </c>
      <c r="K305" s="3" t="str">
        <f>VLOOKUP(J305,'LibSets constants'!$A$4:$B$1017,2,FALSE)</f>
        <v>DLC_BASE_GAME</v>
      </c>
      <c r="L305" s="3" t="str">
        <f>VLOOKUP(J305,'LibSets constants'!$A$4:$C$1017,3,FALSE)</f>
        <v>Included in base game</v>
      </c>
    </row>
    <row r="306" spans="1:12" x14ac:dyDescent="0.25">
      <c r="A306">
        <v>512</v>
      </c>
      <c r="B306">
        <v>290</v>
      </c>
      <c r="C306">
        <v>512</v>
      </c>
      <c r="D306" t="s">
        <v>371</v>
      </c>
      <c r="E306" t="str">
        <f>IF(NOT(ISERROR(VLOOKUP(D306,'ESO Dungeon constants'!$A$3:$A$9999,1,FALSE))),"X","")</f>
        <v/>
      </c>
      <c r="F306" s="3" t="str">
        <f>IF(EXACT(A306,C306),"X","")</f>
        <v>X</v>
      </c>
      <c r="G306" s="3" t="str">
        <f>IF(A306&lt;&gt;C306,VLOOKUP(C306,$A$5:$D$9954,4,FALSE),"")</f>
        <v/>
      </c>
      <c r="H306" s="17">
        <f>A306</f>
        <v>512</v>
      </c>
      <c r="I306" s="17">
        <f>C306</f>
        <v>512</v>
      </c>
      <c r="J306">
        <v>0</v>
      </c>
      <c r="K306" s="3" t="str">
        <f>VLOOKUP(J306,'LibSets constants'!$A$4:$B$1017,2,FALSE)</f>
        <v>DLC_BASE_GAME</v>
      </c>
      <c r="L306" s="3" t="str">
        <f>VLOOKUP(J306,'LibSets constants'!$A$4:$C$1017,3,FALSE)</f>
        <v>Included in base game</v>
      </c>
    </row>
    <row r="307" spans="1:12" x14ac:dyDescent="0.25">
      <c r="A307">
        <v>513</v>
      </c>
      <c r="B307">
        <v>291</v>
      </c>
      <c r="C307">
        <v>513</v>
      </c>
      <c r="D307" t="s">
        <v>372</v>
      </c>
      <c r="E307" t="str">
        <f>IF(NOT(ISERROR(VLOOKUP(D307,'ESO Dungeon constants'!$A$3:$A$9999,1,FALSE))),"X","")</f>
        <v/>
      </c>
      <c r="F307" s="3" t="str">
        <f>IF(EXACT(A307,C307),"X","")</f>
        <v>X</v>
      </c>
      <c r="G307" s="3" t="str">
        <f>IF(A307&lt;&gt;C307,VLOOKUP(C307,$A$5:$D$9954,4,FALSE),"")</f>
        <v/>
      </c>
      <c r="H307" s="17">
        <f>A307</f>
        <v>513</v>
      </c>
      <c r="I307" s="17">
        <f>C307</f>
        <v>513</v>
      </c>
      <c r="J307">
        <v>0</v>
      </c>
      <c r="K307" s="3" t="str">
        <f>VLOOKUP(J307,'LibSets constants'!$A$4:$B$1017,2,FALSE)</f>
        <v>DLC_BASE_GAME</v>
      </c>
      <c r="L307" s="3" t="str">
        <f>VLOOKUP(J307,'LibSets constants'!$A$4:$C$1017,3,FALSE)</f>
        <v>Included in base game</v>
      </c>
    </row>
    <row r="308" spans="1:12" x14ac:dyDescent="0.25">
      <c r="A308">
        <v>514</v>
      </c>
      <c r="B308">
        <v>292</v>
      </c>
      <c r="C308">
        <v>514</v>
      </c>
      <c r="D308" t="s">
        <v>373</v>
      </c>
      <c r="E308" t="str">
        <f>IF(NOT(ISERROR(VLOOKUP(D308,'ESO Dungeon constants'!$A$3:$A$9999,1,FALSE))),"X","")</f>
        <v/>
      </c>
      <c r="F308" s="3" t="str">
        <f>IF(EXACT(A308,C308),"X","")</f>
        <v>X</v>
      </c>
      <c r="G308" s="3" t="str">
        <f>IF(A308&lt;&gt;C308,VLOOKUP(C308,$A$5:$D$9954,4,FALSE),"")</f>
        <v/>
      </c>
      <c r="H308" s="17">
        <f>A308</f>
        <v>514</v>
      </c>
      <c r="I308" s="17">
        <f>C308</f>
        <v>514</v>
      </c>
      <c r="J308">
        <v>0</v>
      </c>
      <c r="K308" s="3" t="str">
        <f>VLOOKUP(J308,'LibSets constants'!$A$4:$B$1017,2,FALSE)</f>
        <v>DLC_BASE_GAME</v>
      </c>
      <c r="L308" s="3" t="str">
        <f>VLOOKUP(J308,'LibSets constants'!$A$4:$C$1017,3,FALSE)</f>
        <v>Included in base game</v>
      </c>
    </row>
    <row r="309" spans="1:12" x14ac:dyDescent="0.25">
      <c r="A309">
        <v>515</v>
      </c>
      <c r="B309">
        <v>293</v>
      </c>
      <c r="C309">
        <v>515</v>
      </c>
      <c r="D309" t="s">
        <v>1488</v>
      </c>
      <c r="E309" t="str">
        <f>IF(NOT(ISERROR(VLOOKUP(D309,'ESO Dungeon constants'!$A$3:$A$9999,1,FALSE))),"X","")</f>
        <v/>
      </c>
      <c r="F309" s="3" t="str">
        <f>IF(EXACT(A309,C309),"X","")</f>
        <v>X</v>
      </c>
      <c r="G309" s="3" t="str">
        <f>IF(A309&lt;&gt;C309,VLOOKUP(C309,$A$5:$D$9954,4,FALSE),"")</f>
        <v/>
      </c>
      <c r="H309" s="17">
        <f>A309</f>
        <v>515</v>
      </c>
      <c r="I309" s="17">
        <f>C309</f>
        <v>515</v>
      </c>
      <c r="J309">
        <v>0</v>
      </c>
      <c r="K309" s="3" t="str">
        <f>VLOOKUP(J309,'LibSets constants'!$A$4:$B$1017,2,FALSE)</f>
        <v>DLC_BASE_GAME</v>
      </c>
      <c r="L309" s="3" t="str">
        <f>VLOOKUP(J309,'LibSets constants'!$A$4:$C$1017,3,FALSE)</f>
        <v>Included in base game</v>
      </c>
    </row>
    <row r="310" spans="1:12" x14ac:dyDescent="0.25">
      <c r="A310">
        <v>516</v>
      </c>
      <c r="B310">
        <v>294</v>
      </c>
      <c r="C310">
        <v>516</v>
      </c>
      <c r="D310" t="s">
        <v>368</v>
      </c>
      <c r="E310" t="str">
        <f>IF(NOT(ISERROR(VLOOKUP(D310,'ESO Dungeon constants'!$A$3:$A$9999,1,FALSE))),"X","")</f>
        <v/>
      </c>
      <c r="F310" s="3" t="str">
        <f>IF(EXACT(A310,C310),"X","")</f>
        <v>X</v>
      </c>
      <c r="G310" s="3" t="str">
        <f>IF(A310&lt;&gt;C310,VLOOKUP(C310,$A$5:$D$9954,4,FALSE),"")</f>
        <v/>
      </c>
      <c r="H310" s="17">
        <f>A310</f>
        <v>516</v>
      </c>
      <c r="I310" s="17">
        <f>C310</f>
        <v>516</v>
      </c>
      <c r="J310">
        <v>0</v>
      </c>
      <c r="K310" s="3" t="str">
        <f>VLOOKUP(J310,'LibSets constants'!$A$4:$B$1017,2,FALSE)</f>
        <v>DLC_BASE_GAME</v>
      </c>
      <c r="L310" s="3" t="str">
        <f>VLOOKUP(J310,'LibSets constants'!$A$4:$C$1017,3,FALSE)</f>
        <v>Included in base game</v>
      </c>
    </row>
    <row r="311" spans="1:12" x14ac:dyDescent="0.25">
      <c r="A311">
        <v>517</v>
      </c>
      <c r="B311">
        <v>295</v>
      </c>
      <c r="C311">
        <v>517</v>
      </c>
      <c r="D311" t="s">
        <v>374</v>
      </c>
      <c r="E311" t="str">
        <f>IF(NOT(ISERROR(VLOOKUP(D311,'ESO Dungeon constants'!$A$3:$A$9999,1,FALSE))),"X","")</f>
        <v/>
      </c>
      <c r="F311" s="3" t="str">
        <f>IF(EXACT(A311,C311),"X","")</f>
        <v>X</v>
      </c>
      <c r="G311" s="3" t="str">
        <f>IF(A311&lt;&gt;C311,VLOOKUP(C311,$A$5:$D$9954,4,FALSE),"")</f>
        <v/>
      </c>
      <c r="H311" s="17">
        <f>A311</f>
        <v>517</v>
      </c>
      <c r="I311" s="17">
        <f>C311</f>
        <v>517</v>
      </c>
      <c r="J311">
        <v>0</v>
      </c>
      <c r="K311" s="3" t="str">
        <f>VLOOKUP(J311,'LibSets constants'!$A$4:$B$1017,2,FALSE)</f>
        <v>DLC_BASE_GAME</v>
      </c>
      <c r="L311" s="3" t="str">
        <f>VLOOKUP(J311,'LibSets constants'!$A$4:$C$1017,3,FALSE)</f>
        <v>Included in base game</v>
      </c>
    </row>
    <row r="312" spans="1:12" x14ac:dyDescent="0.25">
      <c r="A312">
        <v>518</v>
      </c>
      <c r="B312">
        <v>296</v>
      </c>
      <c r="C312">
        <v>518</v>
      </c>
      <c r="D312" t="s">
        <v>374</v>
      </c>
      <c r="E312" t="str">
        <f>IF(NOT(ISERROR(VLOOKUP(D312,'ESO Dungeon constants'!$A$3:$A$9999,1,FALSE))),"X","")</f>
        <v/>
      </c>
      <c r="F312" s="3" t="str">
        <f>IF(EXACT(A312,C312),"X","")</f>
        <v>X</v>
      </c>
      <c r="G312" s="3" t="str">
        <f>IF(A312&lt;&gt;C312,VLOOKUP(C312,$A$5:$D$9954,4,FALSE),"")</f>
        <v/>
      </c>
      <c r="H312" s="17">
        <f>A312</f>
        <v>518</v>
      </c>
      <c r="I312" s="17">
        <f>C312</f>
        <v>518</v>
      </c>
      <c r="J312">
        <v>0</v>
      </c>
      <c r="K312" s="3" t="str">
        <f>VLOOKUP(J312,'LibSets constants'!$A$4:$B$1017,2,FALSE)</f>
        <v>DLC_BASE_GAME</v>
      </c>
      <c r="L312" s="3" t="str">
        <f>VLOOKUP(J312,'LibSets constants'!$A$4:$C$1017,3,FALSE)</f>
        <v>Included in base game</v>
      </c>
    </row>
    <row r="313" spans="1:12" x14ac:dyDescent="0.25">
      <c r="A313">
        <v>520</v>
      </c>
      <c r="B313">
        <v>297</v>
      </c>
      <c r="C313">
        <v>520</v>
      </c>
      <c r="D313" t="s">
        <v>4060</v>
      </c>
      <c r="E313" t="str">
        <f>IF(NOT(ISERROR(VLOOKUP(D313,'ESO Dungeon constants'!$A$3:$A$9999,1,FALSE))),"X","")</f>
        <v/>
      </c>
      <c r="F313" s="3" t="str">
        <f>IF(EXACT(A313,C313),"X","")</f>
        <v>X</v>
      </c>
      <c r="G313" s="3" t="str">
        <f>IF(A313&lt;&gt;C313,VLOOKUP(C313,$A$5:$D$9954,4,FALSE),"")</f>
        <v/>
      </c>
      <c r="H313" s="17">
        <f>A313</f>
        <v>520</v>
      </c>
      <c r="I313" s="17">
        <f>C313</f>
        <v>520</v>
      </c>
      <c r="J313">
        <v>0</v>
      </c>
      <c r="K313" s="3" t="str">
        <f>VLOOKUP(J313,'LibSets constants'!$A$4:$B$1017,2,FALSE)</f>
        <v>DLC_BASE_GAME</v>
      </c>
      <c r="L313" s="3" t="str">
        <f>VLOOKUP(J313,'LibSets constants'!$A$4:$C$1017,3,FALSE)</f>
        <v>Included in base game</v>
      </c>
    </row>
    <row r="314" spans="1:12" x14ac:dyDescent="0.25">
      <c r="A314">
        <v>525</v>
      </c>
      <c r="B314">
        <v>298</v>
      </c>
      <c r="C314">
        <v>181</v>
      </c>
      <c r="D314" t="s">
        <v>136</v>
      </c>
      <c r="E314" t="str">
        <f>IF(NOT(ISERROR(VLOOKUP(D314,'ESO Dungeon constants'!$A$3:$A$9999,1,FALSE))),"X","")</f>
        <v/>
      </c>
      <c r="F314" s="3" t="str">
        <f>IF(EXACT(A314,C314),"X","")</f>
        <v/>
      </c>
      <c r="G314" s="3" t="str">
        <f>IF(A314&lt;&gt;C314,VLOOKUP(C314,$A$5:$D$9954,4,FALSE),"")</f>
        <v>Cyrodiil</v>
      </c>
      <c r="H314" s="17">
        <f>A314</f>
        <v>525</v>
      </c>
      <c r="I314" s="17">
        <f>C314</f>
        <v>181</v>
      </c>
      <c r="J314">
        <v>0</v>
      </c>
      <c r="K314" s="3" t="str">
        <f>VLOOKUP(J314,'LibSets constants'!$A$4:$B$1017,2,FALSE)</f>
        <v>DLC_BASE_GAME</v>
      </c>
      <c r="L314" s="3" t="str">
        <f>VLOOKUP(J314,'LibSets constants'!$A$4:$C$1017,3,FALSE)</f>
        <v>Included in base game</v>
      </c>
    </row>
    <row r="315" spans="1:12" x14ac:dyDescent="0.25">
      <c r="A315">
        <v>526</v>
      </c>
      <c r="B315">
        <v>299</v>
      </c>
      <c r="C315">
        <v>382</v>
      </c>
      <c r="D315" t="s">
        <v>375</v>
      </c>
      <c r="E315" t="str">
        <f>IF(NOT(ISERROR(VLOOKUP(D315,'ESO Dungeon constants'!$A$3:$A$9999,1,FALSE))),"X","")</f>
        <v/>
      </c>
      <c r="F315" s="3" t="str">
        <f>IF(EXACT(A315,C315),"X","")</f>
        <v/>
      </c>
      <c r="G315" s="3" t="str">
        <f>IF(A315&lt;&gt;C315,VLOOKUP(C315,$A$5:$D$9954,4,FALSE),"")</f>
        <v>Reaper's March</v>
      </c>
      <c r="H315" s="17">
        <f>A315</f>
        <v>526</v>
      </c>
      <c r="I315" s="17">
        <f>C315</f>
        <v>382</v>
      </c>
      <c r="J315">
        <v>0</v>
      </c>
      <c r="K315" s="3" t="str">
        <f>VLOOKUP(J315,'LibSets constants'!$A$4:$B$1017,2,FALSE)</f>
        <v>DLC_BASE_GAME</v>
      </c>
      <c r="L315" s="3" t="str">
        <f>VLOOKUP(J315,'LibSets constants'!$A$4:$C$1017,3,FALSE)</f>
        <v>Included in base game</v>
      </c>
    </row>
    <row r="316" spans="1:12" x14ac:dyDescent="0.25">
      <c r="A316">
        <v>527</v>
      </c>
      <c r="B316">
        <v>300</v>
      </c>
      <c r="C316">
        <v>199</v>
      </c>
      <c r="D316" t="s">
        <v>376</v>
      </c>
      <c r="E316" t="str">
        <f>IF(NOT(ISERROR(VLOOKUP(D316,'ESO Dungeon constants'!$A$3:$A$9999,1,FALSE))),"X","")</f>
        <v/>
      </c>
      <c r="F316" s="3" t="str">
        <f>IF(EXACT(A316,C316),"X","")</f>
        <v/>
      </c>
      <c r="G316" s="3" t="str">
        <f>IF(A316&lt;&gt;C316,VLOOKUP(C316,$A$5:$D$9954,4,FALSE),"")</f>
        <v>The Harborage</v>
      </c>
      <c r="H316" s="17">
        <f>A316</f>
        <v>527</v>
      </c>
      <c r="I316" s="17">
        <f>C316</f>
        <v>199</v>
      </c>
      <c r="J316">
        <v>0</v>
      </c>
      <c r="K316" s="3" t="str">
        <f>VLOOKUP(J316,'LibSets constants'!$A$4:$B$1017,2,FALSE)</f>
        <v>DLC_BASE_GAME</v>
      </c>
      <c r="L316" s="3" t="str">
        <f>VLOOKUP(J316,'LibSets constants'!$A$4:$C$1017,3,FALSE)</f>
        <v>Included in base game</v>
      </c>
    </row>
    <row r="317" spans="1:12" x14ac:dyDescent="0.25">
      <c r="A317">
        <v>529</v>
      </c>
      <c r="B317">
        <v>301</v>
      </c>
      <c r="C317">
        <v>267</v>
      </c>
      <c r="D317" t="s">
        <v>377</v>
      </c>
      <c r="E317" t="str">
        <f>IF(NOT(ISERROR(VLOOKUP(D317,'ESO Dungeon constants'!$A$3:$A$9999,1,FALSE))),"X","")</f>
        <v/>
      </c>
      <c r="F317" s="3" t="str">
        <f>IF(EXACT(A317,C317),"X","")</f>
        <v/>
      </c>
      <c r="G317" s="3" t="str">
        <f>IF(A317&lt;&gt;C317,VLOOKUP(C317,$A$5:$D$9954,4,FALSE),"")</f>
        <v>Eyevea</v>
      </c>
      <c r="H317" s="17">
        <f>A317</f>
        <v>529</v>
      </c>
      <c r="I317" s="17">
        <f>C317</f>
        <v>267</v>
      </c>
      <c r="J317">
        <v>0</v>
      </c>
      <c r="K317" s="3" t="str">
        <f>VLOOKUP(J317,'LibSets constants'!$A$4:$B$1017,2,FALSE)</f>
        <v>DLC_BASE_GAME</v>
      </c>
      <c r="L317" s="3" t="str">
        <f>VLOOKUP(J317,'LibSets constants'!$A$4:$C$1017,3,FALSE)</f>
        <v>Included in base game</v>
      </c>
    </row>
    <row r="318" spans="1:12" x14ac:dyDescent="0.25">
      <c r="A318">
        <v>530</v>
      </c>
      <c r="B318">
        <v>302</v>
      </c>
      <c r="C318">
        <v>347</v>
      </c>
      <c r="D318" t="s">
        <v>378</v>
      </c>
      <c r="E318" t="str">
        <f>IF(NOT(ISERROR(VLOOKUP(D318,'ESO Dungeon constants'!$A$3:$A$9999,1,FALSE))),"X","")</f>
        <v/>
      </c>
      <c r="F318" s="3" t="str">
        <f>IF(EXACT(A318,C318),"X","")</f>
        <v/>
      </c>
      <c r="G318" s="3" t="str">
        <f>IF(A318&lt;&gt;C318,VLOOKUP(C318,$A$5:$D$9954,4,FALSE),"")</f>
        <v>Coldharbour</v>
      </c>
      <c r="H318" s="17">
        <f>A318</f>
        <v>530</v>
      </c>
      <c r="I318" s="17">
        <f>C318</f>
        <v>347</v>
      </c>
      <c r="J318">
        <v>0</v>
      </c>
      <c r="K318" s="3" t="str">
        <f>VLOOKUP(J318,'LibSets constants'!$A$4:$B$1017,2,FALSE)</f>
        <v>DLC_BASE_GAME</v>
      </c>
      <c r="L318" s="3" t="str">
        <f>VLOOKUP(J318,'LibSets constants'!$A$4:$C$1017,3,FALSE)</f>
        <v>Included in base game</v>
      </c>
    </row>
    <row r="319" spans="1:12" x14ac:dyDescent="0.25">
      <c r="A319">
        <v>531</v>
      </c>
      <c r="B319">
        <v>303</v>
      </c>
      <c r="C319">
        <v>181</v>
      </c>
      <c r="D319" t="s">
        <v>379</v>
      </c>
      <c r="E319" t="str">
        <f>IF(NOT(ISERROR(VLOOKUP(D319,'ESO Dungeon constants'!$A$3:$A$9999,1,FALSE))),"X","")</f>
        <v/>
      </c>
      <c r="F319" s="3" t="str">
        <f>IF(EXACT(A319,C319),"X","")</f>
        <v/>
      </c>
      <c r="G319" s="3" t="str">
        <f>IF(A319&lt;&gt;C319,VLOOKUP(C319,$A$5:$D$9954,4,FALSE),"")</f>
        <v>Cyrodiil</v>
      </c>
      <c r="H319" s="17">
        <f>A319</f>
        <v>531</v>
      </c>
      <c r="I319" s="17">
        <f>C319</f>
        <v>181</v>
      </c>
      <c r="J319">
        <v>0</v>
      </c>
      <c r="K319" s="3" t="str">
        <f>VLOOKUP(J319,'LibSets constants'!$A$4:$B$1017,2,FALSE)</f>
        <v>DLC_BASE_GAME</v>
      </c>
      <c r="L319" s="3" t="str">
        <f>VLOOKUP(J319,'LibSets constants'!$A$4:$C$1017,3,FALSE)</f>
        <v>Included in base game</v>
      </c>
    </row>
    <row r="320" spans="1:12" x14ac:dyDescent="0.25">
      <c r="A320">
        <v>532</v>
      </c>
      <c r="B320">
        <v>304</v>
      </c>
      <c r="C320">
        <v>181</v>
      </c>
      <c r="D320" t="s">
        <v>380</v>
      </c>
      <c r="E320" t="str">
        <f>IF(NOT(ISERROR(VLOOKUP(D320,'ESO Dungeon constants'!$A$3:$A$9999,1,FALSE))),"X","")</f>
        <v/>
      </c>
      <c r="F320" s="3" t="str">
        <f>IF(EXACT(A320,C320),"X","")</f>
        <v/>
      </c>
      <c r="G320" s="3" t="str">
        <f>IF(A320&lt;&gt;C320,VLOOKUP(C320,$A$5:$D$9954,4,FALSE),"")</f>
        <v>Cyrodiil</v>
      </c>
      <c r="H320" s="17">
        <f>A320</f>
        <v>532</v>
      </c>
      <c r="I320" s="17">
        <f>C320</f>
        <v>181</v>
      </c>
      <c r="J320">
        <v>0</v>
      </c>
      <c r="K320" s="3" t="str">
        <f>VLOOKUP(J320,'LibSets constants'!$A$4:$B$1017,2,FALSE)</f>
        <v>DLC_BASE_GAME</v>
      </c>
      <c r="L320" s="3" t="str">
        <f>VLOOKUP(J320,'LibSets constants'!$A$4:$C$1017,3,FALSE)</f>
        <v>Included in base game</v>
      </c>
    </row>
    <row r="321" spans="1:12" x14ac:dyDescent="0.25">
      <c r="A321">
        <v>533</v>
      </c>
      <c r="B321">
        <v>305</v>
      </c>
      <c r="C321">
        <v>181</v>
      </c>
      <c r="D321" t="s">
        <v>381</v>
      </c>
      <c r="E321" t="str">
        <f>IF(NOT(ISERROR(VLOOKUP(D321,'ESO Dungeon constants'!$A$3:$A$9999,1,FALSE))),"X","")</f>
        <v/>
      </c>
      <c r="F321" s="3" t="str">
        <f>IF(EXACT(A321,C321),"X","")</f>
        <v/>
      </c>
      <c r="G321" s="3" t="str">
        <f>IF(A321&lt;&gt;C321,VLOOKUP(C321,$A$5:$D$9954,4,FALSE),"")</f>
        <v>Cyrodiil</v>
      </c>
      <c r="H321" s="17">
        <f>A321</f>
        <v>533</v>
      </c>
      <c r="I321" s="17">
        <f>C321</f>
        <v>181</v>
      </c>
      <c r="J321">
        <v>0</v>
      </c>
      <c r="K321" s="3" t="str">
        <f>VLOOKUP(J321,'LibSets constants'!$A$4:$B$1017,2,FALSE)</f>
        <v>DLC_BASE_GAME</v>
      </c>
      <c r="L321" s="3" t="str">
        <f>VLOOKUP(J321,'LibSets constants'!$A$4:$C$1017,3,FALSE)</f>
        <v>Included in base game</v>
      </c>
    </row>
    <row r="322" spans="1:12" x14ac:dyDescent="0.25">
      <c r="A322">
        <v>534</v>
      </c>
      <c r="B322">
        <v>306</v>
      </c>
      <c r="C322">
        <v>534</v>
      </c>
      <c r="D322" t="s">
        <v>382</v>
      </c>
      <c r="E322" t="str">
        <f>IF(NOT(ISERROR(VLOOKUP(D322,'ESO Dungeon constants'!$A$3:$A$9999,1,FALSE))),"X","")</f>
        <v/>
      </c>
      <c r="F322" s="3" t="str">
        <f>IF(EXACT(A322,C322),"X","")</f>
        <v>X</v>
      </c>
      <c r="G322" s="3" t="str">
        <f>IF(A322&lt;&gt;C322,VLOOKUP(C322,$A$5:$D$9954,4,FALSE),"")</f>
        <v/>
      </c>
      <c r="H322" s="17">
        <f>A322</f>
        <v>534</v>
      </c>
      <c r="I322" s="17">
        <f>C322</f>
        <v>534</v>
      </c>
      <c r="J322">
        <v>0</v>
      </c>
      <c r="K322" s="3" t="str">
        <f>VLOOKUP(J322,'LibSets constants'!$A$4:$B$1017,2,FALSE)</f>
        <v>DLC_BASE_GAME</v>
      </c>
      <c r="L322" s="3" t="str">
        <f>VLOOKUP(J322,'LibSets constants'!$A$4:$C$1017,3,FALSE)</f>
        <v>Included in base game</v>
      </c>
    </row>
    <row r="323" spans="1:12" x14ac:dyDescent="0.25">
      <c r="A323">
        <v>535</v>
      </c>
      <c r="B323">
        <v>307</v>
      </c>
      <c r="C323">
        <v>535</v>
      </c>
      <c r="D323" t="s">
        <v>383</v>
      </c>
      <c r="E323" t="str">
        <f>IF(NOT(ISERROR(VLOOKUP(D323,'ESO Dungeon constants'!$A$3:$A$9999,1,FALSE))),"X","")</f>
        <v/>
      </c>
      <c r="F323" s="3" t="str">
        <f>IF(EXACT(A323,C323),"X","")</f>
        <v>X</v>
      </c>
      <c r="G323" s="3" t="str">
        <f>IF(A323&lt;&gt;C323,VLOOKUP(C323,$A$5:$D$9954,4,FALSE),"")</f>
        <v/>
      </c>
      <c r="H323" s="17">
        <f>A323</f>
        <v>535</v>
      </c>
      <c r="I323" s="17">
        <f>C323</f>
        <v>535</v>
      </c>
      <c r="J323">
        <v>0</v>
      </c>
      <c r="K323" s="3" t="str">
        <f>VLOOKUP(J323,'LibSets constants'!$A$4:$B$1017,2,FALSE)</f>
        <v>DLC_BASE_GAME</v>
      </c>
      <c r="L323" s="3" t="str">
        <f>VLOOKUP(J323,'LibSets constants'!$A$4:$C$1017,3,FALSE)</f>
        <v>Included in base game</v>
      </c>
    </row>
    <row r="324" spans="1:12" x14ac:dyDescent="0.25">
      <c r="A324">
        <v>537</v>
      </c>
      <c r="B324">
        <v>308</v>
      </c>
      <c r="C324">
        <v>537</v>
      </c>
      <c r="D324" t="s">
        <v>384</v>
      </c>
      <c r="E324" t="str">
        <f>IF(NOT(ISERROR(VLOOKUP(D324,'ESO Dungeon constants'!$A$3:$A$9999,1,FALSE))),"X","")</f>
        <v/>
      </c>
      <c r="F324" s="3" t="str">
        <f>IF(EXACT(A324,C324),"X","")</f>
        <v>X</v>
      </c>
      <c r="G324" s="3" t="str">
        <f>IF(A324&lt;&gt;C324,VLOOKUP(C324,$A$5:$D$9954,4,FALSE),"")</f>
        <v/>
      </c>
      <c r="H324" s="17">
        <f>A324</f>
        <v>537</v>
      </c>
      <c r="I324" s="17">
        <f>C324</f>
        <v>537</v>
      </c>
      <c r="J324">
        <v>0</v>
      </c>
      <c r="K324" s="3" t="str">
        <f>VLOOKUP(J324,'LibSets constants'!$A$4:$B$1017,2,FALSE)</f>
        <v>DLC_BASE_GAME</v>
      </c>
      <c r="L324" s="3" t="str">
        <f>VLOOKUP(J324,'LibSets constants'!$A$4:$C$1017,3,FALSE)</f>
        <v>Included in base game</v>
      </c>
    </row>
    <row r="325" spans="1:12" x14ac:dyDescent="0.25">
      <c r="A325">
        <v>539</v>
      </c>
      <c r="B325">
        <v>309</v>
      </c>
      <c r="C325">
        <v>535</v>
      </c>
      <c r="D325" t="s">
        <v>385</v>
      </c>
      <c r="E325" t="str">
        <f>IF(NOT(ISERROR(VLOOKUP(D325,'ESO Dungeon constants'!$A$3:$A$9999,1,FALSE))),"X","")</f>
        <v/>
      </c>
      <c r="F325" s="3" t="str">
        <f>IF(EXACT(A325,C325),"X","")</f>
        <v/>
      </c>
      <c r="G325" s="3" t="str">
        <f>IF(A325&lt;&gt;C325,VLOOKUP(C325,$A$5:$D$9954,4,FALSE),"")</f>
        <v>Betnikh</v>
      </c>
      <c r="H325" s="17">
        <f>A325</f>
        <v>539</v>
      </c>
      <c r="I325" s="17">
        <f>C325</f>
        <v>535</v>
      </c>
      <c r="J325">
        <v>0</v>
      </c>
      <c r="K325" s="3" t="str">
        <f>VLOOKUP(J325,'LibSets constants'!$A$4:$B$1017,2,FALSE)</f>
        <v>DLC_BASE_GAME</v>
      </c>
      <c r="L325" s="3" t="str">
        <f>VLOOKUP(J325,'LibSets constants'!$A$4:$C$1017,3,FALSE)</f>
        <v>Included in base game</v>
      </c>
    </row>
    <row r="326" spans="1:12" x14ac:dyDescent="0.25">
      <c r="A326">
        <v>541</v>
      </c>
      <c r="B326">
        <v>310</v>
      </c>
      <c r="C326">
        <v>267</v>
      </c>
      <c r="D326" t="s">
        <v>386</v>
      </c>
      <c r="E326" t="str">
        <f>IF(NOT(ISERROR(VLOOKUP(D326,'ESO Dungeon constants'!$A$3:$A$9999,1,FALSE))),"X","")</f>
        <v/>
      </c>
      <c r="F326" s="3" t="str">
        <f>IF(EXACT(A326,C326),"X","")</f>
        <v/>
      </c>
      <c r="G326" s="3" t="str">
        <f>IF(A326&lt;&gt;C326,VLOOKUP(C326,$A$5:$D$9954,4,FALSE),"")</f>
        <v>Eyevea</v>
      </c>
      <c r="H326" s="17">
        <f>A326</f>
        <v>541</v>
      </c>
      <c r="I326" s="17">
        <f>C326</f>
        <v>267</v>
      </c>
      <c r="J326">
        <v>0</v>
      </c>
      <c r="K326" s="3" t="str">
        <f>VLOOKUP(J326,'LibSets constants'!$A$4:$B$1017,2,FALSE)</f>
        <v>DLC_BASE_GAME</v>
      </c>
      <c r="L326" s="3" t="str">
        <f>VLOOKUP(J326,'LibSets constants'!$A$4:$C$1017,3,FALSE)</f>
        <v>Included in base game</v>
      </c>
    </row>
    <row r="327" spans="1:12" x14ac:dyDescent="0.25">
      <c r="A327">
        <v>542</v>
      </c>
      <c r="B327">
        <v>311</v>
      </c>
      <c r="C327">
        <v>208</v>
      </c>
      <c r="D327" t="s">
        <v>387</v>
      </c>
      <c r="E327" t="str">
        <f>IF(NOT(ISERROR(VLOOKUP(D327,'ESO Dungeon constants'!$A$3:$A$9999,1,FALSE))),"X","")</f>
        <v/>
      </c>
      <c r="F327" s="3" t="str">
        <f>IF(EXACT(A327,C327),"X","")</f>
        <v/>
      </c>
      <c r="G327" s="3" t="str">
        <f>IF(A327&lt;&gt;C327,VLOOKUP(C327,$A$5:$D$9954,4,FALSE),"")</f>
        <v>The Earth Forge</v>
      </c>
      <c r="H327" s="17">
        <f>A327</f>
        <v>542</v>
      </c>
      <c r="I327" s="17">
        <f>C327</f>
        <v>208</v>
      </c>
      <c r="J327">
        <v>0</v>
      </c>
      <c r="K327" s="3" t="str">
        <f>VLOOKUP(J327,'LibSets constants'!$A$4:$B$1017,2,FALSE)</f>
        <v>DLC_BASE_GAME</v>
      </c>
      <c r="L327" s="3" t="str">
        <f>VLOOKUP(J327,'LibSets constants'!$A$4:$C$1017,3,FALSE)</f>
        <v>Included in base game</v>
      </c>
    </row>
    <row r="328" spans="1:12" x14ac:dyDescent="0.25">
      <c r="A328">
        <v>1080</v>
      </c>
      <c r="B328">
        <v>678</v>
      </c>
      <c r="C328">
        <v>101</v>
      </c>
      <c r="D328" t="s">
        <v>64</v>
      </c>
      <c r="E328" t="str">
        <f>IF(NOT(ISERROR(VLOOKUP(D328,'ESO Dungeon constants'!$A$3:$A$9999,1,FALSE))),"X","")</f>
        <v>X</v>
      </c>
      <c r="F328" s="3" t="str">
        <f>IF(EXACT(A328,C328),"X","")</f>
        <v/>
      </c>
      <c r="G328" s="3" t="str">
        <f>IF(A328&lt;&gt;C328,VLOOKUP(C328,$A$5:$D$9954,4,FALSE),"")</f>
        <v>Eastmarch</v>
      </c>
      <c r="H328" s="17">
        <f>A328</f>
        <v>1080</v>
      </c>
      <c r="I328" s="17">
        <f>C328</f>
        <v>101</v>
      </c>
      <c r="J328">
        <f>IF(E328="X",VLOOKUP(D328,'ESO Dungeon constants'!$A$3:$H$9999,8,FALSE),0)</f>
        <v>13</v>
      </c>
      <c r="K328" s="3" t="str">
        <f>VLOOKUP(J328,'LibSets constants'!$A$4:$B$1017,2,FALSE)</f>
        <v>DLC_WRATHSTONE</v>
      </c>
      <c r="L328" s="3" t="str">
        <f>VLOOKUP(J328,'LibSets constants'!$A$4:$C$1017,3,FALSE)</f>
        <v>Wrathstone</v>
      </c>
    </row>
    <row r="329" spans="1:12" x14ac:dyDescent="0.25">
      <c r="A329">
        <v>543</v>
      </c>
      <c r="B329">
        <v>312</v>
      </c>
      <c r="C329">
        <v>208</v>
      </c>
      <c r="D329" t="s">
        <v>388</v>
      </c>
      <c r="E329" t="str">
        <f>IF(NOT(ISERROR(VLOOKUP(D329,'ESO Dungeon constants'!$A$3:$A$9999,1,FALSE))),"X","")</f>
        <v/>
      </c>
      <c r="F329" s="3" t="str">
        <f>IF(EXACT(A329,C329),"X","")</f>
        <v/>
      </c>
      <c r="G329" s="3" t="str">
        <f>IF(A329&lt;&gt;C329,VLOOKUP(C329,$A$5:$D$9954,4,FALSE),"")</f>
        <v>The Earth Forge</v>
      </c>
      <c r="H329" s="17">
        <f>A329</f>
        <v>543</v>
      </c>
      <c r="I329" s="17">
        <f>C329</f>
        <v>208</v>
      </c>
      <c r="J329">
        <v>0</v>
      </c>
      <c r="K329" s="3" t="str">
        <f>VLOOKUP(J329,'LibSets constants'!$A$4:$B$1017,2,FALSE)</f>
        <v>DLC_BASE_GAME</v>
      </c>
      <c r="L329" s="3" t="str">
        <f>VLOOKUP(J329,'LibSets constants'!$A$4:$C$1017,3,FALSE)</f>
        <v>Included in base game</v>
      </c>
    </row>
    <row r="330" spans="1:12" x14ac:dyDescent="0.25">
      <c r="A330">
        <v>544</v>
      </c>
      <c r="B330">
        <v>313</v>
      </c>
      <c r="C330">
        <v>208</v>
      </c>
      <c r="D330" t="s">
        <v>389</v>
      </c>
      <c r="E330" t="str">
        <f>IF(NOT(ISERROR(VLOOKUP(D330,'ESO Dungeon constants'!$A$3:$A$9999,1,FALSE))),"X","")</f>
        <v/>
      </c>
      <c r="F330" s="3" t="str">
        <f>IF(EXACT(A330,C330),"X","")</f>
        <v/>
      </c>
      <c r="G330" s="3" t="str">
        <f>IF(A330&lt;&gt;C330,VLOOKUP(C330,$A$5:$D$9954,4,FALSE),"")</f>
        <v>The Earth Forge</v>
      </c>
      <c r="H330" s="17">
        <f>A330</f>
        <v>544</v>
      </c>
      <c r="I330" s="17">
        <f>C330</f>
        <v>208</v>
      </c>
      <c r="J330">
        <v>0</v>
      </c>
      <c r="K330" s="3" t="str">
        <f>VLOOKUP(J330,'LibSets constants'!$A$4:$B$1017,2,FALSE)</f>
        <v>DLC_BASE_GAME</v>
      </c>
      <c r="L330" s="3" t="str">
        <f>VLOOKUP(J330,'LibSets constants'!$A$4:$C$1017,3,FALSE)</f>
        <v>Included in base game</v>
      </c>
    </row>
    <row r="331" spans="1:12" x14ac:dyDescent="0.25">
      <c r="A331">
        <v>545</v>
      </c>
      <c r="B331">
        <v>314</v>
      </c>
      <c r="C331">
        <v>19</v>
      </c>
      <c r="D331" t="s">
        <v>390</v>
      </c>
      <c r="E331" t="str">
        <f>IF(NOT(ISERROR(VLOOKUP(D331,'ESO Dungeon constants'!$A$3:$A$9999,1,FALSE))),"X","")</f>
        <v/>
      </c>
      <c r="F331" s="3" t="str">
        <f>IF(EXACT(A331,C331),"X","")</f>
        <v/>
      </c>
      <c r="G331" s="3" t="str">
        <f>IF(A331&lt;&gt;C331,VLOOKUP(C331,$A$5:$D$9954,4,FALSE),"")</f>
        <v>Stormhaven</v>
      </c>
      <c r="H331" s="17">
        <f>A331</f>
        <v>545</v>
      </c>
      <c r="I331" s="17">
        <f>C331</f>
        <v>19</v>
      </c>
      <c r="J331">
        <v>0</v>
      </c>
      <c r="K331" s="3" t="str">
        <f>VLOOKUP(J331,'LibSets constants'!$A$4:$B$1017,2,FALSE)</f>
        <v>DLC_BASE_GAME</v>
      </c>
      <c r="L331" s="3" t="str">
        <f>VLOOKUP(J331,'LibSets constants'!$A$4:$C$1017,3,FALSE)</f>
        <v>Included in base game</v>
      </c>
    </row>
    <row r="332" spans="1:12" x14ac:dyDescent="0.25">
      <c r="A332">
        <v>283</v>
      </c>
      <c r="B332">
        <v>112</v>
      </c>
      <c r="C332">
        <v>41</v>
      </c>
      <c r="D332" t="s">
        <v>51</v>
      </c>
      <c r="E332" t="str">
        <f>IF(NOT(ISERROR(VLOOKUP(D332,'ESO Dungeon constants'!$A$3:$A$9999,1,FALSE))),"X","")</f>
        <v>X</v>
      </c>
      <c r="F332" s="3" t="str">
        <f>IF(EXACT(A332,C332),"X","")</f>
        <v/>
      </c>
      <c r="G332" s="3" t="str">
        <f>IF(A332&lt;&gt;C332,VLOOKUP(C332,$A$5:$D$9954,4,FALSE),"")</f>
        <v>Stonefalls</v>
      </c>
      <c r="H332" s="17">
        <f>A332</f>
        <v>283</v>
      </c>
      <c r="I332" s="17">
        <f>C332</f>
        <v>41</v>
      </c>
      <c r="J332">
        <f>IF(E332="X",VLOOKUP(D332,'ESO Dungeon constants'!$A$3:$H$9999,8,FALSE),0)</f>
        <v>0</v>
      </c>
      <c r="K332" s="3" t="str">
        <f>VLOOKUP(J332,'LibSets constants'!$A$4:$B$1017,2,FALSE)</f>
        <v>DLC_BASE_GAME</v>
      </c>
      <c r="L332" s="3" t="str">
        <f>VLOOKUP(J332,'LibSets constants'!$A$4:$C$1017,3,FALSE)</f>
        <v>Included in base game</v>
      </c>
    </row>
    <row r="333" spans="1:12" x14ac:dyDescent="0.25">
      <c r="A333">
        <v>934</v>
      </c>
      <c r="B333">
        <v>547</v>
      </c>
      <c r="C333">
        <v>41</v>
      </c>
      <c r="D333" t="s">
        <v>63</v>
      </c>
      <c r="E333" t="str">
        <f>IF(NOT(ISERROR(VLOOKUP(D333,'ESO Dungeon constants'!$A$3:$A$9999,1,FALSE))),"X","")</f>
        <v>X</v>
      </c>
      <c r="F333" s="3" t="str">
        <f>IF(EXACT(A333,C333),"X","")</f>
        <v/>
      </c>
      <c r="G333" s="3" t="str">
        <f>IF(A333&lt;&gt;C333,VLOOKUP(C333,$A$5:$D$9954,4,FALSE),"")</f>
        <v>Stonefalls</v>
      </c>
      <c r="H333" s="17">
        <f>A333</f>
        <v>934</v>
      </c>
      <c r="I333" s="17">
        <f>C333</f>
        <v>41</v>
      </c>
      <c r="J333">
        <f>IF(E333="X",VLOOKUP(D333,'ESO Dungeon constants'!$A$3:$H$9999,8,FALSE),0)</f>
        <v>0</v>
      </c>
      <c r="K333" s="3" t="str">
        <f>VLOOKUP(J333,'LibSets constants'!$A$4:$B$1017,2,FALSE)</f>
        <v>DLC_BASE_GAME</v>
      </c>
      <c r="L333" s="3" t="str">
        <f>VLOOKUP(J333,'LibSets constants'!$A$4:$C$1017,3,FALSE)</f>
        <v>Included in base game</v>
      </c>
    </row>
    <row r="334" spans="1:12" x14ac:dyDescent="0.25">
      <c r="A334">
        <v>546</v>
      </c>
      <c r="B334">
        <v>315</v>
      </c>
      <c r="C334">
        <v>19</v>
      </c>
      <c r="D334" t="s">
        <v>391</v>
      </c>
      <c r="E334" t="str">
        <f>IF(NOT(ISERROR(VLOOKUP(D334,'ESO Dungeon constants'!$A$3:$A$9999,1,FALSE))),"X","")</f>
        <v/>
      </c>
      <c r="F334" s="3" t="str">
        <f>IF(EXACT(A334,C334),"X","")</f>
        <v/>
      </c>
      <c r="G334" s="3" t="str">
        <f>IF(A334&lt;&gt;C334,VLOOKUP(C334,$A$5:$D$9954,4,FALSE),"")</f>
        <v>Stormhaven</v>
      </c>
      <c r="H334" s="17">
        <f>A334</f>
        <v>546</v>
      </c>
      <c r="I334" s="17">
        <f>C334</f>
        <v>19</v>
      </c>
      <c r="J334">
        <v>0</v>
      </c>
      <c r="K334" s="3" t="str">
        <f>VLOOKUP(J334,'LibSets constants'!$A$4:$B$1017,2,FALSE)</f>
        <v>DLC_BASE_GAME</v>
      </c>
      <c r="L334" s="3" t="str">
        <f>VLOOKUP(J334,'LibSets constants'!$A$4:$C$1017,3,FALSE)</f>
        <v>Included in base game</v>
      </c>
    </row>
    <row r="335" spans="1:12" x14ac:dyDescent="0.25">
      <c r="A335">
        <v>547</v>
      </c>
      <c r="B335">
        <v>316</v>
      </c>
      <c r="C335">
        <v>108</v>
      </c>
      <c r="D335" t="s">
        <v>392</v>
      </c>
      <c r="E335" t="str">
        <f>IF(NOT(ISERROR(VLOOKUP(D335,'ESO Dungeon constants'!$A$3:$A$9999,1,FALSE))),"X","")</f>
        <v/>
      </c>
      <c r="F335" s="3" t="str">
        <f>IF(EXACT(A335,C335),"X","")</f>
        <v/>
      </c>
      <c r="G335" s="3" t="str">
        <f>IF(A335&lt;&gt;C335,VLOOKUP(C335,$A$5:$D$9954,4,FALSE),"")</f>
        <v>Greenshade</v>
      </c>
      <c r="H335" s="17">
        <f>A335</f>
        <v>547</v>
      </c>
      <c r="I335" s="17">
        <f>C335</f>
        <v>108</v>
      </c>
      <c r="J335">
        <v>0</v>
      </c>
      <c r="K335" s="3" t="str">
        <f>VLOOKUP(J335,'LibSets constants'!$A$4:$B$1017,2,FALSE)</f>
        <v>DLC_BASE_GAME</v>
      </c>
      <c r="L335" s="3" t="str">
        <f>VLOOKUP(J335,'LibSets constants'!$A$4:$C$1017,3,FALSE)</f>
        <v>Included in base game</v>
      </c>
    </row>
    <row r="336" spans="1:12" x14ac:dyDescent="0.25">
      <c r="A336">
        <v>548</v>
      </c>
      <c r="B336">
        <v>317</v>
      </c>
      <c r="C336">
        <v>108</v>
      </c>
      <c r="D336" t="s">
        <v>393</v>
      </c>
      <c r="E336" t="str">
        <f>IF(NOT(ISERROR(VLOOKUP(D336,'ESO Dungeon constants'!$A$3:$A$9999,1,FALSE))),"X","")</f>
        <v/>
      </c>
      <c r="F336" s="3" t="str">
        <f>IF(EXACT(A336,C336),"X","")</f>
        <v/>
      </c>
      <c r="G336" s="3" t="str">
        <f>IF(A336&lt;&gt;C336,VLOOKUP(C336,$A$5:$D$9954,4,FALSE),"")</f>
        <v>Greenshade</v>
      </c>
      <c r="H336" s="17">
        <f>A336</f>
        <v>548</v>
      </c>
      <c r="I336" s="17">
        <f>C336</f>
        <v>108</v>
      </c>
      <c r="J336">
        <v>0</v>
      </c>
      <c r="K336" s="3" t="str">
        <f>VLOOKUP(J336,'LibSets constants'!$A$4:$B$1017,2,FALSE)</f>
        <v>DLC_BASE_GAME</v>
      </c>
      <c r="L336" s="3" t="str">
        <f>VLOOKUP(J336,'LibSets constants'!$A$4:$C$1017,3,FALSE)</f>
        <v>Included in base game</v>
      </c>
    </row>
    <row r="337" spans="1:12" x14ac:dyDescent="0.25">
      <c r="A337">
        <v>549</v>
      </c>
      <c r="B337">
        <v>318</v>
      </c>
      <c r="C337">
        <v>383</v>
      </c>
      <c r="D337" t="s">
        <v>394</v>
      </c>
      <c r="E337" t="str">
        <f>IF(NOT(ISERROR(VLOOKUP(D337,'ESO Dungeon constants'!$A$3:$A$9999,1,FALSE))),"X","")</f>
        <v/>
      </c>
      <c r="F337" s="3" t="str">
        <f>IF(EXACT(A337,C337),"X","")</f>
        <v/>
      </c>
      <c r="G337" s="3" t="str">
        <f>IF(A337&lt;&gt;C337,VLOOKUP(C337,$A$5:$D$9954,4,FALSE),"")</f>
        <v>Grahtwood</v>
      </c>
      <c r="H337" s="17">
        <f>A337</f>
        <v>549</v>
      </c>
      <c r="I337" s="17">
        <f>C337</f>
        <v>383</v>
      </c>
      <c r="J337">
        <v>0</v>
      </c>
      <c r="K337" s="3" t="str">
        <f>VLOOKUP(J337,'LibSets constants'!$A$4:$B$1017,2,FALSE)</f>
        <v>DLC_BASE_GAME</v>
      </c>
      <c r="L337" s="3" t="str">
        <f>VLOOKUP(J337,'LibSets constants'!$A$4:$C$1017,3,FALSE)</f>
        <v>Included in base game</v>
      </c>
    </row>
    <row r="338" spans="1:12" x14ac:dyDescent="0.25">
      <c r="A338">
        <v>551</v>
      </c>
      <c r="B338">
        <v>319</v>
      </c>
      <c r="C338">
        <v>108</v>
      </c>
      <c r="D338" t="s">
        <v>395</v>
      </c>
      <c r="E338" t="str">
        <f>IF(NOT(ISERROR(VLOOKUP(D338,'ESO Dungeon constants'!$A$3:$A$9999,1,FALSE))),"X","")</f>
        <v/>
      </c>
      <c r="F338" s="3" t="str">
        <f>IF(EXACT(A338,C338),"X","")</f>
        <v/>
      </c>
      <c r="G338" s="3" t="str">
        <f>IF(A338&lt;&gt;C338,VLOOKUP(C338,$A$5:$D$9954,4,FALSE),"")</f>
        <v>Greenshade</v>
      </c>
      <c r="H338" s="17">
        <f>A338</f>
        <v>551</v>
      </c>
      <c r="I338" s="17">
        <f>C338</f>
        <v>108</v>
      </c>
      <c r="J338">
        <v>0</v>
      </c>
      <c r="K338" s="3" t="str">
        <f>VLOOKUP(J338,'LibSets constants'!$A$4:$B$1017,2,FALSE)</f>
        <v>DLC_BASE_GAME</v>
      </c>
      <c r="L338" s="3" t="str">
        <f>VLOOKUP(J338,'LibSets constants'!$A$4:$C$1017,3,FALSE)</f>
        <v>Included in base game</v>
      </c>
    </row>
    <row r="339" spans="1:12" x14ac:dyDescent="0.25">
      <c r="A339">
        <v>552</v>
      </c>
      <c r="B339">
        <v>320</v>
      </c>
      <c r="C339">
        <v>108</v>
      </c>
      <c r="D339" t="s">
        <v>396</v>
      </c>
      <c r="E339" t="str">
        <f>IF(NOT(ISERROR(VLOOKUP(D339,'ESO Dungeon constants'!$A$3:$A$9999,1,FALSE))),"X","")</f>
        <v/>
      </c>
      <c r="F339" s="3" t="str">
        <f>IF(EXACT(A339,C339),"X","")</f>
        <v/>
      </c>
      <c r="G339" s="3" t="str">
        <f>IF(A339&lt;&gt;C339,VLOOKUP(C339,$A$5:$D$9954,4,FALSE),"")</f>
        <v>Greenshade</v>
      </c>
      <c r="H339" s="17">
        <f>A339</f>
        <v>552</v>
      </c>
      <c r="I339" s="17">
        <f>C339</f>
        <v>108</v>
      </c>
      <c r="J339">
        <v>0</v>
      </c>
      <c r="K339" s="3" t="str">
        <f>VLOOKUP(J339,'LibSets constants'!$A$4:$B$1017,2,FALSE)</f>
        <v>DLC_BASE_GAME</v>
      </c>
      <c r="L339" s="3" t="str">
        <f>VLOOKUP(J339,'LibSets constants'!$A$4:$C$1017,3,FALSE)</f>
        <v>Included in base game</v>
      </c>
    </row>
    <row r="340" spans="1:12" x14ac:dyDescent="0.25">
      <c r="A340">
        <v>553</v>
      </c>
      <c r="B340">
        <v>321</v>
      </c>
      <c r="C340">
        <v>108</v>
      </c>
      <c r="D340" t="s">
        <v>397</v>
      </c>
      <c r="E340" t="str">
        <f>IF(NOT(ISERROR(VLOOKUP(D340,'ESO Dungeon constants'!$A$3:$A$9999,1,FALSE))),"X","")</f>
        <v/>
      </c>
      <c r="F340" s="3" t="str">
        <f>IF(EXACT(A340,C340),"X","")</f>
        <v/>
      </c>
      <c r="G340" s="3" t="str">
        <f>IF(A340&lt;&gt;C340,VLOOKUP(C340,$A$5:$D$9954,4,FALSE),"")</f>
        <v>Greenshade</v>
      </c>
      <c r="H340" s="17">
        <f>A340</f>
        <v>553</v>
      </c>
      <c r="I340" s="17">
        <f>C340</f>
        <v>108</v>
      </c>
      <c r="J340">
        <v>0</v>
      </c>
      <c r="K340" s="3" t="str">
        <f>VLOOKUP(J340,'LibSets constants'!$A$4:$B$1017,2,FALSE)</f>
        <v>DLC_BASE_GAME</v>
      </c>
      <c r="L340" s="3" t="str">
        <f>VLOOKUP(J340,'LibSets constants'!$A$4:$C$1017,3,FALSE)</f>
        <v>Included in base game</v>
      </c>
    </row>
    <row r="341" spans="1:12" x14ac:dyDescent="0.25">
      <c r="A341">
        <v>554</v>
      </c>
      <c r="B341">
        <v>322</v>
      </c>
      <c r="C341">
        <v>108</v>
      </c>
      <c r="D341" t="s">
        <v>398</v>
      </c>
      <c r="E341" t="str">
        <f>IF(NOT(ISERROR(VLOOKUP(D341,'ESO Dungeon constants'!$A$3:$A$9999,1,FALSE))),"X","")</f>
        <v/>
      </c>
      <c r="F341" s="3" t="str">
        <f>IF(EXACT(A341,C341),"X","")</f>
        <v/>
      </c>
      <c r="G341" s="3" t="str">
        <f>IF(A341&lt;&gt;C341,VLOOKUP(C341,$A$5:$D$9954,4,FALSE),"")</f>
        <v>Greenshade</v>
      </c>
      <c r="H341" s="17">
        <f>A341</f>
        <v>554</v>
      </c>
      <c r="I341" s="17">
        <f>C341</f>
        <v>108</v>
      </c>
      <c r="J341">
        <v>0</v>
      </c>
      <c r="K341" s="3" t="str">
        <f>VLOOKUP(J341,'LibSets constants'!$A$4:$B$1017,2,FALSE)</f>
        <v>DLC_BASE_GAME</v>
      </c>
      <c r="L341" s="3" t="str">
        <f>VLOOKUP(J341,'LibSets constants'!$A$4:$C$1017,3,FALSE)</f>
        <v>Included in base game</v>
      </c>
    </row>
    <row r="342" spans="1:12" x14ac:dyDescent="0.25">
      <c r="A342">
        <v>555</v>
      </c>
      <c r="B342">
        <v>323</v>
      </c>
      <c r="C342">
        <v>108</v>
      </c>
      <c r="D342" t="s">
        <v>399</v>
      </c>
      <c r="E342" t="str">
        <f>IF(NOT(ISERROR(VLOOKUP(D342,'ESO Dungeon constants'!$A$3:$A$9999,1,FALSE))),"X","")</f>
        <v/>
      </c>
      <c r="F342" s="3" t="str">
        <f>IF(EXACT(A342,C342),"X","")</f>
        <v/>
      </c>
      <c r="G342" s="3" t="str">
        <f>IF(A342&lt;&gt;C342,VLOOKUP(C342,$A$5:$D$9954,4,FALSE),"")</f>
        <v>Greenshade</v>
      </c>
      <c r="H342" s="17">
        <f>A342</f>
        <v>555</v>
      </c>
      <c r="I342" s="17">
        <f>C342</f>
        <v>108</v>
      </c>
      <c r="J342">
        <v>0</v>
      </c>
      <c r="K342" s="3" t="str">
        <f>VLOOKUP(J342,'LibSets constants'!$A$4:$B$1017,2,FALSE)</f>
        <v>DLC_BASE_GAME</v>
      </c>
      <c r="L342" s="3" t="str">
        <f>VLOOKUP(J342,'LibSets constants'!$A$4:$C$1017,3,FALSE)</f>
        <v>Included in base game</v>
      </c>
    </row>
    <row r="343" spans="1:12" x14ac:dyDescent="0.25">
      <c r="A343">
        <v>556</v>
      </c>
      <c r="B343">
        <v>324</v>
      </c>
      <c r="C343">
        <v>108</v>
      </c>
      <c r="D343" t="s">
        <v>400</v>
      </c>
      <c r="E343" t="str">
        <f>IF(NOT(ISERROR(VLOOKUP(D343,'ESO Dungeon constants'!$A$3:$A$9999,1,FALSE))),"X","")</f>
        <v/>
      </c>
      <c r="F343" s="3" t="str">
        <f>IF(EXACT(A343,C343),"X","")</f>
        <v/>
      </c>
      <c r="G343" s="3" t="str">
        <f>IF(A343&lt;&gt;C343,VLOOKUP(C343,$A$5:$D$9954,4,FALSE),"")</f>
        <v>Greenshade</v>
      </c>
      <c r="H343" s="17">
        <f>A343</f>
        <v>556</v>
      </c>
      <c r="I343" s="17">
        <f>C343</f>
        <v>108</v>
      </c>
      <c r="J343">
        <v>0</v>
      </c>
      <c r="K343" s="3" t="str">
        <f>VLOOKUP(J343,'LibSets constants'!$A$4:$B$1017,2,FALSE)</f>
        <v>DLC_BASE_GAME</v>
      </c>
      <c r="L343" s="3" t="str">
        <f>VLOOKUP(J343,'LibSets constants'!$A$4:$C$1017,3,FALSE)</f>
        <v>Included in base game</v>
      </c>
    </row>
    <row r="344" spans="1:12" x14ac:dyDescent="0.25">
      <c r="A344">
        <v>557</v>
      </c>
      <c r="B344">
        <v>325</v>
      </c>
      <c r="C344">
        <v>347</v>
      </c>
      <c r="D344" t="s">
        <v>401</v>
      </c>
      <c r="E344" t="str">
        <f>IF(NOT(ISERROR(VLOOKUP(D344,'ESO Dungeon constants'!$A$3:$A$9999,1,FALSE))),"X","")</f>
        <v/>
      </c>
      <c r="F344" s="3" t="str">
        <f>IF(EXACT(A344,C344),"X","")</f>
        <v/>
      </c>
      <c r="G344" s="3" t="str">
        <f>IF(A344&lt;&gt;C344,VLOOKUP(C344,$A$5:$D$9954,4,FALSE),"")</f>
        <v>Coldharbour</v>
      </c>
      <c r="H344" s="17">
        <f>A344</f>
        <v>557</v>
      </c>
      <c r="I344" s="17">
        <f>C344</f>
        <v>347</v>
      </c>
      <c r="J344">
        <v>0</v>
      </c>
      <c r="K344" s="3" t="str">
        <f>VLOOKUP(J344,'LibSets constants'!$A$4:$B$1017,2,FALSE)</f>
        <v>DLC_BASE_GAME</v>
      </c>
      <c r="L344" s="3" t="str">
        <f>VLOOKUP(J344,'LibSets constants'!$A$4:$C$1017,3,FALSE)</f>
        <v>Included in base game</v>
      </c>
    </row>
    <row r="345" spans="1:12" x14ac:dyDescent="0.25">
      <c r="A345">
        <v>558</v>
      </c>
      <c r="B345">
        <v>326</v>
      </c>
      <c r="C345">
        <v>108</v>
      </c>
      <c r="D345" t="s">
        <v>402</v>
      </c>
      <c r="E345" t="str">
        <f>IF(NOT(ISERROR(VLOOKUP(D345,'ESO Dungeon constants'!$A$3:$A$9999,1,FALSE))),"X","")</f>
        <v/>
      </c>
      <c r="F345" s="3" t="str">
        <f>IF(EXACT(A345,C345),"X","")</f>
        <v/>
      </c>
      <c r="G345" s="3" t="str">
        <f>IF(A345&lt;&gt;C345,VLOOKUP(C345,$A$5:$D$9954,4,FALSE),"")</f>
        <v>Greenshade</v>
      </c>
      <c r="H345" s="17">
        <f>A345</f>
        <v>558</v>
      </c>
      <c r="I345" s="17">
        <f>C345</f>
        <v>108</v>
      </c>
      <c r="J345">
        <v>0</v>
      </c>
      <c r="K345" s="3" t="str">
        <f>VLOOKUP(J345,'LibSets constants'!$A$4:$B$1017,2,FALSE)</f>
        <v>DLC_BASE_GAME</v>
      </c>
      <c r="L345" s="3" t="str">
        <f>VLOOKUP(J345,'LibSets constants'!$A$4:$C$1017,3,FALSE)</f>
        <v>Included in base game</v>
      </c>
    </row>
    <row r="346" spans="1:12" x14ac:dyDescent="0.25">
      <c r="A346">
        <v>559</v>
      </c>
      <c r="B346">
        <v>327</v>
      </c>
      <c r="C346">
        <v>108</v>
      </c>
      <c r="D346" t="s">
        <v>403</v>
      </c>
      <c r="E346" t="str">
        <f>IF(NOT(ISERROR(VLOOKUP(D346,'ESO Dungeon constants'!$A$3:$A$9999,1,FALSE))),"X","")</f>
        <v/>
      </c>
      <c r="F346" s="3" t="str">
        <f>IF(EXACT(A346,C346),"X","")</f>
        <v/>
      </c>
      <c r="G346" s="3" t="str">
        <f>IF(A346&lt;&gt;C346,VLOOKUP(C346,$A$5:$D$9954,4,FALSE),"")</f>
        <v>Greenshade</v>
      </c>
      <c r="H346" s="17">
        <f>A346</f>
        <v>559</v>
      </c>
      <c r="I346" s="17">
        <f>C346</f>
        <v>108</v>
      </c>
      <c r="J346">
        <v>0</v>
      </c>
      <c r="K346" s="3" t="str">
        <f>VLOOKUP(J346,'LibSets constants'!$A$4:$B$1017,2,FALSE)</f>
        <v>DLC_BASE_GAME</v>
      </c>
      <c r="L346" s="3" t="str">
        <f>VLOOKUP(J346,'LibSets constants'!$A$4:$C$1017,3,FALSE)</f>
        <v>Included in base game</v>
      </c>
    </row>
    <row r="347" spans="1:12" x14ac:dyDescent="0.25">
      <c r="A347">
        <v>560</v>
      </c>
      <c r="B347">
        <v>328</v>
      </c>
      <c r="C347">
        <v>103</v>
      </c>
      <c r="D347" t="s">
        <v>291</v>
      </c>
      <c r="E347" t="str">
        <f>IF(NOT(ISERROR(VLOOKUP(D347,'ESO Dungeon constants'!$A$3:$A$9999,1,FALSE))),"X","")</f>
        <v/>
      </c>
      <c r="F347" s="3" t="str">
        <f>IF(EXACT(A347,C347),"X","")</f>
        <v/>
      </c>
      <c r="G347" s="3" t="str">
        <f>IF(A347&lt;&gt;C347,VLOOKUP(C347,$A$5:$D$9954,4,FALSE),"")</f>
        <v>The Rift</v>
      </c>
      <c r="H347" s="17">
        <f>A347</f>
        <v>560</v>
      </c>
      <c r="I347" s="17">
        <f>C347</f>
        <v>103</v>
      </c>
      <c r="J347">
        <v>0</v>
      </c>
      <c r="K347" s="3" t="str">
        <f>VLOOKUP(J347,'LibSets constants'!$A$4:$B$1017,2,FALSE)</f>
        <v>DLC_BASE_GAME</v>
      </c>
      <c r="L347" s="3" t="str">
        <f>VLOOKUP(J347,'LibSets constants'!$A$4:$C$1017,3,FALSE)</f>
        <v>Included in base game</v>
      </c>
    </row>
    <row r="348" spans="1:12" x14ac:dyDescent="0.25">
      <c r="A348">
        <v>561</v>
      </c>
      <c r="B348">
        <v>329</v>
      </c>
      <c r="C348">
        <v>108</v>
      </c>
      <c r="D348" t="s">
        <v>404</v>
      </c>
      <c r="E348" t="str">
        <f>IF(NOT(ISERROR(VLOOKUP(D348,'ESO Dungeon constants'!$A$3:$A$9999,1,FALSE))),"X","")</f>
        <v/>
      </c>
      <c r="F348" s="3" t="str">
        <f>IF(EXACT(A348,C348),"X","")</f>
        <v/>
      </c>
      <c r="G348" s="3" t="str">
        <f>IF(A348&lt;&gt;C348,VLOOKUP(C348,$A$5:$D$9954,4,FALSE),"")</f>
        <v>Greenshade</v>
      </c>
      <c r="H348" s="17">
        <f>A348</f>
        <v>561</v>
      </c>
      <c r="I348" s="17">
        <f>C348</f>
        <v>108</v>
      </c>
      <c r="J348">
        <v>0</v>
      </c>
      <c r="K348" s="3" t="str">
        <f>VLOOKUP(J348,'LibSets constants'!$A$4:$B$1017,2,FALSE)</f>
        <v>DLC_BASE_GAME</v>
      </c>
      <c r="L348" s="3" t="str">
        <f>VLOOKUP(J348,'LibSets constants'!$A$4:$C$1017,3,FALSE)</f>
        <v>Included in base game</v>
      </c>
    </row>
    <row r="349" spans="1:12" x14ac:dyDescent="0.25">
      <c r="A349">
        <v>562</v>
      </c>
      <c r="B349">
        <v>330</v>
      </c>
      <c r="C349">
        <v>382</v>
      </c>
      <c r="D349" t="s">
        <v>405</v>
      </c>
      <c r="E349" t="str">
        <f>IF(NOT(ISERROR(VLOOKUP(D349,'ESO Dungeon constants'!$A$3:$A$9999,1,FALSE))),"X","")</f>
        <v/>
      </c>
      <c r="F349" s="3" t="str">
        <f>IF(EXACT(A349,C349),"X","")</f>
        <v/>
      </c>
      <c r="G349" s="3" t="str">
        <f>IF(A349&lt;&gt;C349,VLOOKUP(C349,$A$5:$D$9954,4,FALSE),"")</f>
        <v>Reaper's March</v>
      </c>
      <c r="H349" s="17">
        <f>A349</f>
        <v>562</v>
      </c>
      <c r="I349" s="17">
        <f>C349</f>
        <v>382</v>
      </c>
      <c r="J349">
        <v>0</v>
      </c>
      <c r="K349" s="3" t="str">
        <f>VLOOKUP(J349,'LibSets constants'!$A$4:$B$1017,2,FALSE)</f>
        <v>DLC_BASE_GAME</v>
      </c>
      <c r="L349" s="3" t="str">
        <f>VLOOKUP(J349,'LibSets constants'!$A$4:$C$1017,3,FALSE)</f>
        <v>Included in base game</v>
      </c>
    </row>
    <row r="350" spans="1:12" x14ac:dyDescent="0.25">
      <c r="A350">
        <v>565</v>
      </c>
      <c r="B350">
        <v>331</v>
      </c>
      <c r="C350">
        <v>382</v>
      </c>
      <c r="D350" t="s">
        <v>406</v>
      </c>
      <c r="E350" t="str">
        <f>IF(NOT(ISERROR(VLOOKUP(D350,'ESO Dungeon constants'!$A$3:$A$9999,1,FALSE))),"X","")</f>
        <v/>
      </c>
      <c r="F350" s="3" t="str">
        <f>IF(EXACT(A350,C350),"X","")</f>
        <v/>
      </c>
      <c r="G350" s="3" t="str">
        <f>IF(A350&lt;&gt;C350,VLOOKUP(C350,$A$5:$D$9954,4,FALSE),"")</f>
        <v>Reaper's March</v>
      </c>
      <c r="H350" s="17">
        <f>A350</f>
        <v>565</v>
      </c>
      <c r="I350" s="17">
        <f>C350</f>
        <v>382</v>
      </c>
      <c r="J350">
        <v>0</v>
      </c>
      <c r="K350" s="3" t="str">
        <f>VLOOKUP(J350,'LibSets constants'!$A$4:$B$1017,2,FALSE)</f>
        <v>DLC_BASE_GAME</v>
      </c>
      <c r="L350" s="3" t="str">
        <f>VLOOKUP(J350,'LibSets constants'!$A$4:$C$1017,3,FALSE)</f>
        <v>Included in base game</v>
      </c>
    </row>
    <row r="351" spans="1:12" x14ac:dyDescent="0.25">
      <c r="A351">
        <v>566</v>
      </c>
      <c r="B351">
        <v>332</v>
      </c>
      <c r="C351">
        <v>3</v>
      </c>
      <c r="D351" t="s">
        <v>407</v>
      </c>
      <c r="E351" t="str">
        <f>IF(NOT(ISERROR(VLOOKUP(D351,'ESO Dungeon constants'!$A$3:$A$9999,1,FALSE))),"X","")</f>
        <v/>
      </c>
      <c r="F351" s="3" t="str">
        <f>IF(EXACT(A351,C351),"X","")</f>
        <v/>
      </c>
      <c r="G351" s="3" t="str">
        <f>IF(A351&lt;&gt;C351,VLOOKUP(C351,$A$5:$D$9954,4,FALSE),"")</f>
        <v>Glenumbra</v>
      </c>
      <c r="H351" s="17">
        <f>A351</f>
        <v>566</v>
      </c>
      <c r="I351" s="17">
        <f>C351</f>
        <v>3</v>
      </c>
      <c r="J351">
        <v>0</v>
      </c>
      <c r="K351" s="3" t="str">
        <f>VLOOKUP(J351,'LibSets constants'!$A$4:$B$1017,2,FALSE)</f>
        <v>DLC_BASE_GAME</v>
      </c>
      <c r="L351" s="3" t="str">
        <f>VLOOKUP(J351,'LibSets constants'!$A$4:$C$1017,3,FALSE)</f>
        <v>Included in base game</v>
      </c>
    </row>
    <row r="352" spans="1:12" x14ac:dyDescent="0.25">
      <c r="A352">
        <v>567</v>
      </c>
      <c r="B352">
        <v>333</v>
      </c>
      <c r="C352">
        <v>103</v>
      </c>
      <c r="D352" t="s">
        <v>290</v>
      </c>
      <c r="E352" t="str">
        <f>IF(NOT(ISERROR(VLOOKUP(D352,'ESO Dungeon constants'!$A$3:$A$9999,1,FALSE))),"X","")</f>
        <v/>
      </c>
      <c r="F352" s="3" t="str">
        <f>IF(EXACT(A352,C352),"X","")</f>
        <v/>
      </c>
      <c r="G352" s="3" t="str">
        <f>IF(A352&lt;&gt;C352,VLOOKUP(C352,$A$5:$D$9954,4,FALSE),"")</f>
        <v>The Rift</v>
      </c>
      <c r="H352" s="17">
        <f>A352</f>
        <v>567</v>
      </c>
      <c r="I352" s="17">
        <f>C352</f>
        <v>103</v>
      </c>
      <c r="J352">
        <v>0</v>
      </c>
      <c r="K352" s="3" t="str">
        <f>VLOOKUP(J352,'LibSets constants'!$A$4:$B$1017,2,FALSE)</f>
        <v>DLC_BASE_GAME</v>
      </c>
      <c r="L352" s="3" t="str">
        <f>VLOOKUP(J352,'LibSets constants'!$A$4:$C$1017,3,FALSE)</f>
        <v>Included in base game</v>
      </c>
    </row>
    <row r="353" spans="1:12" x14ac:dyDescent="0.25">
      <c r="A353">
        <v>569</v>
      </c>
      <c r="B353">
        <v>334</v>
      </c>
      <c r="C353">
        <v>104</v>
      </c>
      <c r="D353" t="s">
        <v>408</v>
      </c>
      <c r="E353" t="str">
        <f>IF(NOT(ISERROR(VLOOKUP(D353,'ESO Dungeon constants'!$A$3:$A$9999,1,FALSE))),"X","")</f>
        <v/>
      </c>
      <c r="F353" s="3" t="str">
        <f>IF(EXACT(A353,C353),"X","")</f>
        <v/>
      </c>
      <c r="G353" s="3" t="str">
        <f>IF(A353&lt;&gt;C353,VLOOKUP(C353,$A$5:$D$9954,4,FALSE),"")</f>
        <v>Alik'r Desert</v>
      </c>
      <c r="H353" s="17">
        <f>A353</f>
        <v>569</v>
      </c>
      <c r="I353" s="17">
        <f>C353</f>
        <v>104</v>
      </c>
      <c r="J353">
        <v>0</v>
      </c>
      <c r="K353" s="3" t="str">
        <f>VLOOKUP(J353,'LibSets constants'!$A$4:$B$1017,2,FALSE)</f>
        <v>DLC_BASE_GAME</v>
      </c>
      <c r="L353" s="3" t="str">
        <f>VLOOKUP(J353,'LibSets constants'!$A$4:$C$1017,3,FALSE)</f>
        <v>Included in base game</v>
      </c>
    </row>
    <row r="354" spans="1:12" x14ac:dyDescent="0.25">
      <c r="A354">
        <v>570</v>
      </c>
      <c r="B354">
        <v>335</v>
      </c>
      <c r="C354">
        <v>104</v>
      </c>
      <c r="D354" t="s">
        <v>409</v>
      </c>
      <c r="E354" t="str">
        <f>IF(NOT(ISERROR(VLOOKUP(D354,'ESO Dungeon constants'!$A$3:$A$9999,1,FALSE))),"X","")</f>
        <v/>
      </c>
      <c r="F354" s="3" t="str">
        <f>IF(EXACT(A354,C354),"X","")</f>
        <v/>
      </c>
      <c r="G354" s="3" t="str">
        <f>IF(A354&lt;&gt;C354,VLOOKUP(C354,$A$5:$D$9954,4,FALSE),"")</f>
        <v>Alik'r Desert</v>
      </c>
      <c r="H354" s="17">
        <f>A354</f>
        <v>570</v>
      </c>
      <c r="I354" s="17">
        <f>C354</f>
        <v>104</v>
      </c>
      <c r="J354">
        <v>0</v>
      </c>
      <c r="K354" s="3" t="str">
        <f>VLOOKUP(J354,'LibSets constants'!$A$4:$B$1017,2,FALSE)</f>
        <v>DLC_BASE_GAME</v>
      </c>
      <c r="L354" s="3" t="str">
        <f>VLOOKUP(J354,'LibSets constants'!$A$4:$C$1017,3,FALSE)</f>
        <v>Included in base game</v>
      </c>
    </row>
    <row r="355" spans="1:12" x14ac:dyDescent="0.25">
      <c r="A355">
        <v>571</v>
      </c>
      <c r="B355">
        <v>336</v>
      </c>
      <c r="C355">
        <v>104</v>
      </c>
      <c r="D355" t="s">
        <v>410</v>
      </c>
      <c r="E355" t="str">
        <f>IF(NOT(ISERROR(VLOOKUP(D355,'ESO Dungeon constants'!$A$3:$A$9999,1,FALSE))),"X","")</f>
        <v/>
      </c>
      <c r="F355" s="3" t="str">
        <f>IF(EXACT(A355,C355),"X","")</f>
        <v/>
      </c>
      <c r="G355" s="3" t="str">
        <f>IF(A355&lt;&gt;C355,VLOOKUP(C355,$A$5:$D$9954,4,FALSE),"")</f>
        <v>Alik'r Desert</v>
      </c>
      <c r="H355" s="17">
        <f>A355</f>
        <v>571</v>
      </c>
      <c r="I355" s="17">
        <f>C355</f>
        <v>104</v>
      </c>
      <c r="J355">
        <v>0</v>
      </c>
      <c r="K355" s="3" t="str">
        <f>VLOOKUP(J355,'LibSets constants'!$A$4:$B$1017,2,FALSE)</f>
        <v>DLC_BASE_GAME</v>
      </c>
      <c r="L355" s="3" t="str">
        <f>VLOOKUP(J355,'LibSets constants'!$A$4:$C$1017,3,FALSE)</f>
        <v>Included in base game</v>
      </c>
    </row>
    <row r="356" spans="1:12" x14ac:dyDescent="0.25">
      <c r="A356">
        <v>572</v>
      </c>
      <c r="B356">
        <v>337</v>
      </c>
      <c r="C356">
        <v>572</v>
      </c>
      <c r="D356" t="s">
        <v>411</v>
      </c>
      <c r="E356" t="str">
        <f>IF(NOT(ISERROR(VLOOKUP(D356,'ESO Dungeon constants'!$A$3:$A$9999,1,FALSE))),"X","")</f>
        <v/>
      </c>
      <c r="F356" s="3" t="str">
        <f>IF(EXACT(A356,C356),"X","")</f>
        <v>X</v>
      </c>
      <c r="G356" s="3" t="str">
        <f>IF(A356&lt;&gt;C356,VLOOKUP(C356,$A$5:$D$9954,4,FALSE),"")</f>
        <v/>
      </c>
      <c r="H356" s="17">
        <f>A356</f>
        <v>572</v>
      </c>
      <c r="I356" s="17">
        <f>C356</f>
        <v>572</v>
      </c>
      <c r="J356">
        <v>6</v>
      </c>
      <c r="K356" s="3" t="str">
        <f>VLOOKUP(J356,'LibSets constants'!$A$4:$B$1017,2,FALSE)</f>
        <v>DLC_MORROWIND</v>
      </c>
      <c r="L356" s="3" t="str">
        <f>VLOOKUP(J356,'LibSets constants'!$A$4:$C$1017,3,FALSE)</f>
        <v>Morrowind</v>
      </c>
    </row>
    <row r="357" spans="1:12" x14ac:dyDescent="0.25">
      <c r="A357">
        <v>573</v>
      </c>
      <c r="B357">
        <v>338</v>
      </c>
      <c r="C357">
        <v>199</v>
      </c>
      <c r="D357" t="s">
        <v>412</v>
      </c>
      <c r="E357" t="str">
        <f>IF(NOT(ISERROR(VLOOKUP(D357,'ESO Dungeon constants'!$A$3:$A$9999,1,FALSE))),"X","")</f>
        <v/>
      </c>
      <c r="F357" s="3" t="str">
        <f>IF(EXACT(A357,C357),"X","")</f>
        <v/>
      </c>
      <c r="G357" s="3" t="str">
        <f>IF(A357&lt;&gt;C357,VLOOKUP(C357,$A$5:$D$9954,4,FALSE),"")</f>
        <v>The Harborage</v>
      </c>
      <c r="H357" s="17">
        <f>A357</f>
        <v>573</v>
      </c>
      <c r="I357" s="17">
        <f>C357</f>
        <v>199</v>
      </c>
      <c r="J357">
        <v>0</v>
      </c>
      <c r="K357" s="3" t="str">
        <f>VLOOKUP(J357,'LibSets constants'!$A$4:$B$1017,2,FALSE)</f>
        <v>DLC_BASE_GAME</v>
      </c>
      <c r="L357" s="3" t="str">
        <f>VLOOKUP(J357,'LibSets constants'!$A$4:$C$1017,3,FALSE)</f>
        <v>Included in base game</v>
      </c>
    </row>
    <row r="358" spans="1:12" x14ac:dyDescent="0.25">
      <c r="A358">
        <v>574</v>
      </c>
      <c r="B358">
        <v>339</v>
      </c>
      <c r="C358">
        <v>199</v>
      </c>
      <c r="D358" t="s">
        <v>413</v>
      </c>
      <c r="E358" t="str">
        <f>IF(NOT(ISERROR(VLOOKUP(D358,'ESO Dungeon constants'!$A$3:$A$9999,1,FALSE))),"X","")</f>
        <v/>
      </c>
      <c r="F358" s="3" t="str">
        <f>IF(EXACT(A358,C358),"X","")</f>
        <v/>
      </c>
      <c r="G358" s="3" t="str">
        <f>IF(A358&lt;&gt;C358,VLOOKUP(C358,$A$5:$D$9954,4,FALSE),"")</f>
        <v>The Harborage</v>
      </c>
      <c r="H358" s="17">
        <f>A358</f>
        <v>574</v>
      </c>
      <c r="I358" s="17">
        <f>C358</f>
        <v>199</v>
      </c>
      <c r="J358">
        <v>0</v>
      </c>
      <c r="K358" s="3" t="str">
        <f>VLOOKUP(J358,'LibSets constants'!$A$4:$B$1017,2,FALSE)</f>
        <v>DLC_BASE_GAME</v>
      </c>
      <c r="L358" s="3" t="str">
        <f>VLOOKUP(J358,'LibSets constants'!$A$4:$C$1017,3,FALSE)</f>
        <v>Included in base game</v>
      </c>
    </row>
    <row r="359" spans="1:12" x14ac:dyDescent="0.25">
      <c r="A359">
        <v>575</v>
      </c>
      <c r="B359">
        <v>340</v>
      </c>
      <c r="C359">
        <v>108</v>
      </c>
      <c r="D359" t="s">
        <v>414</v>
      </c>
      <c r="E359" t="str">
        <f>IF(NOT(ISERROR(VLOOKUP(D359,'ESO Dungeon constants'!$A$3:$A$9999,1,FALSE))),"X","")</f>
        <v/>
      </c>
      <c r="F359" s="3" t="str">
        <f>IF(EXACT(A359,C359),"X","")</f>
        <v/>
      </c>
      <c r="G359" s="3" t="str">
        <f>IF(A359&lt;&gt;C359,VLOOKUP(C359,$A$5:$D$9954,4,FALSE),"")</f>
        <v>Greenshade</v>
      </c>
      <c r="H359" s="17">
        <f>A359</f>
        <v>575</v>
      </c>
      <c r="I359" s="17">
        <f>C359</f>
        <v>108</v>
      </c>
      <c r="J359">
        <v>0</v>
      </c>
      <c r="K359" s="3" t="str">
        <f>VLOOKUP(J359,'LibSets constants'!$A$4:$B$1017,2,FALSE)</f>
        <v>DLC_BASE_GAME</v>
      </c>
      <c r="L359" s="3" t="str">
        <f>VLOOKUP(J359,'LibSets constants'!$A$4:$C$1017,3,FALSE)</f>
        <v>Included in base game</v>
      </c>
    </row>
    <row r="360" spans="1:12" x14ac:dyDescent="0.25">
      <c r="A360">
        <v>576</v>
      </c>
      <c r="B360">
        <v>341</v>
      </c>
      <c r="C360">
        <v>108</v>
      </c>
      <c r="D360" t="s">
        <v>415</v>
      </c>
      <c r="E360" t="str">
        <f>IF(NOT(ISERROR(VLOOKUP(D360,'ESO Dungeon constants'!$A$3:$A$9999,1,FALSE))),"X","")</f>
        <v/>
      </c>
      <c r="F360" s="3" t="str">
        <f>IF(EXACT(A360,C360),"X","")</f>
        <v/>
      </c>
      <c r="G360" s="3" t="str">
        <f>IF(A360&lt;&gt;C360,VLOOKUP(C360,$A$5:$D$9954,4,FALSE),"")</f>
        <v>Greenshade</v>
      </c>
      <c r="H360" s="17">
        <f>A360</f>
        <v>576</v>
      </c>
      <c r="I360" s="17">
        <f>C360</f>
        <v>108</v>
      </c>
      <c r="J360">
        <v>0</v>
      </c>
      <c r="K360" s="3" t="str">
        <f>VLOOKUP(J360,'LibSets constants'!$A$4:$B$1017,2,FALSE)</f>
        <v>DLC_BASE_GAME</v>
      </c>
      <c r="L360" s="3" t="str">
        <f>VLOOKUP(J360,'LibSets constants'!$A$4:$C$1017,3,FALSE)</f>
        <v>Included in base game</v>
      </c>
    </row>
    <row r="361" spans="1:12" x14ac:dyDescent="0.25">
      <c r="A361">
        <v>577</v>
      </c>
      <c r="B361">
        <v>342</v>
      </c>
      <c r="C361">
        <v>108</v>
      </c>
      <c r="D361" t="s">
        <v>416</v>
      </c>
      <c r="E361" t="str">
        <f>IF(NOT(ISERROR(VLOOKUP(D361,'ESO Dungeon constants'!$A$3:$A$9999,1,FALSE))),"X","")</f>
        <v/>
      </c>
      <c r="F361" s="3" t="str">
        <f>IF(EXACT(A361,C361),"X","")</f>
        <v/>
      </c>
      <c r="G361" s="3" t="str">
        <f>IF(A361&lt;&gt;C361,VLOOKUP(C361,$A$5:$D$9954,4,FALSE),"")</f>
        <v>Greenshade</v>
      </c>
      <c r="H361" s="17">
        <f>A361</f>
        <v>577</v>
      </c>
      <c r="I361" s="17">
        <f>C361</f>
        <v>108</v>
      </c>
      <c r="J361">
        <v>0</v>
      </c>
      <c r="K361" s="3" t="str">
        <f>VLOOKUP(J361,'LibSets constants'!$A$4:$B$1017,2,FALSE)</f>
        <v>DLC_BASE_GAME</v>
      </c>
      <c r="L361" s="3" t="str">
        <f>VLOOKUP(J361,'LibSets constants'!$A$4:$C$1017,3,FALSE)</f>
        <v>Included in base game</v>
      </c>
    </row>
    <row r="362" spans="1:12" x14ac:dyDescent="0.25">
      <c r="A362">
        <v>578</v>
      </c>
      <c r="B362">
        <v>343</v>
      </c>
      <c r="C362">
        <v>108</v>
      </c>
      <c r="D362" t="s">
        <v>417</v>
      </c>
      <c r="E362" t="str">
        <f>IF(NOT(ISERROR(VLOOKUP(D362,'ESO Dungeon constants'!$A$3:$A$9999,1,FALSE))),"X","")</f>
        <v/>
      </c>
      <c r="F362" s="3" t="str">
        <f>IF(EXACT(A362,C362),"X","")</f>
        <v/>
      </c>
      <c r="G362" s="3" t="str">
        <f>IF(A362&lt;&gt;C362,VLOOKUP(C362,$A$5:$D$9954,4,FALSE),"")</f>
        <v>Greenshade</v>
      </c>
      <c r="H362" s="17">
        <f>A362</f>
        <v>578</v>
      </c>
      <c r="I362" s="17">
        <f>C362</f>
        <v>108</v>
      </c>
      <c r="J362">
        <v>0</v>
      </c>
      <c r="K362" s="3" t="str">
        <f>VLOOKUP(J362,'LibSets constants'!$A$4:$B$1017,2,FALSE)</f>
        <v>DLC_BASE_GAME</v>
      </c>
      <c r="L362" s="3" t="str">
        <f>VLOOKUP(J362,'LibSets constants'!$A$4:$C$1017,3,FALSE)</f>
        <v>Included in base game</v>
      </c>
    </row>
    <row r="363" spans="1:12" x14ac:dyDescent="0.25">
      <c r="A363">
        <v>1361</v>
      </c>
      <c r="B363">
        <v>911</v>
      </c>
      <c r="C363">
        <v>1318</v>
      </c>
      <c r="D363" t="s">
        <v>3375</v>
      </c>
      <c r="E363" t="str">
        <f>IF(NOT(ISERROR(VLOOKUP(D363,'ESO Dungeon constants'!$A$3:$A$9999,1,FALSE))),"X","")</f>
        <v>X</v>
      </c>
      <c r="F363" s="3" t="str">
        <f>IF(EXACT(A363,C363),"X","")</f>
        <v/>
      </c>
      <c r="G363" s="3" t="str">
        <f>IF(A363&lt;&gt;C363,VLOOKUP(C363,$A$5:$D$9954,4,FALSE),"")</f>
        <v>High Isle</v>
      </c>
      <c r="H363" s="17">
        <f>A363</f>
        <v>1361</v>
      </c>
      <c r="I363" s="17">
        <f>C363</f>
        <v>1318</v>
      </c>
      <c r="J363">
        <f>IF(E363="X",VLOOKUP(D363,'ESO Dungeon constants'!$A$3:$H$9999,8,FALSE),0)</f>
        <v>27</v>
      </c>
      <c r="K363" s="3" t="str">
        <f>VLOOKUP(J363,'LibSets constants'!$A$4:$B$1017,2,FALSE)</f>
        <v>DLC_LOST_DEPTHS</v>
      </c>
      <c r="L363" s="3" t="str">
        <f>VLOOKUP(J363,'LibSets constants'!$A$4:$C$1017,3,FALSE)</f>
        <v>Lost Depths</v>
      </c>
    </row>
    <row r="364" spans="1:12" x14ac:dyDescent="0.25">
      <c r="A364">
        <v>579</v>
      </c>
      <c r="B364">
        <v>344</v>
      </c>
      <c r="C364">
        <v>108</v>
      </c>
      <c r="D364" t="s">
        <v>418</v>
      </c>
      <c r="E364" t="str">
        <f>IF(NOT(ISERROR(VLOOKUP(D364,'ESO Dungeon constants'!$A$3:$A$9999,1,FALSE))),"X","")</f>
        <v/>
      </c>
      <c r="F364" s="3" t="str">
        <f>IF(EXACT(A364,C364),"X","")</f>
        <v/>
      </c>
      <c r="G364" s="3" t="str">
        <f>IF(A364&lt;&gt;C364,VLOOKUP(C364,$A$5:$D$9954,4,FALSE),"")</f>
        <v>Greenshade</v>
      </c>
      <c r="H364" s="17">
        <f>A364</f>
        <v>579</v>
      </c>
      <c r="I364" s="17">
        <f>C364</f>
        <v>108</v>
      </c>
      <c r="J364">
        <v>0</v>
      </c>
      <c r="K364" s="3" t="str">
        <f>VLOOKUP(J364,'LibSets constants'!$A$4:$B$1017,2,FALSE)</f>
        <v>DLC_BASE_GAME</v>
      </c>
      <c r="L364" s="3" t="str">
        <f>VLOOKUP(J364,'LibSets constants'!$A$4:$C$1017,3,FALSE)</f>
        <v>Included in base game</v>
      </c>
    </row>
    <row r="365" spans="1:12" x14ac:dyDescent="0.25">
      <c r="A365">
        <v>580</v>
      </c>
      <c r="B365">
        <v>345</v>
      </c>
      <c r="C365">
        <v>108</v>
      </c>
      <c r="D365" t="s">
        <v>419</v>
      </c>
      <c r="E365" t="str">
        <f>IF(NOT(ISERROR(VLOOKUP(D365,'ESO Dungeon constants'!$A$3:$A$9999,1,FALSE))),"X","")</f>
        <v/>
      </c>
      <c r="F365" s="3" t="str">
        <f>IF(EXACT(A365,C365),"X","")</f>
        <v/>
      </c>
      <c r="G365" s="3" t="str">
        <f>IF(A365&lt;&gt;C365,VLOOKUP(C365,$A$5:$D$9954,4,FALSE),"")</f>
        <v>Greenshade</v>
      </c>
      <c r="H365" s="17">
        <f>A365</f>
        <v>580</v>
      </c>
      <c r="I365" s="17">
        <f>C365</f>
        <v>108</v>
      </c>
      <c r="J365">
        <v>0</v>
      </c>
      <c r="K365" s="3" t="str">
        <f>VLOOKUP(J365,'LibSets constants'!$A$4:$B$1017,2,FALSE)</f>
        <v>DLC_BASE_GAME</v>
      </c>
      <c r="L365" s="3" t="str">
        <f>VLOOKUP(J365,'LibSets constants'!$A$4:$C$1017,3,FALSE)</f>
        <v>Included in base game</v>
      </c>
    </row>
    <row r="366" spans="1:12" x14ac:dyDescent="0.25">
      <c r="A366">
        <v>581</v>
      </c>
      <c r="B366">
        <v>346</v>
      </c>
      <c r="C366">
        <v>199</v>
      </c>
      <c r="D366" t="s">
        <v>420</v>
      </c>
      <c r="E366" t="str">
        <f>IF(NOT(ISERROR(VLOOKUP(D366,'ESO Dungeon constants'!$A$3:$A$9999,1,FALSE))),"X","")</f>
        <v/>
      </c>
      <c r="F366" s="3" t="str">
        <f>IF(EXACT(A366,C366),"X","")</f>
        <v/>
      </c>
      <c r="G366" s="3" t="str">
        <f>IF(A366&lt;&gt;C366,VLOOKUP(C366,$A$5:$D$9954,4,FALSE),"")</f>
        <v>The Harborage</v>
      </c>
      <c r="H366" s="17">
        <f>A366</f>
        <v>581</v>
      </c>
      <c r="I366" s="17">
        <f>C366</f>
        <v>199</v>
      </c>
      <c r="J366">
        <v>0</v>
      </c>
      <c r="K366" s="3" t="str">
        <f>VLOOKUP(J366,'LibSets constants'!$A$4:$B$1017,2,FALSE)</f>
        <v>DLC_BASE_GAME</v>
      </c>
      <c r="L366" s="3" t="str">
        <f>VLOOKUP(J366,'LibSets constants'!$A$4:$C$1017,3,FALSE)</f>
        <v>Included in base game</v>
      </c>
    </row>
    <row r="367" spans="1:12" x14ac:dyDescent="0.25">
      <c r="A367">
        <v>582</v>
      </c>
      <c r="B367">
        <v>347</v>
      </c>
      <c r="C367">
        <v>381</v>
      </c>
      <c r="D367" t="s">
        <v>421</v>
      </c>
      <c r="E367" t="str">
        <f>IF(NOT(ISERROR(VLOOKUP(D367,'ESO Dungeon constants'!$A$3:$A$9999,1,FALSE))),"X","")</f>
        <v/>
      </c>
      <c r="F367" s="3" t="str">
        <f>IF(EXACT(A367,C367),"X","")</f>
        <v/>
      </c>
      <c r="G367" s="3" t="str">
        <f>IF(A367&lt;&gt;C367,VLOOKUP(C367,$A$5:$D$9954,4,FALSE),"")</f>
        <v>Auridon</v>
      </c>
      <c r="H367" s="17">
        <f>A367</f>
        <v>582</v>
      </c>
      <c r="I367" s="17">
        <f>C367</f>
        <v>381</v>
      </c>
      <c r="J367">
        <v>0</v>
      </c>
      <c r="K367" s="3" t="str">
        <f>VLOOKUP(J367,'LibSets constants'!$A$4:$B$1017,2,FALSE)</f>
        <v>DLC_BASE_GAME</v>
      </c>
      <c r="L367" s="3" t="str">
        <f>VLOOKUP(J367,'LibSets constants'!$A$4:$C$1017,3,FALSE)</f>
        <v>Included in base game</v>
      </c>
    </row>
    <row r="368" spans="1:12" x14ac:dyDescent="0.25">
      <c r="A368">
        <v>584</v>
      </c>
      <c r="B368">
        <v>348</v>
      </c>
      <c r="C368">
        <v>584</v>
      </c>
      <c r="D368" t="s">
        <v>39</v>
      </c>
      <c r="E368" t="str">
        <f>IF(NOT(ISERROR(VLOOKUP(D368,'ESO Dungeon constants'!$A$3:$A$9999,1,FALSE))),"X","")</f>
        <v/>
      </c>
      <c r="F368" s="3" t="str">
        <f>IF(EXACT(A368,C368),"X","")</f>
        <v>X</v>
      </c>
      <c r="G368" s="3" t="str">
        <f>IF(A368&lt;&gt;C368,VLOOKUP(C368,$A$5:$D$9954,4,FALSE),"")</f>
        <v/>
      </c>
      <c r="H368" s="17">
        <f>A368</f>
        <v>584</v>
      </c>
      <c r="I368" s="17">
        <f>C368</f>
        <v>584</v>
      </c>
      <c r="J368">
        <v>1</v>
      </c>
      <c r="K368" s="3" t="str">
        <f>VLOOKUP(J368,'LibSets constants'!$A$4:$B$1017,2,FALSE)</f>
        <v>DLC_IMPERIAL_CITY</v>
      </c>
      <c r="L368" s="3" t="str">
        <f>VLOOKUP(J368,'LibSets constants'!$A$4:$C$1017,3,FALSE)</f>
        <v>Imperial City</v>
      </c>
    </row>
    <row r="369" spans="1:12" x14ac:dyDescent="0.25">
      <c r="A369">
        <v>585</v>
      </c>
      <c r="B369">
        <v>349</v>
      </c>
      <c r="C369">
        <v>92</v>
      </c>
      <c r="D369" t="s">
        <v>422</v>
      </c>
      <c r="E369" t="str">
        <f>IF(NOT(ISERROR(VLOOKUP(D369,'ESO Dungeon constants'!$A$3:$A$9999,1,FALSE))),"X","")</f>
        <v/>
      </c>
      <c r="F369" s="3" t="str">
        <f>IF(EXACT(A369,C369),"X","")</f>
        <v/>
      </c>
      <c r="G369" s="3" t="str">
        <f>IF(A369&lt;&gt;C369,VLOOKUP(C369,$A$5:$D$9954,4,FALSE),"")</f>
        <v>Bangkorai</v>
      </c>
      <c r="H369" s="17">
        <f>A369</f>
        <v>585</v>
      </c>
      <c r="I369" s="17">
        <f>C369</f>
        <v>92</v>
      </c>
      <c r="J369">
        <v>0</v>
      </c>
      <c r="K369" s="3" t="str">
        <f>VLOOKUP(J369,'LibSets constants'!$A$4:$B$1017,2,FALSE)</f>
        <v>DLC_BASE_GAME</v>
      </c>
      <c r="L369" s="3" t="str">
        <f>VLOOKUP(J369,'LibSets constants'!$A$4:$C$1017,3,FALSE)</f>
        <v>Included in base game</v>
      </c>
    </row>
    <row r="370" spans="1:12" x14ac:dyDescent="0.25">
      <c r="A370">
        <v>586</v>
      </c>
      <c r="B370">
        <v>350</v>
      </c>
      <c r="C370">
        <v>586</v>
      </c>
      <c r="D370" t="s">
        <v>423</v>
      </c>
      <c r="E370" t="str">
        <f>IF(NOT(ISERROR(VLOOKUP(D370,'ESO Dungeon constants'!$A$3:$A$9999,1,FALSE))),"X","")</f>
        <v/>
      </c>
      <c r="F370" s="3" t="str">
        <f>IF(EXACT(A370,C370),"X","")</f>
        <v>X</v>
      </c>
      <c r="G370" s="3" t="str">
        <f>IF(A370&lt;&gt;C370,VLOOKUP(C370,$A$5:$D$9954,4,FALSE),"")</f>
        <v/>
      </c>
      <c r="H370" s="17">
        <f>A370</f>
        <v>586</v>
      </c>
      <c r="I370" s="17">
        <f>C370</f>
        <v>586</v>
      </c>
      <c r="J370">
        <v>0</v>
      </c>
      <c r="K370" s="3" t="str">
        <f>VLOOKUP(J370,'LibSets constants'!$A$4:$B$1017,2,FALSE)</f>
        <v>DLC_BASE_GAME</v>
      </c>
      <c r="L370" s="3" t="str">
        <f>VLOOKUP(J370,'LibSets constants'!$A$4:$C$1017,3,FALSE)</f>
        <v>Included in base game</v>
      </c>
    </row>
    <row r="371" spans="1:12" x14ac:dyDescent="0.25">
      <c r="A371">
        <v>587</v>
      </c>
      <c r="B371">
        <v>351</v>
      </c>
      <c r="C371">
        <v>20</v>
      </c>
      <c r="D371" t="s">
        <v>424</v>
      </c>
      <c r="E371" t="str">
        <f>IF(NOT(ISERROR(VLOOKUP(D371,'ESO Dungeon constants'!$A$3:$A$9999,1,FALSE))),"X","")</f>
        <v/>
      </c>
      <c r="F371" s="3" t="str">
        <f>IF(EXACT(A371,C371),"X","")</f>
        <v/>
      </c>
      <c r="G371" s="3" t="str">
        <f>IF(A371&lt;&gt;C371,VLOOKUP(C371,$A$5:$D$9954,4,FALSE),"")</f>
        <v>Rivenspire</v>
      </c>
      <c r="H371" s="17">
        <f>A371</f>
        <v>587</v>
      </c>
      <c r="I371" s="17">
        <f>C371</f>
        <v>20</v>
      </c>
      <c r="J371">
        <v>0</v>
      </c>
      <c r="K371" s="3" t="str">
        <f>VLOOKUP(J371,'LibSets constants'!$A$4:$B$1017,2,FALSE)</f>
        <v>DLC_BASE_GAME</v>
      </c>
      <c r="L371" s="3" t="str">
        <f>VLOOKUP(J371,'LibSets constants'!$A$4:$C$1017,3,FALSE)</f>
        <v>Included in base game</v>
      </c>
    </row>
    <row r="372" spans="1:12" x14ac:dyDescent="0.25">
      <c r="A372">
        <v>588</v>
      </c>
      <c r="B372">
        <v>352</v>
      </c>
      <c r="C372">
        <v>20</v>
      </c>
      <c r="D372" t="s">
        <v>425</v>
      </c>
      <c r="E372" t="str">
        <f>IF(NOT(ISERROR(VLOOKUP(D372,'ESO Dungeon constants'!$A$3:$A$9999,1,FALSE))),"X","")</f>
        <v/>
      </c>
      <c r="F372" s="3" t="str">
        <f>IF(EXACT(A372,C372),"X","")</f>
        <v/>
      </c>
      <c r="G372" s="3" t="str">
        <f>IF(A372&lt;&gt;C372,VLOOKUP(C372,$A$5:$D$9954,4,FALSE),"")</f>
        <v>Rivenspire</v>
      </c>
      <c r="H372" s="17">
        <f>A372</f>
        <v>588</v>
      </c>
      <c r="I372" s="17">
        <f>C372</f>
        <v>20</v>
      </c>
      <c r="J372">
        <v>0</v>
      </c>
      <c r="K372" s="3" t="str">
        <f>VLOOKUP(J372,'LibSets constants'!$A$4:$B$1017,2,FALSE)</f>
        <v>DLC_BASE_GAME</v>
      </c>
      <c r="L372" s="3" t="str">
        <f>VLOOKUP(J372,'LibSets constants'!$A$4:$C$1017,3,FALSE)</f>
        <v>Included in base game</v>
      </c>
    </row>
    <row r="373" spans="1:12" x14ac:dyDescent="0.25">
      <c r="A373">
        <v>589</v>
      </c>
      <c r="B373">
        <v>353</v>
      </c>
      <c r="C373">
        <v>20</v>
      </c>
      <c r="D373" t="s">
        <v>426</v>
      </c>
      <c r="E373" t="str">
        <f>IF(NOT(ISERROR(VLOOKUP(D373,'ESO Dungeon constants'!$A$3:$A$9999,1,FALSE))),"X","")</f>
        <v/>
      </c>
      <c r="F373" s="3" t="str">
        <f>IF(EXACT(A373,C373),"X","")</f>
        <v/>
      </c>
      <c r="G373" s="3" t="str">
        <f>IF(A373&lt;&gt;C373,VLOOKUP(C373,$A$5:$D$9954,4,FALSE),"")</f>
        <v>Rivenspire</v>
      </c>
      <c r="H373" s="17">
        <f>A373</f>
        <v>589</v>
      </c>
      <c r="I373" s="17">
        <f>C373</f>
        <v>20</v>
      </c>
      <c r="J373">
        <v>0</v>
      </c>
      <c r="K373" s="3" t="str">
        <f>VLOOKUP(J373,'LibSets constants'!$A$4:$B$1017,2,FALSE)</f>
        <v>DLC_BASE_GAME</v>
      </c>
      <c r="L373" s="3" t="str">
        <f>VLOOKUP(J373,'LibSets constants'!$A$4:$C$1017,3,FALSE)</f>
        <v>Included in base game</v>
      </c>
    </row>
    <row r="374" spans="1:12" x14ac:dyDescent="0.25">
      <c r="A374">
        <v>590</v>
      </c>
      <c r="B374">
        <v>354</v>
      </c>
      <c r="C374">
        <v>20</v>
      </c>
      <c r="D374" t="s">
        <v>427</v>
      </c>
      <c r="E374" t="str">
        <f>IF(NOT(ISERROR(VLOOKUP(D374,'ESO Dungeon constants'!$A$3:$A$9999,1,FALSE))),"X","")</f>
        <v/>
      </c>
      <c r="F374" s="3" t="str">
        <f>IF(EXACT(A374,C374),"X","")</f>
        <v/>
      </c>
      <c r="G374" s="3" t="str">
        <f>IF(A374&lt;&gt;C374,VLOOKUP(C374,$A$5:$D$9954,4,FALSE),"")</f>
        <v>Rivenspire</v>
      </c>
      <c r="H374" s="17">
        <f>A374</f>
        <v>590</v>
      </c>
      <c r="I374" s="17">
        <f>C374</f>
        <v>20</v>
      </c>
      <c r="J374">
        <v>0</v>
      </c>
      <c r="K374" s="3" t="str">
        <f>VLOOKUP(J374,'LibSets constants'!$A$4:$B$1017,2,FALSE)</f>
        <v>DLC_BASE_GAME</v>
      </c>
      <c r="L374" s="3" t="str">
        <f>VLOOKUP(J374,'LibSets constants'!$A$4:$C$1017,3,FALSE)</f>
        <v>Included in base game</v>
      </c>
    </row>
    <row r="375" spans="1:12" x14ac:dyDescent="0.25">
      <c r="A375">
        <v>591</v>
      </c>
      <c r="B375">
        <v>355</v>
      </c>
      <c r="C375">
        <v>20</v>
      </c>
      <c r="D375" t="s">
        <v>428</v>
      </c>
      <c r="E375" t="str">
        <f>IF(NOT(ISERROR(VLOOKUP(D375,'ESO Dungeon constants'!$A$3:$A$9999,1,FALSE))),"X","")</f>
        <v/>
      </c>
      <c r="F375" s="3" t="str">
        <f>IF(EXACT(A375,C375),"X","")</f>
        <v/>
      </c>
      <c r="G375" s="3" t="str">
        <f>IF(A375&lt;&gt;C375,VLOOKUP(C375,$A$5:$D$9954,4,FALSE),"")</f>
        <v>Rivenspire</v>
      </c>
      <c r="H375" s="17">
        <f>A375</f>
        <v>591</v>
      </c>
      <c r="I375" s="17">
        <f>C375</f>
        <v>20</v>
      </c>
      <c r="J375">
        <v>0</v>
      </c>
      <c r="K375" s="3" t="str">
        <f>VLOOKUP(J375,'LibSets constants'!$A$4:$B$1017,2,FALSE)</f>
        <v>DLC_BASE_GAME</v>
      </c>
      <c r="L375" s="3" t="str">
        <f>VLOOKUP(J375,'LibSets constants'!$A$4:$C$1017,3,FALSE)</f>
        <v>Included in base game</v>
      </c>
    </row>
    <row r="376" spans="1:12" x14ac:dyDescent="0.25">
      <c r="A376">
        <v>592</v>
      </c>
      <c r="B376">
        <v>356</v>
      </c>
      <c r="C376">
        <v>20</v>
      </c>
      <c r="D376" t="s">
        <v>429</v>
      </c>
      <c r="E376" t="str">
        <f>IF(NOT(ISERROR(VLOOKUP(D376,'ESO Dungeon constants'!$A$3:$A$9999,1,FALSE))),"X","")</f>
        <v/>
      </c>
      <c r="F376" s="3" t="str">
        <f>IF(EXACT(A376,C376),"X","")</f>
        <v/>
      </c>
      <c r="G376" s="3" t="str">
        <f>IF(A376&lt;&gt;C376,VLOOKUP(C376,$A$5:$D$9954,4,FALSE),"")</f>
        <v>Rivenspire</v>
      </c>
      <c r="H376" s="17">
        <f>A376</f>
        <v>592</v>
      </c>
      <c r="I376" s="17">
        <f>C376</f>
        <v>20</v>
      </c>
      <c r="J376">
        <v>0</v>
      </c>
      <c r="K376" s="3" t="str">
        <f>VLOOKUP(J376,'LibSets constants'!$A$4:$B$1017,2,FALSE)</f>
        <v>DLC_BASE_GAME</v>
      </c>
      <c r="L376" s="3" t="str">
        <f>VLOOKUP(J376,'LibSets constants'!$A$4:$C$1017,3,FALSE)</f>
        <v>Included in base game</v>
      </c>
    </row>
    <row r="377" spans="1:12" x14ac:dyDescent="0.25">
      <c r="A377">
        <v>593</v>
      </c>
      <c r="B377">
        <v>357</v>
      </c>
      <c r="C377">
        <v>92</v>
      </c>
      <c r="D377" t="s">
        <v>151</v>
      </c>
      <c r="E377" t="str">
        <f>IF(NOT(ISERROR(VLOOKUP(D377,'ESO Dungeon constants'!$A$3:$A$9999,1,FALSE))),"X","")</f>
        <v/>
      </c>
      <c r="F377" s="3" t="str">
        <f>IF(EXACT(A377,C377),"X","")</f>
        <v/>
      </c>
      <c r="G377" s="3" t="str">
        <f>IF(A377&lt;&gt;C377,VLOOKUP(C377,$A$5:$D$9954,4,FALSE),"")</f>
        <v>Bangkorai</v>
      </c>
      <c r="H377" s="17">
        <f>A377</f>
        <v>593</v>
      </c>
      <c r="I377" s="17">
        <f>C377</f>
        <v>92</v>
      </c>
      <c r="J377">
        <v>0</v>
      </c>
      <c r="K377" s="3" t="str">
        <f>VLOOKUP(J377,'LibSets constants'!$A$4:$B$1017,2,FALSE)</f>
        <v>DLC_BASE_GAME</v>
      </c>
      <c r="L377" s="3" t="str">
        <f>VLOOKUP(J377,'LibSets constants'!$A$4:$C$1017,3,FALSE)</f>
        <v>Included in base game</v>
      </c>
    </row>
    <row r="378" spans="1:12" x14ac:dyDescent="0.25">
      <c r="A378">
        <v>594</v>
      </c>
      <c r="B378">
        <v>358</v>
      </c>
      <c r="C378">
        <v>92</v>
      </c>
      <c r="D378" t="s">
        <v>430</v>
      </c>
      <c r="E378" t="str">
        <f>IF(NOT(ISERROR(VLOOKUP(D378,'ESO Dungeon constants'!$A$3:$A$9999,1,FALSE))),"X","")</f>
        <v/>
      </c>
      <c r="F378" s="3" t="str">
        <f>IF(EXACT(A378,C378),"X","")</f>
        <v/>
      </c>
      <c r="G378" s="3" t="str">
        <f>IF(A378&lt;&gt;C378,VLOOKUP(C378,$A$5:$D$9954,4,FALSE),"")</f>
        <v>Bangkorai</v>
      </c>
      <c r="H378" s="17">
        <f>A378</f>
        <v>594</v>
      </c>
      <c r="I378" s="17">
        <f>C378</f>
        <v>92</v>
      </c>
      <c r="J378">
        <v>0</v>
      </c>
      <c r="K378" s="3" t="str">
        <f>VLOOKUP(J378,'LibSets constants'!$A$4:$B$1017,2,FALSE)</f>
        <v>DLC_BASE_GAME</v>
      </c>
      <c r="L378" s="3" t="str">
        <f>VLOOKUP(J378,'LibSets constants'!$A$4:$C$1017,3,FALSE)</f>
        <v>Included in base game</v>
      </c>
    </row>
    <row r="379" spans="1:12" x14ac:dyDescent="0.25">
      <c r="A379" s="40">
        <v>595</v>
      </c>
      <c r="B379" s="40">
        <v>359</v>
      </c>
      <c r="C379" s="40">
        <v>208</v>
      </c>
      <c r="D379" s="40" t="s">
        <v>431</v>
      </c>
      <c r="E379" s="40" t="str">
        <f>IF(NOT(ISERROR(VLOOKUP(D379,'ESO Dungeon constants'!$A$3:$A$9999,1,FALSE))),"X","")</f>
        <v/>
      </c>
      <c r="F379" s="41" t="str">
        <f>IF(EXACT(A379,C379),"X","")</f>
        <v/>
      </c>
      <c r="G379" s="41" t="str">
        <f>IF(A379&lt;&gt;C379,VLOOKUP(C379,$A$5:$D$9954,4,FALSE),"")</f>
        <v>The Earth Forge</v>
      </c>
      <c r="H379" s="119">
        <f>A379</f>
        <v>595</v>
      </c>
      <c r="I379" s="119">
        <f>C379</f>
        <v>208</v>
      </c>
      <c r="J379" s="40">
        <v>0</v>
      </c>
      <c r="K379" s="41" t="str">
        <f>VLOOKUP(J379,'LibSets constants'!$A$4:$B$1017,2,FALSE)</f>
        <v>DLC_BASE_GAME</v>
      </c>
      <c r="L379" s="41" t="str">
        <f>VLOOKUP(J379,'LibSets constants'!$A$4:$C$1017,3,FALSE)</f>
        <v>Included in base game</v>
      </c>
    </row>
    <row r="380" spans="1:12" x14ac:dyDescent="0.25">
      <c r="A380">
        <v>596</v>
      </c>
      <c r="B380">
        <v>360</v>
      </c>
      <c r="C380">
        <v>103</v>
      </c>
      <c r="D380" t="s">
        <v>432</v>
      </c>
      <c r="E380" t="str">
        <f>IF(NOT(ISERROR(VLOOKUP(D380,'ESO Dungeon constants'!$A$3:$A$9999,1,FALSE))),"X","")</f>
        <v/>
      </c>
      <c r="F380" s="3" t="str">
        <f>IF(EXACT(A380,C380),"X","")</f>
        <v/>
      </c>
      <c r="G380" s="3" t="str">
        <f>IF(A380&lt;&gt;C380,VLOOKUP(C380,$A$5:$D$9954,4,FALSE),"")</f>
        <v>The Rift</v>
      </c>
      <c r="H380" s="17">
        <f>A380</f>
        <v>596</v>
      </c>
      <c r="I380" s="17">
        <f>C380</f>
        <v>103</v>
      </c>
      <c r="J380">
        <v>0</v>
      </c>
      <c r="K380" s="3" t="str">
        <f>VLOOKUP(J380,'LibSets constants'!$A$4:$B$1017,2,FALSE)</f>
        <v>DLC_BASE_GAME</v>
      </c>
      <c r="L380" s="3" t="str">
        <f>VLOOKUP(J380,'LibSets constants'!$A$4:$C$1017,3,FALSE)</f>
        <v>Included in base game</v>
      </c>
    </row>
    <row r="381" spans="1:12" x14ac:dyDescent="0.25">
      <c r="A381">
        <v>598</v>
      </c>
      <c r="B381">
        <v>361</v>
      </c>
      <c r="C381">
        <v>199</v>
      </c>
      <c r="D381" t="s">
        <v>433</v>
      </c>
      <c r="E381" t="str">
        <f>IF(NOT(ISERROR(VLOOKUP(D381,'ESO Dungeon constants'!$A$3:$A$9999,1,FALSE))),"X","")</f>
        <v/>
      </c>
      <c r="F381" s="3" t="str">
        <f>IF(EXACT(A381,C381),"X","")</f>
        <v/>
      </c>
      <c r="G381" s="3" t="str">
        <f>IF(A381&lt;&gt;C381,VLOOKUP(C381,$A$5:$D$9954,4,FALSE),"")</f>
        <v>The Harborage</v>
      </c>
      <c r="H381" s="17">
        <f>A381</f>
        <v>598</v>
      </c>
      <c r="I381" s="17">
        <f>C381</f>
        <v>199</v>
      </c>
      <c r="J381">
        <v>0</v>
      </c>
      <c r="K381" s="3" t="str">
        <f>VLOOKUP(J381,'LibSets constants'!$A$4:$B$1017,2,FALSE)</f>
        <v>DLC_BASE_GAME</v>
      </c>
      <c r="L381" s="3" t="str">
        <f>VLOOKUP(J381,'LibSets constants'!$A$4:$C$1017,3,FALSE)</f>
        <v>Included in base game</v>
      </c>
    </row>
    <row r="382" spans="1:12" x14ac:dyDescent="0.25">
      <c r="A382">
        <v>599</v>
      </c>
      <c r="B382">
        <v>362</v>
      </c>
      <c r="C382">
        <v>572</v>
      </c>
      <c r="D382" t="s">
        <v>434</v>
      </c>
      <c r="E382" t="str">
        <f>IF(NOT(ISERROR(VLOOKUP(D382,'ESO Dungeon constants'!$A$3:$A$9999,1,FALSE))),"X","")</f>
        <v/>
      </c>
      <c r="F382" s="3" t="str">
        <f>IF(EXACT(A382,C382),"X","")</f>
        <v/>
      </c>
      <c r="G382" s="3" t="str">
        <f>IF(A382&lt;&gt;C382,VLOOKUP(C382,$A$5:$D$9954,4,FALSE),"")</f>
        <v>Stirk</v>
      </c>
      <c r="H382" s="17">
        <f>A382</f>
        <v>599</v>
      </c>
      <c r="I382" s="17">
        <f>C382</f>
        <v>572</v>
      </c>
      <c r="J382">
        <v>0</v>
      </c>
      <c r="K382" s="3" t="str">
        <f>VLOOKUP(J382,'LibSets constants'!$A$4:$B$1017,2,FALSE)</f>
        <v>DLC_BASE_GAME</v>
      </c>
      <c r="L382" s="3" t="str">
        <f>VLOOKUP(J382,'LibSets constants'!$A$4:$C$1017,3,FALSE)</f>
        <v>Included in base game</v>
      </c>
    </row>
    <row r="383" spans="1:12" x14ac:dyDescent="0.25">
      <c r="A383">
        <v>600</v>
      </c>
      <c r="B383">
        <v>363</v>
      </c>
      <c r="C383">
        <v>572</v>
      </c>
      <c r="D383" t="s">
        <v>435</v>
      </c>
      <c r="E383" t="str">
        <f>IF(NOT(ISERROR(VLOOKUP(D383,'ESO Dungeon constants'!$A$3:$A$9999,1,FALSE))),"X","")</f>
        <v/>
      </c>
      <c r="F383" s="3" t="str">
        <f>IF(EXACT(A383,C383),"X","")</f>
        <v/>
      </c>
      <c r="G383" s="3" t="str">
        <f>IF(A383&lt;&gt;C383,VLOOKUP(C383,$A$5:$D$9954,4,FALSE),"")</f>
        <v>Stirk</v>
      </c>
      <c r="H383" s="17">
        <f>A383</f>
        <v>600</v>
      </c>
      <c r="I383" s="17">
        <f>C383</f>
        <v>572</v>
      </c>
      <c r="J383">
        <v>0</v>
      </c>
      <c r="K383" s="3" t="str">
        <f>VLOOKUP(J383,'LibSets constants'!$A$4:$B$1017,2,FALSE)</f>
        <v>DLC_BASE_GAME</v>
      </c>
      <c r="L383" s="3" t="str">
        <f>VLOOKUP(J383,'LibSets constants'!$A$4:$C$1017,3,FALSE)</f>
        <v>Included in base game</v>
      </c>
    </row>
    <row r="384" spans="1:12" x14ac:dyDescent="0.25">
      <c r="A384">
        <v>601</v>
      </c>
      <c r="B384">
        <v>364</v>
      </c>
      <c r="C384">
        <v>572</v>
      </c>
      <c r="D384" t="s">
        <v>436</v>
      </c>
      <c r="E384" t="str">
        <f>IF(NOT(ISERROR(VLOOKUP(D384,'ESO Dungeon constants'!$A$3:$A$9999,1,FALSE))),"X","")</f>
        <v/>
      </c>
      <c r="F384" s="3" t="str">
        <f>IF(EXACT(A384,C384),"X","")</f>
        <v/>
      </c>
      <c r="G384" s="3" t="str">
        <f>IF(A384&lt;&gt;C384,VLOOKUP(C384,$A$5:$D$9954,4,FALSE),"")</f>
        <v>Stirk</v>
      </c>
      <c r="H384" s="17">
        <f>A384</f>
        <v>601</v>
      </c>
      <c r="I384" s="17">
        <f>C384</f>
        <v>572</v>
      </c>
      <c r="J384">
        <v>0</v>
      </c>
      <c r="K384" s="3" t="str">
        <f>VLOOKUP(J384,'LibSets constants'!$A$4:$B$1017,2,FALSE)</f>
        <v>DLC_BASE_GAME</v>
      </c>
      <c r="L384" s="3" t="str">
        <f>VLOOKUP(J384,'LibSets constants'!$A$4:$C$1017,3,FALSE)</f>
        <v>Included in base game</v>
      </c>
    </row>
    <row r="385" spans="1:12" x14ac:dyDescent="0.25">
      <c r="A385">
        <v>975</v>
      </c>
      <c r="B385">
        <v>588</v>
      </c>
      <c r="C385">
        <v>849</v>
      </c>
      <c r="D385" t="s">
        <v>637</v>
      </c>
      <c r="E385" t="str">
        <f>IF(NOT(ISERROR(VLOOKUP(D385,'ESO Dungeon constants'!$A$3:$A$9999,1,FALSE))),"X","")</f>
        <v>X</v>
      </c>
      <c r="F385" s="3" t="str">
        <f>IF(EXACT(A385,C385),"X","")</f>
        <v/>
      </c>
      <c r="G385" s="3" t="str">
        <f>IF(A385&lt;&gt;C385,VLOOKUP(C385,$A$5:$D$9954,4,FALSE),"")</f>
        <v>Vvardenfell</v>
      </c>
      <c r="H385" s="17">
        <f>A385</f>
        <v>975</v>
      </c>
      <c r="I385" s="17">
        <f>C385</f>
        <v>849</v>
      </c>
      <c r="J385">
        <f>IF(E385="X",VLOOKUP(D385,'ESO Dungeon constants'!$A$3:$H$9999,8,FALSE),0)</f>
        <v>8</v>
      </c>
      <c r="K385" s="3" t="str">
        <f>VLOOKUP(J385,'LibSets constants'!$A$4:$B$1017,2,FALSE)</f>
        <v>DLC_CLOCKWORK_CITY</v>
      </c>
      <c r="L385" s="3" t="str">
        <f>VLOOKUP(J385,'LibSets constants'!$A$4:$C$1017,3,FALSE)</f>
        <v>Clockwork City</v>
      </c>
    </row>
    <row r="386" spans="1:12" x14ac:dyDescent="0.25">
      <c r="A386">
        <v>628</v>
      </c>
      <c r="B386">
        <v>365</v>
      </c>
      <c r="C386">
        <v>20</v>
      </c>
      <c r="D386" t="s">
        <v>425</v>
      </c>
      <c r="E386" t="str">
        <f>IF(NOT(ISERROR(VLOOKUP(D386,'ESO Dungeon constants'!$A$3:$A$9999,1,FALSE))),"X","")</f>
        <v/>
      </c>
      <c r="F386" s="3" t="str">
        <f>IF(EXACT(A386,C386),"X","")</f>
        <v/>
      </c>
      <c r="G386" s="3" t="str">
        <f>IF(A386&lt;&gt;C386,VLOOKUP(C386,$A$5:$D$9954,4,FALSE),"")</f>
        <v>Rivenspire</v>
      </c>
      <c r="H386" s="17">
        <f>A386</f>
        <v>628</v>
      </c>
      <c r="I386" s="17">
        <f>C386</f>
        <v>20</v>
      </c>
      <c r="J386">
        <v>0</v>
      </c>
      <c r="K386" s="3" t="str">
        <f>VLOOKUP(J386,'LibSets constants'!$A$4:$B$1017,2,FALSE)</f>
        <v>DLC_BASE_GAME</v>
      </c>
      <c r="L386" s="3" t="str">
        <f>VLOOKUP(J386,'LibSets constants'!$A$4:$C$1017,3,FALSE)</f>
        <v>Included in base game</v>
      </c>
    </row>
    <row r="387" spans="1:12" x14ac:dyDescent="0.25">
      <c r="A387">
        <v>632</v>
      </c>
      <c r="B387">
        <v>366</v>
      </c>
      <c r="C387">
        <v>888</v>
      </c>
      <c r="D387" t="s">
        <v>437</v>
      </c>
      <c r="E387" t="str">
        <f>IF(NOT(ISERROR(VLOOKUP(D387,'ESO Dungeon constants'!$A$3:$A$9999,1,FALSE))),"X","")</f>
        <v/>
      </c>
      <c r="F387" s="3" t="str">
        <f>IF(EXACT(A387,C387),"X","")</f>
        <v/>
      </c>
      <c r="G387" s="3" t="str">
        <f>IF(A387&lt;&gt;C387,VLOOKUP(C387,$A$5:$D$9954,4,FALSE),"")</f>
        <v>Craglorn</v>
      </c>
      <c r="H387" s="17">
        <f>A387</f>
        <v>632</v>
      </c>
      <c r="I387" s="17">
        <f>C387</f>
        <v>888</v>
      </c>
      <c r="J387">
        <v>0</v>
      </c>
      <c r="K387" s="3" t="str">
        <f>VLOOKUP(J387,'LibSets constants'!$A$4:$B$1017,2,FALSE)</f>
        <v>DLC_BASE_GAME</v>
      </c>
      <c r="L387" s="3" t="str">
        <f>VLOOKUP(J387,'LibSets constants'!$A$4:$C$1017,3,FALSE)</f>
        <v>Included in base game</v>
      </c>
    </row>
    <row r="388" spans="1:12" x14ac:dyDescent="0.25">
      <c r="A388">
        <v>635</v>
      </c>
      <c r="B388">
        <v>367</v>
      </c>
      <c r="C388">
        <v>888</v>
      </c>
      <c r="D388" t="s">
        <v>438</v>
      </c>
      <c r="E388" t="str">
        <f>IF(NOT(ISERROR(VLOOKUP(D388,'ESO Dungeon constants'!$A$3:$A$9999,1,FALSE))),"X","")</f>
        <v/>
      </c>
      <c r="F388" s="3" t="str">
        <f>IF(EXACT(A388,C388),"X","")</f>
        <v/>
      </c>
      <c r="G388" s="3" t="str">
        <f>IF(A388&lt;&gt;C388,VLOOKUP(C388,$A$5:$D$9954,4,FALSE),"")</f>
        <v>Craglorn</v>
      </c>
      <c r="H388" s="17">
        <f>A388</f>
        <v>635</v>
      </c>
      <c r="I388" s="17">
        <f>C388</f>
        <v>888</v>
      </c>
      <c r="J388">
        <v>0</v>
      </c>
      <c r="K388" s="3" t="str">
        <f>VLOOKUP(J388,'LibSets constants'!$A$4:$B$1017,2,FALSE)</f>
        <v>DLC_BASE_GAME</v>
      </c>
      <c r="L388" s="3" t="str">
        <f>VLOOKUP(J388,'LibSets constants'!$A$4:$C$1017,3,FALSE)</f>
        <v>Included in base game</v>
      </c>
    </row>
    <row r="389" spans="1:12" x14ac:dyDescent="0.25">
      <c r="A389">
        <v>637</v>
      </c>
      <c r="B389">
        <v>369</v>
      </c>
      <c r="C389">
        <v>57</v>
      </c>
      <c r="D389" t="s">
        <v>440</v>
      </c>
      <c r="E389" t="str">
        <f>IF(NOT(ISERROR(VLOOKUP(D389,'ESO Dungeon constants'!$A$3:$A$9999,1,FALSE))),"X","")</f>
        <v/>
      </c>
      <c r="F389" s="3" t="str">
        <f>IF(EXACT(A389,C389),"X","")</f>
        <v/>
      </c>
      <c r="G389" s="3" t="str">
        <f>IF(A389&lt;&gt;C389,VLOOKUP(C389,$A$5:$D$9954,4,FALSE),"")</f>
        <v>Deshaan</v>
      </c>
      <c r="H389" s="17">
        <f>A389</f>
        <v>637</v>
      </c>
      <c r="I389" s="17">
        <f>C389</f>
        <v>57</v>
      </c>
      <c r="J389">
        <v>0</v>
      </c>
      <c r="K389" s="3" t="str">
        <f>VLOOKUP(J389,'LibSets constants'!$A$4:$B$1017,2,FALSE)</f>
        <v>DLC_BASE_GAME</v>
      </c>
      <c r="L389" s="3" t="str">
        <f>VLOOKUP(J389,'LibSets constants'!$A$4:$C$1017,3,FALSE)</f>
        <v>Included in base game</v>
      </c>
    </row>
    <row r="390" spans="1:12" x14ac:dyDescent="0.25">
      <c r="A390">
        <v>640</v>
      </c>
      <c r="B390">
        <v>372</v>
      </c>
      <c r="C390">
        <v>19</v>
      </c>
      <c r="D390" t="s">
        <v>443</v>
      </c>
      <c r="E390" t="str">
        <f>IF(NOT(ISERROR(VLOOKUP(D390,'ESO Dungeon constants'!$A$3:$A$9999,1,FALSE))),"X","")</f>
        <v/>
      </c>
      <c r="F390" s="3" t="str">
        <f>IF(EXACT(A390,C390),"X","")</f>
        <v/>
      </c>
      <c r="G390" s="3" t="str">
        <f>IF(A390&lt;&gt;C390,VLOOKUP(C390,$A$5:$D$9954,4,FALSE),"")</f>
        <v>Stormhaven</v>
      </c>
      <c r="H390" s="17">
        <f>A390</f>
        <v>640</v>
      </c>
      <c r="I390" s="17">
        <f>C390</f>
        <v>19</v>
      </c>
      <c r="J390">
        <v>0</v>
      </c>
      <c r="K390" s="3" t="str">
        <f>VLOOKUP(J390,'LibSets constants'!$A$4:$B$1017,2,FALSE)</f>
        <v>DLC_BASE_GAME</v>
      </c>
      <c r="L390" s="3" t="str">
        <f>VLOOKUP(J390,'LibSets constants'!$A$4:$C$1017,3,FALSE)</f>
        <v>Included in base game</v>
      </c>
    </row>
    <row r="391" spans="1:12" x14ac:dyDescent="0.25">
      <c r="A391">
        <v>641</v>
      </c>
      <c r="B391">
        <v>373</v>
      </c>
      <c r="C391">
        <v>3</v>
      </c>
      <c r="D391" t="s">
        <v>444</v>
      </c>
      <c r="E391" t="str">
        <f>IF(NOT(ISERROR(VLOOKUP(D391,'ESO Dungeon constants'!$A$3:$A$9999,1,FALSE))),"X","")</f>
        <v/>
      </c>
      <c r="F391" s="3" t="str">
        <f>IF(EXACT(A391,C391),"X","")</f>
        <v/>
      </c>
      <c r="G391" s="3" t="str">
        <f>IF(A391&lt;&gt;C391,VLOOKUP(C391,$A$5:$D$9954,4,FALSE),"")</f>
        <v>Glenumbra</v>
      </c>
      <c r="H391" s="17">
        <f>A391</f>
        <v>641</v>
      </c>
      <c r="I391" s="17">
        <f>C391</f>
        <v>3</v>
      </c>
      <c r="J391">
        <v>0</v>
      </c>
      <c r="K391" s="3" t="str">
        <f>VLOOKUP(J391,'LibSets constants'!$A$4:$B$1017,2,FALSE)</f>
        <v>DLC_BASE_GAME</v>
      </c>
      <c r="L391" s="3" t="str">
        <f>VLOOKUP(J391,'LibSets constants'!$A$4:$C$1017,3,FALSE)</f>
        <v>Included in base game</v>
      </c>
    </row>
    <row r="392" spans="1:12" x14ac:dyDescent="0.25">
      <c r="A392">
        <v>642</v>
      </c>
      <c r="B392">
        <v>374</v>
      </c>
      <c r="C392">
        <v>642</v>
      </c>
      <c r="D392" t="s">
        <v>138</v>
      </c>
      <c r="E392" t="str">
        <f>IF(NOT(ISERROR(VLOOKUP(D392,'ESO Dungeon constants'!$A$3:$A$9999,1,FALSE))),"X","")</f>
        <v/>
      </c>
      <c r="F392" s="3" t="str">
        <f>IF(EXACT(A392,C392),"X","")</f>
        <v>X</v>
      </c>
      <c r="G392" s="3" t="str">
        <f>IF(A392&lt;&gt;C392,VLOOKUP(C392,$A$5:$D$9954,4,FALSE),"")</f>
        <v/>
      </c>
      <c r="H392" s="17">
        <f>A392</f>
        <v>642</v>
      </c>
      <c r="I392" s="17">
        <f>C392</f>
        <v>642</v>
      </c>
      <c r="J392">
        <v>6</v>
      </c>
      <c r="K392" s="3" t="str">
        <f>VLOOKUP(J392,'LibSets constants'!$A$4:$B$1017,2,FALSE)</f>
        <v>DLC_MORROWIND</v>
      </c>
      <c r="L392" s="3" t="str">
        <f>VLOOKUP(J392,'LibSets constants'!$A$4:$C$1017,3,FALSE)</f>
        <v>Morrowind</v>
      </c>
    </row>
    <row r="393" spans="1:12" x14ac:dyDescent="0.25">
      <c r="A393">
        <v>643</v>
      </c>
      <c r="B393">
        <v>375</v>
      </c>
      <c r="C393">
        <v>584</v>
      </c>
      <c r="D393" t="s">
        <v>445</v>
      </c>
      <c r="E393" t="str">
        <f>IF(NOT(ISERROR(VLOOKUP(D393,'ESO Dungeon constants'!$A$3:$A$9999,1,FALSE))),"X","")</f>
        <v/>
      </c>
      <c r="F393" s="3" t="str">
        <f>IF(EXACT(A393,C393),"X","")</f>
        <v/>
      </c>
      <c r="G393" s="3" t="str">
        <f>IF(A393&lt;&gt;C393,VLOOKUP(C393,$A$5:$D$9954,4,FALSE),"")</f>
        <v>Imperial City</v>
      </c>
      <c r="H393" s="17">
        <f>A393</f>
        <v>643</v>
      </c>
      <c r="I393" s="17">
        <f>C393</f>
        <v>584</v>
      </c>
      <c r="J393">
        <v>1</v>
      </c>
      <c r="K393" s="3" t="str">
        <f>VLOOKUP(J393,'LibSets constants'!$A$4:$B$1017,2,FALSE)</f>
        <v>DLC_IMPERIAL_CITY</v>
      </c>
      <c r="L393" s="3" t="str">
        <f>VLOOKUP(J393,'LibSets constants'!$A$4:$C$1017,3,FALSE)</f>
        <v>Imperial City</v>
      </c>
    </row>
    <row r="394" spans="1:12" x14ac:dyDescent="0.25">
      <c r="A394">
        <v>649</v>
      </c>
      <c r="B394">
        <v>376</v>
      </c>
      <c r="C394">
        <v>584</v>
      </c>
      <c r="D394" t="s">
        <v>446</v>
      </c>
      <c r="E394" t="str">
        <f>IF(NOT(ISERROR(VLOOKUP(D394,'ESO Dungeon constants'!$A$3:$A$9999,1,FALSE))),"X","")</f>
        <v/>
      </c>
      <c r="F394" s="3" t="str">
        <f>IF(EXACT(A394,C394),"X","")</f>
        <v/>
      </c>
      <c r="G394" s="3" t="str">
        <f>IF(A394&lt;&gt;C394,VLOOKUP(C394,$A$5:$D$9954,4,FALSE),"")</f>
        <v>Imperial City</v>
      </c>
      <c r="H394" s="17">
        <f>A394</f>
        <v>649</v>
      </c>
      <c r="I394" s="17">
        <f>C394</f>
        <v>584</v>
      </c>
      <c r="J394">
        <v>10</v>
      </c>
      <c r="K394" s="3" t="str">
        <f>VLOOKUP(J394,'LibSets constants'!$A$4:$B$1017,2,FALSE)</f>
        <v>DLC_SUMMERSET</v>
      </c>
      <c r="L394" s="3" t="str">
        <f>VLOOKUP(J394,'LibSets constants'!$A$4:$C$1017,3,FALSE)</f>
        <v>Summerset</v>
      </c>
    </row>
    <row r="395" spans="1:12" x14ac:dyDescent="0.25">
      <c r="A395">
        <v>676</v>
      </c>
      <c r="B395">
        <v>377</v>
      </c>
      <c r="C395">
        <v>816</v>
      </c>
      <c r="D395" t="s">
        <v>447</v>
      </c>
      <c r="E395" t="str">
        <f>IF(NOT(ISERROR(VLOOKUP(D395,'ESO Dungeon constants'!$A$3:$A$9999,1,FALSE))),"X","")</f>
        <v/>
      </c>
      <c r="F395" s="3" t="str">
        <f>IF(EXACT(A395,C395),"X","")</f>
        <v/>
      </c>
      <c r="G395" s="3" t="str">
        <f>IF(A395&lt;&gt;C395,VLOOKUP(C395,$A$5:$D$9954,4,FALSE),"")</f>
        <v>Hew's Bane</v>
      </c>
      <c r="H395" s="17">
        <f>A395</f>
        <v>676</v>
      </c>
      <c r="I395" s="17">
        <f>C395</f>
        <v>816</v>
      </c>
      <c r="J395">
        <v>3</v>
      </c>
      <c r="K395" s="3" t="str">
        <f>VLOOKUP(J395,'LibSets constants'!$A$4:$B$1017,2,FALSE)</f>
        <v>DLC_THIEVES_GUILD</v>
      </c>
      <c r="L395" s="3" t="str">
        <f>VLOOKUP(J395,'LibSets constants'!$A$4:$C$1017,3,FALSE)</f>
        <v>Thieves Guild</v>
      </c>
    </row>
    <row r="396" spans="1:12" x14ac:dyDescent="0.25">
      <c r="A396">
        <v>677</v>
      </c>
      <c r="B396">
        <v>378</v>
      </c>
      <c r="C396">
        <v>684</v>
      </c>
      <c r="D396" t="s">
        <v>448</v>
      </c>
      <c r="E396" t="str">
        <f>IF(NOT(ISERROR(VLOOKUP(D396,'ESO Dungeon constants'!$A$3:$A$9999,1,FALSE))),"X","")</f>
        <v/>
      </c>
      <c r="F396" s="3" t="str">
        <f>IF(EXACT(A396,C396),"X","")</f>
        <v/>
      </c>
      <c r="G396" s="3" t="str">
        <f>IF(A396&lt;&gt;C396,VLOOKUP(C396,$A$5:$D$9954,4,FALSE),"")</f>
        <v>Wrothgar</v>
      </c>
      <c r="H396" s="17">
        <f>A396</f>
        <v>677</v>
      </c>
      <c r="I396" s="17">
        <f>C396</f>
        <v>684</v>
      </c>
      <c r="J396">
        <v>2</v>
      </c>
      <c r="K396" s="3" t="str">
        <f>VLOOKUP(J396,'LibSets constants'!$A$4:$B$1017,2,FALSE)</f>
        <v>DLC_ORSINIUM</v>
      </c>
      <c r="L396" s="3" t="str">
        <f>VLOOKUP(J396,'LibSets constants'!$A$4:$C$1017,3,FALSE)</f>
        <v>Orsinium</v>
      </c>
    </row>
    <row r="397" spans="1:12" x14ac:dyDescent="0.25">
      <c r="A397">
        <v>684</v>
      </c>
      <c r="B397">
        <v>381</v>
      </c>
      <c r="C397">
        <v>684</v>
      </c>
      <c r="D397" t="s">
        <v>449</v>
      </c>
      <c r="E397" t="str">
        <f>IF(NOT(ISERROR(VLOOKUP(D397,'ESO Dungeon constants'!$A$3:$A$9999,1,FALSE))),"X","")</f>
        <v/>
      </c>
      <c r="F397" s="3" t="str">
        <f>IF(EXACT(A397,C397),"X","")</f>
        <v>X</v>
      </c>
      <c r="G397" s="3" t="str">
        <f>IF(A397&lt;&gt;C397,VLOOKUP(C397,$A$5:$D$9954,4,FALSE),"")</f>
        <v/>
      </c>
      <c r="H397" s="17">
        <f>A397</f>
        <v>684</v>
      </c>
      <c r="I397" s="17">
        <f>C397</f>
        <v>684</v>
      </c>
      <c r="J397">
        <v>2</v>
      </c>
      <c r="K397" s="3" t="str">
        <f>VLOOKUP(J397,'LibSets constants'!$A$4:$B$1017,2,FALSE)</f>
        <v>DLC_ORSINIUM</v>
      </c>
      <c r="L397" s="3" t="str">
        <f>VLOOKUP(J397,'LibSets constants'!$A$4:$C$1017,3,FALSE)</f>
        <v>Orsinium</v>
      </c>
    </row>
    <row r="398" spans="1:12" x14ac:dyDescent="0.25">
      <c r="A398">
        <v>689</v>
      </c>
      <c r="B398">
        <v>383</v>
      </c>
      <c r="C398">
        <v>684</v>
      </c>
      <c r="D398" t="s">
        <v>450</v>
      </c>
      <c r="E398" t="str">
        <f>IF(NOT(ISERROR(VLOOKUP(D398,'ESO Dungeon constants'!$A$3:$A$9999,1,FALSE))),"X","")</f>
        <v/>
      </c>
      <c r="F398" s="3" t="str">
        <f>IF(EXACT(A398,C398),"X","")</f>
        <v/>
      </c>
      <c r="G398" s="3" t="str">
        <f>IF(A398&lt;&gt;C398,VLOOKUP(C398,$A$5:$D$9954,4,FALSE),"")</f>
        <v>Wrothgar</v>
      </c>
      <c r="H398" s="17">
        <f>A398</f>
        <v>689</v>
      </c>
      <c r="I398" s="17">
        <f>C398</f>
        <v>684</v>
      </c>
      <c r="J398">
        <v>2</v>
      </c>
      <c r="K398" s="3" t="str">
        <f>VLOOKUP(J398,'LibSets constants'!$A$4:$B$1017,2,FALSE)</f>
        <v>DLC_ORSINIUM</v>
      </c>
      <c r="L398" s="3" t="str">
        <f>VLOOKUP(J398,'LibSets constants'!$A$4:$C$1017,3,FALSE)</f>
        <v>Orsinium</v>
      </c>
    </row>
    <row r="399" spans="1:12" x14ac:dyDescent="0.25">
      <c r="A399">
        <v>636</v>
      </c>
      <c r="B399">
        <v>368</v>
      </c>
      <c r="C399">
        <v>888</v>
      </c>
      <c r="D399" t="s">
        <v>439</v>
      </c>
      <c r="E399" t="str">
        <f>IF(NOT(ISERROR(VLOOKUP(D399,'ESO Dungeon constants'!$A$3:$A$9999,1,FALSE))),"X","")</f>
        <v>X</v>
      </c>
      <c r="F399" s="3" t="str">
        <f>IF(EXACT(A399,C399),"X","")</f>
        <v/>
      </c>
      <c r="G399" s="3" t="str">
        <f>IF(A399&lt;&gt;C399,VLOOKUP(C399,$A$5:$D$9954,4,FALSE),"")</f>
        <v>Craglorn</v>
      </c>
      <c r="H399" s="17">
        <f>A399</f>
        <v>636</v>
      </c>
      <c r="I399" s="17">
        <f>C399</f>
        <v>888</v>
      </c>
      <c r="J399">
        <f>IF(E399="X",VLOOKUP(D399,'ESO Dungeon constants'!$A$3:$H$9999,8,FALSE),0)</f>
        <v>0</v>
      </c>
      <c r="K399" s="3" t="str">
        <f>VLOOKUP(J399,'LibSets constants'!$A$4:$B$1017,2,FALSE)</f>
        <v>DLC_BASE_GAME</v>
      </c>
      <c r="L399" s="3" t="str">
        <f>VLOOKUP(J399,'LibSets constants'!$A$4:$C$1017,3,FALSE)</f>
        <v>Included in base game</v>
      </c>
    </row>
    <row r="400" spans="1:12" x14ac:dyDescent="0.25">
      <c r="A400">
        <v>691</v>
      </c>
      <c r="B400">
        <v>384</v>
      </c>
      <c r="C400">
        <v>684</v>
      </c>
      <c r="D400" t="s">
        <v>451</v>
      </c>
      <c r="E400" t="str">
        <f>IF(NOT(ISERROR(VLOOKUP(D400,'ESO Dungeon constants'!$A$3:$A$9999,1,FALSE))),"X","")</f>
        <v/>
      </c>
      <c r="F400" s="3" t="str">
        <f>IF(EXACT(A400,C400),"X","")</f>
        <v/>
      </c>
      <c r="G400" s="3" t="str">
        <f>IF(A400&lt;&gt;C400,VLOOKUP(C400,$A$5:$D$9954,4,FALSE),"")</f>
        <v>Wrothgar</v>
      </c>
      <c r="H400" s="17">
        <f>A400</f>
        <v>691</v>
      </c>
      <c r="I400" s="17">
        <f>C400</f>
        <v>684</v>
      </c>
      <c r="J400">
        <v>2</v>
      </c>
      <c r="K400" s="3" t="str">
        <f>VLOOKUP(J400,'LibSets constants'!$A$4:$B$1017,2,FALSE)</f>
        <v>DLC_ORSINIUM</v>
      </c>
      <c r="L400" s="3" t="str">
        <f>VLOOKUP(J400,'LibSets constants'!$A$4:$C$1017,3,FALSE)</f>
        <v>Orsinium</v>
      </c>
    </row>
    <row r="401" spans="1:12" x14ac:dyDescent="0.25">
      <c r="A401">
        <v>692</v>
      </c>
      <c r="B401">
        <v>385</v>
      </c>
      <c r="C401">
        <v>684</v>
      </c>
      <c r="D401" t="s">
        <v>452</v>
      </c>
      <c r="E401" t="str">
        <f>IF(NOT(ISERROR(VLOOKUP(D401,'ESO Dungeon constants'!$A$3:$A$9999,1,FALSE))),"X","")</f>
        <v/>
      </c>
      <c r="F401" s="3" t="str">
        <f>IF(EXACT(A401,C401),"X","")</f>
        <v/>
      </c>
      <c r="G401" s="3" t="str">
        <f>IF(A401&lt;&gt;C401,VLOOKUP(C401,$A$5:$D$9954,4,FALSE),"")</f>
        <v>Wrothgar</v>
      </c>
      <c r="H401" s="17">
        <f>A401</f>
        <v>692</v>
      </c>
      <c r="I401" s="17">
        <f>C401</f>
        <v>684</v>
      </c>
      <c r="J401">
        <v>2</v>
      </c>
      <c r="K401" s="3" t="str">
        <f>VLOOKUP(J401,'LibSets constants'!$A$4:$B$1017,2,FALSE)</f>
        <v>DLC_ORSINIUM</v>
      </c>
      <c r="L401" s="3" t="str">
        <f>VLOOKUP(J401,'LibSets constants'!$A$4:$C$1017,3,FALSE)</f>
        <v>Orsinium</v>
      </c>
    </row>
    <row r="402" spans="1:12" x14ac:dyDescent="0.25">
      <c r="A402">
        <v>693</v>
      </c>
      <c r="B402">
        <v>386</v>
      </c>
      <c r="C402">
        <v>684</v>
      </c>
      <c r="D402" t="s">
        <v>453</v>
      </c>
      <c r="E402" t="str">
        <f>IF(NOT(ISERROR(VLOOKUP(D402,'ESO Dungeon constants'!$A$3:$A$9999,1,FALSE))),"X","")</f>
        <v/>
      </c>
      <c r="F402" s="3" t="str">
        <f>IF(EXACT(A402,C402),"X","")</f>
        <v/>
      </c>
      <c r="G402" s="3" t="str">
        <f>IF(A402&lt;&gt;C402,VLOOKUP(C402,$A$5:$D$9954,4,FALSE),"")</f>
        <v>Wrothgar</v>
      </c>
      <c r="H402" s="17">
        <f>A402</f>
        <v>693</v>
      </c>
      <c r="I402" s="17">
        <f>C402</f>
        <v>684</v>
      </c>
      <c r="J402">
        <v>2</v>
      </c>
      <c r="K402" s="3" t="str">
        <f>VLOOKUP(J402,'LibSets constants'!$A$4:$B$1017,2,FALSE)</f>
        <v>DLC_ORSINIUM</v>
      </c>
      <c r="L402" s="3" t="str">
        <f>VLOOKUP(J402,'LibSets constants'!$A$4:$C$1017,3,FALSE)</f>
        <v>Orsinium</v>
      </c>
    </row>
    <row r="403" spans="1:12" x14ac:dyDescent="0.25">
      <c r="A403">
        <v>694</v>
      </c>
      <c r="B403">
        <v>387</v>
      </c>
      <c r="C403">
        <v>684</v>
      </c>
      <c r="D403" t="s">
        <v>454</v>
      </c>
      <c r="E403" t="str">
        <f>IF(NOT(ISERROR(VLOOKUP(D403,'ESO Dungeon constants'!$A$3:$A$9999,1,FALSE))),"X","")</f>
        <v/>
      </c>
      <c r="F403" s="3" t="str">
        <f>IF(EXACT(A403,C403),"X","")</f>
        <v/>
      </c>
      <c r="G403" s="3" t="str">
        <f>IF(A403&lt;&gt;C403,VLOOKUP(C403,$A$5:$D$9954,4,FALSE),"")</f>
        <v>Wrothgar</v>
      </c>
      <c r="H403" s="17">
        <f>A403</f>
        <v>694</v>
      </c>
      <c r="I403" s="17">
        <f>C403</f>
        <v>684</v>
      </c>
      <c r="J403">
        <v>2</v>
      </c>
      <c r="K403" s="3" t="str">
        <f>VLOOKUP(J403,'LibSets constants'!$A$4:$B$1017,2,FALSE)</f>
        <v>DLC_ORSINIUM</v>
      </c>
      <c r="L403" s="3" t="str">
        <f>VLOOKUP(J403,'LibSets constants'!$A$4:$C$1017,3,FALSE)</f>
        <v>Orsinium</v>
      </c>
    </row>
    <row r="404" spans="1:12" x14ac:dyDescent="0.25">
      <c r="A404">
        <v>695</v>
      </c>
      <c r="B404">
        <v>388</v>
      </c>
      <c r="C404">
        <v>684</v>
      </c>
      <c r="D404" t="s">
        <v>455</v>
      </c>
      <c r="E404" t="str">
        <f>IF(NOT(ISERROR(VLOOKUP(D404,'ESO Dungeon constants'!$A$3:$A$9999,1,FALSE))),"X","")</f>
        <v/>
      </c>
      <c r="F404" s="3" t="str">
        <f>IF(EXACT(A404,C404),"X","")</f>
        <v/>
      </c>
      <c r="G404" s="3" t="str">
        <f>IF(A404&lt;&gt;C404,VLOOKUP(C404,$A$5:$D$9954,4,FALSE),"")</f>
        <v>Wrothgar</v>
      </c>
      <c r="H404" s="17">
        <f>A404</f>
        <v>695</v>
      </c>
      <c r="I404" s="17">
        <f>C404</f>
        <v>684</v>
      </c>
      <c r="J404">
        <v>2</v>
      </c>
      <c r="K404" s="3" t="str">
        <f>VLOOKUP(J404,'LibSets constants'!$A$4:$B$1017,2,FALSE)</f>
        <v>DLC_ORSINIUM</v>
      </c>
      <c r="L404" s="3" t="str">
        <f>VLOOKUP(J404,'LibSets constants'!$A$4:$C$1017,3,FALSE)</f>
        <v>Orsinium</v>
      </c>
    </row>
    <row r="405" spans="1:12" x14ac:dyDescent="0.25">
      <c r="A405">
        <v>697</v>
      </c>
      <c r="B405">
        <v>389</v>
      </c>
      <c r="C405">
        <v>684</v>
      </c>
      <c r="D405" t="s">
        <v>456</v>
      </c>
      <c r="E405" t="str">
        <f>IF(NOT(ISERROR(VLOOKUP(D405,'ESO Dungeon constants'!$A$3:$A$9999,1,FALSE))),"X","")</f>
        <v/>
      </c>
      <c r="F405" s="3" t="str">
        <f>IF(EXACT(A405,C405),"X","")</f>
        <v/>
      </c>
      <c r="G405" s="3" t="str">
        <f>IF(A405&lt;&gt;C405,VLOOKUP(C405,$A$5:$D$9954,4,FALSE),"")</f>
        <v>Wrothgar</v>
      </c>
      <c r="H405" s="17">
        <f>A405</f>
        <v>697</v>
      </c>
      <c r="I405" s="17">
        <f>C405</f>
        <v>684</v>
      </c>
      <c r="J405">
        <v>2</v>
      </c>
      <c r="K405" s="3" t="str">
        <f>VLOOKUP(J405,'LibSets constants'!$A$4:$B$1017,2,FALSE)</f>
        <v>DLC_ORSINIUM</v>
      </c>
      <c r="L405" s="3" t="str">
        <f>VLOOKUP(J405,'LibSets constants'!$A$4:$C$1017,3,FALSE)</f>
        <v>Orsinium</v>
      </c>
    </row>
    <row r="406" spans="1:12" x14ac:dyDescent="0.25">
      <c r="A406">
        <v>698</v>
      </c>
      <c r="B406">
        <v>390</v>
      </c>
      <c r="C406">
        <v>684</v>
      </c>
      <c r="D406" t="s">
        <v>457</v>
      </c>
      <c r="E406" t="str">
        <f>IF(NOT(ISERROR(VLOOKUP(D406,'ESO Dungeon constants'!$A$3:$A$9999,1,FALSE))),"X","")</f>
        <v/>
      </c>
      <c r="F406" s="3" t="str">
        <f>IF(EXACT(A406,C406),"X","")</f>
        <v/>
      </c>
      <c r="G406" s="3" t="str">
        <f>IF(A406&lt;&gt;C406,VLOOKUP(C406,$A$5:$D$9954,4,FALSE),"")</f>
        <v>Wrothgar</v>
      </c>
      <c r="H406" s="17">
        <f>A406</f>
        <v>698</v>
      </c>
      <c r="I406" s="17">
        <f>C406</f>
        <v>684</v>
      </c>
      <c r="J406">
        <v>2</v>
      </c>
      <c r="K406" s="3" t="str">
        <f>VLOOKUP(J406,'LibSets constants'!$A$4:$B$1017,2,FALSE)</f>
        <v>DLC_ORSINIUM</v>
      </c>
      <c r="L406" s="3" t="str">
        <f>VLOOKUP(J406,'LibSets constants'!$A$4:$C$1017,3,FALSE)</f>
        <v>Orsinium</v>
      </c>
    </row>
    <row r="407" spans="1:12" x14ac:dyDescent="0.25">
      <c r="A407">
        <v>699</v>
      </c>
      <c r="B407">
        <v>391</v>
      </c>
      <c r="C407">
        <v>684</v>
      </c>
      <c r="D407" t="s">
        <v>458</v>
      </c>
      <c r="E407" t="str">
        <f>IF(NOT(ISERROR(VLOOKUP(D407,'ESO Dungeon constants'!$A$3:$A$9999,1,FALSE))),"X","")</f>
        <v/>
      </c>
      <c r="F407" s="3" t="str">
        <f>IF(EXACT(A407,C407),"X","")</f>
        <v/>
      </c>
      <c r="G407" s="3" t="str">
        <f>IF(A407&lt;&gt;C407,VLOOKUP(C407,$A$5:$D$9954,4,FALSE),"")</f>
        <v>Wrothgar</v>
      </c>
      <c r="H407" s="17">
        <f>A407</f>
        <v>699</v>
      </c>
      <c r="I407" s="17">
        <f>C407</f>
        <v>684</v>
      </c>
      <c r="J407">
        <v>2</v>
      </c>
      <c r="K407" s="3" t="str">
        <f>VLOOKUP(J407,'LibSets constants'!$A$4:$B$1017,2,FALSE)</f>
        <v>DLC_ORSINIUM</v>
      </c>
      <c r="L407" s="3" t="str">
        <f>VLOOKUP(J407,'LibSets constants'!$A$4:$C$1017,3,FALSE)</f>
        <v>Orsinium</v>
      </c>
    </row>
    <row r="408" spans="1:12" x14ac:dyDescent="0.25">
      <c r="A408">
        <v>700</v>
      </c>
      <c r="B408">
        <v>392</v>
      </c>
      <c r="C408">
        <v>684</v>
      </c>
      <c r="D408" t="s">
        <v>459</v>
      </c>
      <c r="E408" t="str">
        <f>IF(NOT(ISERROR(VLOOKUP(D408,'ESO Dungeon constants'!$A$3:$A$9999,1,FALSE))),"X","")</f>
        <v/>
      </c>
      <c r="F408" s="3" t="str">
        <f>IF(EXACT(A408,C408),"X","")</f>
        <v/>
      </c>
      <c r="G408" s="3" t="str">
        <f>IF(A408&lt;&gt;C408,VLOOKUP(C408,$A$5:$D$9954,4,FALSE),"")</f>
        <v>Wrothgar</v>
      </c>
      <c r="H408" s="17">
        <f>A408</f>
        <v>700</v>
      </c>
      <c r="I408" s="17">
        <f>C408</f>
        <v>684</v>
      </c>
      <c r="J408">
        <v>2</v>
      </c>
      <c r="K408" s="3" t="str">
        <f>VLOOKUP(J408,'LibSets constants'!$A$4:$B$1017,2,FALSE)</f>
        <v>DLC_ORSINIUM</v>
      </c>
      <c r="L408" s="3" t="str">
        <f>VLOOKUP(J408,'LibSets constants'!$A$4:$C$1017,3,FALSE)</f>
        <v>Orsinium</v>
      </c>
    </row>
    <row r="409" spans="1:12" x14ac:dyDescent="0.25">
      <c r="A409">
        <v>701</v>
      </c>
      <c r="B409">
        <v>393</v>
      </c>
      <c r="C409">
        <v>684</v>
      </c>
      <c r="D409" t="s">
        <v>460</v>
      </c>
      <c r="E409" t="str">
        <f>IF(NOT(ISERROR(VLOOKUP(D409,'ESO Dungeon constants'!$A$3:$A$9999,1,FALSE))),"X","")</f>
        <v/>
      </c>
      <c r="F409" s="3" t="str">
        <f>IF(EXACT(A409,C409),"X","")</f>
        <v/>
      </c>
      <c r="G409" s="3" t="str">
        <f>IF(A409&lt;&gt;C409,VLOOKUP(C409,$A$5:$D$9954,4,FALSE),"")</f>
        <v>Wrothgar</v>
      </c>
      <c r="H409" s="17">
        <f>A409</f>
        <v>701</v>
      </c>
      <c r="I409" s="17">
        <f>C409</f>
        <v>684</v>
      </c>
      <c r="J409">
        <v>2</v>
      </c>
      <c r="K409" s="3" t="str">
        <f>VLOOKUP(J409,'LibSets constants'!$A$4:$B$1017,2,FALSE)</f>
        <v>DLC_ORSINIUM</v>
      </c>
      <c r="L409" s="3" t="str">
        <f>VLOOKUP(J409,'LibSets constants'!$A$4:$C$1017,3,FALSE)</f>
        <v>Orsinium</v>
      </c>
    </row>
    <row r="410" spans="1:12" x14ac:dyDescent="0.25">
      <c r="A410">
        <v>702</v>
      </c>
      <c r="B410">
        <v>394</v>
      </c>
      <c r="C410">
        <v>684</v>
      </c>
      <c r="D410" t="s">
        <v>461</v>
      </c>
      <c r="E410" t="str">
        <f>IF(NOT(ISERROR(VLOOKUP(D410,'ESO Dungeon constants'!$A$3:$A$9999,1,FALSE))),"X","")</f>
        <v/>
      </c>
      <c r="F410" s="3" t="str">
        <f>IF(EXACT(A410,C410),"X","")</f>
        <v/>
      </c>
      <c r="G410" s="3" t="str">
        <f>IF(A410&lt;&gt;C410,VLOOKUP(C410,$A$5:$D$9954,4,FALSE),"")</f>
        <v>Wrothgar</v>
      </c>
      <c r="H410" s="17">
        <f>A410</f>
        <v>702</v>
      </c>
      <c r="I410" s="17">
        <f>C410</f>
        <v>684</v>
      </c>
      <c r="J410">
        <v>2</v>
      </c>
      <c r="K410" s="3" t="str">
        <f>VLOOKUP(J410,'LibSets constants'!$A$4:$B$1017,2,FALSE)</f>
        <v>DLC_ORSINIUM</v>
      </c>
      <c r="L410" s="3" t="str">
        <f>VLOOKUP(J410,'LibSets constants'!$A$4:$C$1017,3,FALSE)</f>
        <v>Orsinium</v>
      </c>
    </row>
    <row r="411" spans="1:12" x14ac:dyDescent="0.25">
      <c r="A411">
        <v>703</v>
      </c>
      <c r="B411">
        <v>395</v>
      </c>
      <c r="C411">
        <v>684</v>
      </c>
      <c r="D411" t="s">
        <v>462</v>
      </c>
      <c r="E411" t="str">
        <f>IF(NOT(ISERROR(VLOOKUP(D411,'ESO Dungeon constants'!$A$3:$A$9999,1,FALSE))),"X","")</f>
        <v/>
      </c>
      <c r="F411" s="3" t="str">
        <f>IF(EXACT(A411,C411),"X","")</f>
        <v/>
      </c>
      <c r="G411" s="3" t="str">
        <f>IF(A411&lt;&gt;C411,VLOOKUP(C411,$A$5:$D$9954,4,FALSE),"")</f>
        <v>Wrothgar</v>
      </c>
      <c r="H411" s="17">
        <f>A411</f>
        <v>703</v>
      </c>
      <c r="I411" s="17">
        <f>C411</f>
        <v>684</v>
      </c>
      <c r="J411">
        <v>2</v>
      </c>
      <c r="K411" s="3" t="str">
        <f>VLOOKUP(J411,'LibSets constants'!$A$4:$B$1017,2,FALSE)</f>
        <v>DLC_ORSINIUM</v>
      </c>
      <c r="L411" s="3" t="str">
        <f>VLOOKUP(J411,'LibSets constants'!$A$4:$C$1017,3,FALSE)</f>
        <v>Orsinium</v>
      </c>
    </row>
    <row r="412" spans="1:12" x14ac:dyDescent="0.25">
      <c r="A412">
        <v>704</v>
      </c>
      <c r="B412">
        <v>396</v>
      </c>
      <c r="C412">
        <v>684</v>
      </c>
      <c r="D412" t="s">
        <v>463</v>
      </c>
      <c r="E412" t="str">
        <f>IF(NOT(ISERROR(VLOOKUP(D412,'ESO Dungeon constants'!$A$3:$A$9999,1,FALSE))),"X","")</f>
        <v/>
      </c>
      <c r="F412" s="3" t="str">
        <f>IF(EXACT(A412,C412),"X","")</f>
        <v/>
      </c>
      <c r="G412" s="3" t="str">
        <f>IF(A412&lt;&gt;C412,VLOOKUP(C412,$A$5:$D$9954,4,FALSE),"")</f>
        <v>Wrothgar</v>
      </c>
      <c r="H412" s="17">
        <f>A412</f>
        <v>704</v>
      </c>
      <c r="I412" s="17">
        <f>C412</f>
        <v>684</v>
      </c>
      <c r="J412">
        <v>2</v>
      </c>
      <c r="K412" s="3" t="str">
        <f>VLOOKUP(J412,'LibSets constants'!$A$4:$B$1017,2,FALSE)</f>
        <v>DLC_ORSINIUM</v>
      </c>
      <c r="L412" s="3" t="str">
        <f>VLOOKUP(J412,'LibSets constants'!$A$4:$C$1017,3,FALSE)</f>
        <v>Orsinium</v>
      </c>
    </row>
    <row r="413" spans="1:12" x14ac:dyDescent="0.25">
      <c r="A413">
        <v>705</v>
      </c>
      <c r="B413">
        <v>397</v>
      </c>
      <c r="C413">
        <v>684</v>
      </c>
      <c r="D413" t="s">
        <v>464</v>
      </c>
      <c r="E413" t="str">
        <f>IF(NOT(ISERROR(VLOOKUP(D413,'ESO Dungeon constants'!$A$3:$A$9999,1,FALSE))),"X","")</f>
        <v/>
      </c>
      <c r="F413" s="3" t="str">
        <f>IF(EXACT(A413,C413),"X","")</f>
        <v/>
      </c>
      <c r="G413" s="3" t="str">
        <f>IF(A413&lt;&gt;C413,VLOOKUP(C413,$A$5:$D$9954,4,FALSE),"")</f>
        <v>Wrothgar</v>
      </c>
      <c r="H413" s="17">
        <f>A413</f>
        <v>705</v>
      </c>
      <c r="I413" s="17">
        <f>C413</f>
        <v>684</v>
      </c>
      <c r="J413">
        <v>2</v>
      </c>
      <c r="K413" s="3" t="str">
        <f>VLOOKUP(J413,'LibSets constants'!$A$4:$B$1017,2,FALSE)</f>
        <v>DLC_ORSINIUM</v>
      </c>
      <c r="L413" s="3" t="str">
        <f>VLOOKUP(J413,'LibSets constants'!$A$4:$C$1017,3,FALSE)</f>
        <v>Orsinium</v>
      </c>
    </row>
    <row r="414" spans="1:12" x14ac:dyDescent="0.25">
      <c r="A414">
        <v>706</v>
      </c>
      <c r="B414">
        <v>398</v>
      </c>
      <c r="C414">
        <v>684</v>
      </c>
      <c r="D414" t="s">
        <v>465</v>
      </c>
      <c r="E414" t="str">
        <f>IF(NOT(ISERROR(VLOOKUP(D414,'ESO Dungeon constants'!$A$3:$A$9999,1,FALSE))),"X","")</f>
        <v/>
      </c>
      <c r="F414" s="3" t="str">
        <f>IF(EXACT(A414,C414),"X","")</f>
        <v/>
      </c>
      <c r="G414" s="3" t="str">
        <f>IF(A414&lt;&gt;C414,VLOOKUP(C414,$A$5:$D$9954,4,FALSE),"")</f>
        <v>Wrothgar</v>
      </c>
      <c r="H414" s="17">
        <f>A414</f>
        <v>706</v>
      </c>
      <c r="I414" s="17">
        <f>C414</f>
        <v>684</v>
      </c>
      <c r="J414">
        <v>2</v>
      </c>
      <c r="K414" s="3" t="str">
        <f>VLOOKUP(J414,'LibSets constants'!$A$4:$B$1017,2,FALSE)</f>
        <v>DLC_ORSINIUM</v>
      </c>
      <c r="L414" s="3" t="str">
        <f>VLOOKUP(J414,'LibSets constants'!$A$4:$C$1017,3,FALSE)</f>
        <v>Orsinium</v>
      </c>
    </row>
    <row r="415" spans="1:12" x14ac:dyDescent="0.25">
      <c r="A415">
        <v>707</v>
      </c>
      <c r="B415">
        <v>399</v>
      </c>
      <c r="C415">
        <v>684</v>
      </c>
      <c r="D415" t="s">
        <v>466</v>
      </c>
      <c r="E415" t="str">
        <f>IF(NOT(ISERROR(VLOOKUP(D415,'ESO Dungeon constants'!$A$3:$A$9999,1,FALSE))),"X","")</f>
        <v/>
      </c>
      <c r="F415" s="3" t="str">
        <f>IF(EXACT(A415,C415),"X","")</f>
        <v/>
      </c>
      <c r="G415" s="3" t="str">
        <f>IF(A415&lt;&gt;C415,VLOOKUP(C415,$A$5:$D$9954,4,FALSE),"")</f>
        <v>Wrothgar</v>
      </c>
      <c r="H415" s="17">
        <f>A415</f>
        <v>707</v>
      </c>
      <c r="I415" s="17">
        <f>C415</f>
        <v>684</v>
      </c>
      <c r="J415">
        <v>2</v>
      </c>
      <c r="K415" s="3" t="str">
        <f>VLOOKUP(J415,'LibSets constants'!$A$4:$B$1017,2,FALSE)</f>
        <v>DLC_ORSINIUM</v>
      </c>
      <c r="L415" s="3" t="str">
        <f>VLOOKUP(J415,'LibSets constants'!$A$4:$C$1017,3,FALSE)</f>
        <v>Orsinium</v>
      </c>
    </row>
    <row r="416" spans="1:12" x14ac:dyDescent="0.25">
      <c r="A416">
        <v>708</v>
      </c>
      <c r="B416">
        <v>400</v>
      </c>
      <c r="C416">
        <v>684</v>
      </c>
      <c r="D416" t="s">
        <v>467</v>
      </c>
      <c r="E416" t="str">
        <f>IF(NOT(ISERROR(VLOOKUP(D416,'ESO Dungeon constants'!$A$3:$A$9999,1,FALSE))),"X","")</f>
        <v/>
      </c>
      <c r="F416" s="3" t="str">
        <f>IF(EXACT(A416,C416),"X","")</f>
        <v/>
      </c>
      <c r="G416" s="3" t="str">
        <f>IF(A416&lt;&gt;C416,VLOOKUP(C416,$A$5:$D$9954,4,FALSE),"")</f>
        <v>Wrothgar</v>
      </c>
      <c r="H416" s="17">
        <f>A416</f>
        <v>708</v>
      </c>
      <c r="I416" s="17">
        <f>C416</f>
        <v>684</v>
      </c>
      <c r="J416">
        <v>2</v>
      </c>
      <c r="K416" s="3" t="str">
        <f>VLOOKUP(J416,'LibSets constants'!$A$4:$B$1017,2,FALSE)</f>
        <v>DLC_ORSINIUM</v>
      </c>
      <c r="L416" s="3" t="str">
        <f>VLOOKUP(J416,'LibSets constants'!$A$4:$C$1017,3,FALSE)</f>
        <v>Orsinium</v>
      </c>
    </row>
    <row r="417" spans="1:12" x14ac:dyDescent="0.25">
      <c r="A417">
        <v>710</v>
      </c>
      <c r="B417">
        <v>401</v>
      </c>
      <c r="C417">
        <v>684</v>
      </c>
      <c r="D417" t="s">
        <v>468</v>
      </c>
      <c r="E417" t="str">
        <f>IF(NOT(ISERROR(VLOOKUP(D417,'ESO Dungeon constants'!$A$3:$A$9999,1,FALSE))),"X","")</f>
        <v/>
      </c>
      <c r="F417" s="3" t="str">
        <f>IF(EXACT(A417,C417),"X","")</f>
        <v/>
      </c>
      <c r="G417" s="3" t="str">
        <f>IF(A417&lt;&gt;C417,VLOOKUP(C417,$A$5:$D$9954,4,FALSE),"")</f>
        <v>Wrothgar</v>
      </c>
      <c r="H417" s="17">
        <f>A417</f>
        <v>710</v>
      </c>
      <c r="I417" s="17">
        <f>C417</f>
        <v>684</v>
      </c>
      <c r="J417">
        <v>2</v>
      </c>
      <c r="K417" s="3" t="str">
        <f>VLOOKUP(J417,'LibSets constants'!$A$4:$B$1017,2,FALSE)</f>
        <v>DLC_ORSINIUM</v>
      </c>
      <c r="L417" s="3" t="str">
        <f>VLOOKUP(J417,'LibSets constants'!$A$4:$C$1017,3,FALSE)</f>
        <v>Orsinium</v>
      </c>
    </row>
    <row r="418" spans="1:12" x14ac:dyDescent="0.25">
      <c r="A418">
        <v>711</v>
      </c>
      <c r="B418">
        <v>402</v>
      </c>
      <c r="C418">
        <v>684</v>
      </c>
      <c r="D418" t="s">
        <v>469</v>
      </c>
      <c r="E418" t="str">
        <f>IF(NOT(ISERROR(VLOOKUP(D418,'ESO Dungeon constants'!$A$3:$A$9999,1,FALSE))),"X","")</f>
        <v/>
      </c>
      <c r="F418" s="3" t="str">
        <f>IF(EXACT(A418,C418),"X","")</f>
        <v/>
      </c>
      <c r="G418" s="3" t="str">
        <f>IF(A418&lt;&gt;C418,VLOOKUP(C418,$A$5:$D$9954,4,FALSE),"")</f>
        <v>Wrothgar</v>
      </c>
      <c r="H418" s="17">
        <f>A418</f>
        <v>711</v>
      </c>
      <c r="I418" s="17">
        <f>C418</f>
        <v>684</v>
      </c>
      <c r="J418">
        <v>2</v>
      </c>
      <c r="K418" s="3" t="str">
        <f>VLOOKUP(J418,'LibSets constants'!$A$4:$B$1017,2,FALSE)</f>
        <v>DLC_ORSINIUM</v>
      </c>
      <c r="L418" s="3" t="str">
        <f>VLOOKUP(J418,'LibSets constants'!$A$4:$C$1017,3,FALSE)</f>
        <v>Orsinium</v>
      </c>
    </row>
    <row r="419" spans="1:12" x14ac:dyDescent="0.25">
      <c r="A419">
        <v>712</v>
      </c>
      <c r="B419">
        <v>403</v>
      </c>
      <c r="C419">
        <v>684</v>
      </c>
      <c r="D419" t="s">
        <v>470</v>
      </c>
      <c r="E419" t="str">
        <f>IF(NOT(ISERROR(VLOOKUP(D419,'ESO Dungeon constants'!$A$3:$A$9999,1,FALSE))),"X","")</f>
        <v/>
      </c>
      <c r="F419" s="3" t="str">
        <f>IF(EXACT(A419,C419),"X","")</f>
        <v/>
      </c>
      <c r="G419" s="3" t="str">
        <f>IF(A419&lt;&gt;C419,VLOOKUP(C419,$A$5:$D$9954,4,FALSE),"")</f>
        <v>Wrothgar</v>
      </c>
      <c r="H419" s="17">
        <f>A419</f>
        <v>712</v>
      </c>
      <c r="I419" s="17">
        <f>C419</f>
        <v>684</v>
      </c>
      <c r="J419">
        <v>2</v>
      </c>
      <c r="K419" s="3" t="str">
        <f>VLOOKUP(J419,'LibSets constants'!$A$4:$B$1017,2,FALSE)</f>
        <v>DLC_ORSINIUM</v>
      </c>
      <c r="L419" s="3" t="str">
        <f>VLOOKUP(J419,'LibSets constants'!$A$4:$C$1017,3,FALSE)</f>
        <v>Orsinium</v>
      </c>
    </row>
    <row r="420" spans="1:12" x14ac:dyDescent="0.25">
      <c r="A420">
        <v>715</v>
      </c>
      <c r="B420">
        <v>404</v>
      </c>
      <c r="C420">
        <v>684</v>
      </c>
      <c r="D420" t="s">
        <v>471</v>
      </c>
      <c r="E420" t="str">
        <f>IF(NOT(ISERROR(VLOOKUP(D420,'ESO Dungeon constants'!$A$3:$A$9999,1,FALSE))),"X","")</f>
        <v/>
      </c>
      <c r="F420" s="3" t="str">
        <f>IF(EXACT(A420,C420),"X","")</f>
        <v/>
      </c>
      <c r="G420" s="3" t="str">
        <f>IF(A420&lt;&gt;C420,VLOOKUP(C420,$A$5:$D$9954,4,FALSE),"")</f>
        <v>Wrothgar</v>
      </c>
      <c r="H420" s="17">
        <f>A420</f>
        <v>715</v>
      </c>
      <c r="I420" s="17">
        <f>C420</f>
        <v>684</v>
      </c>
      <c r="J420">
        <v>2</v>
      </c>
      <c r="K420" s="3" t="str">
        <f>VLOOKUP(J420,'LibSets constants'!$A$4:$B$1017,2,FALSE)</f>
        <v>DLC_ORSINIUM</v>
      </c>
      <c r="L420" s="3" t="str">
        <f>VLOOKUP(J420,'LibSets constants'!$A$4:$C$1017,3,FALSE)</f>
        <v>Orsinium</v>
      </c>
    </row>
    <row r="421" spans="1:12" x14ac:dyDescent="0.25">
      <c r="A421">
        <v>719</v>
      </c>
      <c r="B421">
        <v>405</v>
      </c>
      <c r="C421">
        <v>1011</v>
      </c>
      <c r="D421" t="s">
        <v>472</v>
      </c>
      <c r="E421" t="str">
        <f>IF(NOT(ISERROR(VLOOKUP(D421,'ESO Dungeon constants'!$A$3:$A$9999,1,FALSE))),"X","")</f>
        <v/>
      </c>
      <c r="F421" s="3" t="str">
        <f>IF(EXACT(A421,C421),"X","")</f>
        <v/>
      </c>
      <c r="G421" s="3" t="str">
        <f>IF(A421&lt;&gt;C421,VLOOKUP(C421,$A$5:$D$9954,4,FALSE),"")</f>
        <v>Summerset</v>
      </c>
      <c r="H421" s="17">
        <f>A421</f>
        <v>719</v>
      </c>
      <c r="I421" s="17">
        <f>C421</f>
        <v>1011</v>
      </c>
      <c r="J421">
        <v>10</v>
      </c>
      <c r="K421" s="3" t="str">
        <f>VLOOKUP(J421,'LibSets constants'!$A$4:$B$1017,2,FALSE)</f>
        <v>DLC_SUMMERSET</v>
      </c>
      <c r="L421" s="3" t="str">
        <f>VLOOKUP(J421,'LibSets constants'!$A$4:$C$1017,3,FALSE)</f>
        <v>Summerset</v>
      </c>
    </row>
    <row r="422" spans="1:12" x14ac:dyDescent="0.25">
      <c r="A422">
        <v>1152</v>
      </c>
      <c r="B422">
        <v>741</v>
      </c>
      <c r="C422">
        <v>684</v>
      </c>
      <c r="D422" t="s">
        <v>1638</v>
      </c>
      <c r="E422" t="str">
        <f>IF(NOT(ISERROR(VLOOKUP(D422,'ESO Dungeon constants'!$A$3:$A$9999,1,FALSE))),"X","")</f>
        <v>X</v>
      </c>
      <c r="F422" s="3" t="str">
        <f>IF(EXACT(A422,C422),"X","")</f>
        <v/>
      </c>
      <c r="G422" s="3" t="str">
        <f>IF(A422&lt;&gt;C422,VLOOKUP(C422,$A$5:$D$9954,4,FALSE),"")</f>
        <v>Wrothgar</v>
      </c>
      <c r="H422" s="17">
        <f>A422</f>
        <v>1152</v>
      </c>
      <c r="I422" s="17">
        <f>C422</f>
        <v>684</v>
      </c>
      <c r="J422">
        <f>IF(E422="X",VLOOKUP(D422,'ESO Dungeon constants'!$A$3:$H$9999,8,FALSE),0)</f>
        <v>17</v>
      </c>
      <c r="K422" s="3" t="str">
        <f>VLOOKUP(J422,'LibSets constants'!$A$4:$B$1017,2,FALSE)</f>
        <v>DLC_HARROWSTORM</v>
      </c>
      <c r="L422" s="3" t="str">
        <f>VLOOKUP(J422,'LibSets constants'!$A$4:$C$1017,3,FALSE)</f>
        <v>Harrowstorm</v>
      </c>
    </row>
    <row r="423" spans="1:12" x14ac:dyDescent="0.25">
      <c r="A423">
        <v>723</v>
      </c>
      <c r="B423">
        <v>406</v>
      </c>
      <c r="C423">
        <v>199</v>
      </c>
      <c r="D423" t="s">
        <v>420</v>
      </c>
      <c r="E423" t="str">
        <f>IF(NOT(ISERROR(VLOOKUP(D423,'ESO Dungeon constants'!$A$3:$A$9999,1,FALSE))),"X","")</f>
        <v/>
      </c>
      <c r="F423" s="3" t="str">
        <f>IF(EXACT(A423,C423),"X","")</f>
        <v/>
      </c>
      <c r="G423" s="3" t="str">
        <f>IF(A423&lt;&gt;C423,VLOOKUP(C423,$A$5:$D$9954,4,FALSE),"")</f>
        <v>The Harborage</v>
      </c>
      <c r="H423" s="17">
        <f>A423</f>
        <v>723</v>
      </c>
      <c r="I423" s="17">
        <f>C423</f>
        <v>199</v>
      </c>
      <c r="J423">
        <v>0</v>
      </c>
      <c r="K423" s="3" t="str">
        <f>VLOOKUP(J423,'LibSets constants'!$A$4:$B$1017,2,FALSE)</f>
        <v>DLC_BASE_GAME</v>
      </c>
      <c r="L423" s="3" t="str">
        <f>VLOOKUP(J423,'LibSets constants'!$A$4:$C$1017,3,FALSE)</f>
        <v>Included in base game</v>
      </c>
    </row>
    <row r="424" spans="1:12" x14ac:dyDescent="0.25">
      <c r="A424">
        <v>724</v>
      </c>
      <c r="B424">
        <v>407</v>
      </c>
      <c r="C424">
        <v>684</v>
      </c>
      <c r="D424" t="s">
        <v>473</v>
      </c>
      <c r="E424" t="str">
        <f>IF(NOT(ISERROR(VLOOKUP(D424,'ESO Dungeon constants'!$A$3:$A$9999,1,FALSE))),"X","")</f>
        <v/>
      </c>
      <c r="F424" s="3" t="str">
        <f>IF(EXACT(A424,C424),"X","")</f>
        <v/>
      </c>
      <c r="G424" s="3" t="str">
        <f>IF(A424&lt;&gt;C424,VLOOKUP(C424,$A$5:$D$9954,4,FALSE),"")</f>
        <v>Wrothgar</v>
      </c>
      <c r="H424" s="17">
        <f>A424</f>
        <v>724</v>
      </c>
      <c r="I424" s="17">
        <f>C424</f>
        <v>684</v>
      </c>
      <c r="J424">
        <v>2</v>
      </c>
      <c r="K424" s="3" t="str">
        <f>VLOOKUP(J424,'LibSets constants'!$A$4:$B$1017,2,FALSE)</f>
        <v>DLC_ORSINIUM</v>
      </c>
      <c r="L424" s="3" t="str">
        <f>VLOOKUP(J424,'LibSets constants'!$A$4:$C$1017,3,FALSE)</f>
        <v>Orsinium</v>
      </c>
    </row>
    <row r="425" spans="1:12" x14ac:dyDescent="0.25">
      <c r="A425">
        <v>726</v>
      </c>
      <c r="B425">
        <v>409</v>
      </c>
      <c r="C425">
        <v>726</v>
      </c>
      <c r="D425" t="s">
        <v>80</v>
      </c>
      <c r="E425" t="str">
        <f>IF(NOT(ISERROR(VLOOKUP(D425,'ESO Dungeon constants'!$A$3:$A$9999,1,FALSE))),"X","")</f>
        <v/>
      </c>
      <c r="F425" s="3" t="str">
        <f>IF(EXACT(A425,C425),"X","")</f>
        <v>X</v>
      </c>
      <c r="G425" s="3" t="str">
        <f>IF(A425&lt;&gt;C425,VLOOKUP(C425,$A$5:$D$9954,4,FALSE),"")</f>
        <v/>
      </c>
      <c r="H425" s="17">
        <f>A425</f>
        <v>726</v>
      </c>
      <c r="I425" s="17">
        <f>C425</f>
        <v>726</v>
      </c>
      <c r="J425">
        <v>14</v>
      </c>
      <c r="K425" s="3" t="str">
        <f>VLOOKUP(J425,'LibSets constants'!$A$4:$B$1017,2,FALSE)</f>
        <v>DLC_ELSWEYR</v>
      </c>
      <c r="L425" s="3" t="str">
        <f>VLOOKUP(J425,'LibSets constants'!$A$4:$C$1017,3,FALSE)</f>
        <v>Elsweyr</v>
      </c>
    </row>
    <row r="426" spans="1:12" x14ac:dyDescent="0.25">
      <c r="A426">
        <v>745</v>
      </c>
      <c r="B426">
        <v>410</v>
      </c>
      <c r="C426">
        <v>41</v>
      </c>
      <c r="D426" t="s">
        <v>475</v>
      </c>
      <c r="E426" t="str">
        <f>IF(NOT(ISERROR(VLOOKUP(D426,'ESO Dungeon constants'!$A$3:$A$9999,1,FALSE))),"X","")</f>
        <v/>
      </c>
      <c r="F426" s="3" t="str">
        <f>IF(EXACT(A426,C426),"X","")</f>
        <v/>
      </c>
      <c r="G426" s="3" t="str">
        <f>IF(A426&lt;&gt;C426,VLOOKUP(C426,$A$5:$D$9954,4,FALSE),"")</f>
        <v>Stonefalls</v>
      </c>
      <c r="H426" s="17">
        <f>A426</f>
        <v>745</v>
      </c>
      <c r="I426" s="17">
        <f>C426</f>
        <v>41</v>
      </c>
      <c r="J426">
        <v>0</v>
      </c>
      <c r="K426" s="3" t="str">
        <f>VLOOKUP(J426,'LibSets constants'!$A$4:$B$1017,2,FALSE)</f>
        <v>DLC_BASE_GAME</v>
      </c>
      <c r="L426" s="3" t="str">
        <f>VLOOKUP(J426,'LibSets constants'!$A$4:$C$1017,3,FALSE)</f>
        <v>Included in base game</v>
      </c>
    </row>
    <row r="427" spans="1:12" x14ac:dyDescent="0.25">
      <c r="A427">
        <v>746</v>
      </c>
      <c r="B427">
        <v>411</v>
      </c>
      <c r="C427">
        <v>381</v>
      </c>
      <c r="D427" t="s">
        <v>476</v>
      </c>
      <c r="E427" t="str">
        <f>IF(NOT(ISERROR(VLOOKUP(D427,'ESO Dungeon constants'!$A$3:$A$9999,1,FALSE))),"X","")</f>
        <v/>
      </c>
      <c r="F427" s="3" t="str">
        <f>IF(EXACT(A427,C427),"X","")</f>
        <v/>
      </c>
      <c r="G427" s="3" t="str">
        <f>IF(A427&lt;&gt;C427,VLOOKUP(C427,$A$5:$D$9954,4,FALSE),"")</f>
        <v>Auridon</v>
      </c>
      <c r="H427" s="17">
        <f>A427</f>
        <v>746</v>
      </c>
      <c r="I427" s="17">
        <f>C427</f>
        <v>381</v>
      </c>
      <c r="J427">
        <v>0</v>
      </c>
      <c r="K427" s="3" t="str">
        <f>VLOOKUP(J427,'LibSets constants'!$A$4:$B$1017,2,FALSE)</f>
        <v>DLC_BASE_GAME</v>
      </c>
      <c r="L427" s="3" t="str">
        <f>VLOOKUP(J427,'LibSets constants'!$A$4:$C$1017,3,FALSE)</f>
        <v>Included in base game</v>
      </c>
    </row>
    <row r="428" spans="1:12" x14ac:dyDescent="0.25">
      <c r="A428">
        <v>747</v>
      </c>
      <c r="B428">
        <v>412</v>
      </c>
      <c r="C428">
        <v>383</v>
      </c>
      <c r="D428" t="s">
        <v>477</v>
      </c>
      <c r="E428" t="str">
        <f>IF(NOT(ISERROR(VLOOKUP(D428,'ESO Dungeon constants'!$A$3:$A$9999,1,FALSE))),"X","")</f>
        <v/>
      </c>
      <c r="F428" s="3" t="str">
        <f>IF(EXACT(A428,C428),"X","")</f>
        <v/>
      </c>
      <c r="G428" s="3" t="str">
        <f>IF(A428&lt;&gt;C428,VLOOKUP(C428,$A$5:$D$9954,4,FALSE),"")</f>
        <v>Grahtwood</v>
      </c>
      <c r="H428" s="17">
        <f>A428</f>
        <v>747</v>
      </c>
      <c r="I428" s="17">
        <f>C428</f>
        <v>383</v>
      </c>
      <c r="J428">
        <v>0</v>
      </c>
      <c r="K428" s="3" t="str">
        <f>VLOOKUP(J428,'LibSets constants'!$A$4:$B$1017,2,FALSE)</f>
        <v>DLC_BASE_GAME</v>
      </c>
      <c r="L428" s="3" t="str">
        <f>VLOOKUP(J428,'LibSets constants'!$A$4:$C$1017,3,FALSE)</f>
        <v>Included in base game</v>
      </c>
    </row>
    <row r="429" spans="1:12" x14ac:dyDescent="0.25">
      <c r="A429">
        <v>748</v>
      </c>
      <c r="B429">
        <v>413</v>
      </c>
      <c r="C429">
        <v>108</v>
      </c>
      <c r="D429" t="s">
        <v>478</v>
      </c>
      <c r="E429" t="str">
        <f>IF(NOT(ISERROR(VLOOKUP(D429,'ESO Dungeon constants'!$A$3:$A$9999,1,FALSE))),"X","")</f>
        <v/>
      </c>
      <c r="F429" s="3" t="str">
        <f>IF(EXACT(A429,C429),"X","")</f>
        <v/>
      </c>
      <c r="G429" s="3" t="str">
        <f>IF(A429&lt;&gt;C429,VLOOKUP(C429,$A$5:$D$9954,4,FALSE),"")</f>
        <v>Greenshade</v>
      </c>
      <c r="H429" s="17">
        <f>A429</f>
        <v>748</v>
      </c>
      <c r="I429" s="17">
        <f>C429</f>
        <v>108</v>
      </c>
      <c r="J429">
        <v>0</v>
      </c>
      <c r="K429" s="3" t="str">
        <f>VLOOKUP(J429,'LibSets constants'!$A$4:$B$1017,2,FALSE)</f>
        <v>DLC_BASE_GAME</v>
      </c>
      <c r="L429" s="3" t="str">
        <f>VLOOKUP(J429,'LibSets constants'!$A$4:$C$1017,3,FALSE)</f>
        <v>Included in base game</v>
      </c>
    </row>
    <row r="430" spans="1:12" x14ac:dyDescent="0.25">
      <c r="A430">
        <v>678</v>
      </c>
      <c r="B430">
        <v>379</v>
      </c>
      <c r="C430">
        <v>584</v>
      </c>
      <c r="D430" t="s">
        <v>52</v>
      </c>
      <c r="E430" t="str">
        <f>IF(NOT(ISERROR(VLOOKUP(D430,'ESO Dungeon constants'!$A$3:$A$9999,1,FALSE))),"X","")</f>
        <v>X</v>
      </c>
      <c r="F430" s="3" t="str">
        <f>IF(EXACT(A430,C430),"X","")</f>
        <v/>
      </c>
      <c r="G430" s="3" t="str">
        <f>IF(A430&lt;&gt;C430,VLOOKUP(C430,$A$5:$D$9954,4,FALSE),"")</f>
        <v>Imperial City</v>
      </c>
      <c r="H430" s="17">
        <f>A430</f>
        <v>678</v>
      </c>
      <c r="I430" s="17">
        <f>C430</f>
        <v>584</v>
      </c>
      <c r="J430">
        <f>IF(E430="X",VLOOKUP(D430,'ESO Dungeon constants'!$A$3:$H$9999,8,FALSE),0)</f>
        <v>1</v>
      </c>
      <c r="K430" s="3" t="str">
        <f>VLOOKUP(J430,'LibSets constants'!$A$4:$B$1017,2,FALSE)</f>
        <v>DLC_IMPERIAL_CITY</v>
      </c>
      <c r="L430" s="3" t="str">
        <f>VLOOKUP(J430,'LibSets constants'!$A$4:$C$1017,3,FALSE)</f>
        <v>Imperial City</v>
      </c>
    </row>
    <row r="431" spans="1:12" x14ac:dyDescent="0.25">
      <c r="A431">
        <v>749</v>
      </c>
      <c r="B431">
        <v>414</v>
      </c>
      <c r="C431">
        <v>58</v>
      </c>
      <c r="D431" t="s">
        <v>479</v>
      </c>
      <c r="E431" t="str">
        <f>IF(NOT(ISERROR(VLOOKUP(D431,'ESO Dungeon constants'!$A$3:$A$9999,1,FALSE))),"X","")</f>
        <v/>
      </c>
      <c r="F431" s="3" t="str">
        <f>IF(EXACT(A431,C431),"X","")</f>
        <v/>
      </c>
      <c r="G431" s="3" t="str">
        <f>IF(A431&lt;&gt;C431,VLOOKUP(C431,$A$5:$D$9954,4,FALSE),"")</f>
        <v>Malabal Tor</v>
      </c>
      <c r="H431" s="17">
        <f>A431</f>
        <v>749</v>
      </c>
      <c r="I431" s="17">
        <f>C431</f>
        <v>58</v>
      </c>
      <c r="J431">
        <v>0</v>
      </c>
      <c r="K431" s="3" t="str">
        <f>VLOOKUP(J431,'LibSets constants'!$A$4:$B$1017,2,FALSE)</f>
        <v>DLC_BASE_GAME</v>
      </c>
      <c r="L431" s="3" t="str">
        <f>VLOOKUP(J431,'LibSets constants'!$A$4:$C$1017,3,FALSE)</f>
        <v>Included in base game</v>
      </c>
    </row>
    <row r="432" spans="1:12" x14ac:dyDescent="0.25">
      <c r="A432">
        <v>750</v>
      </c>
      <c r="B432">
        <v>415</v>
      </c>
      <c r="C432">
        <v>382</v>
      </c>
      <c r="D432" t="s">
        <v>480</v>
      </c>
      <c r="E432" t="str">
        <f>IF(NOT(ISERROR(VLOOKUP(D432,'ESO Dungeon constants'!$A$3:$A$9999,1,FALSE))),"X","")</f>
        <v/>
      </c>
      <c r="F432" s="3" t="str">
        <f>IF(EXACT(A432,C432),"X","")</f>
        <v/>
      </c>
      <c r="G432" s="3" t="str">
        <f>IF(A432&lt;&gt;C432,VLOOKUP(C432,$A$5:$D$9954,4,FALSE),"")</f>
        <v>Reaper's March</v>
      </c>
      <c r="H432" s="17">
        <f>A432</f>
        <v>750</v>
      </c>
      <c r="I432" s="17">
        <f>C432</f>
        <v>382</v>
      </c>
      <c r="J432">
        <v>0</v>
      </c>
      <c r="K432" s="3" t="str">
        <f>VLOOKUP(J432,'LibSets constants'!$A$4:$B$1017,2,FALSE)</f>
        <v>DLC_BASE_GAME</v>
      </c>
      <c r="L432" s="3" t="str">
        <f>VLOOKUP(J432,'LibSets constants'!$A$4:$C$1017,3,FALSE)</f>
        <v>Included in base game</v>
      </c>
    </row>
    <row r="433" spans="1:12" x14ac:dyDescent="0.25">
      <c r="A433">
        <v>751</v>
      </c>
      <c r="B433">
        <v>416</v>
      </c>
      <c r="C433">
        <v>888</v>
      </c>
      <c r="D433" t="s">
        <v>481</v>
      </c>
      <c r="E433" t="str">
        <f>IF(NOT(ISERROR(VLOOKUP(D433,'ESO Dungeon constants'!$A$3:$A$9999,1,FALSE))),"X","")</f>
        <v/>
      </c>
      <c r="F433" s="3" t="str">
        <f>IF(EXACT(A433,C433),"X","")</f>
        <v/>
      </c>
      <c r="G433" s="3" t="str">
        <f>IF(A433&lt;&gt;C433,VLOOKUP(C433,$A$5:$D$9954,4,FALSE),"")</f>
        <v>Craglorn</v>
      </c>
      <c r="H433" s="17">
        <f>A433</f>
        <v>751</v>
      </c>
      <c r="I433" s="17">
        <f>C433</f>
        <v>888</v>
      </c>
      <c r="J433">
        <v>0</v>
      </c>
      <c r="K433" s="3" t="str">
        <f>VLOOKUP(J433,'LibSets constants'!$A$4:$B$1017,2,FALSE)</f>
        <v>DLC_BASE_GAME</v>
      </c>
      <c r="L433" s="3" t="str">
        <f>VLOOKUP(J433,'LibSets constants'!$A$4:$C$1017,3,FALSE)</f>
        <v>Included in base game</v>
      </c>
    </row>
    <row r="434" spans="1:12" x14ac:dyDescent="0.25">
      <c r="A434">
        <v>752</v>
      </c>
      <c r="B434">
        <v>417</v>
      </c>
      <c r="C434">
        <v>19</v>
      </c>
      <c r="D434" t="s">
        <v>482</v>
      </c>
      <c r="E434" t="str">
        <f>IF(NOT(ISERROR(VLOOKUP(D434,'ESO Dungeon constants'!$A$3:$A$9999,1,FALSE))),"X","")</f>
        <v/>
      </c>
      <c r="F434" s="3" t="str">
        <f>IF(EXACT(A434,C434),"X","")</f>
        <v/>
      </c>
      <c r="G434" s="3" t="str">
        <f>IF(A434&lt;&gt;C434,VLOOKUP(C434,$A$5:$D$9954,4,FALSE),"")</f>
        <v>Stormhaven</v>
      </c>
      <c r="H434" s="17">
        <f>A434</f>
        <v>752</v>
      </c>
      <c r="I434" s="17">
        <f>C434</f>
        <v>19</v>
      </c>
      <c r="J434">
        <v>0</v>
      </c>
      <c r="K434" s="3" t="str">
        <f>VLOOKUP(J434,'LibSets constants'!$A$4:$B$1017,2,FALSE)</f>
        <v>DLC_BASE_GAME</v>
      </c>
      <c r="L434" s="3" t="str">
        <f>VLOOKUP(J434,'LibSets constants'!$A$4:$C$1017,3,FALSE)</f>
        <v>Included in base game</v>
      </c>
    </row>
    <row r="435" spans="1:12" x14ac:dyDescent="0.25">
      <c r="A435">
        <v>753</v>
      </c>
      <c r="B435">
        <v>418</v>
      </c>
      <c r="C435">
        <v>3</v>
      </c>
      <c r="D435" t="s">
        <v>483</v>
      </c>
      <c r="E435" t="str">
        <f>IF(NOT(ISERROR(VLOOKUP(D435,'ESO Dungeon constants'!$A$3:$A$9999,1,FALSE))),"X","")</f>
        <v/>
      </c>
      <c r="F435" s="3" t="str">
        <f>IF(EXACT(A435,C435),"X","")</f>
        <v/>
      </c>
      <c r="G435" s="3" t="str">
        <f>IF(A435&lt;&gt;C435,VLOOKUP(C435,$A$5:$D$9954,4,FALSE),"")</f>
        <v>Glenumbra</v>
      </c>
      <c r="H435" s="17">
        <f>A435</f>
        <v>753</v>
      </c>
      <c r="I435" s="17">
        <f>C435</f>
        <v>3</v>
      </c>
      <c r="J435">
        <v>0</v>
      </c>
      <c r="K435" s="3" t="str">
        <f>VLOOKUP(J435,'LibSets constants'!$A$4:$B$1017,2,FALSE)</f>
        <v>DLC_BASE_GAME</v>
      </c>
      <c r="L435" s="3" t="str">
        <f>VLOOKUP(J435,'LibSets constants'!$A$4:$C$1017,3,FALSE)</f>
        <v>Included in base game</v>
      </c>
    </row>
    <row r="436" spans="1:12" x14ac:dyDescent="0.25">
      <c r="A436">
        <v>754</v>
      </c>
      <c r="B436">
        <v>419</v>
      </c>
      <c r="C436">
        <v>92</v>
      </c>
      <c r="D436" t="s">
        <v>484</v>
      </c>
      <c r="E436" t="str">
        <f>IF(NOT(ISERROR(VLOOKUP(D436,'ESO Dungeon constants'!$A$3:$A$9999,1,FALSE))),"X","")</f>
        <v/>
      </c>
      <c r="F436" s="3" t="str">
        <f>IF(EXACT(A436,C436),"X","")</f>
        <v/>
      </c>
      <c r="G436" s="3" t="str">
        <f>IF(A436&lt;&gt;C436,VLOOKUP(C436,$A$5:$D$9954,4,FALSE),"")</f>
        <v>Bangkorai</v>
      </c>
      <c r="H436" s="17">
        <f>A436</f>
        <v>754</v>
      </c>
      <c r="I436" s="17">
        <f>C436</f>
        <v>92</v>
      </c>
      <c r="J436">
        <v>0</v>
      </c>
      <c r="K436" s="3" t="str">
        <f>VLOOKUP(J436,'LibSets constants'!$A$4:$B$1017,2,FALSE)</f>
        <v>DLC_BASE_GAME</v>
      </c>
      <c r="L436" s="3" t="str">
        <f>VLOOKUP(J436,'LibSets constants'!$A$4:$C$1017,3,FALSE)</f>
        <v>Included in base game</v>
      </c>
    </row>
    <row r="437" spans="1:12" x14ac:dyDescent="0.25">
      <c r="A437">
        <v>755</v>
      </c>
      <c r="B437">
        <v>420</v>
      </c>
      <c r="C437">
        <v>20</v>
      </c>
      <c r="D437" t="s">
        <v>485</v>
      </c>
      <c r="E437" t="str">
        <f>IF(NOT(ISERROR(VLOOKUP(D437,'ESO Dungeon constants'!$A$3:$A$9999,1,FALSE))),"X","")</f>
        <v/>
      </c>
      <c r="F437" s="3" t="str">
        <f>IF(EXACT(A437,C437),"X","")</f>
        <v/>
      </c>
      <c r="G437" s="3" t="str">
        <f>IF(A437&lt;&gt;C437,VLOOKUP(C437,$A$5:$D$9954,4,FALSE),"")</f>
        <v>Rivenspire</v>
      </c>
      <c r="H437" s="17">
        <f>A437</f>
        <v>755</v>
      </c>
      <c r="I437" s="17">
        <f>C437</f>
        <v>20</v>
      </c>
      <c r="J437">
        <v>0</v>
      </c>
      <c r="K437" s="3" t="str">
        <f>VLOOKUP(J437,'LibSets constants'!$A$4:$B$1017,2,FALSE)</f>
        <v>DLC_BASE_GAME</v>
      </c>
      <c r="L437" s="3" t="str">
        <f>VLOOKUP(J437,'LibSets constants'!$A$4:$C$1017,3,FALSE)</f>
        <v>Included in base game</v>
      </c>
    </row>
    <row r="438" spans="1:12" x14ac:dyDescent="0.25">
      <c r="A438">
        <v>756</v>
      </c>
      <c r="B438">
        <v>421</v>
      </c>
      <c r="C438">
        <v>104</v>
      </c>
      <c r="D438" t="s">
        <v>486</v>
      </c>
      <c r="E438" t="str">
        <f>IF(NOT(ISERROR(VLOOKUP(D438,'ESO Dungeon constants'!$A$3:$A$9999,1,FALSE))),"X","")</f>
        <v/>
      </c>
      <c r="F438" s="3" t="str">
        <f>IF(EXACT(A438,C438),"X","")</f>
        <v/>
      </c>
      <c r="G438" s="3" t="str">
        <f>IF(A438&lt;&gt;C438,VLOOKUP(C438,$A$5:$D$9954,4,FALSE),"")</f>
        <v>Alik'r Desert</v>
      </c>
      <c r="H438" s="17">
        <f>A438</f>
        <v>756</v>
      </c>
      <c r="I438" s="17">
        <f>C438</f>
        <v>104</v>
      </c>
      <c r="J438">
        <v>0</v>
      </c>
      <c r="K438" s="3" t="str">
        <f>VLOOKUP(J438,'LibSets constants'!$A$4:$B$1017,2,FALSE)</f>
        <v>DLC_BASE_GAME</v>
      </c>
      <c r="L438" s="3" t="str">
        <f>VLOOKUP(J438,'LibSets constants'!$A$4:$C$1017,3,FALSE)</f>
        <v>Included in base game</v>
      </c>
    </row>
    <row r="439" spans="1:12" x14ac:dyDescent="0.25">
      <c r="A439">
        <v>757</v>
      </c>
      <c r="B439">
        <v>422</v>
      </c>
      <c r="C439">
        <v>41</v>
      </c>
      <c r="D439" t="s">
        <v>487</v>
      </c>
      <c r="E439" t="str">
        <f>IF(NOT(ISERROR(VLOOKUP(D439,'ESO Dungeon constants'!$A$3:$A$9999,1,FALSE))),"X","")</f>
        <v/>
      </c>
      <c r="F439" s="3" t="str">
        <f>IF(EXACT(A439,C439),"X","")</f>
        <v/>
      </c>
      <c r="G439" s="3" t="str">
        <f>IF(A439&lt;&gt;C439,VLOOKUP(C439,$A$5:$D$9954,4,FALSE),"")</f>
        <v>Stonefalls</v>
      </c>
      <c r="H439" s="17">
        <f>A439</f>
        <v>757</v>
      </c>
      <c r="I439" s="17">
        <f>C439</f>
        <v>41</v>
      </c>
      <c r="J439">
        <v>0</v>
      </c>
      <c r="K439" s="3" t="str">
        <f>VLOOKUP(J439,'LibSets constants'!$A$4:$B$1017,2,FALSE)</f>
        <v>DLC_BASE_GAME</v>
      </c>
      <c r="L439" s="3" t="str">
        <f>VLOOKUP(J439,'LibSets constants'!$A$4:$C$1017,3,FALSE)</f>
        <v>Included in base game</v>
      </c>
    </row>
    <row r="440" spans="1:12" x14ac:dyDescent="0.25">
      <c r="A440">
        <v>758</v>
      </c>
      <c r="B440">
        <v>423</v>
      </c>
      <c r="C440">
        <v>101</v>
      </c>
      <c r="D440" t="s">
        <v>488</v>
      </c>
      <c r="E440" t="str">
        <f>IF(NOT(ISERROR(VLOOKUP(D440,'ESO Dungeon constants'!$A$3:$A$9999,1,FALSE))),"X","")</f>
        <v/>
      </c>
      <c r="F440" s="3" t="str">
        <f>IF(EXACT(A440,C440),"X","")</f>
        <v/>
      </c>
      <c r="G440" s="3" t="str">
        <f>IF(A440&lt;&gt;C440,VLOOKUP(C440,$A$5:$D$9954,4,FALSE),"")</f>
        <v>Eastmarch</v>
      </c>
      <c r="H440" s="17">
        <f>A440</f>
        <v>758</v>
      </c>
      <c r="I440" s="17">
        <f>C440</f>
        <v>101</v>
      </c>
      <c r="J440">
        <v>0</v>
      </c>
      <c r="K440" s="3" t="str">
        <f>VLOOKUP(J440,'LibSets constants'!$A$4:$B$1017,2,FALSE)</f>
        <v>DLC_BASE_GAME</v>
      </c>
      <c r="L440" s="3" t="str">
        <f>VLOOKUP(J440,'LibSets constants'!$A$4:$C$1017,3,FALSE)</f>
        <v>Included in base game</v>
      </c>
    </row>
    <row r="441" spans="1:12" x14ac:dyDescent="0.25">
      <c r="A441">
        <v>759</v>
      </c>
      <c r="B441">
        <v>424</v>
      </c>
      <c r="C441">
        <v>117</v>
      </c>
      <c r="D441" t="s">
        <v>489</v>
      </c>
      <c r="E441" t="str">
        <f>IF(NOT(ISERROR(VLOOKUP(D441,'ESO Dungeon constants'!$A$3:$A$9999,1,FALSE))),"X","")</f>
        <v/>
      </c>
      <c r="F441" s="3" t="str">
        <f>IF(EXACT(A441,C441),"X","")</f>
        <v/>
      </c>
      <c r="G441" s="3" t="str">
        <f>IF(A441&lt;&gt;C441,VLOOKUP(C441,$A$5:$D$9954,4,FALSE),"")</f>
        <v>Shadowfen</v>
      </c>
      <c r="H441" s="17">
        <f>A441</f>
        <v>759</v>
      </c>
      <c r="I441" s="17">
        <f>C441</f>
        <v>117</v>
      </c>
      <c r="J441">
        <v>0</v>
      </c>
      <c r="K441" s="3" t="str">
        <f>VLOOKUP(J441,'LibSets constants'!$A$4:$B$1017,2,FALSE)</f>
        <v>DLC_BASE_GAME</v>
      </c>
      <c r="L441" s="3" t="str">
        <f>VLOOKUP(J441,'LibSets constants'!$A$4:$C$1017,3,FALSE)</f>
        <v>Included in base game</v>
      </c>
    </row>
    <row r="442" spans="1:12" x14ac:dyDescent="0.25">
      <c r="A442">
        <v>760</v>
      </c>
      <c r="B442">
        <v>425</v>
      </c>
      <c r="C442">
        <v>57</v>
      </c>
      <c r="D442" t="s">
        <v>490</v>
      </c>
      <c r="E442" t="str">
        <f>IF(NOT(ISERROR(VLOOKUP(D442,'ESO Dungeon constants'!$A$3:$A$9999,1,FALSE))),"X","")</f>
        <v/>
      </c>
      <c r="F442" s="3" t="str">
        <f>IF(EXACT(A442,C442),"X","")</f>
        <v/>
      </c>
      <c r="G442" s="3" t="str">
        <f>IF(A442&lt;&gt;C442,VLOOKUP(C442,$A$5:$D$9954,4,FALSE),"")</f>
        <v>Deshaan</v>
      </c>
      <c r="H442" s="17">
        <f>A442</f>
        <v>760</v>
      </c>
      <c r="I442" s="17">
        <f>C442</f>
        <v>57</v>
      </c>
      <c r="J442">
        <v>0</v>
      </c>
      <c r="K442" s="3" t="str">
        <f>VLOOKUP(J442,'LibSets constants'!$A$4:$B$1017,2,FALSE)</f>
        <v>DLC_BASE_GAME</v>
      </c>
      <c r="L442" s="3" t="str">
        <f>VLOOKUP(J442,'LibSets constants'!$A$4:$C$1017,3,FALSE)</f>
        <v>Included in base game</v>
      </c>
    </row>
    <row r="443" spans="1:12" x14ac:dyDescent="0.25">
      <c r="A443">
        <v>761</v>
      </c>
      <c r="B443">
        <v>426</v>
      </c>
      <c r="C443">
        <v>103</v>
      </c>
      <c r="D443" t="s">
        <v>491</v>
      </c>
      <c r="E443" t="str">
        <f>IF(NOT(ISERROR(VLOOKUP(D443,'ESO Dungeon constants'!$A$3:$A$9999,1,FALSE))),"X","")</f>
        <v/>
      </c>
      <c r="F443" s="3" t="str">
        <f>IF(EXACT(A443,C443),"X","")</f>
        <v/>
      </c>
      <c r="G443" s="3" t="str">
        <f>IF(A443&lt;&gt;C443,VLOOKUP(C443,$A$5:$D$9954,4,FALSE),"")</f>
        <v>The Rift</v>
      </c>
      <c r="H443" s="17">
        <f>A443</f>
        <v>761</v>
      </c>
      <c r="I443" s="17">
        <f>C443</f>
        <v>103</v>
      </c>
      <c r="J443">
        <v>0</v>
      </c>
      <c r="K443" s="3" t="str">
        <f>VLOOKUP(J443,'LibSets constants'!$A$4:$B$1017,2,FALSE)</f>
        <v>DLC_BASE_GAME</v>
      </c>
      <c r="L443" s="3" t="str">
        <f>VLOOKUP(J443,'LibSets constants'!$A$4:$C$1017,3,FALSE)</f>
        <v>Included in base game</v>
      </c>
    </row>
    <row r="444" spans="1:12" x14ac:dyDescent="0.25">
      <c r="A444">
        <v>763</v>
      </c>
      <c r="B444">
        <v>427</v>
      </c>
      <c r="C444">
        <v>816</v>
      </c>
      <c r="D444" t="s">
        <v>492</v>
      </c>
      <c r="E444" t="str">
        <f>IF(NOT(ISERROR(VLOOKUP(D444,'ESO Dungeon constants'!$A$3:$A$9999,1,FALSE))),"X","")</f>
        <v/>
      </c>
      <c r="F444" s="3" t="str">
        <f>IF(EXACT(A444,C444),"X","")</f>
        <v/>
      </c>
      <c r="G444" s="3" t="str">
        <f>IF(A444&lt;&gt;C444,VLOOKUP(C444,$A$5:$D$9954,4,FALSE),"")</f>
        <v>Hew's Bane</v>
      </c>
      <c r="H444" s="17">
        <f>A444</f>
        <v>763</v>
      </c>
      <c r="I444" s="17">
        <f>C444</f>
        <v>816</v>
      </c>
      <c r="J444">
        <v>3</v>
      </c>
      <c r="K444" s="3" t="str">
        <f>VLOOKUP(J444,'LibSets constants'!$A$4:$B$1017,2,FALSE)</f>
        <v>DLC_THIEVES_GUILD</v>
      </c>
      <c r="L444" s="3" t="str">
        <f>VLOOKUP(J444,'LibSets constants'!$A$4:$C$1017,3,FALSE)</f>
        <v>Thieves Guild</v>
      </c>
    </row>
    <row r="445" spans="1:12" x14ac:dyDescent="0.25">
      <c r="A445">
        <v>764</v>
      </c>
      <c r="B445">
        <v>428</v>
      </c>
      <c r="C445">
        <v>816</v>
      </c>
      <c r="D445" t="s">
        <v>493</v>
      </c>
      <c r="E445" t="str">
        <f>IF(NOT(ISERROR(VLOOKUP(D445,'ESO Dungeon constants'!$A$3:$A$9999,1,FALSE))),"X","")</f>
        <v/>
      </c>
      <c r="F445" s="3" t="str">
        <f>IF(EXACT(A445,C445),"X","")</f>
        <v/>
      </c>
      <c r="G445" s="3" t="str">
        <f>IF(A445&lt;&gt;C445,VLOOKUP(C445,$A$5:$D$9954,4,FALSE),"")</f>
        <v>Hew's Bane</v>
      </c>
      <c r="H445" s="17">
        <f>A445</f>
        <v>764</v>
      </c>
      <c r="I445" s="17">
        <f>C445</f>
        <v>816</v>
      </c>
      <c r="J445">
        <v>3</v>
      </c>
      <c r="K445" s="3" t="str">
        <f>VLOOKUP(J445,'LibSets constants'!$A$4:$B$1017,2,FALSE)</f>
        <v>DLC_THIEVES_GUILD</v>
      </c>
      <c r="L445" s="3" t="str">
        <f>VLOOKUP(J445,'LibSets constants'!$A$4:$C$1017,3,FALSE)</f>
        <v>Thieves Guild</v>
      </c>
    </row>
    <row r="446" spans="1:12" x14ac:dyDescent="0.25">
      <c r="A446">
        <v>765</v>
      </c>
      <c r="B446">
        <v>429</v>
      </c>
      <c r="C446">
        <v>823</v>
      </c>
      <c r="D446" t="s">
        <v>494</v>
      </c>
      <c r="E446" t="str">
        <f>IF(NOT(ISERROR(VLOOKUP(D446,'ESO Dungeon constants'!$A$3:$A$9999,1,FALSE))),"X","")</f>
        <v/>
      </c>
      <c r="F446" s="3" t="str">
        <f>IF(EXACT(A446,C446),"X","")</f>
        <v/>
      </c>
      <c r="G446" s="3" t="str">
        <f>IF(A446&lt;&gt;C446,VLOOKUP(C446,$A$5:$D$9954,4,FALSE),"")</f>
        <v>Gold Coast</v>
      </c>
      <c r="H446" s="17">
        <f>A446</f>
        <v>765</v>
      </c>
      <c r="I446" s="17">
        <f>C446</f>
        <v>823</v>
      </c>
      <c r="J446">
        <v>4</v>
      </c>
      <c r="K446" s="3" t="str">
        <f>VLOOKUP(J446,'LibSets constants'!$A$4:$B$1017,2,FALSE)</f>
        <v>DLC_DARK_BROTHERHOOD</v>
      </c>
      <c r="L446" s="3" t="str">
        <f>VLOOKUP(J446,'LibSets constants'!$A$4:$C$1017,3,FALSE)</f>
        <v>Dark Brotherhood</v>
      </c>
    </row>
    <row r="447" spans="1:12" x14ac:dyDescent="0.25">
      <c r="A447">
        <v>766</v>
      </c>
      <c r="B447">
        <v>430</v>
      </c>
      <c r="C447">
        <v>823</v>
      </c>
      <c r="D447" t="s">
        <v>495</v>
      </c>
      <c r="E447" t="str">
        <f>IF(NOT(ISERROR(VLOOKUP(D447,'ESO Dungeon constants'!$A$3:$A$9999,1,FALSE))),"X","")</f>
        <v/>
      </c>
      <c r="F447" s="3" t="str">
        <f>IF(EXACT(A447,C447),"X","")</f>
        <v/>
      </c>
      <c r="G447" s="3" t="str">
        <f>IF(A447&lt;&gt;C447,VLOOKUP(C447,$A$5:$D$9954,4,FALSE),"")</f>
        <v>Gold Coast</v>
      </c>
      <c r="H447" s="17">
        <f>A447</f>
        <v>766</v>
      </c>
      <c r="I447" s="17">
        <f>C447</f>
        <v>823</v>
      </c>
      <c r="J447">
        <v>4</v>
      </c>
      <c r="K447" s="3" t="str">
        <f>VLOOKUP(J447,'LibSets constants'!$A$4:$B$1017,2,FALSE)</f>
        <v>DLC_DARK_BROTHERHOOD</v>
      </c>
      <c r="L447" s="3" t="str">
        <f>VLOOKUP(J447,'LibSets constants'!$A$4:$C$1017,3,FALSE)</f>
        <v>Dark Brotherhood</v>
      </c>
    </row>
    <row r="448" spans="1:12" x14ac:dyDescent="0.25">
      <c r="A448">
        <v>767</v>
      </c>
      <c r="B448">
        <v>431</v>
      </c>
      <c r="C448">
        <v>816</v>
      </c>
      <c r="D448" t="s">
        <v>496</v>
      </c>
      <c r="E448" t="str">
        <f>IF(NOT(ISERROR(VLOOKUP(D448,'ESO Dungeon constants'!$A$3:$A$9999,1,FALSE))),"X","")</f>
        <v/>
      </c>
      <c r="F448" s="3" t="str">
        <f>IF(EXACT(A448,C448),"X","")</f>
        <v/>
      </c>
      <c r="G448" s="3" t="str">
        <f>IF(A448&lt;&gt;C448,VLOOKUP(C448,$A$5:$D$9954,4,FALSE),"")</f>
        <v>Hew's Bane</v>
      </c>
      <c r="H448" s="17">
        <f>A448</f>
        <v>767</v>
      </c>
      <c r="I448" s="17">
        <f>C448</f>
        <v>816</v>
      </c>
      <c r="J448">
        <v>3</v>
      </c>
      <c r="K448" s="3" t="str">
        <f>VLOOKUP(J448,'LibSets constants'!$A$4:$B$1017,2,FALSE)</f>
        <v>DLC_THIEVES_GUILD</v>
      </c>
      <c r="L448" s="3" t="str">
        <f>VLOOKUP(J448,'LibSets constants'!$A$4:$C$1017,3,FALSE)</f>
        <v>Thieves Guild</v>
      </c>
    </row>
    <row r="449" spans="1:12" x14ac:dyDescent="0.25">
      <c r="A449">
        <v>769</v>
      </c>
      <c r="B449">
        <v>432</v>
      </c>
      <c r="C449">
        <v>823</v>
      </c>
      <c r="D449" t="s">
        <v>497</v>
      </c>
      <c r="E449" t="str">
        <f>IF(NOT(ISERROR(VLOOKUP(D449,'ESO Dungeon constants'!$A$3:$A$9999,1,FALSE))),"X","")</f>
        <v/>
      </c>
      <c r="F449" s="3" t="str">
        <f>IF(EXACT(A449,C449),"X","")</f>
        <v/>
      </c>
      <c r="G449" s="3" t="str">
        <f>IF(A449&lt;&gt;C449,VLOOKUP(C449,$A$5:$D$9954,4,FALSE),"")</f>
        <v>Gold Coast</v>
      </c>
      <c r="H449" s="17">
        <f>A449</f>
        <v>769</v>
      </c>
      <c r="I449" s="17">
        <f>C449</f>
        <v>823</v>
      </c>
      <c r="J449">
        <v>4</v>
      </c>
      <c r="K449" s="3" t="str">
        <f>VLOOKUP(J449,'LibSets constants'!$A$4:$B$1017,2,FALSE)</f>
        <v>DLC_DARK_BROTHERHOOD</v>
      </c>
      <c r="L449" s="3" t="str">
        <f>VLOOKUP(J449,'LibSets constants'!$A$4:$C$1017,3,FALSE)</f>
        <v>Dark Brotherhood</v>
      </c>
    </row>
    <row r="450" spans="1:12" x14ac:dyDescent="0.25">
      <c r="A450">
        <v>770</v>
      </c>
      <c r="B450">
        <v>433</v>
      </c>
      <c r="C450">
        <v>816</v>
      </c>
      <c r="D450" t="s">
        <v>498</v>
      </c>
      <c r="E450" t="str">
        <f>IF(NOT(ISERROR(VLOOKUP(D450,'ESO Dungeon constants'!$A$3:$A$9999,1,FALSE))),"X","")</f>
        <v/>
      </c>
      <c r="F450" s="3" t="str">
        <f>IF(EXACT(A450,C450),"X","")</f>
        <v/>
      </c>
      <c r="G450" s="3" t="str">
        <f>IF(A450&lt;&gt;C450,VLOOKUP(C450,$A$5:$D$9954,4,FALSE),"")</f>
        <v>Hew's Bane</v>
      </c>
      <c r="H450" s="17">
        <f>A450</f>
        <v>770</v>
      </c>
      <c r="I450" s="17">
        <f>C450</f>
        <v>816</v>
      </c>
      <c r="J450">
        <v>3</v>
      </c>
      <c r="K450" s="3" t="str">
        <f>VLOOKUP(J450,'LibSets constants'!$A$4:$B$1017,2,FALSE)</f>
        <v>DLC_THIEVES_GUILD</v>
      </c>
      <c r="L450" s="3" t="str">
        <f>VLOOKUP(J450,'LibSets constants'!$A$4:$C$1017,3,FALSE)</f>
        <v>Thieves Guild</v>
      </c>
    </row>
    <row r="451" spans="1:12" x14ac:dyDescent="0.25">
      <c r="A451">
        <v>771</v>
      </c>
      <c r="B451">
        <v>434</v>
      </c>
      <c r="C451">
        <v>816</v>
      </c>
      <c r="D451" t="s">
        <v>499</v>
      </c>
      <c r="E451" t="str">
        <f>IF(NOT(ISERROR(VLOOKUP(D451,'ESO Dungeon constants'!$A$3:$A$9999,1,FALSE))),"X","")</f>
        <v/>
      </c>
      <c r="F451" s="3" t="str">
        <f>IF(EXACT(A451,C451),"X","")</f>
        <v/>
      </c>
      <c r="G451" s="3" t="str">
        <f>IF(A451&lt;&gt;C451,VLOOKUP(C451,$A$5:$D$9954,4,FALSE),"")</f>
        <v>Hew's Bane</v>
      </c>
      <c r="H451" s="17">
        <f>A451</f>
        <v>771</v>
      </c>
      <c r="I451" s="17">
        <f>C451</f>
        <v>816</v>
      </c>
      <c r="J451">
        <v>3</v>
      </c>
      <c r="K451" s="3" t="str">
        <f>VLOOKUP(J451,'LibSets constants'!$A$4:$B$1017,2,FALSE)</f>
        <v>DLC_THIEVES_GUILD</v>
      </c>
      <c r="L451" s="3" t="str">
        <f>VLOOKUP(J451,'LibSets constants'!$A$4:$C$1017,3,FALSE)</f>
        <v>Thieves Guild</v>
      </c>
    </row>
    <row r="452" spans="1:12" x14ac:dyDescent="0.25">
      <c r="A452">
        <v>773</v>
      </c>
      <c r="B452">
        <v>435</v>
      </c>
      <c r="C452">
        <v>117</v>
      </c>
      <c r="D452" t="s">
        <v>500</v>
      </c>
      <c r="E452" t="str">
        <f>IF(NOT(ISERROR(VLOOKUP(D452,'ESO Dungeon constants'!$A$3:$A$9999,1,FALSE))),"X","")</f>
        <v/>
      </c>
      <c r="F452" s="3" t="str">
        <f>IF(EXACT(A452,C452),"X","")</f>
        <v/>
      </c>
      <c r="G452" s="3" t="str">
        <f>IF(A452&lt;&gt;C452,VLOOKUP(C452,$A$5:$D$9954,4,FALSE),"")</f>
        <v>Shadowfen</v>
      </c>
      <c r="H452" s="17">
        <f>A452</f>
        <v>773</v>
      </c>
      <c r="I452" s="17">
        <f>C452</f>
        <v>117</v>
      </c>
      <c r="J452">
        <v>0</v>
      </c>
      <c r="K452" s="3" t="str">
        <f>VLOOKUP(J452,'LibSets constants'!$A$4:$B$1017,2,FALSE)</f>
        <v>DLC_BASE_GAME</v>
      </c>
      <c r="L452" s="3" t="str">
        <f>VLOOKUP(J452,'LibSets constants'!$A$4:$C$1017,3,FALSE)</f>
        <v>Included in base game</v>
      </c>
    </row>
    <row r="453" spans="1:12" x14ac:dyDescent="0.25">
      <c r="A453">
        <v>774</v>
      </c>
      <c r="B453">
        <v>436</v>
      </c>
      <c r="C453">
        <v>1086</v>
      </c>
      <c r="D453" t="s">
        <v>1410</v>
      </c>
      <c r="E453" t="str">
        <f>IF(NOT(ISERROR(VLOOKUP(D453,'ESO Dungeon constants'!$A$3:$A$9999,1,FALSE))),"X","")</f>
        <v/>
      </c>
      <c r="F453" s="3" t="str">
        <f>IF(EXACT(A453,C453),"X","")</f>
        <v/>
      </c>
      <c r="G453" s="3" t="str">
        <f>IF(A453&lt;&gt;C453,VLOOKUP(C453,$A$5:$D$9954,4,FALSE),"")</f>
        <v>Northern Elsweyr</v>
      </c>
      <c r="H453" s="17">
        <f>A453</f>
        <v>774</v>
      </c>
      <c r="I453" s="17">
        <f>C453</f>
        <v>1086</v>
      </c>
      <c r="J453">
        <v>14</v>
      </c>
      <c r="K453" s="3" t="str">
        <f>VLOOKUP(J453,'LibSets constants'!$A$4:$B$1017,2,FALSE)</f>
        <v>DLC_ELSWEYR</v>
      </c>
      <c r="L453" s="3" t="str">
        <f>VLOOKUP(J453,'LibSets constants'!$A$4:$C$1017,3,FALSE)</f>
        <v>Elsweyr</v>
      </c>
    </row>
    <row r="454" spans="1:12" x14ac:dyDescent="0.25">
      <c r="A454">
        <v>780</v>
      </c>
      <c r="B454">
        <v>437</v>
      </c>
      <c r="C454">
        <v>684</v>
      </c>
      <c r="D454" t="s">
        <v>501</v>
      </c>
      <c r="E454" t="str">
        <f>IF(NOT(ISERROR(VLOOKUP(D454,'ESO Dungeon constants'!$A$3:$A$9999,1,FALSE))),"X","")</f>
        <v/>
      </c>
      <c r="F454" s="3" t="str">
        <f>IF(EXACT(A454,C454),"X","")</f>
        <v/>
      </c>
      <c r="G454" s="3" t="str">
        <f>IF(A454&lt;&gt;C454,VLOOKUP(C454,$A$5:$D$9954,4,FALSE),"")</f>
        <v>Wrothgar</v>
      </c>
      <c r="H454" s="17">
        <f>A454</f>
        <v>780</v>
      </c>
      <c r="I454" s="17">
        <f>C454</f>
        <v>684</v>
      </c>
      <c r="J454">
        <v>2</v>
      </c>
      <c r="K454" s="3" t="str">
        <f>VLOOKUP(J454,'LibSets constants'!$A$4:$B$1017,2,FALSE)</f>
        <v>DLC_ORSINIUM</v>
      </c>
      <c r="L454" s="3" t="str">
        <f>VLOOKUP(J454,'LibSets constants'!$A$4:$C$1017,3,FALSE)</f>
        <v>Orsinium</v>
      </c>
    </row>
    <row r="455" spans="1:12" x14ac:dyDescent="0.25">
      <c r="A455">
        <v>808</v>
      </c>
      <c r="B455">
        <v>438</v>
      </c>
      <c r="C455">
        <v>1160</v>
      </c>
      <c r="D455" t="s">
        <v>1703</v>
      </c>
      <c r="E455" t="str">
        <f>IF(NOT(ISERROR(VLOOKUP(D455,'ESO Dungeon constants'!$A$3:$A$9999,1,FALSE))),"X","")</f>
        <v/>
      </c>
      <c r="F455" s="3" t="str">
        <f>IF(EXACT(A455,C455),"X","")</f>
        <v/>
      </c>
      <c r="G455" s="3" t="str">
        <f>IF(A455&lt;&gt;C455,VLOOKUP(C455,$A$5:$D$9954,4,FALSE),"")</f>
        <v>Western Skyrim</v>
      </c>
      <c r="H455" s="17">
        <f>A455</f>
        <v>808</v>
      </c>
      <c r="I455" s="17">
        <f>C455</f>
        <v>1160</v>
      </c>
      <c r="J455">
        <v>18</v>
      </c>
      <c r="K455" s="3" t="str">
        <f>VLOOKUP(J455,'LibSets constants'!$A$4:$B$1017,2,FALSE)</f>
        <v>DLC_GREYMOOR</v>
      </c>
      <c r="L455" s="3" t="str">
        <f>VLOOKUP(J455,'LibSets constants'!$A$4:$C$1017,3,FALSE)</f>
        <v>Greymoor</v>
      </c>
    </row>
    <row r="456" spans="1:12" x14ac:dyDescent="0.25">
      <c r="A456">
        <v>809</v>
      </c>
      <c r="B456">
        <v>439</v>
      </c>
      <c r="C456">
        <v>199</v>
      </c>
      <c r="D456" t="s">
        <v>423</v>
      </c>
      <c r="E456" t="str">
        <f>IF(NOT(ISERROR(VLOOKUP(D456,'ESO Dungeon constants'!$A$3:$A$9999,1,FALSE))),"X","")</f>
        <v/>
      </c>
      <c r="F456" s="3" t="str">
        <f>IF(EXACT(A456,C456),"X","")</f>
        <v/>
      </c>
      <c r="G456" s="3" t="str">
        <f>IF(A456&lt;&gt;C456,VLOOKUP(C456,$A$5:$D$9954,4,FALSE),"")</f>
        <v>The Harborage</v>
      </c>
      <c r="H456" s="17">
        <f>A456</f>
        <v>809</v>
      </c>
      <c r="I456" s="17">
        <f>C456</f>
        <v>199</v>
      </c>
      <c r="J456">
        <v>0</v>
      </c>
      <c r="K456" s="3" t="str">
        <f>VLOOKUP(J456,'LibSets constants'!$A$4:$B$1017,2,FALSE)</f>
        <v>DLC_BASE_GAME</v>
      </c>
      <c r="L456" s="3" t="str">
        <f>VLOOKUP(J456,'LibSets constants'!$A$4:$C$1017,3,FALSE)</f>
        <v>Included in base game</v>
      </c>
    </row>
    <row r="457" spans="1:12" x14ac:dyDescent="0.25">
      <c r="A457">
        <v>810</v>
      </c>
      <c r="B457">
        <v>440</v>
      </c>
      <c r="C457">
        <v>381</v>
      </c>
      <c r="D457" t="s">
        <v>502</v>
      </c>
      <c r="E457" t="str">
        <f>IF(NOT(ISERROR(VLOOKUP(D457,'ESO Dungeon constants'!$A$3:$A$9999,1,FALSE))),"X","")</f>
        <v/>
      </c>
      <c r="F457" s="3" t="str">
        <f>IF(EXACT(A457,C457),"X","")</f>
        <v/>
      </c>
      <c r="G457" s="3" t="str">
        <f>IF(A457&lt;&gt;C457,VLOOKUP(C457,$A$5:$D$9954,4,FALSE),"")</f>
        <v>Auridon</v>
      </c>
      <c r="H457" s="17">
        <f>A457</f>
        <v>810</v>
      </c>
      <c r="I457" s="17">
        <f>C457</f>
        <v>381</v>
      </c>
      <c r="J457">
        <v>0</v>
      </c>
      <c r="K457" s="3" t="str">
        <f>VLOOKUP(J457,'LibSets constants'!$A$4:$B$1017,2,FALSE)</f>
        <v>DLC_BASE_GAME</v>
      </c>
      <c r="L457" s="3" t="str">
        <f>VLOOKUP(J457,'LibSets constants'!$A$4:$C$1017,3,FALSE)</f>
        <v>Included in base game</v>
      </c>
    </row>
    <row r="458" spans="1:12" x14ac:dyDescent="0.25">
      <c r="A458">
        <v>811</v>
      </c>
      <c r="B458">
        <v>441</v>
      </c>
      <c r="C458">
        <v>535</v>
      </c>
      <c r="D458" t="s">
        <v>503</v>
      </c>
      <c r="E458" t="str">
        <f>IF(NOT(ISERROR(VLOOKUP(D458,'ESO Dungeon constants'!$A$3:$A$9999,1,FALSE))),"X","")</f>
        <v/>
      </c>
      <c r="F458" s="3" t="str">
        <f>IF(EXACT(A458,C458),"X","")</f>
        <v/>
      </c>
      <c r="G458" s="3" t="str">
        <f>IF(A458&lt;&gt;C458,VLOOKUP(C458,$A$5:$D$9954,4,FALSE),"")</f>
        <v>Betnikh</v>
      </c>
      <c r="H458" s="17">
        <f>A458</f>
        <v>811</v>
      </c>
      <c r="I458" s="17">
        <f>C458</f>
        <v>535</v>
      </c>
      <c r="J458">
        <v>0</v>
      </c>
      <c r="K458" s="3" t="str">
        <f>VLOOKUP(J458,'LibSets constants'!$A$4:$B$1017,2,FALSE)</f>
        <v>DLC_BASE_GAME</v>
      </c>
      <c r="L458" s="3" t="str">
        <f>VLOOKUP(J458,'LibSets constants'!$A$4:$C$1017,3,FALSE)</f>
        <v>Included in base game</v>
      </c>
    </row>
    <row r="459" spans="1:12" x14ac:dyDescent="0.25">
      <c r="A459">
        <v>814</v>
      </c>
      <c r="B459">
        <v>442</v>
      </c>
      <c r="C459">
        <v>684</v>
      </c>
      <c r="D459" t="s">
        <v>504</v>
      </c>
      <c r="E459" t="str">
        <f>IF(NOT(ISERROR(VLOOKUP(D459,'ESO Dungeon constants'!$A$3:$A$9999,1,FALSE))),"X","")</f>
        <v/>
      </c>
      <c r="F459" s="3" t="str">
        <f>IF(EXACT(A459,C459),"X","")</f>
        <v/>
      </c>
      <c r="G459" s="3" t="str">
        <f>IF(A459&lt;&gt;C459,VLOOKUP(C459,$A$5:$D$9954,4,FALSE),"")</f>
        <v>Wrothgar</v>
      </c>
      <c r="H459" s="17">
        <f>A459</f>
        <v>814</v>
      </c>
      <c r="I459" s="17">
        <f>C459</f>
        <v>684</v>
      </c>
      <c r="J459">
        <v>2</v>
      </c>
      <c r="K459" s="3" t="str">
        <f>VLOOKUP(J459,'LibSets constants'!$A$4:$B$1017,2,FALSE)</f>
        <v>DLC_ORSINIUM</v>
      </c>
      <c r="L459" s="3" t="str">
        <f>VLOOKUP(J459,'LibSets constants'!$A$4:$C$1017,3,FALSE)</f>
        <v>Orsinium</v>
      </c>
    </row>
    <row r="460" spans="1:12" x14ac:dyDescent="0.25">
      <c r="A460">
        <v>815</v>
      </c>
      <c r="B460">
        <v>443</v>
      </c>
      <c r="C460">
        <v>684</v>
      </c>
      <c r="D460" t="s">
        <v>505</v>
      </c>
      <c r="E460" t="str">
        <f>IF(NOT(ISERROR(VLOOKUP(D460,'ESO Dungeon constants'!$A$3:$A$9999,1,FALSE))),"X","")</f>
        <v/>
      </c>
      <c r="F460" s="3" t="str">
        <f>IF(EXACT(A460,C460),"X","")</f>
        <v/>
      </c>
      <c r="G460" s="3" t="str">
        <f>IF(A460&lt;&gt;C460,VLOOKUP(C460,$A$5:$D$9954,4,FALSE),"")</f>
        <v>Wrothgar</v>
      </c>
      <c r="H460" s="17">
        <f>A460</f>
        <v>815</v>
      </c>
      <c r="I460" s="17">
        <f>C460</f>
        <v>684</v>
      </c>
      <c r="J460">
        <v>2</v>
      </c>
      <c r="K460" s="3" t="str">
        <f>VLOOKUP(J460,'LibSets constants'!$A$4:$B$1017,2,FALSE)</f>
        <v>DLC_ORSINIUM</v>
      </c>
      <c r="L460" s="3" t="str">
        <f>VLOOKUP(J460,'LibSets constants'!$A$4:$C$1017,3,FALSE)</f>
        <v>Orsinium</v>
      </c>
    </row>
    <row r="461" spans="1:12" x14ac:dyDescent="0.25">
      <c r="A461">
        <v>816</v>
      </c>
      <c r="B461">
        <v>444</v>
      </c>
      <c r="C461">
        <v>816</v>
      </c>
      <c r="D461" t="s">
        <v>506</v>
      </c>
      <c r="E461" t="str">
        <f>IF(NOT(ISERROR(VLOOKUP(D461,'ESO Dungeon constants'!$A$3:$A$9999,1,FALSE))),"X","")</f>
        <v/>
      </c>
      <c r="F461" s="3" t="str">
        <f>IF(EXACT(A461,C461),"X","")</f>
        <v>X</v>
      </c>
      <c r="G461" s="3" t="str">
        <f>IF(A461&lt;&gt;C461,VLOOKUP(C461,$A$5:$D$9954,4,FALSE),"")</f>
        <v/>
      </c>
      <c r="H461" s="17">
        <f>A461</f>
        <v>816</v>
      </c>
      <c r="I461" s="17">
        <f>C461</f>
        <v>816</v>
      </c>
      <c r="J461">
        <v>19</v>
      </c>
      <c r="K461" s="3" t="str">
        <f>VLOOKUP(J461,'LibSets constants'!$A$4:$B$1017,2,FALSE)</f>
        <v>DLC_STONETHORN</v>
      </c>
      <c r="L461" s="3" t="str">
        <f>VLOOKUP(J461,'LibSets constants'!$A$4:$C$1017,3,FALSE)</f>
        <v>Stonethorn</v>
      </c>
    </row>
    <row r="462" spans="1:12" x14ac:dyDescent="0.25">
      <c r="A462">
        <v>817</v>
      </c>
      <c r="B462">
        <v>445</v>
      </c>
      <c r="C462">
        <v>816</v>
      </c>
      <c r="D462" t="s">
        <v>507</v>
      </c>
      <c r="E462" t="str">
        <f>IF(NOT(ISERROR(VLOOKUP(D462,'ESO Dungeon constants'!$A$3:$A$9999,1,FALSE))),"X","")</f>
        <v/>
      </c>
      <c r="F462" s="3" t="str">
        <f>IF(EXACT(A462,C462),"X","")</f>
        <v/>
      </c>
      <c r="G462" s="3" t="str">
        <f>IF(A462&lt;&gt;C462,VLOOKUP(C462,$A$5:$D$9954,4,FALSE),"")</f>
        <v>Hew's Bane</v>
      </c>
      <c r="H462" s="17">
        <f>A462</f>
        <v>817</v>
      </c>
      <c r="I462" s="17">
        <f>C462</f>
        <v>816</v>
      </c>
      <c r="J462">
        <v>3</v>
      </c>
      <c r="K462" s="3" t="str">
        <f>VLOOKUP(J462,'LibSets constants'!$A$4:$B$1017,2,FALSE)</f>
        <v>DLC_THIEVES_GUILD</v>
      </c>
      <c r="L462" s="3" t="str">
        <f>VLOOKUP(J462,'LibSets constants'!$A$4:$C$1017,3,FALSE)</f>
        <v>Thieves Guild</v>
      </c>
    </row>
    <row r="463" spans="1:12" x14ac:dyDescent="0.25">
      <c r="A463">
        <v>818</v>
      </c>
      <c r="B463">
        <v>446</v>
      </c>
      <c r="C463">
        <v>816</v>
      </c>
      <c r="D463" t="s">
        <v>508</v>
      </c>
      <c r="E463" t="str">
        <f>IF(NOT(ISERROR(VLOOKUP(D463,'ESO Dungeon constants'!$A$3:$A$9999,1,FALSE))),"X","")</f>
        <v/>
      </c>
      <c r="F463" s="3" t="str">
        <f>IF(EXACT(A463,C463),"X","")</f>
        <v/>
      </c>
      <c r="G463" s="3" t="str">
        <f>IF(A463&lt;&gt;C463,VLOOKUP(C463,$A$5:$D$9954,4,FALSE),"")</f>
        <v>Hew's Bane</v>
      </c>
      <c r="H463" s="17">
        <f>A463</f>
        <v>818</v>
      </c>
      <c r="I463" s="17">
        <f>C463</f>
        <v>816</v>
      </c>
      <c r="J463">
        <v>3</v>
      </c>
      <c r="K463" s="3" t="str">
        <f>VLOOKUP(J463,'LibSets constants'!$A$4:$B$1017,2,FALSE)</f>
        <v>DLC_THIEVES_GUILD</v>
      </c>
      <c r="L463" s="3" t="str">
        <f>VLOOKUP(J463,'LibSets constants'!$A$4:$C$1017,3,FALSE)</f>
        <v>Thieves Guild</v>
      </c>
    </row>
    <row r="464" spans="1:12" x14ac:dyDescent="0.25">
      <c r="A464">
        <v>819</v>
      </c>
      <c r="B464">
        <v>447</v>
      </c>
      <c r="C464">
        <v>816</v>
      </c>
      <c r="D464" t="s">
        <v>509</v>
      </c>
      <c r="E464" t="str">
        <f>IF(NOT(ISERROR(VLOOKUP(D464,'ESO Dungeon constants'!$A$3:$A$9999,1,FALSE))),"X","")</f>
        <v/>
      </c>
      <c r="F464" s="3" t="str">
        <f>IF(EXACT(A464,C464),"X","")</f>
        <v/>
      </c>
      <c r="G464" s="3" t="str">
        <f>IF(A464&lt;&gt;C464,VLOOKUP(C464,$A$5:$D$9954,4,FALSE),"")</f>
        <v>Hew's Bane</v>
      </c>
      <c r="H464" s="17">
        <f>A464</f>
        <v>819</v>
      </c>
      <c r="I464" s="17">
        <f>C464</f>
        <v>816</v>
      </c>
      <c r="J464">
        <v>3</v>
      </c>
      <c r="K464" s="3" t="str">
        <f>VLOOKUP(J464,'LibSets constants'!$A$4:$B$1017,2,FALSE)</f>
        <v>DLC_THIEVES_GUILD</v>
      </c>
      <c r="L464" s="3" t="str">
        <f>VLOOKUP(J464,'LibSets constants'!$A$4:$C$1017,3,FALSE)</f>
        <v>Thieves Guild</v>
      </c>
    </row>
    <row r="465" spans="1:12" x14ac:dyDescent="0.25">
      <c r="A465">
        <v>820</v>
      </c>
      <c r="B465">
        <v>448</v>
      </c>
      <c r="C465">
        <v>816</v>
      </c>
      <c r="D465" t="s">
        <v>510</v>
      </c>
      <c r="E465" t="str">
        <f>IF(NOT(ISERROR(VLOOKUP(D465,'ESO Dungeon constants'!$A$3:$A$9999,1,FALSE))),"X","")</f>
        <v/>
      </c>
      <c r="F465" s="3" t="str">
        <f>IF(EXACT(A465,C465),"X","")</f>
        <v/>
      </c>
      <c r="G465" s="3" t="str">
        <f>IF(A465&lt;&gt;C465,VLOOKUP(C465,$A$5:$D$9954,4,FALSE),"")</f>
        <v>Hew's Bane</v>
      </c>
      <c r="H465" s="17">
        <f>A465</f>
        <v>820</v>
      </c>
      <c r="I465" s="17">
        <f>C465</f>
        <v>816</v>
      </c>
      <c r="J465">
        <v>3</v>
      </c>
      <c r="K465" s="3" t="str">
        <f>VLOOKUP(J465,'LibSets constants'!$A$4:$B$1017,2,FALSE)</f>
        <v>DLC_THIEVES_GUILD</v>
      </c>
      <c r="L465" s="3" t="str">
        <f>VLOOKUP(J465,'LibSets constants'!$A$4:$C$1017,3,FALSE)</f>
        <v>Thieves Guild</v>
      </c>
    </row>
    <row r="466" spans="1:12" x14ac:dyDescent="0.25">
      <c r="A466">
        <v>821</v>
      </c>
      <c r="B466">
        <v>449</v>
      </c>
      <c r="C466">
        <v>816</v>
      </c>
      <c r="D466" t="s">
        <v>511</v>
      </c>
      <c r="E466" t="str">
        <f>IF(NOT(ISERROR(VLOOKUP(D466,'ESO Dungeon constants'!$A$3:$A$9999,1,FALSE))),"X","")</f>
        <v/>
      </c>
      <c r="F466" s="3" t="str">
        <f>IF(EXACT(A466,C466),"X","")</f>
        <v/>
      </c>
      <c r="G466" s="3" t="str">
        <f>IF(A466&lt;&gt;C466,VLOOKUP(C466,$A$5:$D$9954,4,FALSE),"")</f>
        <v>Hew's Bane</v>
      </c>
      <c r="H466" s="17">
        <f>A466</f>
        <v>821</v>
      </c>
      <c r="I466" s="17">
        <f>C466</f>
        <v>816</v>
      </c>
      <c r="J466">
        <v>3</v>
      </c>
      <c r="K466" s="3" t="str">
        <f>VLOOKUP(J466,'LibSets constants'!$A$4:$B$1017,2,FALSE)</f>
        <v>DLC_THIEVES_GUILD</v>
      </c>
      <c r="L466" s="3" t="str">
        <f>VLOOKUP(J466,'LibSets constants'!$A$4:$C$1017,3,FALSE)</f>
        <v>Thieves Guild</v>
      </c>
    </row>
    <row r="467" spans="1:12" x14ac:dyDescent="0.25">
      <c r="A467">
        <v>823</v>
      </c>
      <c r="B467">
        <v>450</v>
      </c>
      <c r="C467">
        <v>823</v>
      </c>
      <c r="D467" t="s">
        <v>512</v>
      </c>
      <c r="E467" t="str">
        <f>IF(NOT(ISERROR(VLOOKUP(D467,'ESO Dungeon constants'!$A$3:$A$9999,1,FALSE))),"X","")</f>
        <v/>
      </c>
      <c r="F467" s="3" t="str">
        <f>IF(EXACT(A467,C467),"X","")</f>
        <v>X</v>
      </c>
      <c r="G467" s="3" t="str">
        <f>IF(A467&lt;&gt;C467,VLOOKUP(C467,$A$5:$D$9954,4,FALSE),"")</f>
        <v/>
      </c>
      <c r="H467" s="17">
        <f>A467</f>
        <v>823</v>
      </c>
      <c r="I467" s="17">
        <f>C467</f>
        <v>823</v>
      </c>
      <c r="J467">
        <v>20</v>
      </c>
      <c r="K467" s="3" t="str">
        <f>VLOOKUP(J467,'LibSets constants'!$A$4:$B$1017,2,FALSE)</f>
        <v>DLC_MARKARTH</v>
      </c>
      <c r="L467" s="3" t="str">
        <f>VLOOKUP(J467,'LibSets constants'!$A$4:$C$1017,3,FALSE)</f>
        <v>Markarth</v>
      </c>
    </row>
    <row r="468" spans="1:12" x14ac:dyDescent="0.25">
      <c r="A468">
        <v>824</v>
      </c>
      <c r="B468">
        <v>451</v>
      </c>
      <c r="C468">
        <v>823</v>
      </c>
      <c r="D468" t="s">
        <v>513</v>
      </c>
      <c r="E468" t="str">
        <f>IF(NOT(ISERROR(VLOOKUP(D468,'ESO Dungeon constants'!$A$3:$A$9999,1,FALSE))),"X","")</f>
        <v/>
      </c>
      <c r="F468" s="3" t="str">
        <f>IF(EXACT(A468,C468),"X","")</f>
        <v/>
      </c>
      <c r="G468" s="3" t="str">
        <f>IF(A468&lt;&gt;C468,VLOOKUP(C468,$A$5:$D$9954,4,FALSE),"")</f>
        <v>Gold Coast</v>
      </c>
      <c r="H468" s="17">
        <f>A468</f>
        <v>824</v>
      </c>
      <c r="I468" s="17">
        <f>C468</f>
        <v>823</v>
      </c>
      <c r="J468">
        <v>4</v>
      </c>
      <c r="K468" s="3" t="str">
        <f>VLOOKUP(J468,'LibSets constants'!$A$4:$B$1017,2,FALSE)</f>
        <v>DLC_DARK_BROTHERHOOD</v>
      </c>
      <c r="L468" s="3" t="str">
        <f>VLOOKUP(J468,'LibSets constants'!$A$4:$C$1017,3,FALSE)</f>
        <v>Dark Brotherhood</v>
      </c>
    </row>
    <row r="469" spans="1:12" x14ac:dyDescent="0.25">
      <c r="A469">
        <v>825</v>
      </c>
      <c r="B469">
        <v>452</v>
      </c>
      <c r="C469">
        <v>823</v>
      </c>
      <c r="D469" t="s">
        <v>514</v>
      </c>
      <c r="E469" t="str">
        <f>IF(NOT(ISERROR(VLOOKUP(D469,'ESO Dungeon constants'!$A$3:$A$9999,1,FALSE))),"X","")</f>
        <v/>
      </c>
      <c r="F469" s="3" t="str">
        <f>IF(EXACT(A469,C469),"X","")</f>
        <v/>
      </c>
      <c r="G469" s="3" t="str">
        <f>IF(A469&lt;&gt;C469,VLOOKUP(C469,$A$5:$D$9954,4,FALSE),"")</f>
        <v>Gold Coast</v>
      </c>
      <c r="H469" s="17">
        <f>A469</f>
        <v>825</v>
      </c>
      <c r="I469" s="17">
        <f>C469</f>
        <v>823</v>
      </c>
      <c r="J469">
        <v>4</v>
      </c>
      <c r="K469" s="3" t="str">
        <f>VLOOKUP(J469,'LibSets constants'!$A$4:$B$1017,2,FALSE)</f>
        <v>DLC_DARK_BROTHERHOOD</v>
      </c>
      <c r="L469" s="3" t="str">
        <f>VLOOKUP(J469,'LibSets constants'!$A$4:$C$1017,3,FALSE)</f>
        <v>Dark Brotherhood</v>
      </c>
    </row>
    <row r="470" spans="1:12" x14ac:dyDescent="0.25">
      <c r="A470">
        <v>826</v>
      </c>
      <c r="B470">
        <v>453</v>
      </c>
      <c r="C470">
        <v>823</v>
      </c>
      <c r="D470" t="s">
        <v>515</v>
      </c>
      <c r="E470" t="str">
        <f>IF(NOT(ISERROR(VLOOKUP(D470,'ESO Dungeon constants'!$A$3:$A$9999,1,FALSE))),"X","")</f>
        <v/>
      </c>
      <c r="F470" s="3" t="str">
        <f>IF(EXACT(A470,C470),"X","")</f>
        <v/>
      </c>
      <c r="G470" s="3" t="str">
        <f>IF(A470&lt;&gt;C470,VLOOKUP(C470,$A$5:$D$9954,4,FALSE),"")</f>
        <v>Gold Coast</v>
      </c>
      <c r="H470" s="17">
        <f>A470</f>
        <v>826</v>
      </c>
      <c r="I470" s="17">
        <f>C470</f>
        <v>823</v>
      </c>
      <c r="J470">
        <v>4</v>
      </c>
      <c r="K470" s="3" t="str">
        <f>VLOOKUP(J470,'LibSets constants'!$A$4:$B$1017,2,FALSE)</f>
        <v>DLC_DARK_BROTHERHOOD</v>
      </c>
      <c r="L470" s="3" t="str">
        <f>VLOOKUP(J470,'LibSets constants'!$A$4:$C$1017,3,FALSE)</f>
        <v>Dark Brotherhood</v>
      </c>
    </row>
    <row r="471" spans="1:12" x14ac:dyDescent="0.25">
      <c r="A471">
        <v>827</v>
      </c>
      <c r="B471">
        <v>454</v>
      </c>
      <c r="C471">
        <v>823</v>
      </c>
      <c r="D471" t="s">
        <v>516</v>
      </c>
      <c r="E471" t="str">
        <f>IF(NOT(ISERROR(VLOOKUP(D471,'ESO Dungeon constants'!$A$3:$A$9999,1,FALSE))),"X","")</f>
        <v/>
      </c>
      <c r="F471" s="3" t="str">
        <f>IF(EXACT(A471,C471),"X","")</f>
        <v/>
      </c>
      <c r="G471" s="3" t="str">
        <f>IF(A471&lt;&gt;C471,VLOOKUP(C471,$A$5:$D$9954,4,FALSE),"")</f>
        <v>Gold Coast</v>
      </c>
      <c r="H471" s="17">
        <f>A471</f>
        <v>827</v>
      </c>
      <c r="I471" s="17">
        <f>C471</f>
        <v>823</v>
      </c>
      <c r="J471">
        <v>4</v>
      </c>
      <c r="K471" s="3" t="str">
        <f>VLOOKUP(J471,'LibSets constants'!$A$4:$B$1017,2,FALSE)</f>
        <v>DLC_DARK_BROTHERHOOD</v>
      </c>
      <c r="L471" s="3" t="str">
        <f>VLOOKUP(J471,'LibSets constants'!$A$4:$C$1017,3,FALSE)</f>
        <v>Dark Brotherhood</v>
      </c>
    </row>
    <row r="472" spans="1:12" x14ac:dyDescent="0.25">
      <c r="A472">
        <v>828</v>
      </c>
      <c r="B472">
        <v>455</v>
      </c>
      <c r="C472">
        <v>823</v>
      </c>
      <c r="D472" t="s">
        <v>517</v>
      </c>
      <c r="E472" t="str">
        <f>IF(NOT(ISERROR(VLOOKUP(D472,'ESO Dungeon constants'!$A$3:$A$9999,1,FALSE))),"X","")</f>
        <v/>
      </c>
      <c r="F472" s="3" t="str">
        <f>IF(EXACT(A472,C472),"X","")</f>
        <v/>
      </c>
      <c r="G472" s="3" t="str">
        <f>IF(A472&lt;&gt;C472,VLOOKUP(C472,$A$5:$D$9954,4,FALSE),"")</f>
        <v>Gold Coast</v>
      </c>
      <c r="H472" s="17">
        <f>A472</f>
        <v>828</v>
      </c>
      <c r="I472" s="17">
        <f>C472</f>
        <v>823</v>
      </c>
      <c r="J472">
        <v>4</v>
      </c>
      <c r="K472" s="3" t="str">
        <f>VLOOKUP(J472,'LibSets constants'!$A$4:$B$1017,2,FALSE)</f>
        <v>DLC_DARK_BROTHERHOOD</v>
      </c>
      <c r="L472" s="3" t="str">
        <f>VLOOKUP(J472,'LibSets constants'!$A$4:$C$1017,3,FALSE)</f>
        <v>Dark Brotherhood</v>
      </c>
    </row>
    <row r="473" spans="1:12" x14ac:dyDescent="0.25">
      <c r="A473">
        <v>829</v>
      </c>
      <c r="B473">
        <v>456</v>
      </c>
      <c r="C473">
        <v>823</v>
      </c>
      <c r="D473" t="s">
        <v>518</v>
      </c>
      <c r="E473" t="str">
        <f>IF(NOT(ISERROR(VLOOKUP(D473,'ESO Dungeon constants'!$A$3:$A$9999,1,FALSE))),"X","")</f>
        <v/>
      </c>
      <c r="F473" s="3" t="str">
        <f>IF(EXACT(A473,C473),"X","")</f>
        <v/>
      </c>
      <c r="G473" s="3" t="str">
        <f>IF(A473&lt;&gt;C473,VLOOKUP(C473,$A$5:$D$9954,4,FALSE),"")</f>
        <v>Gold Coast</v>
      </c>
      <c r="H473" s="17">
        <f>A473</f>
        <v>829</v>
      </c>
      <c r="I473" s="17">
        <f>C473</f>
        <v>823</v>
      </c>
      <c r="J473">
        <v>4</v>
      </c>
      <c r="K473" s="3" t="str">
        <f>VLOOKUP(J473,'LibSets constants'!$A$4:$B$1017,2,FALSE)</f>
        <v>DLC_DARK_BROTHERHOOD</v>
      </c>
      <c r="L473" s="3" t="str">
        <f>VLOOKUP(J473,'LibSets constants'!$A$4:$C$1017,3,FALSE)</f>
        <v>Dark Brotherhood</v>
      </c>
    </row>
    <row r="474" spans="1:12" x14ac:dyDescent="0.25">
      <c r="A474">
        <v>1196</v>
      </c>
      <c r="B474">
        <v>777</v>
      </c>
      <c r="C474">
        <v>1160</v>
      </c>
      <c r="D474" t="s">
        <v>1696</v>
      </c>
      <c r="E474" t="str">
        <f>IF(NOT(ISERROR(VLOOKUP(D474,'ESO Dungeon constants'!$A$3:$A$9999,1,FALSE))),"X","")</f>
        <v>X</v>
      </c>
      <c r="F474" s="3" t="str">
        <f>IF(EXACT(A474,C474),"X","")</f>
        <v/>
      </c>
      <c r="G474" s="3" t="str">
        <f>IF(A474&lt;&gt;C474,VLOOKUP(C474,$A$5:$D$9954,4,FALSE),"")</f>
        <v>Western Skyrim</v>
      </c>
      <c r="H474" s="17">
        <f>A474</f>
        <v>1196</v>
      </c>
      <c r="I474" s="17">
        <f>C474</f>
        <v>1160</v>
      </c>
      <c r="J474">
        <f>IF(E474="X",VLOOKUP(D474,'ESO Dungeon constants'!$A$3:$H$9999,8,FALSE),0)</f>
        <v>18</v>
      </c>
      <c r="K474" s="3" t="str">
        <f>VLOOKUP(J474,'LibSets constants'!$A$4:$B$1017,2,FALSE)</f>
        <v>DLC_GREYMOOR</v>
      </c>
      <c r="L474" s="3" t="str">
        <f>VLOOKUP(J474,'LibSets constants'!$A$4:$C$1017,3,FALSE)</f>
        <v>Greymoor</v>
      </c>
    </row>
    <row r="475" spans="1:12" x14ac:dyDescent="0.25">
      <c r="A475">
        <v>831</v>
      </c>
      <c r="B475">
        <v>457</v>
      </c>
      <c r="C475">
        <v>823</v>
      </c>
      <c r="D475" t="s">
        <v>519</v>
      </c>
      <c r="E475" t="str">
        <f>IF(NOT(ISERROR(VLOOKUP(D475,'ESO Dungeon constants'!$A$3:$A$9999,1,FALSE))),"X","")</f>
        <v/>
      </c>
      <c r="F475" s="3" t="str">
        <f>IF(EXACT(A475,C475),"X","")</f>
        <v/>
      </c>
      <c r="G475" s="3" t="str">
        <f>IF(A475&lt;&gt;C475,VLOOKUP(C475,$A$5:$D$9954,4,FALSE),"")</f>
        <v>Gold Coast</v>
      </c>
      <c r="H475" s="17">
        <f>A475</f>
        <v>831</v>
      </c>
      <c r="I475" s="17">
        <f>C475</f>
        <v>823</v>
      </c>
      <c r="J475">
        <v>4</v>
      </c>
      <c r="K475" s="3" t="str">
        <f>VLOOKUP(J475,'LibSets constants'!$A$4:$B$1017,2,FALSE)</f>
        <v>DLC_DARK_BROTHERHOOD</v>
      </c>
      <c r="L475" s="3" t="str">
        <f>VLOOKUP(J475,'LibSets constants'!$A$4:$C$1017,3,FALSE)</f>
        <v>Dark Brotherhood</v>
      </c>
    </row>
    <row r="476" spans="1:12" x14ac:dyDescent="0.25">
      <c r="A476">
        <v>832</v>
      </c>
      <c r="B476">
        <v>458</v>
      </c>
      <c r="C476">
        <v>823</v>
      </c>
      <c r="D476" t="s">
        <v>520</v>
      </c>
      <c r="E476" t="str">
        <f>IF(NOT(ISERROR(VLOOKUP(D476,'ESO Dungeon constants'!$A$3:$A$9999,1,FALSE))),"X","")</f>
        <v/>
      </c>
      <c r="F476" s="3" t="str">
        <f>IF(EXACT(A476,C476),"X","")</f>
        <v/>
      </c>
      <c r="G476" s="3" t="str">
        <f>IF(A476&lt;&gt;C476,VLOOKUP(C476,$A$5:$D$9954,4,FALSE),"")</f>
        <v>Gold Coast</v>
      </c>
      <c r="H476" s="17">
        <f>A476</f>
        <v>832</v>
      </c>
      <c r="I476" s="17">
        <f>C476</f>
        <v>823</v>
      </c>
      <c r="J476">
        <v>4</v>
      </c>
      <c r="K476" s="3" t="str">
        <f>VLOOKUP(J476,'LibSets constants'!$A$4:$B$1017,2,FALSE)</f>
        <v>DLC_DARK_BROTHERHOOD</v>
      </c>
      <c r="L476" s="3" t="str">
        <f>VLOOKUP(J476,'LibSets constants'!$A$4:$C$1017,3,FALSE)</f>
        <v>Dark Brotherhood</v>
      </c>
    </row>
    <row r="477" spans="1:12" x14ac:dyDescent="0.25">
      <c r="A477">
        <v>833</v>
      </c>
      <c r="B477">
        <v>459</v>
      </c>
      <c r="C477">
        <v>823</v>
      </c>
      <c r="D477" t="s">
        <v>521</v>
      </c>
      <c r="E477" t="str">
        <f>IF(NOT(ISERROR(VLOOKUP(D477,'ESO Dungeon constants'!$A$3:$A$9999,1,FALSE))),"X","")</f>
        <v/>
      </c>
      <c r="F477" s="3" t="str">
        <f>IF(EXACT(A477,C477),"X","")</f>
        <v/>
      </c>
      <c r="G477" s="3" t="str">
        <f>IF(A477&lt;&gt;C477,VLOOKUP(C477,$A$5:$D$9954,4,FALSE),"")</f>
        <v>Gold Coast</v>
      </c>
      <c r="H477" s="17">
        <f>A477</f>
        <v>833</v>
      </c>
      <c r="I477" s="17">
        <f>C477</f>
        <v>823</v>
      </c>
      <c r="J477">
        <v>4</v>
      </c>
      <c r="K477" s="3" t="str">
        <f>VLOOKUP(J477,'LibSets constants'!$A$4:$B$1017,2,FALSE)</f>
        <v>DLC_DARK_BROTHERHOOD</v>
      </c>
      <c r="L477" s="3" t="str">
        <f>VLOOKUP(J477,'LibSets constants'!$A$4:$C$1017,3,FALSE)</f>
        <v>Dark Brotherhood</v>
      </c>
    </row>
    <row r="478" spans="1:12" x14ac:dyDescent="0.25">
      <c r="A478">
        <v>1123</v>
      </c>
      <c r="B478">
        <v>716</v>
      </c>
      <c r="C478">
        <v>383</v>
      </c>
      <c r="D478" t="s">
        <v>1480</v>
      </c>
      <c r="E478" t="str">
        <f>IF(NOT(ISERROR(VLOOKUP(D478,'ESO Dungeon constants'!$A$3:$A$9999,1,FALSE))),"X","")</f>
        <v>X</v>
      </c>
      <c r="F478" s="3" t="str">
        <f>IF(EXACT(A478,C478),"X","")</f>
        <v/>
      </c>
      <c r="G478" s="3" t="str">
        <f>IF(A478&lt;&gt;C478,VLOOKUP(C478,$A$5:$D$9954,4,FALSE),"")</f>
        <v>Grahtwood</v>
      </c>
      <c r="H478" s="17">
        <f>A478</f>
        <v>1123</v>
      </c>
      <c r="I478" s="17">
        <f>C478</f>
        <v>383</v>
      </c>
      <c r="J478">
        <f>IF(E478="X",VLOOKUP(D478,'ESO Dungeon constants'!$A$3:$H$9999,8,FALSE),0)</f>
        <v>15</v>
      </c>
      <c r="K478" s="3" t="str">
        <f>VLOOKUP(J478,'LibSets constants'!$A$4:$B$1017,2,FALSE)</f>
        <v>DLC_SCALEBREAKER</v>
      </c>
      <c r="L478" s="3" t="str">
        <f>VLOOKUP(J478,'LibSets constants'!$A$4:$C$1017,3,FALSE)</f>
        <v>Scalebraker</v>
      </c>
    </row>
    <row r="479" spans="1:12" x14ac:dyDescent="0.25">
      <c r="A479">
        <v>834</v>
      </c>
      <c r="B479">
        <v>460</v>
      </c>
      <c r="C479">
        <v>816</v>
      </c>
      <c r="D479" t="s">
        <v>522</v>
      </c>
      <c r="E479" t="str">
        <f>IF(NOT(ISERROR(VLOOKUP(D479,'ESO Dungeon constants'!$A$3:$A$9999,1,FALSE))),"X","")</f>
        <v/>
      </c>
      <c r="F479" s="3" t="str">
        <f>IF(EXACT(A479,C479),"X","")</f>
        <v/>
      </c>
      <c r="G479" s="3" t="str">
        <f>IF(A479&lt;&gt;C479,VLOOKUP(C479,$A$5:$D$9954,4,FALSE),"")</f>
        <v>Hew's Bane</v>
      </c>
      <c r="H479" s="17">
        <f>A479</f>
        <v>834</v>
      </c>
      <c r="I479" s="17">
        <f>C479</f>
        <v>816</v>
      </c>
      <c r="J479">
        <v>3</v>
      </c>
      <c r="K479" s="3" t="str">
        <f>VLOOKUP(J479,'LibSets constants'!$A$4:$B$1017,2,FALSE)</f>
        <v>DLC_THIEVES_GUILD</v>
      </c>
      <c r="L479" s="3" t="str">
        <f>VLOOKUP(J479,'LibSets constants'!$A$4:$C$1017,3,FALSE)</f>
        <v>Thieves Guild</v>
      </c>
    </row>
    <row r="480" spans="1:12" x14ac:dyDescent="0.25">
      <c r="A480">
        <v>836</v>
      </c>
      <c r="B480">
        <v>461</v>
      </c>
      <c r="C480">
        <v>823</v>
      </c>
      <c r="D480" t="s">
        <v>523</v>
      </c>
      <c r="E480" t="str">
        <f>IF(NOT(ISERROR(VLOOKUP(D480,'ESO Dungeon constants'!$A$3:$A$9999,1,FALSE))),"X","")</f>
        <v/>
      </c>
      <c r="F480" s="3" t="str">
        <f>IF(EXACT(A480,C480),"X","")</f>
        <v/>
      </c>
      <c r="G480" s="3" t="str">
        <f>IF(A480&lt;&gt;C480,VLOOKUP(C480,$A$5:$D$9954,4,FALSE),"")</f>
        <v>Gold Coast</v>
      </c>
      <c r="H480" s="17">
        <f>A480</f>
        <v>836</v>
      </c>
      <c r="I480" s="17">
        <f>C480</f>
        <v>823</v>
      </c>
      <c r="J480">
        <v>4</v>
      </c>
      <c r="K480" s="3" t="str">
        <f>VLOOKUP(J480,'LibSets constants'!$A$4:$B$1017,2,FALSE)</f>
        <v>DLC_DARK_BROTHERHOOD</v>
      </c>
      <c r="L480" s="3" t="str">
        <f>VLOOKUP(J480,'LibSets constants'!$A$4:$C$1017,3,FALSE)</f>
        <v>Dark Brotherhood</v>
      </c>
    </row>
    <row r="481" spans="1:12" x14ac:dyDescent="0.25">
      <c r="A481">
        <v>837</v>
      </c>
      <c r="B481">
        <v>462</v>
      </c>
      <c r="C481">
        <v>823</v>
      </c>
      <c r="D481" t="s">
        <v>524</v>
      </c>
      <c r="E481" t="str">
        <f>IF(NOT(ISERROR(VLOOKUP(D481,'ESO Dungeon constants'!$A$3:$A$9999,1,FALSE))),"X","")</f>
        <v/>
      </c>
      <c r="F481" s="3" t="str">
        <f>IF(EXACT(A481,C481),"X","")</f>
        <v/>
      </c>
      <c r="G481" s="3" t="str">
        <f>IF(A481&lt;&gt;C481,VLOOKUP(C481,$A$5:$D$9954,4,FALSE),"")</f>
        <v>Gold Coast</v>
      </c>
      <c r="H481" s="17">
        <f>A481</f>
        <v>837</v>
      </c>
      <c r="I481" s="17">
        <f>C481</f>
        <v>823</v>
      </c>
      <c r="J481">
        <v>4</v>
      </c>
      <c r="K481" s="3" t="str">
        <f>VLOOKUP(J481,'LibSets constants'!$A$4:$B$1017,2,FALSE)</f>
        <v>DLC_DARK_BROTHERHOOD</v>
      </c>
      <c r="L481" s="3" t="str">
        <f>VLOOKUP(J481,'LibSets constants'!$A$4:$C$1017,3,FALSE)</f>
        <v>Dark Brotherhood</v>
      </c>
    </row>
    <row r="482" spans="1:12" x14ac:dyDescent="0.25">
      <c r="A482">
        <v>841</v>
      </c>
      <c r="B482">
        <v>463</v>
      </c>
      <c r="C482">
        <v>823</v>
      </c>
      <c r="D482" t="s">
        <v>525</v>
      </c>
      <c r="E482" t="str">
        <f>IF(NOT(ISERROR(VLOOKUP(D482,'ESO Dungeon constants'!$A$3:$A$9999,1,FALSE))),"X","")</f>
        <v/>
      </c>
      <c r="F482" s="3" t="str">
        <f>IF(EXACT(A482,C482),"X","")</f>
        <v/>
      </c>
      <c r="G482" s="3" t="str">
        <f>IF(A482&lt;&gt;C482,VLOOKUP(C482,$A$5:$D$9954,4,FALSE),"")</f>
        <v>Gold Coast</v>
      </c>
      <c r="H482" s="17">
        <f>A482</f>
        <v>841</v>
      </c>
      <c r="I482" s="17">
        <f>C482</f>
        <v>823</v>
      </c>
      <c r="J482">
        <v>4</v>
      </c>
      <c r="K482" s="3" t="str">
        <f>VLOOKUP(J482,'LibSets constants'!$A$4:$B$1017,2,FALSE)</f>
        <v>DLC_DARK_BROTHERHOOD</v>
      </c>
      <c r="L482" s="3" t="str">
        <f>VLOOKUP(J482,'LibSets constants'!$A$4:$C$1017,3,FALSE)</f>
        <v>Dark Brotherhood</v>
      </c>
    </row>
    <row r="483" spans="1:12" x14ac:dyDescent="0.25">
      <c r="A483">
        <v>842</v>
      </c>
      <c r="B483">
        <v>464</v>
      </c>
      <c r="C483">
        <v>823</v>
      </c>
      <c r="D483" t="s">
        <v>526</v>
      </c>
      <c r="E483" t="str">
        <f>IF(NOT(ISERROR(VLOOKUP(D483,'ESO Dungeon constants'!$A$3:$A$9999,1,FALSE))),"X","")</f>
        <v/>
      </c>
      <c r="F483" s="3" t="str">
        <f>IF(EXACT(A483,C483),"X","")</f>
        <v/>
      </c>
      <c r="G483" s="3" t="str">
        <f>IF(A483&lt;&gt;C483,VLOOKUP(C483,$A$5:$D$9954,4,FALSE),"")</f>
        <v>Gold Coast</v>
      </c>
      <c r="H483" s="17">
        <f>A483</f>
        <v>842</v>
      </c>
      <c r="I483" s="17">
        <f>C483</f>
        <v>823</v>
      </c>
      <c r="J483">
        <v>4</v>
      </c>
      <c r="K483" s="3" t="str">
        <f>VLOOKUP(J483,'LibSets constants'!$A$4:$B$1017,2,FALSE)</f>
        <v>DLC_DARK_BROTHERHOOD</v>
      </c>
      <c r="L483" s="3" t="str">
        <f>VLOOKUP(J483,'LibSets constants'!$A$4:$C$1017,3,FALSE)</f>
        <v>Dark Brotherhood</v>
      </c>
    </row>
    <row r="484" spans="1:12" x14ac:dyDescent="0.25">
      <c r="A484">
        <v>844</v>
      </c>
      <c r="B484">
        <v>466</v>
      </c>
      <c r="C484">
        <v>816</v>
      </c>
      <c r="D484" t="s">
        <v>527</v>
      </c>
      <c r="E484" t="str">
        <f>IF(NOT(ISERROR(VLOOKUP(D484,'ESO Dungeon constants'!$A$3:$A$9999,1,FALSE))),"X","")</f>
        <v/>
      </c>
      <c r="F484" s="3" t="str">
        <f>IF(EXACT(A484,C484),"X","")</f>
        <v/>
      </c>
      <c r="G484" s="3" t="str">
        <f>IF(A484&lt;&gt;C484,VLOOKUP(C484,$A$5:$D$9954,4,FALSE),"")</f>
        <v>Hew's Bane</v>
      </c>
      <c r="H484" s="17">
        <f>A484</f>
        <v>844</v>
      </c>
      <c r="I484" s="17">
        <f>C484</f>
        <v>816</v>
      </c>
      <c r="J484">
        <v>3</v>
      </c>
      <c r="K484" s="3" t="str">
        <f>VLOOKUP(J484,'LibSets constants'!$A$4:$B$1017,2,FALSE)</f>
        <v>DLC_THIEVES_GUILD</v>
      </c>
      <c r="L484" s="3" t="str">
        <f>VLOOKUP(J484,'LibSets constants'!$A$4:$C$1017,3,FALSE)</f>
        <v>Thieves Guild</v>
      </c>
    </row>
    <row r="485" spans="1:12" x14ac:dyDescent="0.25">
      <c r="A485">
        <v>845</v>
      </c>
      <c r="B485">
        <v>467</v>
      </c>
      <c r="C485">
        <v>816</v>
      </c>
      <c r="D485" t="s">
        <v>528</v>
      </c>
      <c r="E485" t="str">
        <f>IF(NOT(ISERROR(VLOOKUP(D485,'ESO Dungeon constants'!$A$3:$A$9999,1,FALSE))),"X","")</f>
        <v/>
      </c>
      <c r="F485" s="3" t="str">
        <f>IF(EXACT(A485,C485),"X","")</f>
        <v/>
      </c>
      <c r="G485" s="3" t="str">
        <f>IF(A485&lt;&gt;C485,VLOOKUP(C485,$A$5:$D$9954,4,FALSE),"")</f>
        <v>Hew's Bane</v>
      </c>
      <c r="H485" s="17">
        <f>A485</f>
        <v>845</v>
      </c>
      <c r="I485" s="17">
        <f>C485</f>
        <v>816</v>
      </c>
      <c r="J485">
        <v>3</v>
      </c>
      <c r="K485" s="3" t="str">
        <f>VLOOKUP(J485,'LibSets constants'!$A$4:$B$1017,2,FALSE)</f>
        <v>DLC_THIEVES_GUILD</v>
      </c>
      <c r="L485" s="3" t="str">
        <f>VLOOKUP(J485,'LibSets constants'!$A$4:$C$1017,3,FALSE)</f>
        <v>Thieves Guild</v>
      </c>
    </row>
    <row r="486" spans="1:12" x14ac:dyDescent="0.25">
      <c r="A486">
        <v>849</v>
      </c>
      <c r="B486">
        <v>469</v>
      </c>
      <c r="C486">
        <v>849</v>
      </c>
      <c r="D486" t="s">
        <v>529</v>
      </c>
      <c r="E486" t="str">
        <f>IF(NOT(ISERROR(VLOOKUP(D486,'ESO Dungeon constants'!$A$3:$A$9999,1,FALSE))),"X","")</f>
        <v/>
      </c>
      <c r="F486" s="3" t="str">
        <f>IF(EXACT(A486,C486),"X","")</f>
        <v>X</v>
      </c>
      <c r="G486" s="3" t="str">
        <f>IF(A486&lt;&gt;C486,VLOOKUP(C486,$A$5:$D$9954,4,FALSE),"")</f>
        <v/>
      </c>
      <c r="H486" s="17">
        <f>A486</f>
        <v>849</v>
      </c>
      <c r="I486" s="17">
        <f>C486</f>
        <v>849</v>
      </c>
      <c r="J486">
        <v>22</v>
      </c>
      <c r="K486" s="3" t="str">
        <f>VLOOKUP(J486,'LibSets constants'!$A$4:$B$1017,2,FALSE)</f>
        <v>DLC_BLACKWOOD</v>
      </c>
      <c r="L486" s="3" t="str">
        <f>VLOOKUP(J486,'LibSets constants'!$A$4:$C$1017,3,FALSE)</f>
        <v>Blackwood</v>
      </c>
    </row>
    <row r="487" spans="1:12" x14ac:dyDescent="0.25">
      <c r="A487">
        <v>852</v>
      </c>
      <c r="B487">
        <v>470</v>
      </c>
      <c r="C487">
        <v>3</v>
      </c>
      <c r="D487" t="s">
        <v>530</v>
      </c>
      <c r="E487" t="str">
        <f>IF(NOT(ISERROR(VLOOKUP(D487,'ESO Dungeon constants'!$A$3:$A$9999,1,FALSE))),"X","")</f>
        <v/>
      </c>
      <c r="F487" s="3" t="str">
        <f>IF(EXACT(A487,C487),"X","")</f>
        <v/>
      </c>
      <c r="G487" s="3" t="str">
        <f>IF(A487&lt;&gt;C487,VLOOKUP(C487,$A$5:$D$9954,4,FALSE),"")</f>
        <v>Glenumbra</v>
      </c>
      <c r="H487" s="17">
        <f>A487</f>
        <v>852</v>
      </c>
      <c r="I487" s="17">
        <f>C487</f>
        <v>3</v>
      </c>
      <c r="J487">
        <v>0</v>
      </c>
      <c r="K487" s="3" t="str">
        <f>VLOOKUP(J487,'LibSets constants'!$A$4:$B$1017,2,FALSE)</f>
        <v>DLC_BASE_GAME</v>
      </c>
      <c r="L487" s="3" t="str">
        <f>VLOOKUP(J487,'LibSets constants'!$A$4:$C$1017,3,FALSE)</f>
        <v>Included in base game</v>
      </c>
    </row>
    <row r="488" spans="1:12" x14ac:dyDescent="0.25">
      <c r="A488">
        <v>853</v>
      </c>
      <c r="B488">
        <v>471</v>
      </c>
      <c r="C488">
        <v>20</v>
      </c>
      <c r="D488" t="s">
        <v>531</v>
      </c>
      <c r="E488" t="str">
        <f>IF(NOT(ISERROR(VLOOKUP(D488,'ESO Dungeon constants'!$A$3:$A$9999,1,FALSE))),"X","")</f>
        <v/>
      </c>
      <c r="F488" s="3" t="str">
        <f>IF(EXACT(A488,C488),"X","")</f>
        <v/>
      </c>
      <c r="G488" s="3" t="str">
        <f>IF(A488&lt;&gt;C488,VLOOKUP(C488,$A$5:$D$9954,4,FALSE),"")</f>
        <v>Rivenspire</v>
      </c>
      <c r="H488" s="17">
        <f>A488</f>
        <v>853</v>
      </c>
      <c r="I488" s="17">
        <f>C488</f>
        <v>20</v>
      </c>
      <c r="J488">
        <v>0</v>
      </c>
      <c r="K488" s="3" t="str">
        <f>VLOOKUP(J488,'LibSets constants'!$A$4:$B$1017,2,FALSE)</f>
        <v>DLC_BASE_GAME</v>
      </c>
      <c r="L488" s="3" t="str">
        <f>VLOOKUP(J488,'LibSets constants'!$A$4:$C$1017,3,FALSE)</f>
        <v>Included in base game</v>
      </c>
    </row>
    <row r="489" spans="1:12" x14ac:dyDescent="0.25">
      <c r="A489">
        <v>854</v>
      </c>
      <c r="B489">
        <v>472</v>
      </c>
      <c r="C489">
        <v>92</v>
      </c>
      <c r="D489" t="s">
        <v>532</v>
      </c>
      <c r="E489" t="str">
        <f>IF(NOT(ISERROR(VLOOKUP(D489,'ESO Dungeon constants'!$A$3:$A$9999,1,FALSE))),"X","")</f>
        <v/>
      </c>
      <c r="F489" s="3" t="str">
        <f>IF(EXACT(A489,C489),"X","")</f>
        <v/>
      </c>
      <c r="G489" s="3" t="str">
        <f>IF(A489&lt;&gt;C489,VLOOKUP(C489,$A$5:$D$9954,4,FALSE),"")</f>
        <v>Bangkorai</v>
      </c>
      <c r="H489" s="17">
        <f>A489</f>
        <v>854</v>
      </c>
      <c r="I489" s="17">
        <f>C489</f>
        <v>92</v>
      </c>
      <c r="J489">
        <v>0</v>
      </c>
      <c r="K489" s="3" t="str">
        <f>VLOOKUP(J489,'LibSets constants'!$A$4:$B$1017,2,FALSE)</f>
        <v>DLC_BASE_GAME</v>
      </c>
      <c r="L489" s="3" t="str">
        <f>VLOOKUP(J489,'LibSets constants'!$A$4:$C$1017,3,FALSE)</f>
        <v>Included in base game</v>
      </c>
    </row>
    <row r="490" spans="1:12" x14ac:dyDescent="0.25">
      <c r="A490">
        <v>855</v>
      </c>
      <c r="B490">
        <v>473</v>
      </c>
      <c r="C490">
        <v>19</v>
      </c>
      <c r="D490" t="s">
        <v>533</v>
      </c>
      <c r="E490" t="str">
        <f>IF(NOT(ISERROR(VLOOKUP(D490,'ESO Dungeon constants'!$A$3:$A$9999,1,FALSE))),"X","")</f>
        <v/>
      </c>
      <c r="F490" s="3" t="str">
        <f>IF(EXACT(A490,C490),"X","")</f>
        <v/>
      </c>
      <c r="G490" s="3" t="str">
        <f>IF(A490&lt;&gt;C490,VLOOKUP(C490,$A$5:$D$9954,4,FALSE),"")</f>
        <v>Stormhaven</v>
      </c>
      <c r="H490" s="17">
        <f>A490</f>
        <v>855</v>
      </c>
      <c r="I490" s="17">
        <f>C490</f>
        <v>19</v>
      </c>
      <c r="J490">
        <v>0</v>
      </c>
      <c r="K490" s="3" t="str">
        <f>VLOOKUP(J490,'LibSets constants'!$A$4:$B$1017,2,FALSE)</f>
        <v>DLC_BASE_GAME</v>
      </c>
      <c r="L490" s="3" t="str">
        <f>VLOOKUP(J490,'LibSets constants'!$A$4:$C$1017,3,FALSE)</f>
        <v>Included in base game</v>
      </c>
    </row>
    <row r="491" spans="1:12" x14ac:dyDescent="0.25">
      <c r="A491">
        <v>856</v>
      </c>
      <c r="B491">
        <v>474</v>
      </c>
      <c r="C491">
        <v>92</v>
      </c>
      <c r="D491" t="s">
        <v>534</v>
      </c>
      <c r="E491" t="str">
        <f>IF(NOT(ISERROR(VLOOKUP(D491,'ESO Dungeon constants'!$A$3:$A$9999,1,FALSE))),"X","")</f>
        <v/>
      </c>
      <c r="F491" s="3" t="str">
        <f>IF(EXACT(A491,C491),"X","")</f>
        <v/>
      </c>
      <c r="G491" s="3" t="str">
        <f>IF(A491&lt;&gt;C491,VLOOKUP(C491,$A$5:$D$9954,4,FALSE),"")</f>
        <v>Bangkorai</v>
      </c>
      <c r="H491" s="17">
        <f>A491</f>
        <v>856</v>
      </c>
      <c r="I491" s="17">
        <f>C491</f>
        <v>92</v>
      </c>
      <c r="J491">
        <v>0</v>
      </c>
      <c r="K491" s="3" t="str">
        <f>VLOOKUP(J491,'LibSets constants'!$A$4:$B$1017,2,FALSE)</f>
        <v>DLC_BASE_GAME</v>
      </c>
      <c r="L491" s="3" t="str">
        <f>VLOOKUP(J491,'LibSets constants'!$A$4:$C$1017,3,FALSE)</f>
        <v>Included in base game</v>
      </c>
    </row>
    <row r="492" spans="1:12" x14ac:dyDescent="0.25">
      <c r="A492">
        <v>857</v>
      </c>
      <c r="B492">
        <v>475</v>
      </c>
      <c r="C492">
        <v>104</v>
      </c>
      <c r="D492" t="s">
        <v>535</v>
      </c>
      <c r="E492" t="str">
        <f>IF(NOT(ISERROR(VLOOKUP(D492,'ESO Dungeon constants'!$A$3:$A$9999,1,FALSE))),"X","")</f>
        <v/>
      </c>
      <c r="F492" s="3" t="str">
        <f>IF(EXACT(A492,C492),"X","")</f>
        <v/>
      </c>
      <c r="G492" s="3" t="str">
        <f>IF(A492&lt;&gt;C492,VLOOKUP(C492,$A$5:$D$9954,4,FALSE),"")</f>
        <v>Alik'r Desert</v>
      </c>
      <c r="H492" s="17">
        <f>A492</f>
        <v>857</v>
      </c>
      <c r="I492" s="17">
        <f>C492</f>
        <v>104</v>
      </c>
      <c r="J492">
        <v>0</v>
      </c>
      <c r="K492" s="3" t="str">
        <f>VLOOKUP(J492,'LibSets constants'!$A$4:$B$1017,2,FALSE)</f>
        <v>DLC_BASE_GAME</v>
      </c>
      <c r="L492" s="3" t="str">
        <f>VLOOKUP(J492,'LibSets constants'!$A$4:$C$1017,3,FALSE)</f>
        <v>Included in base game</v>
      </c>
    </row>
    <row r="493" spans="1:12" x14ac:dyDescent="0.25">
      <c r="A493">
        <v>858</v>
      </c>
      <c r="B493">
        <v>476</v>
      </c>
      <c r="C493">
        <v>108</v>
      </c>
      <c r="D493" t="s">
        <v>536</v>
      </c>
      <c r="E493" t="str">
        <f>IF(NOT(ISERROR(VLOOKUP(D493,'ESO Dungeon constants'!$A$3:$A$9999,1,FALSE))),"X","")</f>
        <v/>
      </c>
      <c r="F493" s="3" t="str">
        <f>IF(EXACT(A493,C493),"X","")</f>
        <v/>
      </c>
      <c r="G493" s="3" t="str">
        <f>IF(A493&lt;&gt;C493,VLOOKUP(C493,$A$5:$D$9954,4,FALSE),"")</f>
        <v>Greenshade</v>
      </c>
      <c r="H493" s="17">
        <f>A493</f>
        <v>858</v>
      </c>
      <c r="I493" s="17">
        <f>C493</f>
        <v>108</v>
      </c>
      <c r="J493">
        <v>0</v>
      </c>
      <c r="K493" s="3" t="str">
        <f>VLOOKUP(J493,'LibSets constants'!$A$4:$B$1017,2,FALSE)</f>
        <v>DLC_BASE_GAME</v>
      </c>
      <c r="L493" s="3" t="str">
        <f>VLOOKUP(J493,'LibSets constants'!$A$4:$C$1017,3,FALSE)</f>
        <v>Included in base game</v>
      </c>
    </row>
    <row r="494" spans="1:12" x14ac:dyDescent="0.25">
      <c r="A494">
        <v>859</v>
      </c>
      <c r="B494">
        <v>477</v>
      </c>
      <c r="C494">
        <v>58</v>
      </c>
      <c r="D494" t="s">
        <v>537</v>
      </c>
      <c r="E494" t="str">
        <f>IF(NOT(ISERROR(VLOOKUP(D494,'ESO Dungeon constants'!$A$3:$A$9999,1,FALSE))),"X","")</f>
        <v/>
      </c>
      <c r="F494" s="3" t="str">
        <f>IF(EXACT(A494,C494),"X","")</f>
        <v/>
      </c>
      <c r="G494" s="3" t="str">
        <f>IF(A494&lt;&gt;C494,VLOOKUP(C494,$A$5:$D$9954,4,FALSE),"")</f>
        <v>Malabal Tor</v>
      </c>
      <c r="H494" s="17">
        <f>A494</f>
        <v>859</v>
      </c>
      <c r="I494" s="17">
        <f>C494</f>
        <v>58</v>
      </c>
      <c r="J494">
        <v>0</v>
      </c>
      <c r="K494" s="3" t="str">
        <f>VLOOKUP(J494,'LibSets constants'!$A$4:$B$1017,2,FALSE)</f>
        <v>DLC_BASE_GAME</v>
      </c>
      <c r="L494" s="3" t="str">
        <f>VLOOKUP(J494,'LibSets constants'!$A$4:$C$1017,3,FALSE)</f>
        <v>Included in base game</v>
      </c>
    </row>
    <row r="495" spans="1:12" x14ac:dyDescent="0.25">
      <c r="A495">
        <v>860</v>
      </c>
      <c r="B495">
        <v>478</v>
      </c>
      <c r="C495">
        <v>383</v>
      </c>
      <c r="D495" t="s">
        <v>538</v>
      </c>
      <c r="E495" t="str">
        <f>IF(NOT(ISERROR(VLOOKUP(D495,'ESO Dungeon constants'!$A$3:$A$9999,1,FALSE))),"X","")</f>
        <v/>
      </c>
      <c r="F495" s="3" t="str">
        <f>IF(EXACT(A495,C495),"X","")</f>
        <v/>
      </c>
      <c r="G495" s="3" t="str">
        <f>IF(A495&lt;&gt;C495,VLOOKUP(C495,$A$5:$D$9954,4,FALSE),"")</f>
        <v>Grahtwood</v>
      </c>
      <c r="H495" s="17">
        <f>A495</f>
        <v>860</v>
      </c>
      <c r="I495" s="17">
        <f>C495</f>
        <v>383</v>
      </c>
      <c r="J495">
        <v>0</v>
      </c>
      <c r="K495" s="3" t="str">
        <f>VLOOKUP(J495,'LibSets constants'!$A$4:$B$1017,2,FALSE)</f>
        <v>DLC_BASE_GAME</v>
      </c>
      <c r="L495" s="3" t="str">
        <f>VLOOKUP(J495,'LibSets constants'!$A$4:$C$1017,3,FALSE)</f>
        <v>Included in base game</v>
      </c>
    </row>
    <row r="496" spans="1:12" x14ac:dyDescent="0.25">
      <c r="A496">
        <v>861</v>
      </c>
      <c r="B496">
        <v>479</v>
      </c>
      <c r="C496">
        <v>108</v>
      </c>
      <c r="D496" t="s">
        <v>539</v>
      </c>
      <c r="E496" t="str">
        <f>IF(NOT(ISERROR(VLOOKUP(D496,'ESO Dungeon constants'!$A$3:$A$9999,1,FALSE))),"X","")</f>
        <v/>
      </c>
      <c r="F496" s="3" t="str">
        <f>IF(EXACT(A496,C496),"X","")</f>
        <v/>
      </c>
      <c r="G496" s="3" t="str">
        <f>IF(A496&lt;&gt;C496,VLOOKUP(C496,$A$5:$D$9954,4,FALSE),"")</f>
        <v>Greenshade</v>
      </c>
      <c r="H496" s="17">
        <f>A496</f>
        <v>861</v>
      </c>
      <c r="I496" s="17">
        <f>C496</f>
        <v>108</v>
      </c>
      <c r="J496">
        <v>0</v>
      </c>
      <c r="K496" s="3" t="str">
        <f>VLOOKUP(J496,'LibSets constants'!$A$4:$B$1017,2,FALSE)</f>
        <v>DLC_BASE_GAME</v>
      </c>
      <c r="L496" s="3" t="str">
        <f>VLOOKUP(J496,'LibSets constants'!$A$4:$C$1017,3,FALSE)</f>
        <v>Included in base game</v>
      </c>
    </row>
    <row r="497" spans="1:12" x14ac:dyDescent="0.25">
      <c r="A497">
        <v>862</v>
      </c>
      <c r="B497">
        <v>480</v>
      </c>
      <c r="C497">
        <v>382</v>
      </c>
      <c r="D497" t="s">
        <v>540</v>
      </c>
      <c r="E497" t="str">
        <f>IF(NOT(ISERROR(VLOOKUP(D497,'ESO Dungeon constants'!$A$3:$A$9999,1,FALSE))),"X","")</f>
        <v/>
      </c>
      <c r="F497" s="3" t="str">
        <f>IF(EXACT(A497,C497),"X","")</f>
        <v/>
      </c>
      <c r="G497" s="3" t="str">
        <f>IF(A497&lt;&gt;C497,VLOOKUP(C497,$A$5:$D$9954,4,FALSE),"")</f>
        <v>Reaper's March</v>
      </c>
      <c r="H497" s="17">
        <f>A497</f>
        <v>862</v>
      </c>
      <c r="I497" s="17">
        <f>C497</f>
        <v>382</v>
      </c>
      <c r="J497">
        <v>0</v>
      </c>
      <c r="K497" s="3" t="str">
        <f>VLOOKUP(J497,'LibSets constants'!$A$4:$B$1017,2,FALSE)</f>
        <v>DLC_BASE_GAME</v>
      </c>
      <c r="L497" s="3" t="str">
        <f>VLOOKUP(J497,'LibSets constants'!$A$4:$C$1017,3,FALSE)</f>
        <v>Included in base game</v>
      </c>
    </row>
    <row r="498" spans="1:12" x14ac:dyDescent="0.25">
      <c r="A498">
        <v>863</v>
      </c>
      <c r="B498">
        <v>481</v>
      </c>
      <c r="C498">
        <v>537</v>
      </c>
      <c r="D498" t="s">
        <v>541</v>
      </c>
      <c r="E498" t="str">
        <f>IF(NOT(ISERROR(VLOOKUP(D498,'ESO Dungeon constants'!$A$3:$A$9999,1,FALSE))),"X","")</f>
        <v/>
      </c>
      <c r="F498" s="3" t="str">
        <f>IF(EXACT(A498,C498),"X","")</f>
        <v/>
      </c>
      <c r="G498" s="3" t="str">
        <f>IF(A498&lt;&gt;C498,VLOOKUP(C498,$A$5:$D$9954,4,FALSE),"")</f>
        <v>Khenarthi's Roost</v>
      </c>
      <c r="H498" s="17">
        <f>A498</f>
        <v>863</v>
      </c>
      <c r="I498" s="17">
        <f>C498</f>
        <v>537</v>
      </c>
      <c r="J498">
        <v>0</v>
      </c>
      <c r="K498" s="3" t="str">
        <f>VLOOKUP(J498,'LibSets constants'!$A$4:$B$1017,2,FALSE)</f>
        <v>DLC_BASE_GAME</v>
      </c>
      <c r="L498" s="3" t="str">
        <f>VLOOKUP(J498,'LibSets constants'!$A$4:$C$1017,3,FALSE)</f>
        <v>Included in base game</v>
      </c>
    </row>
    <row r="499" spans="1:12" x14ac:dyDescent="0.25">
      <c r="A499">
        <v>864</v>
      </c>
      <c r="B499">
        <v>482</v>
      </c>
      <c r="C499">
        <v>103</v>
      </c>
      <c r="D499" t="s">
        <v>542</v>
      </c>
      <c r="E499" t="str">
        <f>IF(NOT(ISERROR(VLOOKUP(D499,'ESO Dungeon constants'!$A$3:$A$9999,1,FALSE))),"X","")</f>
        <v/>
      </c>
      <c r="F499" s="3" t="str">
        <f>IF(EXACT(A499,C499),"X","")</f>
        <v/>
      </c>
      <c r="G499" s="3" t="str">
        <f>IF(A499&lt;&gt;C499,VLOOKUP(C499,$A$5:$D$9954,4,FALSE),"")</f>
        <v>The Rift</v>
      </c>
      <c r="H499" s="17">
        <f>A499</f>
        <v>864</v>
      </c>
      <c r="I499" s="17">
        <f>C499</f>
        <v>103</v>
      </c>
      <c r="J499">
        <v>0</v>
      </c>
      <c r="K499" s="3" t="str">
        <f>VLOOKUP(J499,'LibSets constants'!$A$4:$B$1017,2,FALSE)</f>
        <v>DLC_BASE_GAME</v>
      </c>
      <c r="L499" s="3" t="str">
        <f>VLOOKUP(J499,'LibSets constants'!$A$4:$C$1017,3,FALSE)</f>
        <v>Included in base game</v>
      </c>
    </row>
    <row r="500" spans="1:12" x14ac:dyDescent="0.25">
      <c r="A500">
        <v>865</v>
      </c>
      <c r="B500">
        <v>483</v>
      </c>
      <c r="C500">
        <v>101</v>
      </c>
      <c r="D500" t="s">
        <v>543</v>
      </c>
      <c r="E500" t="str">
        <f>IF(NOT(ISERROR(VLOOKUP(D500,'ESO Dungeon constants'!$A$3:$A$9999,1,FALSE))),"X","")</f>
        <v/>
      </c>
      <c r="F500" s="3" t="str">
        <f>IF(EXACT(A500,C500),"X","")</f>
        <v/>
      </c>
      <c r="G500" s="3" t="str">
        <f>IF(A500&lt;&gt;C500,VLOOKUP(C500,$A$5:$D$9954,4,FALSE),"")</f>
        <v>Eastmarch</v>
      </c>
      <c r="H500" s="17">
        <f>A500</f>
        <v>865</v>
      </c>
      <c r="I500" s="17">
        <f>C500</f>
        <v>101</v>
      </c>
      <c r="J500">
        <v>0</v>
      </c>
      <c r="K500" s="3" t="str">
        <f>VLOOKUP(J500,'LibSets constants'!$A$4:$B$1017,2,FALSE)</f>
        <v>DLC_BASE_GAME</v>
      </c>
      <c r="L500" s="3" t="str">
        <f>VLOOKUP(J500,'LibSets constants'!$A$4:$C$1017,3,FALSE)</f>
        <v>Included in base game</v>
      </c>
    </row>
    <row r="501" spans="1:12" x14ac:dyDescent="0.25">
      <c r="A501">
        <v>866</v>
      </c>
      <c r="B501">
        <v>484</v>
      </c>
      <c r="C501">
        <v>57</v>
      </c>
      <c r="D501" t="s">
        <v>544</v>
      </c>
      <c r="E501" t="str">
        <f>IF(NOT(ISERROR(VLOOKUP(D501,'ESO Dungeon constants'!$A$3:$A$9999,1,FALSE))),"X","")</f>
        <v/>
      </c>
      <c r="F501" s="3" t="str">
        <f>IF(EXACT(A501,C501),"X","")</f>
        <v/>
      </c>
      <c r="G501" s="3" t="str">
        <f>IF(A501&lt;&gt;C501,VLOOKUP(C501,$A$5:$D$9954,4,FALSE),"")</f>
        <v>Deshaan</v>
      </c>
      <c r="H501" s="17">
        <f>A501</f>
        <v>866</v>
      </c>
      <c r="I501" s="17">
        <f>C501</f>
        <v>57</v>
      </c>
      <c r="J501">
        <v>0</v>
      </c>
      <c r="K501" s="3" t="str">
        <f>VLOOKUP(J501,'LibSets constants'!$A$4:$B$1017,2,FALSE)</f>
        <v>DLC_BASE_GAME</v>
      </c>
      <c r="L501" s="3" t="str">
        <f>VLOOKUP(J501,'LibSets constants'!$A$4:$C$1017,3,FALSE)</f>
        <v>Included in base game</v>
      </c>
    </row>
    <row r="502" spans="1:12" x14ac:dyDescent="0.25">
      <c r="A502">
        <v>1478</v>
      </c>
      <c r="B502">
        <v>1015</v>
      </c>
      <c r="C502">
        <v>1443</v>
      </c>
      <c r="D502" t="s">
        <v>3943</v>
      </c>
      <c r="E502" t="str">
        <f>IF(NOT(ISERROR(VLOOKUP(D502,'ESO Dungeon constants'!$A$3:$A$9999,1,FALSE))),"X","")</f>
        <v>X</v>
      </c>
      <c r="F502" s="3" t="str">
        <f>IF(EXACT(A502,C502),"X","")</f>
        <v/>
      </c>
      <c r="G502" s="3" t="str">
        <f>IF(A502&lt;&gt;C502,VLOOKUP(C502,$A$5:$D$9954,4,FALSE),"")</f>
        <v>West Weald</v>
      </c>
      <c r="H502" s="17">
        <f>A502</f>
        <v>1478</v>
      </c>
      <c r="I502" s="17">
        <f>C502</f>
        <v>1443</v>
      </c>
      <c r="J502">
        <f>IF(E502="X",VLOOKUP(D502,'ESO Dungeon constants'!$A$3:$H$9999,8,FALSE),0)</f>
        <v>34</v>
      </c>
      <c r="K502" s="3" t="str">
        <f>VLOOKUP(J502,'LibSets constants'!$A$4:$B$1017,2,FALSE)</f>
        <v>DLC_GOLD_ROAD</v>
      </c>
      <c r="L502" s="3" t="str">
        <f>VLOOKUP(J502,'LibSets constants'!$A$4:$C$1017,3,FALSE)</f>
        <v>Gold Road</v>
      </c>
    </row>
    <row r="503" spans="1:12" x14ac:dyDescent="0.25">
      <c r="A503">
        <v>867</v>
      </c>
      <c r="B503">
        <v>485</v>
      </c>
      <c r="C503">
        <v>41</v>
      </c>
      <c r="D503" t="s">
        <v>545</v>
      </c>
      <c r="E503" t="str">
        <f>IF(NOT(ISERROR(VLOOKUP(D503,'ESO Dungeon constants'!$A$3:$A$9999,1,FALSE))),"X","")</f>
        <v/>
      </c>
      <c r="F503" s="3" t="str">
        <f>IF(EXACT(A503,C503),"X","")</f>
        <v/>
      </c>
      <c r="G503" s="3" t="str">
        <f>IF(A503&lt;&gt;C503,VLOOKUP(C503,$A$5:$D$9954,4,FALSE),"")</f>
        <v>Stonefalls</v>
      </c>
      <c r="H503" s="17">
        <f>A503</f>
        <v>867</v>
      </c>
      <c r="I503" s="17">
        <f>C503</f>
        <v>41</v>
      </c>
      <c r="J503">
        <v>0</v>
      </c>
      <c r="K503" s="3" t="str">
        <f>VLOOKUP(J503,'LibSets constants'!$A$4:$B$1017,2,FALSE)</f>
        <v>DLC_BASE_GAME</v>
      </c>
      <c r="L503" s="3" t="str">
        <f>VLOOKUP(J503,'LibSets constants'!$A$4:$C$1017,3,FALSE)</f>
        <v>Included in base game</v>
      </c>
    </row>
    <row r="504" spans="1:12" x14ac:dyDescent="0.25">
      <c r="A504">
        <v>868</v>
      </c>
      <c r="B504">
        <v>486</v>
      </c>
      <c r="C504">
        <v>281</v>
      </c>
      <c r="D504" t="s">
        <v>546</v>
      </c>
      <c r="E504" t="str">
        <f>IF(NOT(ISERROR(VLOOKUP(D504,'ESO Dungeon constants'!$A$3:$A$9999,1,FALSE))),"X","")</f>
        <v/>
      </c>
      <c r="F504" s="3" t="str">
        <f>IF(EXACT(A504,C504),"X","")</f>
        <v/>
      </c>
      <c r="G504" s="3" t="str">
        <f>IF(A504&lt;&gt;C504,VLOOKUP(C504,$A$5:$D$9954,4,FALSE),"")</f>
        <v>Bal Foyen</v>
      </c>
      <c r="H504" s="17">
        <f>A504</f>
        <v>868</v>
      </c>
      <c r="I504" s="17">
        <f>C504</f>
        <v>281</v>
      </c>
      <c r="J504">
        <v>0</v>
      </c>
      <c r="K504" s="3" t="str">
        <f>VLOOKUP(J504,'LibSets constants'!$A$4:$B$1017,2,FALSE)</f>
        <v>DLC_BASE_GAME</v>
      </c>
      <c r="L504" s="3" t="str">
        <f>VLOOKUP(J504,'LibSets constants'!$A$4:$C$1017,3,FALSE)</f>
        <v>Included in base game</v>
      </c>
    </row>
    <row r="505" spans="1:12" x14ac:dyDescent="0.25">
      <c r="A505">
        <v>869</v>
      </c>
      <c r="B505">
        <v>487</v>
      </c>
      <c r="C505">
        <v>117</v>
      </c>
      <c r="D505" t="s">
        <v>547</v>
      </c>
      <c r="E505" t="str">
        <f>IF(NOT(ISERROR(VLOOKUP(D505,'ESO Dungeon constants'!$A$3:$A$9999,1,FALSE))),"X","")</f>
        <v/>
      </c>
      <c r="F505" s="3" t="str">
        <f>IF(EXACT(A505,C505),"X","")</f>
        <v/>
      </c>
      <c r="G505" s="3" t="str">
        <f>IF(A505&lt;&gt;C505,VLOOKUP(C505,$A$5:$D$9954,4,FALSE),"")</f>
        <v>Shadowfen</v>
      </c>
      <c r="H505" s="17">
        <f>A505</f>
        <v>869</v>
      </c>
      <c r="I505" s="17">
        <f>C505</f>
        <v>117</v>
      </c>
      <c r="J505">
        <v>0</v>
      </c>
      <c r="K505" s="3" t="str">
        <f>VLOOKUP(J505,'LibSets constants'!$A$4:$B$1017,2,FALSE)</f>
        <v>DLC_BASE_GAME</v>
      </c>
      <c r="L505" s="3" t="str">
        <f>VLOOKUP(J505,'LibSets constants'!$A$4:$C$1017,3,FALSE)</f>
        <v>Included in base game</v>
      </c>
    </row>
    <row r="506" spans="1:12" x14ac:dyDescent="0.25">
      <c r="A506">
        <v>870</v>
      </c>
      <c r="B506">
        <v>488</v>
      </c>
      <c r="C506">
        <v>888</v>
      </c>
      <c r="D506" t="s">
        <v>548</v>
      </c>
      <c r="E506" t="str">
        <f>IF(NOT(ISERROR(VLOOKUP(D506,'ESO Dungeon constants'!$A$3:$A$9999,1,FALSE))),"X","")</f>
        <v/>
      </c>
      <c r="F506" s="3" t="str">
        <f>IF(EXACT(A506,C506),"X","")</f>
        <v/>
      </c>
      <c r="G506" s="3" t="str">
        <f>IF(A506&lt;&gt;C506,VLOOKUP(C506,$A$5:$D$9954,4,FALSE),"")</f>
        <v>Craglorn</v>
      </c>
      <c r="H506" s="17">
        <f>A506</f>
        <v>870</v>
      </c>
      <c r="I506" s="17">
        <f>C506</f>
        <v>888</v>
      </c>
      <c r="J506">
        <v>0</v>
      </c>
      <c r="K506" s="3" t="str">
        <f>VLOOKUP(J506,'LibSets constants'!$A$4:$B$1017,2,FALSE)</f>
        <v>DLC_BASE_GAME</v>
      </c>
      <c r="L506" s="3" t="str">
        <f>VLOOKUP(J506,'LibSets constants'!$A$4:$C$1017,3,FALSE)</f>
        <v>Included in base game</v>
      </c>
    </row>
    <row r="507" spans="1:12" x14ac:dyDescent="0.25">
      <c r="A507">
        <v>871</v>
      </c>
      <c r="B507">
        <v>489</v>
      </c>
      <c r="C507">
        <v>58</v>
      </c>
      <c r="D507" t="s">
        <v>549</v>
      </c>
      <c r="E507" t="str">
        <f>IF(NOT(ISERROR(VLOOKUP(D507,'ESO Dungeon constants'!$A$3:$A$9999,1,FALSE))),"X","")</f>
        <v/>
      </c>
      <c r="F507" s="3" t="str">
        <f>IF(EXACT(A507,C507),"X","")</f>
        <v/>
      </c>
      <c r="G507" s="3" t="str">
        <f>IF(A507&lt;&gt;C507,VLOOKUP(C507,$A$5:$D$9954,4,FALSE),"")</f>
        <v>Malabal Tor</v>
      </c>
      <c r="H507" s="17">
        <f>A507</f>
        <v>871</v>
      </c>
      <c r="I507" s="17">
        <f>C507</f>
        <v>58</v>
      </c>
      <c r="J507">
        <v>0</v>
      </c>
      <c r="K507" s="3" t="str">
        <f>VLOOKUP(J507,'LibSets constants'!$A$4:$B$1017,2,FALSE)</f>
        <v>DLC_BASE_GAME</v>
      </c>
      <c r="L507" s="3" t="str">
        <f>VLOOKUP(J507,'LibSets constants'!$A$4:$C$1017,3,FALSE)</f>
        <v>Included in base game</v>
      </c>
    </row>
    <row r="508" spans="1:12" x14ac:dyDescent="0.25">
      <c r="A508">
        <v>872</v>
      </c>
      <c r="B508">
        <v>490</v>
      </c>
      <c r="C508">
        <v>382</v>
      </c>
      <c r="D508" t="s">
        <v>550</v>
      </c>
      <c r="E508" t="str">
        <f>IF(NOT(ISERROR(VLOOKUP(D508,'ESO Dungeon constants'!$A$3:$A$9999,1,FALSE))),"X","")</f>
        <v/>
      </c>
      <c r="F508" s="3" t="str">
        <f>IF(EXACT(A508,C508),"X","")</f>
        <v/>
      </c>
      <c r="G508" s="3" t="str">
        <f>IF(A508&lt;&gt;C508,VLOOKUP(C508,$A$5:$D$9954,4,FALSE),"")</f>
        <v>Reaper's March</v>
      </c>
      <c r="H508" s="17">
        <f>A508</f>
        <v>872</v>
      </c>
      <c r="I508" s="17">
        <f>C508</f>
        <v>382</v>
      </c>
      <c r="J508">
        <v>0</v>
      </c>
      <c r="K508" s="3" t="str">
        <f>VLOOKUP(J508,'LibSets constants'!$A$4:$B$1017,2,FALSE)</f>
        <v>DLC_BASE_GAME</v>
      </c>
      <c r="L508" s="3" t="str">
        <f>VLOOKUP(J508,'LibSets constants'!$A$4:$C$1017,3,FALSE)</f>
        <v>Included in base game</v>
      </c>
    </row>
    <row r="509" spans="1:12" x14ac:dyDescent="0.25">
      <c r="A509">
        <v>873</v>
      </c>
      <c r="B509">
        <v>491</v>
      </c>
      <c r="C509">
        <v>117</v>
      </c>
      <c r="D509" t="s">
        <v>551</v>
      </c>
      <c r="E509" t="str">
        <f>IF(NOT(ISERROR(VLOOKUP(D509,'ESO Dungeon constants'!$A$3:$A$9999,1,FALSE))),"X","")</f>
        <v/>
      </c>
      <c r="F509" s="3" t="str">
        <f>IF(EXACT(A509,C509),"X","")</f>
        <v/>
      </c>
      <c r="G509" s="3" t="str">
        <f>IF(A509&lt;&gt;C509,VLOOKUP(C509,$A$5:$D$9954,4,FALSE),"")</f>
        <v>Shadowfen</v>
      </c>
      <c r="H509" s="17">
        <f>A509</f>
        <v>873</v>
      </c>
      <c r="I509" s="17">
        <f>C509</f>
        <v>117</v>
      </c>
      <c r="J509">
        <v>0</v>
      </c>
      <c r="K509" s="3" t="str">
        <f>VLOOKUP(J509,'LibSets constants'!$A$4:$B$1017,2,FALSE)</f>
        <v>DLC_BASE_GAME</v>
      </c>
      <c r="L509" s="3" t="str">
        <f>VLOOKUP(J509,'LibSets constants'!$A$4:$C$1017,3,FALSE)</f>
        <v>Included in base game</v>
      </c>
    </row>
    <row r="510" spans="1:12" x14ac:dyDescent="0.25">
      <c r="A510">
        <v>874</v>
      </c>
      <c r="B510">
        <v>492</v>
      </c>
      <c r="C510">
        <v>57</v>
      </c>
      <c r="D510" t="s">
        <v>552</v>
      </c>
      <c r="E510" t="str">
        <f>IF(NOT(ISERROR(VLOOKUP(D510,'ESO Dungeon constants'!$A$3:$A$9999,1,FALSE))),"X","")</f>
        <v/>
      </c>
      <c r="F510" s="3" t="str">
        <f>IF(EXACT(A510,C510),"X","")</f>
        <v/>
      </c>
      <c r="G510" s="3" t="str">
        <f>IF(A510&lt;&gt;C510,VLOOKUP(C510,$A$5:$D$9954,4,FALSE),"")</f>
        <v>Deshaan</v>
      </c>
      <c r="H510" s="17">
        <f>A510</f>
        <v>874</v>
      </c>
      <c r="I510" s="17">
        <f>C510</f>
        <v>57</v>
      </c>
      <c r="J510">
        <v>0</v>
      </c>
      <c r="K510" s="3" t="str">
        <f>VLOOKUP(J510,'LibSets constants'!$A$4:$B$1017,2,FALSE)</f>
        <v>DLC_BASE_GAME</v>
      </c>
      <c r="L510" s="3" t="str">
        <f>VLOOKUP(J510,'LibSets constants'!$A$4:$C$1017,3,FALSE)</f>
        <v>Included in base game</v>
      </c>
    </row>
    <row r="511" spans="1:12" x14ac:dyDescent="0.25">
      <c r="A511">
        <v>875</v>
      </c>
      <c r="B511">
        <v>493</v>
      </c>
      <c r="C511">
        <v>103</v>
      </c>
      <c r="D511" t="s">
        <v>553</v>
      </c>
      <c r="E511" t="str">
        <f>IF(NOT(ISERROR(VLOOKUP(D511,'ESO Dungeon constants'!$A$3:$A$9999,1,FALSE))),"X","")</f>
        <v/>
      </c>
      <c r="F511" s="3" t="str">
        <f>IF(EXACT(A511,C511),"X","")</f>
        <v/>
      </c>
      <c r="G511" s="3" t="str">
        <f>IF(A511&lt;&gt;C511,VLOOKUP(C511,$A$5:$D$9954,4,FALSE),"")</f>
        <v>The Rift</v>
      </c>
      <c r="H511" s="17">
        <f>A511</f>
        <v>875</v>
      </c>
      <c r="I511" s="17">
        <f>C511</f>
        <v>103</v>
      </c>
      <c r="J511">
        <v>0</v>
      </c>
      <c r="K511" s="3" t="str">
        <f>VLOOKUP(J511,'LibSets constants'!$A$4:$B$1017,2,FALSE)</f>
        <v>DLC_BASE_GAME</v>
      </c>
      <c r="L511" s="3" t="str">
        <f>VLOOKUP(J511,'LibSets constants'!$A$4:$C$1017,3,FALSE)</f>
        <v>Included in base game</v>
      </c>
    </row>
    <row r="512" spans="1:12" x14ac:dyDescent="0.25">
      <c r="A512">
        <v>876</v>
      </c>
      <c r="B512">
        <v>494</v>
      </c>
      <c r="C512">
        <v>382</v>
      </c>
      <c r="D512" t="s">
        <v>554</v>
      </c>
      <c r="E512" t="str">
        <f>IF(NOT(ISERROR(VLOOKUP(D512,'ESO Dungeon constants'!$A$3:$A$9999,1,FALSE))),"X","")</f>
        <v/>
      </c>
      <c r="F512" s="3" t="str">
        <f>IF(EXACT(A512,C512),"X","")</f>
        <v/>
      </c>
      <c r="G512" s="3" t="str">
        <f>IF(A512&lt;&gt;C512,VLOOKUP(C512,$A$5:$D$9954,4,FALSE),"")</f>
        <v>Reaper's March</v>
      </c>
      <c r="H512" s="17">
        <f>A512</f>
        <v>876</v>
      </c>
      <c r="I512" s="17">
        <f>C512</f>
        <v>382</v>
      </c>
      <c r="J512">
        <v>0</v>
      </c>
      <c r="K512" s="3" t="str">
        <f>VLOOKUP(J512,'LibSets constants'!$A$4:$B$1017,2,FALSE)</f>
        <v>DLC_BASE_GAME</v>
      </c>
      <c r="L512" s="3" t="str">
        <f>VLOOKUP(J512,'LibSets constants'!$A$4:$C$1017,3,FALSE)</f>
        <v>Included in base game</v>
      </c>
    </row>
    <row r="513" spans="1:12" x14ac:dyDescent="0.25">
      <c r="A513">
        <v>1055</v>
      </c>
      <c r="B513">
        <v>657</v>
      </c>
      <c r="C513">
        <v>108</v>
      </c>
      <c r="D513" t="s">
        <v>41</v>
      </c>
      <c r="E513" t="str">
        <f>IF(NOT(ISERROR(VLOOKUP(D513,'ESO Dungeon constants'!$A$3:$A$9999,1,FALSE))),"X","")</f>
        <v>X</v>
      </c>
      <c r="F513" s="3" t="str">
        <f>IF(EXACT(A513,C513),"X","")</f>
        <v/>
      </c>
      <c r="G513" s="3" t="str">
        <f>IF(A513&lt;&gt;C513,VLOOKUP(C513,$A$5:$D$9954,4,FALSE),"")</f>
        <v>Greenshade</v>
      </c>
      <c r="H513" s="17">
        <f>A513</f>
        <v>1055</v>
      </c>
      <c r="I513" s="17">
        <f>C513</f>
        <v>108</v>
      </c>
      <c r="J513">
        <f>IF(E513="X",VLOOKUP(D513,'ESO Dungeon constants'!$A$3:$H$9999,8,FALSE),0)</f>
        <v>11</v>
      </c>
      <c r="K513" s="3" t="str">
        <f>VLOOKUP(J513,'LibSets constants'!$A$4:$B$1017,2,FALSE)</f>
        <v>DLC_WOLFHUNTER</v>
      </c>
      <c r="L513" s="3" t="str">
        <f>VLOOKUP(J513,'LibSets constants'!$A$4:$C$1017,3,FALSE)</f>
        <v>Wolfhunter</v>
      </c>
    </row>
    <row r="514" spans="1:12" x14ac:dyDescent="0.25">
      <c r="A514">
        <v>877</v>
      </c>
      <c r="B514">
        <v>495</v>
      </c>
      <c r="C514">
        <v>383</v>
      </c>
      <c r="D514" t="s">
        <v>555</v>
      </c>
      <c r="E514" t="str">
        <f>IF(NOT(ISERROR(VLOOKUP(D514,'ESO Dungeon constants'!$A$3:$A$9999,1,FALSE))),"X","")</f>
        <v/>
      </c>
      <c r="F514" s="3" t="str">
        <f>IF(EXACT(A514,C514),"X","")</f>
        <v/>
      </c>
      <c r="G514" s="3" t="str">
        <f>IF(A514&lt;&gt;C514,VLOOKUP(C514,$A$5:$D$9954,4,FALSE),"")</f>
        <v>Grahtwood</v>
      </c>
      <c r="H514" s="17">
        <f>A514</f>
        <v>877</v>
      </c>
      <c r="I514" s="17">
        <f>C514</f>
        <v>383</v>
      </c>
      <c r="J514">
        <v>0</v>
      </c>
      <c r="K514" s="3" t="str">
        <f>VLOOKUP(J514,'LibSets constants'!$A$4:$B$1017,2,FALSE)</f>
        <v>DLC_BASE_GAME</v>
      </c>
      <c r="L514" s="3" t="str">
        <f>VLOOKUP(J514,'LibSets constants'!$A$4:$C$1017,3,FALSE)</f>
        <v>Included in base game</v>
      </c>
    </row>
    <row r="515" spans="1:12" x14ac:dyDescent="0.25">
      <c r="A515">
        <v>878</v>
      </c>
      <c r="B515">
        <v>496</v>
      </c>
      <c r="C515">
        <v>381</v>
      </c>
      <c r="D515" t="s">
        <v>556</v>
      </c>
      <c r="E515" t="str">
        <f>IF(NOT(ISERROR(VLOOKUP(D515,'ESO Dungeon constants'!$A$3:$A$9999,1,FALSE))),"X","")</f>
        <v/>
      </c>
      <c r="F515" s="3" t="str">
        <f>IF(EXACT(A515,C515),"X","")</f>
        <v/>
      </c>
      <c r="G515" s="3" t="str">
        <f>IF(A515&lt;&gt;C515,VLOOKUP(C515,$A$5:$D$9954,4,FALSE),"")</f>
        <v>Auridon</v>
      </c>
      <c r="H515" s="17">
        <f>A515</f>
        <v>878</v>
      </c>
      <c r="I515" s="17">
        <f>C515</f>
        <v>381</v>
      </c>
      <c r="J515">
        <v>0</v>
      </c>
      <c r="K515" s="3" t="str">
        <f>VLOOKUP(J515,'LibSets constants'!$A$4:$B$1017,2,FALSE)</f>
        <v>DLC_BASE_GAME</v>
      </c>
      <c r="L515" s="3" t="str">
        <f>VLOOKUP(J515,'LibSets constants'!$A$4:$C$1017,3,FALSE)</f>
        <v>Included in base game</v>
      </c>
    </row>
    <row r="516" spans="1:12" x14ac:dyDescent="0.25">
      <c r="A516">
        <v>879</v>
      </c>
      <c r="B516">
        <v>497</v>
      </c>
      <c r="C516">
        <v>534</v>
      </c>
      <c r="D516" t="s">
        <v>557</v>
      </c>
      <c r="E516" t="str">
        <f>IF(NOT(ISERROR(VLOOKUP(D516,'ESO Dungeon constants'!$A$3:$A$9999,1,FALSE))),"X","")</f>
        <v/>
      </c>
      <c r="F516" s="3" t="str">
        <f>IF(EXACT(A516,C516),"X","")</f>
        <v/>
      </c>
      <c r="G516" s="3" t="str">
        <f>IF(A516&lt;&gt;C516,VLOOKUP(C516,$A$5:$D$9954,4,FALSE),"")</f>
        <v>Stros M'Kai</v>
      </c>
      <c r="H516" s="17">
        <f>A516</f>
        <v>879</v>
      </c>
      <c r="I516" s="17">
        <f>C516</f>
        <v>534</v>
      </c>
      <c r="J516">
        <v>22</v>
      </c>
      <c r="K516" s="3" t="str">
        <f>VLOOKUP(J516,'LibSets constants'!$A$4:$B$1017,2,FALSE)</f>
        <v>DLC_BLACKWOOD</v>
      </c>
      <c r="L516" s="3" t="str">
        <f>VLOOKUP(J516,'LibSets constants'!$A$4:$C$1017,3,FALSE)</f>
        <v>Blackwood</v>
      </c>
    </row>
    <row r="517" spans="1:12" x14ac:dyDescent="0.25">
      <c r="A517">
        <v>725</v>
      </c>
      <c r="B517">
        <v>408</v>
      </c>
      <c r="C517">
        <v>816</v>
      </c>
      <c r="D517" t="s">
        <v>474</v>
      </c>
      <c r="E517" t="str">
        <f>IF(NOT(ISERROR(VLOOKUP(D517,'ESO Dungeon constants'!$A$3:$A$9999,1,FALSE))),"X","")</f>
        <v>X</v>
      </c>
      <c r="F517" s="3" t="str">
        <f>IF(EXACT(A517,C517),"X","")</f>
        <v/>
      </c>
      <c r="G517" s="3" t="str">
        <f>IF(A517&lt;&gt;C517,VLOOKUP(C517,$A$5:$D$9954,4,FALSE),"")</f>
        <v>Hew's Bane</v>
      </c>
      <c r="H517" s="17">
        <f>A517</f>
        <v>725</v>
      </c>
      <c r="I517" s="17">
        <f>C517</f>
        <v>816</v>
      </c>
      <c r="J517">
        <f>IF(E517="X",VLOOKUP(D517,'ESO Dungeon constants'!$A$3:$H$9999,8,FALSE),0)</f>
        <v>3</v>
      </c>
      <c r="K517" s="3" t="str">
        <f>VLOOKUP(J517,'LibSets constants'!$A$4:$B$1017,2,FALSE)</f>
        <v>DLC_THIEVES_GUILD</v>
      </c>
      <c r="L517" s="3" t="str">
        <f>VLOOKUP(J517,'LibSets constants'!$A$4:$C$1017,3,FALSE)</f>
        <v>Thieves Guild</v>
      </c>
    </row>
    <row r="518" spans="1:12" x14ac:dyDescent="0.25">
      <c r="A518">
        <v>880</v>
      </c>
      <c r="B518">
        <v>498</v>
      </c>
      <c r="C518">
        <v>92</v>
      </c>
      <c r="D518" t="s">
        <v>558</v>
      </c>
      <c r="E518" t="str">
        <f>IF(NOT(ISERROR(VLOOKUP(D518,'ESO Dungeon constants'!$A$3:$A$9999,1,FALSE))),"X","")</f>
        <v/>
      </c>
      <c r="F518" s="3" t="str">
        <f>IF(EXACT(A518,C518),"X","")</f>
        <v/>
      </c>
      <c r="G518" s="3" t="str">
        <f>IF(A518&lt;&gt;C518,VLOOKUP(C518,$A$5:$D$9954,4,FALSE),"")</f>
        <v>Bangkorai</v>
      </c>
      <c r="H518" s="17">
        <f>A518</f>
        <v>880</v>
      </c>
      <c r="I518" s="17">
        <f>C518</f>
        <v>92</v>
      </c>
      <c r="J518">
        <v>0</v>
      </c>
      <c r="K518" s="3" t="str">
        <f>VLOOKUP(J518,'LibSets constants'!$A$4:$B$1017,2,FALSE)</f>
        <v>DLC_BASE_GAME</v>
      </c>
      <c r="L518" s="3" t="str">
        <f>VLOOKUP(J518,'LibSets constants'!$A$4:$C$1017,3,FALSE)</f>
        <v>Included in base game</v>
      </c>
    </row>
    <row r="519" spans="1:12" x14ac:dyDescent="0.25">
      <c r="A519">
        <v>881</v>
      </c>
      <c r="B519">
        <v>499</v>
      </c>
      <c r="C519">
        <v>19</v>
      </c>
      <c r="D519" t="s">
        <v>559</v>
      </c>
      <c r="E519" t="str">
        <f>IF(NOT(ISERROR(VLOOKUP(D519,'ESO Dungeon constants'!$A$3:$A$9999,1,FALSE))),"X","")</f>
        <v/>
      </c>
      <c r="F519" s="3" t="str">
        <f>IF(EXACT(A519,C519),"X","")</f>
        <v/>
      </c>
      <c r="G519" s="3" t="str">
        <f>IF(A519&lt;&gt;C519,VLOOKUP(C519,$A$5:$D$9954,4,FALSE),"")</f>
        <v>Stormhaven</v>
      </c>
      <c r="H519" s="17">
        <f>A519</f>
        <v>881</v>
      </c>
      <c r="I519" s="17">
        <f>C519</f>
        <v>19</v>
      </c>
      <c r="J519">
        <v>0</v>
      </c>
      <c r="K519" s="3" t="str">
        <f>VLOOKUP(J519,'LibSets constants'!$A$4:$B$1017,2,FALSE)</f>
        <v>DLC_BASE_GAME</v>
      </c>
      <c r="L519" s="3" t="str">
        <f>VLOOKUP(J519,'LibSets constants'!$A$4:$C$1017,3,FALSE)</f>
        <v>Included in base game</v>
      </c>
    </row>
    <row r="520" spans="1:12" x14ac:dyDescent="0.25">
      <c r="A520">
        <v>882</v>
      </c>
      <c r="B520">
        <v>500</v>
      </c>
      <c r="C520">
        <v>383</v>
      </c>
      <c r="D520" t="s">
        <v>560</v>
      </c>
      <c r="E520" t="str">
        <f>IF(NOT(ISERROR(VLOOKUP(D520,'ESO Dungeon constants'!$A$3:$A$9999,1,FALSE))),"X","")</f>
        <v/>
      </c>
      <c r="F520" s="3" t="str">
        <f>IF(EXACT(A520,C520),"X","")</f>
        <v/>
      </c>
      <c r="G520" s="3" t="str">
        <f>IF(A520&lt;&gt;C520,VLOOKUP(C520,$A$5:$D$9954,4,FALSE),"")</f>
        <v>Grahtwood</v>
      </c>
      <c r="H520" s="17">
        <f>A520</f>
        <v>882</v>
      </c>
      <c r="I520" s="17">
        <f>C520</f>
        <v>383</v>
      </c>
      <c r="J520">
        <v>0</v>
      </c>
      <c r="K520" s="3" t="str">
        <f>VLOOKUP(J520,'LibSets constants'!$A$4:$B$1017,2,FALSE)</f>
        <v>DLC_BASE_GAME</v>
      </c>
      <c r="L520" s="3" t="str">
        <f>VLOOKUP(J520,'LibSets constants'!$A$4:$C$1017,3,FALSE)</f>
        <v>Included in base game</v>
      </c>
    </row>
    <row r="521" spans="1:12" x14ac:dyDescent="0.25">
      <c r="A521">
        <v>883</v>
      </c>
      <c r="B521">
        <v>501</v>
      </c>
      <c r="C521">
        <v>888</v>
      </c>
      <c r="D521" t="s">
        <v>561</v>
      </c>
      <c r="E521" t="str">
        <f>IF(NOT(ISERROR(VLOOKUP(D521,'ESO Dungeon constants'!$A$3:$A$9999,1,FALSE))),"X","")</f>
        <v/>
      </c>
      <c r="F521" s="3" t="str">
        <f>IF(EXACT(A521,C521),"X","")</f>
        <v/>
      </c>
      <c r="G521" s="3" t="str">
        <f>IF(A521&lt;&gt;C521,VLOOKUP(C521,$A$5:$D$9954,4,FALSE),"")</f>
        <v>Craglorn</v>
      </c>
      <c r="H521" s="17">
        <f>A521</f>
        <v>883</v>
      </c>
      <c r="I521" s="17">
        <f>C521</f>
        <v>888</v>
      </c>
      <c r="J521">
        <v>0</v>
      </c>
      <c r="K521" s="3" t="str">
        <f>VLOOKUP(J521,'LibSets constants'!$A$4:$B$1017,2,FALSE)</f>
        <v>DLC_BASE_GAME</v>
      </c>
      <c r="L521" s="3" t="str">
        <f>VLOOKUP(J521,'LibSets constants'!$A$4:$C$1017,3,FALSE)</f>
        <v>Included in base game</v>
      </c>
    </row>
    <row r="522" spans="1:12" x14ac:dyDescent="0.25">
      <c r="A522">
        <v>888</v>
      </c>
      <c r="B522">
        <v>502</v>
      </c>
      <c r="C522">
        <v>888</v>
      </c>
      <c r="D522" t="s">
        <v>562</v>
      </c>
      <c r="E522" t="str">
        <f>IF(NOT(ISERROR(VLOOKUP(D522,'ESO Dungeon constants'!$A$3:$A$9999,1,FALSE))),"X","")</f>
        <v/>
      </c>
      <c r="F522" s="3" t="str">
        <f>IF(EXACT(A522,C522),"X","")</f>
        <v>X</v>
      </c>
      <c r="G522" s="3" t="str">
        <f>IF(A522&lt;&gt;C522,VLOOKUP(C522,$A$5:$D$9954,4,FALSE),"")</f>
        <v/>
      </c>
      <c r="H522" s="17">
        <f>A522</f>
        <v>888</v>
      </c>
      <c r="I522" s="17">
        <f>C522</f>
        <v>888</v>
      </c>
      <c r="J522">
        <v>22</v>
      </c>
      <c r="K522" s="3" t="str">
        <f>VLOOKUP(J522,'LibSets constants'!$A$4:$B$1017,2,FALSE)</f>
        <v>DLC_BLACKWOOD</v>
      </c>
      <c r="L522" s="3" t="str">
        <f>VLOOKUP(J522,'LibSets constants'!$A$4:$C$1017,3,FALSE)</f>
        <v>Blackwood</v>
      </c>
    </row>
    <row r="523" spans="1:12" x14ac:dyDescent="0.25">
      <c r="A523">
        <v>889</v>
      </c>
      <c r="B523">
        <v>503</v>
      </c>
      <c r="C523">
        <v>888</v>
      </c>
      <c r="D523" t="s">
        <v>563</v>
      </c>
      <c r="E523" t="str">
        <f>IF(NOT(ISERROR(VLOOKUP(D523,'ESO Dungeon constants'!$A$3:$A$9999,1,FALSE))),"X","")</f>
        <v/>
      </c>
      <c r="F523" s="3" t="str">
        <f>IF(EXACT(A523,C523),"X","")</f>
        <v/>
      </c>
      <c r="G523" s="3" t="str">
        <f>IF(A523&lt;&gt;C523,VLOOKUP(C523,$A$5:$D$9954,4,FALSE),"")</f>
        <v>Craglorn</v>
      </c>
      <c r="H523" s="17">
        <f>A523</f>
        <v>889</v>
      </c>
      <c r="I523" s="17">
        <f>C523</f>
        <v>888</v>
      </c>
      <c r="J523">
        <v>0</v>
      </c>
      <c r="K523" s="3" t="str">
        <f>VLOOKUP(J523,'LibSets constants'!$A$4:$B$1017,2,FALSE)</f>
        <v>DLC_BASE_GAME</v>
      </c>
      <c r="L523" s="3" t="str">
        <f>VLOOKUP(J523,'LibSets constants'!$A$4:$C$1017,3,FALSE)</f>
        <v>Included in base game</v>
      </c>
    </row>
    <row r="524" spans="1:12" x14ac:dyDescent="0.25">
      <c r="A524">
        <v>890</v>
      </c>
      <c r="B524">
        <v>504</v>
      </c>
      <c r="C524">
        <v>888</v>
      </c>
      <c r="D524" t="s">
        <v>564</v>
      </c>
      <c r="E524" t="str">
        <f>IF(NOT(ISERROR(VLOOKUP(D524,'ESO Dungeon constants'!$A$3:$A$9999,1,FALSE))),"X","")</f>
        <v/>
      </c>
      <c r="F524" s="3" t="str">
        <f>IF(EXACT(A524,C524),"X","")</f>
        <v/>
      </c>
      <c r="G524" s="3" t="str">
        <f>IF(A524&lt;&gt;C524,VLOOKUP(C524,$A$5:$D$9954,4,FALSE),"")</f>
        <v>Craglorn</v>
      </c>
      <c r="H524" s="17">
        <f>A524</f>
        <v>890</v>
      </c>
      <c r="I524" s="17">
        <f>C524</f>
        <v>888</v>
      </c>
      <c r="J524">
        <v>0</v>
      </c>
      <c r="K524" s="3" t="str">
        <f>VLOOKUP(J524,'LibSets constants'!$A$4:$B$1017,2,FALSE)</f>
        <v>DLC_BASE_GAME</v>
      </c>
      <c r="L524" s="3" t="str">
        <f>VLOOKUP(J524,'LibSets constants'!$A$4:$C$1017,3,FALSE)</f>
        <v>Included in base game</v>
      </c>
    </row>
    <row r="525" spans="1:12" x14ac:dyDescent="0.25">
      <c r="A525">
        <v>891</v>
      </c>
      <c r="B525">
        <v>505</v>
      </c>
      <c r="C525">
        <v>888</v>
      </c>
      <c r="D525" t="s">
        <v>565</v>
      </c>
      <c r="E525" t="str">
        <f>IF(NOT(ISERROR(VLOOKUP(D525,'ESO Dungeon constants'!$A$3:$A$9999,1,FALSE))),"X","")</f>
        <v/>
      </c>
      <c r="F525" s="3" t="str">
        <f>IF(EXACT(A525,C525),"X","")</f>
        <v/>
      </c>
      <c r="G525" s="3" t="str">
        <f>IF(A525&lt;&gt;C525,VLOOKUP(C525,$A$5:$D$9954,4,FALSE),"")</f>
        <v>Craglorn</v>
      </c>
      <c r="H525" s="17">
        <f>A525</f>
        <v>891</v>
      </c>
      <c r="I525" s="17">
        <f>C525</f>
        <v>888</v>
      </c>
      <c r="J525">
        <v>0</v>
      </c>
      <c r="K525" s="3" t="str">
        <f>VLOOKUP(J525,'LibSets constants'!$A$4:$B$1017,2,FALSE)</f>
        <v>DLC_BASE_GAME</v>
      </c>
      <c r="L525" s="3" t="str">
        <f>VLOOKUP(J525,'LibSets constants'!$A$4:$C$1017,3,FALSE)</f>
        <v>Included in base game</v>
      </c>
    </row>
    <row r="526" spans="1:12" x14ac:dyDescent="0.25">
      <c r="A526">
        <v>892</v>
      </c>
      <c r="B526">
        <v>506</v>
      </c>
      <c r="C526">
        <v>888</v>
      </c>
      <c r="D526" t="s">
        <v>566</v>
      </c>
      <c r="E526" t="str">
        <f>IF(NOT(ISERROR(VLOOKUP(D526,'ESO Dungeon constants'!$A$3:$A$9999,1,FALSE))),"X","")</f>
        <v/>
      </c>
      <c r="F526" s="3" t="str">
        <f>IF(EXACT(A526,C526),"X","")</f>
        <v/>
      </c>
      <c r="G526" s="3" t="str">
        <f>IF(A526&lt;&gt;C526,VLOOKUP(C526,$A$5:$D$9954,4,FALSE),"")</f>
        <v>Craglorn</v>
      </c>
      <c r="H526" s="17">
        <f>A526</f>
        <v>892</v>
      </c>
      <c r="I526" s="17">
        <f>C526</f>
        <v>888</v>
      </c>
      <c r="J526">
        <v>0</v>
      </c>
      <c r="K526" s="3" t="str">
        <f>VLOOKUP(J526,'LibSets constants'!$A$4:$B$1017,2,FALSE)</f>
        <v>DLC_BASE_GAME</v>
      </c>
      <c r="L526" s="3" t="str">
        <f>VLOOKUP(J526,'LibSets constants'!$A$4:$C$1017,3,FALSE)</f>
        <v>Included in base game</v>
      </c>
    </row>
    <row r="527" spans="1:12" x14ac:dyDescent="0.25">
      <c r="A527">
        <v>893</v>
      </c>
      <c r="B527">
        <v>507</v>
      </c>
      <c r="C527">
        <v>888</v>
      </c>
      <c r="D527" t="s">
        <v>567</v>
      </c>
      <c r="E527" t="str">
        <f>IF(NOT(ISERROR(VLOOKUP(D527,'ESO Dungeon constants'!$A$3:$A$9999,1,FALSE))),"X","")</f>
        <v/>
      </c>
      <c r="F527" s="3" t="str">
        <f>IF(EXACT(A527,C527),"X","")</f>
        <v/>
      </c>
      <c r="G527" s="3" t="str">
        <f>IF(A527&lt;&gt;C527,VLOOKUP(C527,$A$5:$D$9954,4,FALSE),"")</f>
        <v>Craglorn</v>
      </c>
      <c r="H527" s="17">
        <f>A527</f>
        <v>893</v>
      </c>
      <c r="I527" s="17">
        <f>C527</f>
        <v>888</v>
      </c>
      <c r="J527">
        <v>0</v>
      </c>
      <c r="K527" s="3" t="str">
        <f>VLOOKUP(J527,'LibSets constants'!$A$4:$B$1017,2,FALSE)</f>
        <v>DLC_BASE_GAME</v>
      </c>
      <c r="L527" s="3" t="str">
        <f>VLOOKUP(J527,'LibSets constants'!$A$4:$C$1017,3,FALSE)</f>
        <v>Included in base game</v>
      </c>
    </row>
    <row r="528" spans="1:12" x14ac:dyDescent="0.25">
      <c r="A528">
        <v>894</v>
      </c>
      <c r="B528">
        <v>508</v>
      </c>
      <c r="C528">
        <v>888</v>
      </c>
      <c r="D528" t="s">
        <v>568</v>
      </c>
      <c r="E528" t="str">
        <f>IF(NOT(ISERROR(VLOOKUP(D528,'ESO Dungeon constants'!$A$3:$A$9999,1,FALSE))),"X","")</f>
        <v/>
      </c>
      <c r="F528" s="3" t="str">
        <f>IF(EXACT(A528,C528),"X","")</f>
        <v/>
      </c>
      <c r="G528" s="3" t="str">
        <f>IF(A528&lt;&gt;C528,VLOOKUP(C528,$A$5:$D$9954,4,FALSE),"")</f>
        <v>Craglorn</v>
      </c>
      <c r="H528" s="17">
        <f>A528</f>
        <v>894</v>
      </c>
      <c r="I528" s="17">
        <f>C528</f>
        <v>888</v>
      </c>
      <c r="J528">
        <v>0</v>
      </c>
      <c r="K528" s="3" t="str">
        <f>VLOOKUP(J528,'LibSets constants'!$A$4:$B$1017,2,FALSE)</f>
        <v>DLC_BASE_GAME</v>
      </c>
      <c r="L528" s="3" t="str">
        <f>VLOOKUP(J528,'LibSets constants'!$A$4:$C$1017,3,FALSE)</f>
        <v>Included in base game</v>
      </c>
    </row>
    <row r="529" spans="1:12" x14ac:dyDescent="0.25">
      <c r="A529">
        <v>895</v>
      </c>
      <c r="B529">
        <v>509</v>
      </c>
      <c r="C529">
        <v>888</v>
      </c>
      <c r="D529" t="s">
        <v>2414</v>
      </c>
      <c r="E529" t="str">
        <f>IF(NOT(ISERROR(VLOOKUP(D529,'ESO Dungeon constants'!$A$3:$A$9999,1,FALSE))),"X","")</f>
        <v/>
      </c>
      <c r="F529" s="3" t="str">
        <f>IF(EXACT(A529,C529),"X","")</f>
        <v/>
      </c>
      <c r="G529" s="3" t="str">
        <f>IF(A529&lt;&gt;C529,VLOOKUP(C529,$A$5:$D$9954,4,FALSE),"")</f>
        <v>Craglorn</v>
      </c>
      <c r="H529" s="17">
        <f>A529</f>
        <v>895</v>
      </c>
      <c r="I529" s="17">
        <f>C529</f>
        <v>888</v>
      </c>
      <c r="J529">
        <v>0</v>
      </c>
      <c r="K529" s="3" t="str">
        <f>VLOOKUP(J529,'LibSets constants'!$A$4:$B$1017,2,FALSE)</f>
        <v>DLC_BASE_GAME</v>
      </c>
      <c r="L529" s="3" t="str">
        <f>VLOOKUP(J529,'LibSets constants'!$A$4:$C$1017,3,FALSE)</f>
        <v>Included in base game</v>
      </c>
    </row>
    <row r="530" spans="1:12" x14ac:dyDescent="0.25">
      <c r="A530">
        <v>896</v>
      </c>
      <c r="B530">
        <v>510</v>
      </c>
      <c r="C530">
        <v>888</v>
      </c>
      <c r="D530" t="s">
        <v>569</v>
      </c>
      <c r="E530" t="str">
        <f>IF(NOT(ISERROR(VLOOKUP(D530,'ESO Dungeon constants'!$A$3:$A$9999,1,FALSE))),"X","")</f>
        <v/>
      </c>
      <c r="F530" s="3" t="str">
        <f>IF(EXACT(A530,C530),"X","")</f>
        <v/>
      </c>
      <c r="G530" s="3" t="str">
        <f>IF(A530&lt;&gt;C530,VLOOKUP(C530,$A$5:$D$9954,4,FALSE),"")</f>
        <v>Craglorn</v>
      </c>
      <c r="H530" s="17">
        <f>A530</f>
        <v>896</v>
      </c>
      <c r="I530" s="17">
        <f>C530</f>
        <v>888</v>
      </c>
      <c r="J530">
        <v>0</v>
      </c>
      <c r="K530" s="3" t="str">
        <f>VLOOKUP(J530,'LibSets constants'!$A$4:$B$1017,2,FALSE)</f>
        <v>DLC_BASE_GAME</v>
      </c>
      <c r="L530" s="3" t="str">
        <f>VLOOKUP(J530,'LibSets constants'!$A$4:$C$1017,3,FALSE)</f>
        <v>Included in base game</v>
      </c>
    </row>
    <row r="531" spans="1:12" x14ac:dyDescent="0.25">
      <c r="A531">
        <v>897</v>
      </c>
      <c r="B531">
        <v>511</v>
      </c>
      <c r="C531">
        <v>888</v>
      </c>
      <c r="D531" t="s">
        <v>570</v>
      </c>
      <c r="E531" t="str">
        <f>IF(NOT(ISERROR(VLOOKUP(D531,'ESO Dungeon constants'!$A$3:$A$9999,1,FALSE))),"X","")</f>
        <v/>
      </c>
      <c r="F531" s="3" t="str">
        <f>IF(EXACT(A531,C531),"X","")</f>
        <v/>
      </c>
      <c r="G531" s="3" t="str">
        <f>IF(A531&lt;&gt;C531,VLOOKUP(C531,$A$5:$D$9954,4,FALSE),"")</f>
        <v>Craglorn</v>
      </c>
      <c r="H531" s="17">
        <f>A531</f>
        <v>897</v>
      </c>
      <c r="I531" s="17">
        <f>C531</f>
        <v>888</v>
      </c>
      <c r="J531">
        <v>0</v>
      </c>
      <c r="K531" s="3" t="str">
        <f>VLOOKUP(J531,'LibSets constants'!$A$4:$B$1017,2,FALSE)</f>
        <v>DLC_BASE_GAME</v>
      </c>
      <c r="L531" s="3" t="str">
        <f>VLOOKUP(J531,'LibSets constants'!$A$4:$C$1017,3,FALSE)</f>
        <v>Included in base game</v>
      </c>
    </row>
    <row r="532" spans="1:12" x14ac:dyDescent="0.25">
      <c r="A532">
        <v>898</v>
      </c>
      <c r="B532">
        <v>512</v>
      </c>
      <c r="C532">
        <v>888</v>
      </c>
      <c r="D532" t="s">
        <v>571</v>
      </c>
      <c r="E532" t="str">
        <f>IF(NOT(ISERROR(VLOOKUP(D532,'ESO Dungeon constants'!$A$3:$A$9999,1,FALSE))),"X","")</f>
        <v/>
      </c>
      <c r="F532" s="3" t="str">
        <f>IF(EXACT(A532,C532),"X","")</f>
        <v/>
      </c>
      <c r="G532" s="3" t="str">
        <f>IF(A532&lt;&gt;C532,VLOOKUP(C532,$A$5:$D$9954,4,FALSE),"")</f>
        <v>Craglorn</v>
      </c>
      <c r="H532" s="17">
        <f>A532</f>
        <v>898</v>
      </c>
      <c r="I532" s="17">
        <f>C532</f>
        <v>888</v>
      </c>
      <c r="J532">
        <v>0</v>
      </c>
      <c r="K532" s="3" t="str">
        <f>VLOOKUP(J532,'LibSets constants'!$A$4:$B$1017,2,FALSE)</f>
        <v>DLC_BASE_GAME</v>
      </c>
      <c r="L532" s="3" t="str">
        <f>VLOOKUP(J532,'LibSets constants'!$A$4:$C$1017,3,FALSE)</f>
        <v>Included in base game</v>
      </c>
    </row>
    <row r="533" spans="1:12" x14ac:dyDescent="0.25">
      <c r="A533">
        <v>899</v>
      </c>
      <c r="B533">
        <v>513</v>
      </c>
      <c r="C533">
        <v>888</v>
      </c>
      <c r="D533" t="s">
        <v>572</v>
      </c>
      <c r="E533" t="str">
        <f>IF(NOT(ISERROR(VLOOKUP(D533,'ESO Dungeon constants'!$A$3:$A$9999,1,FALSE))),"X","")</f>
        <v/>
      </c>
      <c r="F533" s="3" t="str">
        <f>IF(EXACT(A533,C533),"X","")</f>
        <v/>
      </c>
      <c r="G533" s="3" t="str">
        <f>IF(A533&lt;&gt;C533,VLOOKUP(C533,$A$5:$D$9954,4,FALSE),"")</f>
        <v>Craglorn</v>
      </c>
      <c r="H533" s="17">
        <f>A533</f>
        <v>899</v>
      </c>
      <c r="I533" s="17">
        <f>C533</f>
        <v>888</v>
      </c>
      <c r="J533">
        <v>0</v>
      </c>
      <c r="K533" s="3" t="str">
        <f>VLOOKUP(J533,'LibSets constants'!$A$4:$B$1017,2,FALSE)</f>
        <v>DLC_BASE_GAME</v>
      </c>
      <c r="L533" s="3" t="str">
        <f>VLOOKUP(J533,'LibSets constants'!$A$4:$C$1017,3,FALSE)</f>
        <v>Included in base game</v>
      </c>
    </row>
    <row r="534" spans="1:12" x14ac:dyDescent="0.25">
      <c r="A534">
        <v>900</v>
      </c>
      <c r="B534">
        <v>514</v>
      </c>
      <c r="C534">
        <v>888</v>
      </c>
      <c r="D534" t="s">
        <v>573</v>
      </c>
      <c r="E534" t="str">
        <f>IF(NOT(ISERROR(VLOOKUP(D534,'ESO Dungeon constants'!$A$3:$A$9999,1,FALSE))),"X","")</f>
        <v/>
      </c>
      <c r="F534" s="3" t="str">
        <f>IF(EXACT(A534,C534),"X","")</f>
        <v/>
      </c>
      <c r="G534" s="3" t="str">
        <f>IF(A534&lt;&gt;C534,VLOOKUP(C534,$A$5:$D$9954,4,FALSE),"")</f>
        <v>Craglorn</v>
      </c>
      <c r="H534" s="17">
        <f>A534</f>
        <v>900</v>
      </c>
      <c r="I534" s="17">
        <f>C534</f>
        <v>888</v>
      </c>
      <c r="J534">
        <v>0</v>
      </c>
      <c r="K534" s="3" t="str">
        <f>VLOOKUP(J534,'LibSets constants'!$A$4:$B$1017,2,FALSE)</f>
        <v>DLC_BASE_GAME</v>
      </c>
      <c r="L534" s="3" t="str">
        <f>VLOOKUP(J534,'LibSets constants'!$A$4:$C$1017,3,FALSE)</f>
        <v>Included in base game</v>
      </c>
    </row>
    <row r="535" spans="1:12" x14ac:dyDescent="0.25">
      <c r="A535">
        <v>1052</v>
      </c>
      <c r="B535">
        <v>656</v>
      </c>
      <c r="C535">
        <v>382</v>
      </c>
      <c r="D535" t="s">
        <v>73</v>
      </c>
      <c r="E535" t="str">
        <f>IF(NOT(ISERROR(VLOOKUP(D535,'ESO Dungeon constants'!$A$3:$A$9999,1,FALSE))),"X","")</f>
        <v>X</v>
      </c>
      <c r="F535" s="3" t="str">
        <f>IF(EXACT(A535,C535),"X","")</f>
        <v/>
      </c>
      <c r="G535" s="3" t="str">
        <f>IF(A535&lt;&gt;C535,VLOOKUP(C535,$A$5:$D$9954,4,FALSE),"")</f>
        <v>Reaper's March</v>
      </c>
      <c r="H535" s="17">
        <f>A535</f>
        <v>1052</v>
      </c>
      <c r="I535" s="17">
        <f>C535</f>
        <v>382</v>
      </c>
      <c r="J535">
        <f>IF(E535="X",VLOOKUP(D535,'ESO Dungeon constants'!$A$3:$H$9999,8,FALSE),0)</f>
        <v>11</v>
      </c>
      <c r="K535" s="3" t="str">
        <f>VLOOKUP(J535,'LibSets constants'!$A$4:$B$1017,2,FALSE)</f>
        <v>DLC_WOLFHUNTER</v>
      </c>
      <c r="L535" s="3" t="str">
        <f>VLOOKUP(J535,'LibSets constants'!$A$4:$C$1017,3,FALSE)</f>
        <v>Wolfhunter</v>
      </c>
    </row>
    <row r="536" spans="1:12" x14ac:dyDescent="0.25">
      <c r="A536">
        <v>1122</v>
      </c>
      <c r="B536">
        <v>715</v>
      </c>
      <c r="C536">
        <v>1086</v>
      </c>
      <c r="D536" t="s">
        <v>1479</v>
      </c>
      <c r="E536" t="str">
        <f>IF(NOT(ISERROR(VLOOKUP(D536,'ESO Dungeon constants'!$A$3:$A$9999,1,FALSE))),"X","")</f>
        <v>X</v>
      </c>
      <c r="F536" s="3" t="str">
        <f>IF(EXACT(A536,C536),"X","")</f>
        <v/>
      </c>
      <c r="G536" s="3" t="str">
        <f>IF(A536&lt;&gt;C536,VLOOKUP(C536,$A$5:$D$9954,4,FALSE),"")</f>
        <v>Northern Elsweyr</v>
      </c>
      <c r="H536" s="17">
        <f>A536</f>
        <v>1122</v>
      </c>
      <c r="I536" s="17">
        <f>C536</f>
        <v>1086</v>
      </c>
      <c r="J536">
        <f>IF(E536="X",VLOOKUP(D536,'ESO Dungeon constants'!$A$3:$H$9999,8,FALSE),0)</f>
        <v>15</v>
      </c>
      <c r="K536" s="3" t="str">
        <f>VLOOKUP(J536,'LibSets constants'!$A$4:$B$1017,2,FALSE)</f>
        <v>DLC_SCALEBREAKER</v>
      </c>
      <c r="L536" s="3" t="str">
        <f>VLOOKUP(J536,'LibSets constants'!$A$4:$C$1017,3,FALSE)</f>
        <v>Scalebraker</v>
      </c>
    </row>
    <row r="537" spans="1:12" x14ac:dyDescent="0.25">
      <c r="A537">
        <v>901</v>
      </c>
      <c r="B537">
        <v>515</v>
      </c>
      <c r="C537">
        <v>888</v>
      </c>
      <c r="D537" t="s">
        <v>574</v>
      </c>
      <c r="E537" t="str">
        <f>IF(NOT(ISERROR(VLOOKUP(D537,'ESO Dungeon constants'!$A$3:$A$9999,1,FALSE))),"X","")</f>
        <v/>
      </c>
      <c r="F537" s="3" t="str">
        <f>IF(EXACT(A537,C537),"X","")</f>
        <v/>
      </c>
      <c r="G537" s="3" t="str">
        <f>IF(A537&lt;&gt;C537,VLOOKUP(C537,$A$5:$D$9954,4,FALSE),"")</f>
        <v>Craglorn</v>
      </c>
      <c r="H537" s="17">
        <f>A537</f>
        <v>901</v>
      </c>
      <c r="I537" s="17">
        <f>C537</f>
        <v>888</v>
      </c>
      <c r="J537">
        <v>0</v>
      </c>
      <c r="K537" s="3" t="str">
        <f>VLOOKUP(J537,'LibSets constants'!$A$4:$B$1017,2,FALSE)</f>
        <v>DLC_BASE_GAME</v>
      </c>
      <c r="L537" s="3" t="str">
        <f>VLOOKUP(J537,'LibSets constants'!$A$4:$C$1017,3,FALSE)</f>
        <v>Included in base game</v>
      </c>
    </row>
    <row r="538" spans="1:12" x14ac:dyDescent="0.25">
      <c r="A538">
        <v>902</v>
      </c>
      <c r="B538">
        <v>516</v>
      </c>
      <c r="C538">
        <v>888</v>
      </c>
      <c r="D538" t="s">
        <v>575</v>
      </c>
      <c r="E538" t="str">
        <f>IF(NOT(ISERROR(VLOOKUP(D538,'ESO Dungeon constants'!$A$3:$A$9999,1,FALSE))),"X","")</f>
        <v/>
      </c>
      <c r="F538" s="3" t="str">
        <f>IF(EXACT(A538,C538),"X","")</f>
        <v/>
      </c>
      <c r="G538" s="3" t="str">
        <f>IF(A538&lt;&gt;C538,VLOOKUP(C538,$A$5:$D$9954,4,FALSE),"")</f>
        <v>Craglorn</v>
      </c>
      <c r="H538" s="17">
        <f>A538</f>
        <v>902</v>
      </c>
      <c r="I538" s="17">
        <f>C538</f>
        <v>888</v>
      </c>
      <c r="J538">
        <v>0</v>
      </c>
      <c r="K538" s="3" t="str">
        <f>VLOOKUP(J538,'LibSets constants'!$A$4:$B$1017,2,FALSE)</f>
        <v>DLC_BASE_GAME</v>
      </c>
      <c r="L538" s="3" t="str">
        <f>VLOOKUP(J538,'LibSets constants'!$A$4:$C$1017,3,FALSE)</f>
        <v>Included in base game</v>
      </c>
    </row>
    <row r="539" spans="1:12" x14ac:dyDescent="0.25">
      <c r="A539">
        <v>903</v>
      </c>
      <c r="B539">
        <v>517</v>
      </c>
      <c r="C539">
        <v>888</v>
      </c>
      <c r="D539" t="s">
        <v>576</v>
      </c>
      <c r="E539" t="str">
        <f>IF(NOT(ISERROR(VLOOKUP(D539,'ESO Dungeon constants'!$A$3:$A$9999,1,FALSE))),"X","")</f>
        <v/>
      </c>
      <c r="F539" s="3" t="str">
        <f>IF(EXACT(A539,C539),"X","")</f>
        <v/>
      </c>
      <c r="G539" s="3" t="str">
        <f>IF(A539&lt;&gt;C539,VLOOKUP(C539,$A$5:$D$9954,4,FALSE),"")</f>
        <v>Craglorn</v>
      </c>
      <c r="H539" s="17">
        <f>A539</f>
        <v>903</v>
      </c>
      <c r="I539" s="17">
        <f>C539</f>
        <v>888</v>
      </c>
      <c r="J539">
        <v>0</v>
      </c>
      <c r="K539" s="3" t="str">
        <f>VLOOKUP(J539,'LibSets constants'!$A$4:$B$1017,2,FALSE)</f>
        <v>DLC_BASE_GAME</v>
      </c>
      <c r="L539" s="3" t="str">
        <f>VLOOKUP(J539,'LibSets constants'!$A$4:$C$1017,3,FALSE)</f>
        <v>Included in base game</v>
      </c>
    </row>
    <row r="540" spans="1:12" x14ac:dyDescent="0.25">
      <c r="A540">
        <v>904</v>
      </c>
      <c r="B540">
        <v>518</v>
      </c>
      <c r="C540">
        <v>888</v>
      </c>
      <c r="D540" t="s">
        <v>577</v>
      </c>
      <c r="E540" t="str">
        <f>IF(NOT(ISERROR(VLOOKUP(D540,'ESO Dungeon constants'!$A$3:$A$9999,1,FALSE))),"X","")</f>
        <v/>
      </c>
      <c r="F540" s="3" t="str">
        <f>IF(EXACT(A540,C540),"X","")</f>
        <v/>
      </c>
      <c r="G540" s="3" t="str">
        <f>IF(A540&lt;&gt;C540,VLOOKUP(C540,$A$5:$D$9954,4,FALSE),"")</f>
        <v>Craglorn</v>
      </c>
      <c r="H540" s="17">
        <f>A540</f>
        <v>904</v>
      </c>
      <c r="I540" s="17">
        <f>C540</f>
        <v>888</v>
      </c>
      <c r="J540">
        <v>0</v>
      </c>
      <c r="K540" s="3" t="str">
        <f>VLOOKUP(J540,'LibSets constants'!$A$4:$B$1017,2,FALSE)</f>
        <v>DLC_BASE_GAME</v>
      </c>
      <c r="L540" s="3" t="str">
        <f>VLOOKUP(J540,'LibSets constants'!$A$4:$C$1017,3,FALSE)</f>
        <v>Included in base game</v>
      </c>
    </row>
    <row r="541" spans="1:12" x14ac:dyDescent="0.25">
      <c r="A541">
        <v>905</v>
      </c>
      <c r="B541">
        <v>519</v>
      </c>
      <c r="C541">
        <v>888</v>
      </c>
      <c r="D541" t="s">
        <v>578</v>
      </c>
      <c r="E541" t="str">
        <f>IF(NOT(ISERROR(VLOOKUP(D541,'ESO Dungeon constants'!$A$3:$A$9999,1,FALSE))),"X","")</f>
        <v/>
      </c>
      <c r="F541" s="3" t="str">
        <f>IF(EXACT(A541,C541),"X","")</f>
        <v/>
      </c>
      <c r="G541" s="3" t="str">
        <f>IF(A541&lt;&gt;C541,VLOOKUP(C541,$A$5:$D$9954,4,FALSE),"")</f>
        <v>Craglorn</v>
      </c>
      <c r="H541" s="17">
        <f>A541</f>
        <v>905</v>
      </c>
      <c r="I541" s="17">
        <f>C541</f>
        <v>888</v>
      </c>
      <c r="J541">
        <v>0</v>
      </c>
      <c r="K541" s="3" t="str">
        <f>VLOOKUP(J541,'LibSets constants'!$A$4:$B$1017,2,FALSE)</f>
        <v>DLC_BASE_GAME</v>
      </c>
      <c r="L541" s="3" t="str">
        <f>VLOOKUP(J541,'LibSets constants'!$A$4:$C$1017,3,FALSE)</f>
        <v>Included in base game</v>
      </c>
    </row>
    <row r="542" spans="1:12" x14ac:dyDescent="0.25">
      <c r="A542">
        <v>906</v>
      </c>
      <c r="B542">
        <v>520</v>
      </c>
      <c r="C542">
        <v>888</v>
      </c>
      <c r="D542" t="s">
        <v>579</v>
      </c>
      <c r="E542" t="str">
        <f>IF(NOT(ISERROR(VLOOKUP(D542,'ESO Dungeon constants'!$A$3:$A$9999,1,FALSE))),"X","")</f>
        <v/>
      </c>
      <c r="F542" s="3" t="str">
        <f>IF(EXACT(A542,C542),"X","")</f>
        <v/>
      </c>
      <c r="G542" s="3" t="str">
        <f>IF(A542&lt;&gt;C542,VLOOKUP(C542,$A$5:$D$9954,4,FALSE),"")</f>
        <v>Craglorn</v>
      </c>
      <c r="H542" s="17">
        <f>A542</f>
        <v>906</v>
      </c>
      <c r="I542" s="17">
        <f>C542</f>
        <v>888</v>
      </c>
      <c r="J542">
        <v>0</v>
      </c>
      <c r="K542" s="3" t="str">
        <f>VLOOKUP(J542,'LibSets constants'!$A$4:$B$1017,2,FALSE)</f>
        <v>DLC_BASE_GAME</v>
      </c>
      <c r="L542" s="3" t="str">
        <f>VLOOKUP(J542,'LibSets constants'!$A$4:$C$1017,3,FALSE)</f>
        <v>Included in base game</v>
      </c>
    </row>
    <row r="543" spans="1:12" x14ac:dyDescent="0.25">
      <c r="A543">
        <v>907</v>
      </c>
      <c r="B543">
        <v>521</v>
      </c>
      <c r="C543">
        <v>888</v>
      </c>
      <c r="D543" t="s">
        <v>3901</v>
      </c>
      <c r="E543" t="str">
        <f>IF(NOT(ISERROR(VLOOKUP(D543,'ESO Dungeon constants'!$A$3:$A$9999,1,FALSE))),"X","")</f>
        <v/>
      </c>
      <c r="F543" s="3" t="str">
        <f>IF(EXACT(A543,C543),"X","")</f>
        <v/>
      </c>
      <c r="G543" s="3" t="str">
        <f>IF(A543&lt;&gt;C543,VLOOKUP(C543,$A$5:$D$9954,4,FALSE),"")</f>
        <v>Craglorn</v>
      </c>
      <c r="H543" s="17">
        <f>A543</f>
        <v>907</v>
      </c>
      <c r="I543" s="17">
        <f>C543</f>
        <v>888</v>
      </c>
      <c r="J543">
        <v>0</v>
      </c>
      <c r="K543" s="3" t="str">
        <f>VLOOKUP(J543,'LibSets constants'!$A$4:$B$1017,2,FALSE)</f>
        <v>DLC_BASE_GAME</v>
      </c>
      <c r="L543" s="3" t="str">
        <f>VLOOKUP(J543,'LibSets constants'!$A$4:$C$1017,3,FALSE)</f>
        <v>Included in base game</v>
      </c>
    </row>
    <row r="544" spans="1:12" x14ac:dyDescent="0.25">
      <c r="A544">
        <v>908</v>
      </c>
      <c r="B544">
        <v>522</v>
      </c>
      <c r="C544">
        <v>888</v>
      </c>
      <c r="D544" t="s">
        <v>580</v>
      </c>
      <c r="E544" t="str">
        <f>IF(NOT(ISERROR(VLOOKUP(D544,'ESO Dungeon constants'!$A$3:$A$9999,1,FALSE))),"X","")</f>
        <v/>
      </c>
      <c r="F544" s="3" t="str">
        <f>IF(EXACT(A544,C544),"X","")</f>
        <v/>
      </c>
      <c r="G544" s="3" t="str">
        <f>IF(A544&lt;&gt;C544,VLOOKUP(C544,$A$5:$D$9954,4,FALSE),"")</f>
        <v>Craglorn</v>
      </c>
      <c r="H544" s="17">
        <f>A544</f>
        <v>908</v>
      </c>
      <c r="I544" s="17">
        <f>C544</f>
        <v>888</v>
      </c>
      <c r="J544">
        <v>0</v>
      </c>
      <c r="K544" s="3" t="str">
        <f>VLOOKUP(J544,'LibSets constants'!$A$4:$B$1017,2,FALSE)</f>
        <v>DLC_BASE_GAME</v>
      </c>
      <c r="L544" s="3" t="str">
        <f>VLOOKUP(J544,'LibSets constants'!$A$4:$C$1017,3,FALSE)</f>
        <v>Included in base game</v>
      </c>
    </row>
    <row r="545" spans="1:12" x14ac:dyDescent="0.25">
      <c r="A545">
        <v>909</v>
      </c>
      <c r="B545">
        <v>523</v>
      </c>
      <c r="C545">
        <v>888</v>
      </c>
      <c r="D545" t="s">
        <v>581</v>
      </c>
      <c r="E545" t="str">
        <f>IF(NOT(ISERROR(VLOOKUP(D545,'ESO Dungeon constants'!$A$3:$A$9999,1,FALSE))),"X","")</f>
        <v/>
      </c>
      <c r="F545" s="3" t="str">
        <f>IF(EXACT(A545,C545),"X","")</f>
        <v/>
      </c>
      <c r="G545" s="3" t="str">
        <f>IF(A545&lt;&gt;C545,VLOOKUP(C545,$A$5:$D$9954,4,FALSE),"")</f>
        <v>Craglorn</v>
      </c>
      <c r="H545" s="17">
        <f>A545</f>
        <v>909</v>
      </c>
      <c r="I545" s="17">
        <f>C545</f>
        <v>888</v>
      </c>
      <c r="J545">
        <v>0</v>
      </c>
      <c r="K545" s="3" t="str">
        <f>VLOOKUP(J545,'LibSets constants'!$A$4:$B$1017,2,FALSE)</f>
        <v>DLC_BASE_GAME</v>
      </c>
      <c r="L545" s="3" t="str">
        <f>VLOOKUP(J545,'LibSets constants'!$A$4:$C$1017,3,FALSE)</f>
        <v>Included in base game</v>
      </c>
    </row>
    <row r="546" spans="1:12" x14ac:dyDescent="0.25">
      <c r="A546">
        <v>910</v>
      </c>
      <c r="B546">
        <v>524</v>
      </c>
      <c r="C546">
        <v>888</v>
      </c>
      <c r="D546" t="s">
        <v>582</v>
      </c>
      <c r="E546" t="str">
        <f>IF(NOT(ISERROR(VLOOKUP(D546,'ESO Dungeon constants'!$A$3:$A$9999,1,FALSE))),"X","")</f>
        <v/>
      </c>
      <c r="F546" s="3" t="str">
        <f>IF(EXACT(A546,C546),"X","")</f>
        <v/>
      </c>
      <c r="G546" s="3" t="str">
        <f>IF(A546&lt;&gt;C546,VLOOKUP(C546,$A$5:$D$9954,4,FALSE),"")</f>
        <v>Craglorn</v>
      </c>
      <c r="H546" s="17">
        <f>A546</f>
        <v>910</v>
      </c>
      <c r="I546" s="17">
        <f>C546</f>
        <v>888</v>
      </c>
      <c r="J546">
        <v>0</v>
      </c>
      <c r="K546" s="3" t="str">
        <f>VLOOKUP(J546,'LibSets constants'!$A$4:$B$1017,2,FALSE)</f>
        <v>DLC_BASE_GAME</v>
      </c>
      <c r="L546" s="3" t="str">
        <f>VLOOKUP(J546,'LibSets constants'!$A$4:$C$1017,3,FALSE)</f>
        <v>Included in base game</v>
      </c>
    </row>
    <row r="547" spans="1:12" x14ac:dyDescent="0.25">
      <c r="A547">
        <v>911</v>
      </c>
      <c r="B547">
        <v>525</v>
      </c>
      <c r="C547">
        <v>888</v>
      </c>
      <c r="D547" t="s">
        <v>583</v>
      </c>
      <c r="E547" t="str">
        <f>IF(NOT(ISERROR(VLOOKUP(D547,'ESO Dungeon constants'!$A$3:$A$9999,1,FALSE))),"X","")</f>
        <v/>
      </c>
      <c r="F547" s="3" t="str">
        <f>IF(EXACT(A547,C547),"X","")</f>
        <v/>
      </c>
      <c r="G547" s="3" t="str">
        <f>IF(A547&lt;&gt;C547,VLOOKUP(C547,$A$5:$D$9954,4,FALSE),"")</f>
        <v>Craglorn</v>
      </c>
      <c r="H547" s="17">
        <f>A547</f>
        <v>911</v>
      </c>
      <c r="I547" s="17">
        <f>C547</f>
        <v>888</v>
      </c>
      <c r="J547">
        <v>0</v>
      </c>
      <c r="K547" s="3" t="str">
        <f>VLOOKUP(J547,'LibSets constants'!$A$4:$B$1017,2,FALSE)</f>
        <v>DLC_BASE_GAME</v>
      </c>
      <c r="L547" s="3" t="str">
        <f>VLOOKUP(J547,'LibSets constants'!$A$4:$C$1017,3,FALSE)</f>
        <v>Included in base game</v>
      </c>
    </row>
    <row r="548" spans="1:12" x14ac:dyDescent="0.25">
      <c r="A548">
        <v>913</v>
      </c>
      <c r="B548">
        <v>526</v>
      </c>
      <c r="C548">
        <v>888</v>
      </c>
      <c r="D548" t="s">
        <v>584</v>
      </c>
      <c r="E548" t="str">
        <f>IF(NOT(ISERROR(VLOOKUP(D548,'ESO Dungeon constants'!$A$3:$A$9999,1,FALSE))),"X","")</f>
        <v/>
      </c>
      <c r="F548" s="3" t="str">
        <f>IF(EXACT(A548,C548),"X","")</f>
        <v/>
      </c>
      <c r="G548" s="3" t="str">
        <f>IF(A548&lt;&gt;C548,VLOOKUP(C548,$A$5:$D$9954,4,FALSE),"")</f>
        <v>Craglorn</v>
      </c>
      <c r="H548" s="17">
        <f>A548</f>
        <v>913</v>
      </c>
      <c r="I548" s="17">
        <f>C548</f>
        <v>888</v>
      </c>
      <c r="J548">
        <v>0</v>
      </c>
      <c r="K548" s="3" t="str">
        <f>VLOOKUP(J548,'LibSets constants'!$A$4:$B$1017,2,FALSE)</f>
        <v>DLC_BASE_GAME</v>
      </c>
      <c r="L548" s="3" t="str">
        <f>VLOOKUP(J548,'LibSets constants'!$A$4:$C$1017,3,FALSE)</f>
        <v>Included in base game</v>
      </c>
    </row>
    <row r="549" spans="1:12" x14ac:dyDescent="0.25">
      <c r="A549">
        <v>914</v>
      </c>
      <c r="B549">
        <v>527</v>
      </c>
      <c r="C549">
        <v>888</v>
      </c>
      <c r="D549" t="s">
        <v>585</v>
      </c>
      <c r="E549" t="str">
        <f>IF(NOT(ISERROR(VLOOKUP(D549,'ESO Dungeon constants'!$A$3:$A$9999,1,FALSE))),"X","")</f>
        <v/>
      </c>
      <c r="F549" s="3" t="str">
        <f>IF(EXACT(A549,C549),"X","")</f>
        <v/>
      </c>
      <c r="G549" s="3" t="str">
        <f>IF(A549&lt;&gt;C549,VLOOKUP(C549,$A$5:$D$9954,4,FALSE),"")</f>
        <v>Craglorn</v>
      </c>
      <c r="H549" s="17">
        <f>A549</f>
        <v>914</v>
      </c>
      <c r="I549" s="17">
        <f>C549</f>
        <v>888</v>
      </c>
      <c r="J549">
        <v>0</v>
      </c>
      <c r="K549" s="3" t="str">
        <f>VLOOKUP(J549,'LibSets constants'!$A$4:$B$1017,2,FALSE)</f>
        <v>DLC_BASE_GAME</v>
      </c>
      <c r="L549" s="3" t="str">
        <f>VLOOKUP(J549,'LibSets constants'!$A$4:$C$1017,3,FALSE)</f>
        <v>Included in base game</v>
      </c>
    </row>
    <row r="550" spans="1:12" x14ac:dyDescent="0.25">
      <c r="A550">
        <v>915</v>
      </c>
      <c r="B550">
        <v>528</v>
      </c>
      <c r="C550">
        <v>888</v>
      </c>
      <c r="D550" t="s">
        <v>586</v>
      </c>
      <c r="E550" t="str">
        <f>IF(NOT(ISERROR(VLOOKUP(D550,'ESO Dungeon constants'!$A$3:$A$9999,1,FALSE))),"X","")</f>
        <v/>
      </c>
      <c r="F550" s="3" t="str">
        <f>IF(EXACT(A550,C550),"X","")</f>
        <v/>
      </c>
      <c r="G550" s="3" t="str">
        <f>IF(A550&lt;&gt;C550,VLOOKUP(C550,$A$5:$D$9954,4,FALSE),"")</f>
        <v>Craglorn</v>
      </c>
      <c r="H550" s="17">
        <f>A550</f>
        <v>915</v>
      </c>
      <c r="I550" s="17">
        <f>C550</f>
        <v>888</v>
      </c>
      <c r="J550">
        <v>0</v>
      </c>
      <c r="K550" s="3" t="str">
        <f>VLOOKUP(J550,'LibSets constants'!$A$4:$B$1017,2,FALSE)</f>
        <v>DLC_BASE_GAME</v>
      </c>
      <c r="L550" s="3" t="str">
        <f>VLOOKUP(J550,'LibSets constants'!$A$4:$C$1017,3,FALSE)</f>
        <v>Included in base game</v>
      </c>
    </row>
    <row r="551" spans="1:12" x14ac:dyDescent="0.25">
      <c r="A551">
        <v>916</v>
      </c>
      <c r="B551">
        <v>529</v>
      </c>
      <c r="C551">
        <v>888</v>
      </c>
      <c r="D551" t="s">
        <v>587</v>
      </c>
      <c r="E551" t="str">
        <f>IF(NOT(ISERROR(VLOOKUP(D551,'ESO Dungeon constants'!$A$3:$A$9999,1,FALSE))),"X","")</f>
        <v/>
      </c>
      <c r="F551" s="3" t="str">
        <f>IF(EXACT(A551,C551),"X","")</f>
        <v/>
      </c>
      <c r="G551" s="3" t="str">
        <f>IF(A551&lt;&gt;C551,VLOOKUP(C551,$A$5:$D$9954,4,FALSE),"")</f>
        <v>Craglorn</v>
      </c>
      <c r="H551" s="17">
        <f>A551</f>
        <v>916</v>
      </c>
      <c r="I551" s="17">
        <f>C551</f>
        <v>888</v>
      </c>
      <c r="J551">
        <v>0</v>
      </c>
      <c r="K551" s="3" t="str">
        <f>VLOOKUP(J551,'LibSets constants'!$A$4:$B$1017,2,FALSE)</f>
        <v>DLC_BASE_GAME</v>
      </c>
      <c r="L551" s="3" t="str">
        <f>VLOOKUP(J551,'LibSets constants'!$A$4:$C$1017,3,FALSE)</f>
        <v>Included in base game</v>
      </c>
    </row>
    <row r="552" spans="1:12" x14ac:dyDescent="0.25">
      <c r="A552">
        <v>917</v>
      </c>
      <c r="B552">
        <v>530</v>
      </c>
      <c r="C552">
        <v>917</v>
      </c>
      <c r="D552" t="s">
        <v>588</v>
      </c>
      <c r="E552" t="str">
        <f>IF(NOT(ISERROR(VLOOKUP(D552,'ESO Dungeon constants'!$A$3:$A$9999,1,FALSE))),"X","")</f>
        <v/>
      </c>
      <c r="F552" s="3" t="str">
        <f>IF(EXACT(A552,C552),"X","")</f>
        <v>X</v>
      </c>
      <c r="G552" s="3" t="str">
        <f>IF(A552&lt;&gt;C552,VLOOKUP(C552,$A$5:$D$9954,4,FALSE),"")</f>
        <v/>
      </c>
      <c r="H552" s="17">
        <f>A552</f>
        <v>917</v>
      </c>
      <c r="I552" s="17">
        <f>C552</f>
        <v>917</v>
      </c>
      <c r="J552">
        <v>25</v>
      </c>
      <c r="K552" s="3" t="str">
        <f>VLOOKUP(J552,'LibSets constants'!$A$4:$B$1017,2,FALSE)</f>
        <v>DLC_ASCENDING_TIDE</v>
      </c>
      <c r="L552" s="3" t="str">
        <f>VLOOKUP(J552,'LibSets constants'!$A$4:$C$1017,3,FALSE)</f>
        <v>Ascending Tide</v>
      </c>
    </row>
    <row r="553" spans="1:12" x14ac:dyDescent="0.25">
      <c r="A553">
        <v>918</v>
      </c>
      <c r="B553">
        <v>531</v>
      </c>
      <c r="C553">
        <v>849</v>
      </c>
      <c r="D553" t="s">
        <v>589</v>
      </c>
      <c r="E553" t="str">
        <f>IF(NOT(ISERROR(VLOOKUP(D553,'ESO Dungeon constants'!$A$3:$A$9999,1,FALSE))),"X","")</f>
        <v/>
      </c>
      <c r="F553" s="3" t="str">
        <f>IF(EXACT(A553,C553),"X","")</f>
        <v/>
      </c>
      <c r="G553" s="3" t="str">
        <f>IF(A553&lt;&gt;C553,VLOOKUP(C553,$A$5:$D$9954,4,FALSE),"")</f>
        <v>Vvardenfell</v>
      </c>
      <c r="H553" s="17">
        <f>A553</f>
        <v>918</v>
      </c>
      <c r="I553" s="17">
        <f>C553</f>
        <v>849</v>
      </c>
      <c r="J553">
        <v>6</v>
      </c>
      <c r="K553" s="3" t="str">
        <f>VLOOKUP(J553,'LibSets constants'!$A$4:$B$1017,2,FALSE)</f>
        <v>DLC_MORROWIND</v>
      </c>
      <c r="L553" s="3" t="str">
        <f>VLOOKUP(J553,'LibSets constants'!$A$4:$C$1017,3,FALSE)</f>
        <v>Morrowind</v>
      </c>
    </row>
    <row r="554" spans="1:12" x14ac:dyDescent="0.25">
      <c r="A554">
        <v>919</v>
      </c>
      <c r="B554">
        <v>532</v>
      </c>
      <c r="C554">
        <v>849</v>
      </c>
      <c r="D554" t="s">
        <v>590</v>
      </c>
      <c r="E554" t="str">
        <f>IF(NOT(ISERROR(VLOOKUP(D554,'ESO Dungeon constants'!$A$3:$A$9999,1,FALSE))),"X","")</f>
        <v/>
      </c>
      <c r="F554" s="3" t="str">
        <f>IF(EXACT(A554,C554),"X","")</f>
        <v/>
      </c>
      <c r="G554" s="3" t="str">
        <f>IF(A554&lt;&gt;C554,VLOOKUP(C554,$A$5:$D$9954,4,FALSE),"")</f>
        <v>Vvardenfell</v>
      </c>
      <c r="H554" s="17">
        <f>A554</f>
        <v>919</v>
      </c>
      <c r="I554" s="17">
        <f>C554</f>
        <v>849</v>
      </c>
      <c r="J554">
        <v>6</v>
      </c>
      <c r="K554" s="3" t="str">
        <f>VLOOKUP(J554,'LibSets constants'!$A$4:$B$1017,2,FALSE)</f>
        <v>DLC_MORROWIND</v>
      </c>
      <c r="L554" s="3" t="str">
        <f>VLOOKUP(J554,'LibSets constants'!$A$4:$C$1017,3,FALSE)</f>
        <v>Morrowind</v>
      </c>
    </row>
    <row r="555" spans="1:12" x14ac:dyDescent="0.25">
      <c r="A555">
        <v>920</v>
      </c>
      <c r="B555">
        <v>533</v>
      </c>
      <c r="C555">
        <v>849</v>
      </c>
      <c r="D555" t="s">
        <v>591</v>
      </c>
      <c r="E555" t="str">
        <f>IF(NOT(ISERROR(VLOOKUP(D555,'ESO Dungeon constants'!$A$3:$A$9999,1,FALSE))),"X","")</f>
        <v/>
      </c>
      <c r="F555" s="3" t="str">
        <f>IF(EXACT(A555,C555),"X","")</f>
        <v/>
      </c>
      <c r="G555" s="3" t="str">
        <f>IF(A555&lt;&gt;C555,VLOOKUP(C555,$A$5:$D$9954,4,FALSE),"")</f>
        <v>Vvardenfell</v>
      </c>
      <c r="H555" s="17">
        <f>A555</f>
        <v>920</v>
      </c>
      <c r="I555" s="17">
        <f>C555</f>
        <v>849</v>
      </c>
      <c r="J555">
        <v>6</v>
      </c>
      <c r="K555" s="3" t="str">
        <f>VLOOKUP(J555,'LibSets constants'!$A$4:$B$1017,2,FALSE)</f>
        <v>DLC_MORROWIND</v>
      </c>
      <c r="L555" s="3" t="str">
        <f>VLOOKUP(J555,'LibSets constants'!$A$4:$C$1017,3,FALSE)</f>
        <v>Morrowind</v>
      </c>
    </row>
    <row r="556" spans="1:12" x14ac:dyDescent="0.25">
      <c r="A556">
        <v>921</v>
      </c>
      <c r="B556">
        <v>534</v>
      </c>
      <c r="C556">
        <v>849</v>
      </c>
      <c r="D556" t="s">
        <v>592</v>
      </c>
      <c r="E556" t="str">
        <f>IF(NOT(ISERROR(VLOOKUP(D556,'ESO Dungeon constants'!$A$3:$A$9999,1,FALSE))),"X","")</f>
        <v/>
      </c>
      <c r="F556" s="3" t="str">
        <f>IF(EXACT(A556,C556),"X","")</f>
        <v/>
      </c>
      <c r="G556" s="3" t="str">
        <f>IF(A556&lt;&gt;C556,VLOOKUP(C556,$A$5:$D$9954,4,FALSE),"")</f>
        <v>Vvardenfell</v>
      </c>
      <c r="H556" s="17">
        <f>A556</f>
        <v>921</v>
      </c>
      <c r="I556" s="17">
        <f>C556</f>
        <v>849</v>
      </c>
      <c r="J556">
        <v>6</v>
      </c>
      <c r="K556" s="3" t="str">
        <f>VLOOKUP(J556,'LibSets constants'!$A$4:$B$1017,2,FALSE)</f>
        <v>DLC_MORROWIND</v>
      </c>
      <c r="L556" s="3" t="str">
        <f>VLOOKUP(J556,'LibSets constants'!$A$4:$C$1017,3,FALSE)</f>
        <v>Morrowind</v>
      </c>
    </row>
    <row r="557" spans="1:12" x14ac:dyDescent="0.25">
      <c r="A557">
        <v>922</v>
      </c>
      <c r="B557">
        <v>535</v>
      </c>
      <c r="C557">
        <v>849</v>
      </c>
      <c r="D557" t="s">
        <v>593</v>
      </c>
      <c r="E557" t="str">
        <f>IF(NOT(ISERROR(VLOOKUP(D557,'ESO Dungeon constants'!$A$3:$A$9999,1,FALSE))),"X","")</f>
        <v/>
      </c>
      <c r="F557" s="3" t="str">
        <f>IF(EXACT(A557,C557),"X","")</f>
        <v/>
      </c>
      <c r="G557" s="3" t="str">
        <f>IF(A557&lt;&gt;C557,VLOOKUP(C557,$A$5:$D$9954,4,FALSE),"")</f>
        <v>Vvardenfell</v>
      </c>
      <c r="H557" s="17">
        <f>A557</f>
        <v>922</v>
      </c>
      <c r="I557" s="17">
        <f>C557</f>
        <v>849</v>
      </c>
      <c r="J557">
        <v>6</v>
      </c>
      <c r="K557" s="3" t="str">
        <f>VLOOKUP(J557,'LibSets constants'!$A$4:$B$1017,2,FALSE)</f>
        <v>DLC_MORROWIND</v>
      </c>
      <c r="L557" s="3" t="str">
        <f>VLOOKUP(J557,'LibSets constants'!$A$4:$C$1017,3,FALSE)</f>
        <v>Morrowind</v>
      </c>
    </row>
    <row r="558" spans="1:12" x14ac:dyDescent="0.25">
      <c r="A558">
        <v>923</v>
      </c>
      <c r="B558">
        <v>536</v>
      </c>
      <c r="C558">
        <v>849</v>
      </c>
      <c r="D558" t="s">
        <v>594</v>
      </c>
      <c r="E558" t="str">
        <f>IF(NOT(ISERROR(VLOOKUP(D558,'ESO Dungeon constants'!$A$3:$A$9999,1,FALSE))),"X","")</f>
        <v/>
      </c>
      <c r="F558" s="3" t="str">
        <f>IF(EXACT(A558,C558),"X","")</f>
        <v/>
      </c>
      <c r="G558" s="3" t="str">
        <f>IF(A558&lt;&gt;C558,VLOOKUP(C558,$A$5:$D$9954,4,FALSE),"")</f>
        <v>Vvardenfell</v>
      </c>
      <c r="H558" s="17">
        <f>A558</f>
        <v>923</v>
      </c>
      <c r="I558" s="17">
        <f>C558</f>
        <v>849</v>
      </c>
      <c r="J558">
        <v>6</v>
      </c>
      <c r="K558" s="3" t="str">
        <f>VLOOKUP(J558,'LibSets constants'!$A$4:$B$1017,2,FALSE)</f>
        <v>DLC_MORROWIND</v>
      </c>
      <c r="L558" s="3" t="str">
        <f>VLOOKUP(J558,'LibSets constants'!$A$4:$C$1017,3,FALSE)</f>
        <v>Morrowind</v>
      </c>
    </row>
    <row r="559" spans="1:12" x14ac:dyDescent="0.25">
      <c r="A559">
        <v>924</v>
      </c>
      <c r="B559">
        <v>537</v>
      </c>
      <c r="C559">
        <v>849</v>
      </c>
      <c r="D559" t="s">
        <v>595</v>
      </c>
      <c r="E559" t="str">
        <f>IF(NOT(ISERROR(VLOOKUP(D559,'ESO Dungeon constants'!$A$3:$A$9999,1,FALSE))),"X","")</f>
        <v/>
      </c>
      <c r="F559" s="3" t="str">
        <f>IF(EXACT(A559,C559),"X","")</f>
        <v/>
      </c>
      <c r="G559" s="3" t="str">
        <f>IF(A559&lt;&gt;C559,VLOOKUP(C559,$A$5:$D$9954,4,FALSE),"")</f>
        <v>Vvardenfell</v>
      </c>
      <c r="H559" s="17">
        <f>A559</f>
        <v>924</v>
      </c>
      <c r="I559" s="17">
        <f>C559</f>
        <v>849</v>
      </c>
      <c r="J559">
        <v>6</v>
      </c>
      <c r="K559" s="3" t="str">
        <f>VLOOKUP(J559,'LibSets constants'!$A$4:$B$1017,2,FALSE)</f>
        <v>DLC_MORROWIND</v>
      </c>
      <c r="L559" s="3" t="str">
        <f>VLOOKUP(J559,'LibSets constants'!$A$4:$C$1017,3,FALSE)</f>
        <v>Morrowind</v>
      </c>
    </row>
    <row r="560" spans="1:12" x14ac:dyDescent="0.25">
      <c r="A560">
        <v>925</v>
      </c>
      <c r="B560">
        <v>538</v>
      </c>
      <c r="C560">
        <v>849</v>
      </c>
      <c r="D560" t="s">
        <v>596</v>
      </c>
      <c r="E560" t="str">
        <f>IF(NOT(ISERROR(VLOOKUP(D560,'ESO Dungeon constants'!$A$3:$A$9999,1,FALSE))),"X","")</f>
        <v/>
      </c>
      <c r="F560" s="3" t="str">
        <f>IF(EXACT(A560,C560),"X","")</f>
        <v/>
      </c>
      <c r="G560" s="3" t="str">
        <f>IF(A560&lt;&gt;C560,VLOOKUP(C560,$A$5:$D$9954,4,FALSE),"")</f>
        <v>Vvardenfell</v>
      </c>
      <c r="H560" s="17">
        <f>A560</f>
        <v>925</v>
      </c>
      <c r="I560" s="17">
        <f>C560</f>
        <v>849</v>
      </c>
      <c r="J560">
        <v>6</v>
      </c>
      <c r="K560" s="3" t="str">
        <f>VLOOKUP(J560,'LibSets constants'!$A$4:$B$1017,2,FALSE)</f>
        <v>DLC_MORROWIND</v>
      </c>
      <c r="L560" s="3" t="str">
        <f>VLOOKUP(J560,'LibSets constants'!$A$4:$C$1017,3,FALSE)</f>
        <v>Morrowind</v>
      </c>
    </row>
    <row r="561" spans="1:12" x14ac:dyDescent="0.25">
      <c r="A561">
        <v>926</v>
      </c>
      <c r="B561">
        <v>539</v>
      </c>
      <c r="C561">
        <v>849</v>
      </c>
      <c r="D561" t="s">
        <v>597</v>
      </c>
      <c r="E561" t="str">
        <f>IF(NOT(ISERROR(VLOOKUP(D561,'ESO Dungeon constants'!$A$3:$A$9999,1,FALSE))),"X","")</f>
        <v/>
      </c>
      <c r="F561" s="3" t="str">
        <f>IF(EXACT(A561,C561),"X","")</f>
        <v/>
      </c>
      <c r="G561" s="3" t="str">
        <f>IF(A561&lt;&gt;C561,VLOOKUP(C561,$A$5:$D$9954,4,FALSE),"")</f>
        <v>Vvardenfell</v>
      </c>
      <c r="H561" s="17">
        <f>A561</f>
        <v>926</v>
      </c>
      <c r="I561" s="17">
        <f>C561</f>
        <v>849</v>
      </c>
      <c r="J561">
        <v>6</v>
      </c>
      <c r="K561" s="3" t="str">
        <f>VLOOKUP(J561,'LibSets constants'!$A$4:$B$1017,2,FALSE)</f>
        <v>DLC_MORROWIND</v>
      </c>
      <c r="L561" s="3" t="str">
        <f>VLOOKUP(J561,'LibSets constants'!$A$4:$C$1017,3,FALSE)</f>
        <v>Morrowind</v>
      </c>
    </row>
    <row r="562" spans="1:12" x14ac:dyDescent="0.25">
      <c r="A562">
        <v>927</v>
      </c>
      <c r="B562">
        <v>540</v>
      </c>
      <c r="C562">
        <v>849</v>
      </c>
      <c r="D562" t="s">
        <v>598</v>
      </c>
      <c r="E562" t="str">
        <f>IF(NOT(ISERROR(VLOOKUP(D562,'ESO Dungeon constants'!$A$3:$A$9999,1,FALSE))),"X","")</f>
        <v/>
      </c>
      <c r="F562" s="3" t="str">
        <f>IF(EXACT(A562,C562),"X","")</f>
        <v/>
      </c>
      <c r="G562" s="3" t="str">
        <f>IF(A562&lt;&gt;C562,VLOOKUP(C562,$A$5:$D$9954,4,FALSE),"")</f>
        <v>Vvardenfell</v>
      </c>
      <c r="H562" s="17">
        <f>A562</f>
        <v>927</v>
      </c>
      <c r="I562" s="17">
        <f>C562</f>
        <v>849</v>
      </c>
      <c r="J562">
        <v>6</v>
      </c>
      <c r="K562" s="3" t="str">
        <f>VLOOKUP(J562,'LibSets constants'!$A$4:$B$1017,2,FALSE)</f>
        <v>DLC_MORROWIND</v>
      </c>
      <c r="L562" s="3" t="str">
        <f>VLOOKUP(J562,'LibSets constants'!$A$4:$C$1017,3,FALSE)</f>
        <v>Morrowind</v>
      </c>
    </row>
    <row r="563" spans="1:12" x14ac:dyDescent="0.25">
      <c r="A563">
        <v>928</v>
      </c>
      <c r="B563">
        <v>541</v>
      </c>
      <c r="C563">
        <v>849</v>
      </c>
      <c r="D563" t="s">
        <v>599</v>
      </c>
      <c r="E563" t="str">
        <f>IF(NOT(ISERROR(VLOOKUP(D563,'ESO Dungeon constants'!$A$3:$A$9999,1,FALSE))),"X","")</f>
        <v/>
      </c>
      <c r="F563" s="3" t="str">
        <f>IF(EXACT(A563,C563),"X","")</f>
        <v/>
      </c>
      <c r="G563" s="3" t="str">
        <f>IF(A563&lt;&gt;C563,VLOOKUP(C563,$A$5:$D$9954,4,FALSE),"")</f>
        <v>Vvardenfell</v>
      </c>
      <c r="H563" s="17">
        <f>A563</f>
        <v>928</v>
      </c>
      <c r="I563" s="17">
        <f>C563</f>
        <v>849</v>
      </c>
      <c r="J563">
        <v>6</v>
      </c>
      <c r="K563" s="3" t="str">
        <f>VLOOKUP(J563,'LibSets constants'!$A$4:$B$1017,2,FALSE)</f>
        <v>DLC_MORROWIND</v>
      </c>
      <c r="L563" s="3" t="str">
        <f>VLOOKUP(J563,'LibSets constants'!$A$4:$C$1017,3,FALSE)</f>
        <v>Morrowind</v>
      </c>
    </row>
    <row r="564" spans="1:12" x14ac:dyDescent="0.25">
      <c r="A564">
        <v>929</v>
      </c>
      <c r="B564">
        <v>542</v>
      </c>
      <c r="C564">
        <v>849</v>
      </c>
      <c r="D564" t="s">
        <v>600</v>
      </c>
      <c r="E564" t="str">
        <f>IF(NOT(ISERROR(VLOOKUP(D564,'ESO Dungeon constants'!$A$3:$A$9999,1,FALSE))),"X","")</f>
        <v/>
      </c>
      <c r="F564" s="3" t="str">
        <f>IF(EXACT(A564,C564),"X","")</f>
        <v/>
      </c>
      <c r="G564" s="3" t="str">
        <f>IF(A564&lt;&gt;C564,VLOOKUP(C564,$A$5:$D$9954,4,FALSE),"")</f>
        <v>Vvardenfell</v>
      </c>
      <c r="H564" s="17">
        <f>A564</f>
        <v>929</v>
      </c>
      <c r="I564" s="17">
        <f>C564</f>
        <v>849</v>
      </c>
      <c r="J564">
        <v>6</v>
      </c>
      <c r="K564" s="3" t="str">
        <f>VLOOKUP(J564,'LibSets constants'!$A$4:$B$1017,2,FALSE)</f>
        <v>DLC_MORROWIND</v>
      </c>
      <c r="L564" s="3" t="str">
        <f>VLOOKUP(J564,'LibSets constants'!$A$4:$C$1017,3,FALSE)</f>
        <v>Morrowind</v>
      </c>
    </row>
    <row r="565" spans="1:12" x14ac:dyDescent="0.25">
      <c r="A565">
        <v>937</v>
      </c>
      <c r="B565">
        <v>550</v>
      </c>
      <c r="C565">
        <v>57</v>
      </c>
      <c r="D565" t="s">
        <v>601</v>
      </c>
      <c r="E565" t="str">
        <f>IF(NOT(ISERROR(VLOOKUP(D565,'ESO Dungeon constants'!$A$3:$A$9999,1,FALSE))),"X","")</f>
        <v/>
      </c>
      <c r="F565" s="3" t="str">
        <f>IF(EXACT(A565,C565),"X","")</f>
        <v/>
      </c>
      <c r="G565" s="3" t="str">
        <f>IF(A565&lt;&gt;C565,VLOOKUP(C565,$A$5:$D$9954,4,FALSE),"")</f>
        <v>Deshaan</v>
      </c>
      <c r="H565" s="17">
        <f>A565</f>
        <v>937</v>
      </c>
      <c r="I565" s="17">
        <f>C565</f>
        <v>57</v>
      </c>
      <c r="J565">
        <v>0</v>
      </c>
      <c r="K565" s="3" t="str">
        <f>VLOOKUP(J565,'LibSets constants'!$A$4:$B$1017,2,FALSE)</f>
        <v>DLC_BASE_GAME</v>
      </c>
      <c r="L565" s="3" t="str">
        <f>VLOOKUP(J565,'LibSets constants'!$A$4:$C$1017,3,FALSE)</f>
        <v>Included in base game</v>
      </c>
    </row>
    <row r="566" spans="1:12" x14ac:dyDescent="0.25">
      <c r="A566">
        <v>938</v>
      </c>
      <c r="B566">
        <v>551</v>
      </c>
      <c r="C566">
        <v>104</v>
      </c>
      <c r="D566" t="s">
        <v>602</v>
      </c>
      <c r="E566" t="str">
        <f>IF(NOT(ISERROR(VLOOKUP(D566,'ESO Dungeon constants'!$A$3:$A$9999,1,FALSE))),"X","")</f>
        <v/>
      </c>
      <c r="F566" s="3" t="str">
        <f>IF(EXACT(A566,C566),"X","")</f>
        <v/>
      </c>
      <c r="G566" s="3" t="str">
        <f>IF(A566&lt;&gt;C566,VLOOKUP(C566,$A$5:$D$9954,4,FALSE),"")</f>
        <v>Alik'r Desert</v>
      </c>
      <c r="H566" s="17">
        <f>A566</f>
        <v>938</v>
      </c>
      <c r="I566" s="17">
        <f>C566</f>
        <v>104</v>
      </c>
      <c r="J566">
        <v>0</v>
      </c>
      <c r="K566" s="3" t="str">
        <f>VLOOKUP(J566,'LibSets constants'!$A$4:$B$1017,2,FALSE)</f>
        <v>DLC_BASE_GAME</v>
      </c>
      <c r="L566" s="3" t="str">
        <f>VLOOKUP(J566,'LibSets constants'!$A$4:$C$1017,3,FALSE)</f>
        <v>Included in base game</v>
      </c>
    </row>
    <row r="567" spans="1:12" x14ac:dyDescent="0.25">
      <c r="A567">
        <v>939</v>
      </c>
      <c r="B567">
        <v>552</v>
      </c>
      <c r="C567">
        <v>381</v>
      </c>
      <c r="D567" t="s">
        <v>603</v>
      </c>
      <c r="E567" t="str">
        <f>IF(NOT(ISERROR(VLOOKUP(D567,'ESO Dungeon constants'!$A$3:$A$9999,1,FALSE))),"X","")</f>
        <v/>
      </c>
      <c r="F567" s="3" t="str">
        <f>IF(EXACT(A567,C567),"X","")</f>
        <v/>
      </c>
      <c r="G567" s="3" t="str">
        <f>IF(A567&lt;&gt;C567,VLOOKUP(C567,$A$5:$D$9954,4,FALSE),"")</f>
        <v>Auridon</v>
      </c>
      <c r="H567" s="17">
        <f>A567</f>
        <v>939</v>
      </c>
      <c r="I567" s="17">
        <f>C567</f>
        <v>381</v>
      </c>
      <c r="J567">
        <v>0</v>
      </c>
      <c r="K567" s="3" t="str">
        <f>VLOOKUP(J567,'LibSets constants'!$A$4:$B$1017,2,FALSE)</f>
        <v>DLC_BASE_GAME</v>
      </c>
      <c r="L567" s="3" t="str">
        <f>VLOOKUP(J567,'LibSets constants'!$A$4:$C$1017,3,FALSE)</f>
        <v>Included in base game</v>
      </c>
    </row>
    <row r="568" spans="1:12" x14ac:dyDescent="0.25">
      <c r="A568">
        <v>940</v>
      </c>
      <c r="B568">
        <v>553</v>
      </c>
      <c r="C568">
        <v>381</v>
      </c>
      <c r="D568" t="s">
        <v>604</v>
      </c>
      <c r="E568" t="str">
        <f>IF(NOT(ISERROR(VLOOKUP(D568,'ESO Dungeon constants'!$A$3:$A$9999,1,FALSE))),"X","")</f>
        <v/>
      </c>
      <c r="F568" s="3" t="str">
        <f>IF(EXACT(A568,C568),"X","")</f>
        <v/>
      </c>
      <c r="G568" s="3" t="str">
        <f>IF(A568&lt;&gt;C568,VLOOKUP(C568,$A$5:$D$9954,4,FALSE),"")</f>
        <v>Auridon</v>
      </c>
      <c r="H568" s="17">
        <f>A568</f>
        <v>940</v>
      </c>
      <c r="I568" s="17">
        <f>C568</f>
        <v>381</v>
      </c>
      <c r="J568">
        <v>0</v>
      </c>
      <c r="K568" s="3" t="str">
        <f>VLOOKUP(J568,'LibSets constants'!$A$4:$B$1017,2,FALSE)</f>
        <v>DLC_BASE_GAME</v>
      </c>
      <c r="L568" s="3" t="str">
        <f>VLOOKUP(J568,'LibSets constants'!$A$4:$C$1017,3,FALSE)</f>
        <v>Included in base game</v>
      </c>
    </row>
    <row r="569" spans="1:12" x14ac:dyDescent="0.25">
      <c r="A569">
        <v>941</v>
      </c>
      <c r="B569">
        <v>554</v>
      </c>
      <c r="C569">
        <v>41</v>
      </c>
      <c r="D569" t="s">
        <v>605</v>
      </c>
      <c r="E569" t="str">
        <f>IF(NOT(ISERROR(VLOOKUP(D569,'ESO Dungeon constants'!$A$3:$A$9999,1,FALSE))),"X","")</f>
        <v/>
      </c>
      <c r="F569" s="3" t="str">
        <f>IF(EXACT(A569,C569),"X","")</f>
        <v/>
      </c>
      <c r="G569" s="3" t="str">
        <f>IF(A569&lt;&gt;C569,VLOOKUP(C569,$A$5:$D$9954,4,FALSE),"")</f>
        <v>Stonefalls</v>
      </c>
      <c r="H569" s="17">
        <f>A569</f>
        <v>941</v>
      </c>
      <c r="I569" s="17">
        <f>C569</f>
        <v>41</v>
      </c>
      <c r="J569">
        <v>0</v>
      </c>
      <c r="K569" s="3" t="str">
        <f>VLOOKUP(J569,'LibSets constants'!$A$4:$B$1017,2,FALSE)</f>
        <v>DLC_BASE_GAME</v>
      </c>
      <c r="L569" s="3" t="str">
        <f>VLOOKUP(J569,'LibSets constants'!$A$4:$C$1017,3,FALSE)</f>
        <v>Included in base game</v>
      </c>
    </row>
    <row r="570" spans="1:12" x14ac:dyDescent="0.25">
      <c r="A570">
        <v>942</v>
      </c>
      <c r="B570">
        <v>555</v>
      </c>
      <c r="C570">
        <v>3</v>
      </c>
      <c r="D570" t="s">
        <v>606</v>
      </c>
      <c r="E570" t="str">
        <f>IF(NOT(ISERROR(VLOOKUP(D570,'ESO Dungeon constants'!$A$3:$A$9999,1,FALSE))),"X","")</f>
        <v/>
      </c>
      <c r="F570" s="3" t="str">
        <f>IF(EXACT(A570,C570),"X","")</f>
        <v/>
      </c>
      <c r="G570" s="3" t="str">
        <f>IF(A570&lt;&gt;C570,VLOOKUP(C570,$A$5:$D$9954,4,FALSE),"")</f>
        <v>Glenumbra</v>
      </c>
      <c r="H570" s="17">
        <f>A570</f>
        <v>942</v>
      </c>
      <c r="I570" s="17">
        <f>C570</f>
        <v>3</v>
      </c>
      <c r="J570">
        <v>0</v>
      </c>
      <c r="K570" s="3" t="str">
        <f>VLOOKUP(J570,'LibSets constants'!$A$4:$B$1017,2,FALSE)</f>
        <v>DLC_BASE_GAME</v>
      </c>
      <c r="L570" s="3" t="str">
        <f>VLOOKUP(J570,'LibSets constants'!$A$4:$C$1017,3,FALSE)</f>
        <v>Included in base game</v>
      </c>
    </row>
    <row r="571" spans="1:12" x14ac:dyDescent="0.25">
      <c r="A571">
        <v>943</v>
      </c>
      <c r="B571">
        <v>556</v>
      </c>
      <c r="C571">
        <v>3</v>
      </c>
      <c r="D571" t="s">
        <v>607</v>
      </c>
      <c r="E571" t="str">
        <f>IF(NOT(ISERROR(VLOOKUP(D571,'ESO Dungeon constants'!$A$3:$A$9999,1,FALSE))),"X","")</f>
        <v/>
      </c>
      <c r="F571" s="3" t="str">
        <f>IF(EXACT(A571,C571),"X","")</f>
        <v/>
      </c>
      <c r="G571" s="3" t="str">
        <f>IF(A571&lt;&gt;C571,VLOOKUP(C571,$A$5:$D$9954,4,FALSE),"")</f>
        <v>Glenumbra</v>
      </c>
      <c r="H571" s="17">
        <f>A571</f>
        <v>943</v>
      </c>
      <c r="I571" s="17">
        <f>C571</f>
        <v>3</v>
      </c>
      <c r="J571">
        <v>0</v>
      </c>
      <c r="K571" s="3" t="str">
        <f>VLOOKUP(J571,'LibSets constants'!$A$4:$B$1017,2,FALSE)</f>
        <v>DLC_BASE_GAME</v>
      </c>
      <c r="L571" s="3" t="str">
        <f>VLOOKUP(J571,'LibSets constants'!$A$4:$C$1017,3,FALSE)</f>
        <v>Included in base game</v>
      </c>
    </row>
    <row r="572" spans="1:12" x14ac:dyDescent="0.25">
      <c r="A572">
        <v>944</v>
      </c>
      <c r="B572">
        <v>557</v>
      </c>
      <c r="C572">
        <v>382</v>
      </c>
      <c r="D572" t="s">
        <v>608</v>
      </c>
      <c r="E572" t="str">
        <f>IF(NOT(ISERROR(VLOOKUP(D572,'ESO Dungeon constants'!$A$3:$A$9999,1,FALSE))),"X","")</f>
        <v/>
      </c>
      <c r="F572" s="3" t="str">
        <f>IF(EXACT(A572,C572),"X","")</f>
        <v/>
      </c>
      <c r="G572" s="3" t="str">
        <f>IF(A572&lt;&gt;C572,VLOOKUP(C572,$A$5:$D$9954,4,FALSE),"")</f>
        <v>Reaper's March</v>
      </c>
      <c r="H572" s="17">
        <f>A572</f>
        <v>944</v>
      </c>
      <c r="I572" s="17">
        <f>C572</f>
        <v>382</v>
      </c>
      <c r="J572">
        <v>0</v>
      </c>
      <c r="K572" s="3" t="str">
        <f>VLOOKUP(J572,'LibSets constants'!$A$4:$B$1017,2,FALSE)</f>
        <v>DLC_BASE_GAME</v>
      </c>
      <c r="L572" s="3" t="str">
        <f>VLOOKUP(J572,'LibSets constants'!$A$4:$C$1017,3,FALSE)</f>
        <v>Included in base game</v>
      </c>
    </row>
    <row r="573" spans="1:12" x14ac:dyDescent="0.25">
      <c r="A573">
        <v>945</v>
      </c>
      <c r="B573">
        <v>558</v>
      </c>
      <c r="C573">
        <v>41</v>
      </c>
      <c r="D573" t="s">
        <v>609</v>
      </c>
      <c r="E573" t="str">
        <f>IF(NOT(ISERROR(VLOOKUP(D573,'ESO Dungeon constants'!$A$3:$A$9999,1,FALSE))),"X","")</f>
        <v/>
      </c>
      <c r="F573" s="3" t="str">
        <f>IF(EXACT(A573,C573),"X","")</f>
        <v/>
      </c>
      <c r="G573" s="3" t="str">
        <f>IF(A573&lt;&gt;C573,VLOOKUP(C573,$A$5:$D$9954,4,FALSE),"")</f>
        <v>Stonefalls</v>
      </c>
      <c r="H573" s="17">
        <f>A573</f>
        <v>945</v>
      </c>
      <c r="I573" s="17">
        <f>C573</f>
        <v>41</v>
      </c>
      <c r="J573">
        <v>0</v>
      </c>
      <c r="K573" s="3" t="str">
        <f>VLOOKUP(J573,'LibSets constants'!$A$4:$B$1017,2,FALSE)</f>
        <v>DLC_BASE_GAME</v>
      </c>
      <c r="L573" s="3" t="str">
        <f>VLOOKUP(J573,'LibSets constants'!$A$4:$C$1017,3,FALSE)</f>
        <v>Included in base game</v>
      </c>
    </row>
    <row r="574" spans="1:12" x14ac:dyDescent="0.25">
      <c r="A574">
        <v>946</v>
      </c>
      <c r="B574">
        <v>559</v>
      </c>
      <c r="C574">
        <v>849</v>
      </c>
      <c r="D574" t="s">
        <v>610</v>
      </c>
      <c r="E574" t="str">
        <f>IF(NOT(ISERROR(VLOOKUP(D574,'ESO Dungeon constants'!$A$3:$A$9999,1,FALSE))),"X","")</f>
        <v/>
      </c>
      <c r="F574" s="3" t="str">
        <f>IF(EXACT(A574,C574),"X","")</f>
        <v/>
      </c>
      <c r="G574" s="3" t="str">
        <f>IF(A574&lt;&gt;C574,VLOOKUP(C574,$A$5:$D$9954,4,FALSE),"")</f>
        <v>Vvardenfell</v>
      </c>
      <c r="H574" s="17">
        <f>A574</f>
        <v>946</v>
      </c>
      <c r="I574" s="17">
        <f>C574</f>
        <v>849</v>
      </c>
      <c r="J574">
        <v>6</v>
      </c>
      <c r="K574" s="3" t="str">
        <f>VLOOKUP(J574,'LibSets constants'!$A$4:$B$1017,2,FALSE)</f>
        <v>DLC_MORROWIND</v>
      </c>
      <c r="L574" s="3" t="str">
        <f>VLOOKUP(J574,'LibSets constants'!$A$4:$C$1017,3,FALSE)</f>
        <v>Morrowind</v>
      </c>
    </row>
    <row r="575" spans="1:12" x14ac:dyDescent="0.25">
      <c r="A575">
        <v>947</v>
      </c>
      <c r="B575">
        <v>560</v>
      </c>
      <c r="C575">
        <v>849</v>
      </c>
      <c r="D575" t="s">
        <v>611</v>
      </c>
      <c r="E575" t="str">
        <f>IF(NOT(ISERROR(VLOOKUP(D575,'ESO Dungeon constants'!$A$3:$A$9999,1,FALSE))),"X","")</f>
        <v/>
      </c>
      <c r="F575" s="3" t="str">
        <f>IF(EXACT(A575,C575),"X","")</f>
        <v/>
      </c>
      <c r="G575" s="3" t="str">
        <f>IF(A575&lt;&gt;C575,VLOOKUP(C575,$A$5:$D$9954,4,FALSE),"")</f>
        <v>Vvardenfell</v>
      </c>
      <c r="H575" s="17">
        <f>A575</f>
        <v>947</v>
      </c>
      <c r="I575" s="17">
        <f>C575</f>
        <v>849</v>
      </c>
      <c r="J575">
        <v>6</v>
      </c>
      <c r="K575" s="3" t="str">
        <f>VLOOKUP(J575,'LibSets constants'!$A$4:$B$1017,2,FALSE)</f>
        <v>DLC_MORROWIND</v>
      </c>
      <c r="L575" s="3" t="str">
        <f>VLOOKUP(J575,'LibSets constants'!$A$4:$C$1017,3,FALSE)</f>
        <v>Morrowind</v>
      </c>
    </row>
    <row r="576" spans="1:12" x14ac:dyDescent="0.25">
      <c r="A576">
        <v>948</v>
      </c>
      <c r="B576">
        <v>561</v>
      </c>
      <c r="C576">
        <v>849</v>
      </c>
      <c r="D576" t="s">
        <v>612</v>
      </c>
      <c r="E576" t="str">
        <f>IF(NOT(ISERROR(VLOOKUP(D576,'ESO Dungeon constants'!$A$3:$A$9999,1,FALSE))),"X","")</f>
        <v/>
      </c>
      <c r="F576" s="3" t="str">
        <f>IF(EXACT(A576,C576),"X","")</f>
        <v/>
      </c>
      <c r="G576" s="3" t="str">
        <f>IF(A576&lt;&gt;C576,VLOOKUP(C576,$A$5:$D$9954,4,FALSE),"")</f>
        <v>Vvardenfell</v>
      </c>
      <c r="H576" s="17">
        <f>A576</f>
        <v>948</v>
      </c>
      <c r="I576" s="17">
        <f>C576</f>
        <v>849</v>
      </c>
      <c r="J576">
        <v>6</v>
      </c>
      <c r="K576" s="3" t="str">
        <f>VLOOKUP(J576,'LibSets constants'!$A$4:$B$1017,2,FALSE)</f>
        <v>DLC_MORROWIND</v>
      </c>
      <c r="L576" s="3" t="str">
        <f>VLOOKUP(J576,'LibSets constants'!$A$4:$C$1017,3,FALSE)</f>
        <v>Morrowind</v>
      </c>
    </row>
    <row r="577" spans="1:12" x14ac:dyDescent="0.25">
      <c r="A577">
        <v>949</v>
      </c>
      <c r="B577">
        <v>562</v>
      </c>
      <c r="C577">
        <v>849</v>
      </c>
      <c r="D577" t="s">
        <v>613</v>
      </c>
      <c r="E577" t="str">
        <f>IF(NOT(ISERROR(VLOOKUP(D577,'ESO Dungeon constants'!$A$3:$A$9999,1,FALSE))),"X","")</f>
        <v/>
      </c>
      <c r="F577" s="3" t="str">
        <f>IF(EXACT(A577,C577),"X","")</f>
        <v/>
      </c>
      <c r="G577" s="3" t="str">
        <f>IF(A577&lt;&gt;C577,VLOOKUP(C577,$A$5:$D$9954,4,FALSE),"")</f>
        <v>Vvardenfell</v>
      </c>
      <c r="H577" s="17">
        <f>A577</f>
        <v>949</v>
      </c>
      <c r="I577" s="17">
        <f>C577</f>
        <v>849</v>
      </c>
      <c r="J577">
        <v>6</v>
      </c>
      <c r="K577" s="3" t="str">
        <f>VLOOKUP(J577,'LibSets constants'!$A$4:$B$1017,2,FALSE)</f>
        <v>DLC_MORROWIND</v>
      </c>
      <c r="L577" s="3" t="str">
        <f>VLOOKUP(J577,'LibSets constants'!$A$4:$C$1017,3,FALSE)</f>
        <v>Morrowind</v>
      </c>
    </row>
    <row r="578" spans="1:12" x14ac:dyDescent="0.25">
      <c r="A578">
        <v>950</v>
      </c>
      <c r="B578">
        <v>563</v>
      </c>
      <c r="C578">
        <v>849</v>
      </c>
      <c r="D578" t="s">
        <v>614</v>
      </c>
      <c r="E578" t="str">
        <f>IF(NOT(ISERROR(VLOOKUP(D578,'ESO Dungeon constants'!$A$3:$A$9999,1,FALSE))),"X","")</f>
        <v/>
      </c>
      <c r="F578" s="3" t="str">
        <f>IF(EXACT(A578,C578),"X","")</f>
        <v/>
      </c>
      <c r="G578" s="3" t="str">
        <f>IF(A578&lt;&gt;C578,VLOOKUP(C578,$A$5:$D$9954,4,FALSE),"")</f>
        <v>Vvardenfell</v>
      </c>
      <c r="H578" s="17">
        <f>A578</f>
        <v>950</v>
      </c>
      <c r="I578" s="17">
        <f>C578</f>
        <v>849</v>
      </c>
      <c r="J578">
        <v>6</v>
      </c>
      <c r="K578" s="3" t="str">
        <f>VLOOKUP(J578,'LibSets constants'!$A$4:$B$1017,2,FALSE)</f>
        <v>DLC_MORROWIND</v>
      </c>
      <c r="L578" s="3" t="str">
        <f>VLOOKUP(J578,'LibSets constants'!$A$4:$C$1017,3,FALSE)</f>
        <v>Morrowind</v>
      </c>
    </row>
    <row r="579" spans="1:12" x14ac:dyDescent="0.25">
      <c r="A579">
        <v>951</v>
      </c>
      <c r="B579">
        <v>564</v>
      </c>
      <c r="C579">
        <v>849</v>
      </c>
      <c r="D579" t="s">
        <v>615</v>
      </c>
      <c r="E579" t="str">
        <f>IF(NOT(ISERROR(VLOOKUP(D579,'ESO Dungeon constants'!$A$3:$A$9999,1,FALSE))),"X","")</f>
        <v/>
      </c>
      <c r="F579" s="3" t="str">
        <f>IF(EXACT(A579,C579),"X","")</f>
        <v/>
      </c>
      <c r="G579" s="3" t="str">
        <f>IF(A579&lt;&gt;C579,VLOOKUP(C579,$A$5:$D$9954,4,FALSE),"")</f>
        <v>Vvardenfell</v>
      </c>
      <c r="H579" s="17">
        <f>A579</f>
        <v>951</v>
      </c>
      <c r="I579" s="17">
        <f>C579</f>
        <v>849</v>
      </c>
      <c r="J579">
        <v>6</v>
      </c>
      <c r="K579" s="3" t="str">
        <f>VLOOKUP(J579,'LibSets constants'!$A$4:$B$1017,2,FALSE)</f>
        <v>DLC_MORROWIND</v>
      </c>
      <c r="L579" s="3" t="str">
        <f>VLOOKUP(J579,'LibSets constants'!$A$4:$C$1017,3,FALSE)</f>
        <v>Morrowind</v>
      </c>
    </row>
    <row r="580" spans="1:12" x14ac:dyDescent="0.25">
      <c r="A580">
        <v>952</v>
      </c>
      <c r="B580">
        <v>565</v>
      </c>
      <c r="C580">
        <v>849</v>
      </c>
      <c r="D580" t="s">
        <v>616</v>
      </c>
      <c r="E580" t="str">
        <f>IF(NOT(ISERROR(VLOOKUP(D580,'ESO Dungeon constants'!$A$3:$A$9999,1,FALSE))),"X","")</f>
        <v/>
      </c>
      <c r="F580" s="3" t="str">
        <f>IF(EXACT(A580,C580),"X","")</f>
        <v/>
      </c>
      <c r="G580" s="3" t="str">
        <f>IF(A580&lt;&gt;C580,VLOOKUP(C580,$A$5:$D$9954,4,FALSE),"")</f>
        <v>Vvardenfell</v>
      </c>
      <c r="H580" s="17">
        <f>A580</f>
        <v>952</v>
      </c>
      <c r="I580" s="17">
        <f>C580</f>
        <v>849</v>
      </c>
      <c r="J580">
        <v>6</v>
      </c>
      <c r="K580" s="3" t="str">
        <f>VLOOKUP(J580,'LibSets constants'!$A$4:$B$1017,2,FALSE)</f>
        <v>DLC_MORROWIND</v>
      </c>
      <c r="L580" s="3" t="str">
        <f>VLOOKUP(J580,'LibSets constants'!$A$4:$C$1017,3,FALSE)</f>
        <v>Morrowind</v>
      </c>
    </row>
    <row r="581" spans="1:12" x14ac:dyDescent="0.25">
      <c r="A581">
        <v>953</v>
      </c>
      <c r="B581">
        <v>566</v>
      </c>
      <c r="C581">
        <v>849</v>
      </c>
      <c r="D581" t="s">
        <v>617</v>
      </c>
      <c r="E581" t="str">
        <f>IF(NOT(ISERROR(VLOOKUP(D581,'ESO Dungeon constants'!$A$3:$A$9999,1,FALSE))),"X","")</f>
        <v/>
      </c>
      <c r="F581" s="3" t="str">
        <f>IF(EXACT(A581,C581),"X","")</f>
        <v/>
      </c>
      <c r="G581" s="3" t="str">
        <f>IF(A581&lt;&gt;C581,VLOOKUP(C581,$A$5:$D$9954,4,FALSE),"")</f>
        <v>Vvardenfell</v>
      </c>
      <c r="H581" s="17">
        <f>A581</f>
        <v>953</v>
      </c>
      <c r="I581" s="17">
        <f>C581</f>
        <v>849</v>
      </c>
      <c r="J581">
        <v>6</v>
      </c>
      <c r="K581" s="3" t="str">
        <f>VLOOKUP(J581,'LibSets constants'!$A$4:$B$1017,2,FALSE)</f>
        <v>DLC_MORROWIND</v>
      </c>
      <c r="L581" s="3" t="str">
        <f>VLOOKUP(J581,'LibSets constants'!$A$4:$C$1017,3,FALSE)</f>
        <v>Morrowind</v>
      </c>
    </row>
    <row r="582" spans="1:12" x14ac:dyDescent="0.25">
      <c r="A582">
        <v>954</v>
      </c>
      <c r="B582">
        <v>567</v>
      </c>
      <c r="C582">
        <v>849</v>
      </c>
      <c r="D582" t="s">
        <v>618</v>
      </c>
      <c r="E582" t="str">
        <f>IF(NOT(ISERROR(VLOOKUP(D582,'ESO Dungeon constants'!$A$3:$A$9999,1,FALSE))),"X","")</f>
        <v/>
      </c>
      <c r="F582" s="3" t="str">
        <f>IF(EXACT(A582,C582),"X","")</f>
        <v/>
      </c>
      <c r="G582" s="3" t="str">
        <f>IF(A582&lt;&gt;C582,VLOOKUP(C582,$A$5:$D$9954,4,FALSE),"")</f>
        <v>Vvardenfell</v>
      </c>
      <c r="H582" s="17">
        <f>A582</f>
        <v>954</v>
      </c>
      <c r="I582" s="17">
        <f>C582</f>
        <v>849</v>
      </c>
      <c r="J582">
        <v>6</v>
      </c>
      <c r="K582" s="3" t="str">
        <f>VLOOKUP(J582,'LibSets constants'!$A$4:$B$1017,2,FALSE)</f>
        <v>DLC_MORROWIND</v>
      </c>
      <c r="L582" s="3" t="str">
        <f>VLOOKUP(J582,'LibSets constants'!$A$4:$C$1017,3,FALSE)</f>
        <v>Morrowind</v>
      </c>
    </row>
    <row r="583" spans="1:12" x14ac:dyDescent="0.25">
      <c r="A583">
        <v>955</v>
      </c>
      <c r="B583">
        <v>568</v>
      </c>
      <c r="C583">
        <v>849</v>
      </c>
      <c r="D583" t="s">
        <v>619</v>
      </c>
      <c r="E583" t="str">
        <f>IF(NOT(ISERROR(VLOOKUP(D583,'ESO Dungeon constants'!$A$3:$A$9999,1,FALSE))),"X","")</f>
        <v/>
      </c>
      <c r="F583" s="3" t="str">
        <f>IF(EXACT(A583,C583),"X","")</f>
        <v/>
      </c>
      <c r="G583" s="3" t="str">
        <f>IF(A583&lt;&gt;C583,VLOOKUP(C583,$A$5:$D$9954,4,FALSE),"")</f>
        <v>Vvardenfell</v>
      </c>
      <c r="H583" s="17">
        <f>A583</f>
        <v>955</v>
      </c>
      <c r="I583" s="17">
        <f>C583</f>
        <v>849</v>
      </c>
      <c r="J583">
        <v>6</v>
      </c>
      <c r="K583" s="3" t="str">
        <f>VLOOKUP(J583,'LibSets constants'!$A$4:$B$1017,2,FALSE)</f>
        <v>DLC_MORROWIND</v>
      </c>
      <c r="L583" s="3" t="str">
        <f>VLOOKUP(J583,'LibSets constants'!$A$4:$C$1017,3,FALSE)</f>
        <v>Morrowind</v>
      </c>
    </row>
    <row r="584" spans="1:12" x14ac:dyDescent="0.25">
      <c r="A584">
        <v>956</v>
      </c>
      <c r="B584">
        <v>569</v>
      </c>
      <c r="C584">
        <v>849</v>
      </c>
      <c r="D584" t="s">
        <v>620</v>
      </c>
      <c r="E584" t="str">
        <f>IF(NOT(ISERROR(VLOOKUP(D584,'ESO Dungeon constants'!$A$3:$A$9999,1,FALSE))),"X","")</f>
        <v/>
      </c>
      <c r="F584" s="3" t="str">
        <f>IF(EXACT(A584,C584),"X","")</f>
        <v/>
      </c>
      <c r="G584" s="3" t="str">
        <f>IF(A584&lt;&gt;C584,VLOOKUP(C584,$A$5:$D$9954,4,FALSE),"")</f>
        <v>Vvardenfell</v>
      </c>
      <c r="H584" s="17">
        <f>A584</f>
        <v>956</v>
      </c>
      <c r="I584" s="17">
        <f>C584</f>
        <v>849</v>
      </c>
      <c r="J584">
        <v>6</v>
      </c>
      <c r="K584" s="3" t="str">
        <f>VLOOKUP(J584,'LibSets constants'!$A$4:$B$1017,2,FALSE)</f>
        <v>DLC_MORROWIND</v>
      </c>
      <c r="L584" s="3" t="str">
        <f>VLOOKUP(J584,'LibSets constants'!$A$4:$C$1017,3,FALSE)</f>
        <v>Morrowind</v>
      </c>
    </row>
    <row r="585" spans="1:12" x14ac:dyDescent="0.25">
      <c r="A585">
        <v>957</v>
      </c>
      <c r="B585">
        <v>570</v>
      </c>
      <c r="C585">
        <v>849</v>
      </c>
      <c r="D585" t="s">
        <v>621</v>
      </c>
      <c r="E585" t="str">
        <f>IF(NOT(ISERROR(VLOOKUP(D585,'ESO Dungeon constants'!$A$3:$A$9999,1,FALSE))),"X","")</f>
        <v/>
      </c>
      <c r="F585" s="3" t="str">
        <f>IF(EXACT(A585,C585),"X","")</f>
        <v/>
      </c>
      <c r="G585" s="3" t="str">
        <f>IF(A585&lt;&gt;C585,VLOOKUP(C585,$A$5:$D$9954,4,FALSE),"")</f>
        <v>Vvardenfell</v>
      </c>
      <c r="H585" s="17">
        <f>A585</f>
        <v>957</v>
      </c>
      <c r="I585" s="17">
        <f>C585</f>
        <v>849</v>
      </c>
      <c r="J585">
        <v>6</v>
      </c>
      <c r="K585" s="3" t="str">
        <f>VLOOKUP(J585,'LibSets constants'!$A$4:$B$1017,2,FALSE)</f>
        <v>DLC_MORROWIND</v>
      </c>
      <c r="L585" s="3" t="str">
        <f>VLOOKUP(J585,'LibSets constants'!$A$4:$C$1017,3,FALSE)</f>
        <v>Morrowind</v>
      </c>
    </row>
    <row r="586" spans="1:12" x14ac:dyDescent="0.25">
      <c r="A586">
        <v>958</v>
      </c>
      <c r="B586">
        <v>571</v>
      </c>
      <c r="C586">
        <v>849</v>
      </c>
      <c r="D586" t="s">
        <v>622</v>
      </c>
      <c r="E586" t="str">
        <f>IF(NOT(ISERROR(VLOOKUP(D586,'ESO Dungeon constants'!$A$3:$A$9999,1,FALSE))),"X","")</f>
        <v/>
      </c>
      <c r="F586" s="3" t="str">
        <f>IF(EXACT(A586,C586),"X","")</f>
        <v/>
      </c>
      <c r="G586" s="3" t="str">
        <f>IF(A586&lt;&gt;C586,VLOOKUP(C586,$A$5:$D$9954,4,FALSE),"")</f>
        <v>Vvardenfell</v>
      </c>
      <c r="H586" s="17">
        <f>A586</f>
        <v>958</v>
      </c>
      <c r="I586" s="17">
        <f>C586</f>
        <v>849</v>
      </c>
      <c r="J586">
        <v>6</v>
      </c>
      <c r="K586" s="3" t="str">
        <f>VLOOKUP(J586,'LibSets constants'!$A$4:$B$1017,2,FALSE)</f>
        <v>DLC_MORROWIND</v>
      </c>
      <c r="L586" s="3" t="str">
        <f>VLOOKUP(J586,'LibSets constants'!$A$4:$C$1017,3,FALSE)</f>
        <v>Morrowind</v>
      </c>
    </row>
    <row r="587" spans="1:12" x14ac:dyDescent="0.25">
      <c r="A587">
        <v>959</v>
      </c>
      <c r="B587">
        <v>572</v>
      </c>
      <c r="C587">
        <v>849</v>
      </c>
      <c r="D587" t="s">
        <v>623</v>
      </c>
      <c r="E587" t="str">
        <f>IF(NOT(ISERROR(VLOOKUP(D587,'ESO Dungeon constants'!$A$3:$A$9999,1,FALSE))),"X","")</f>
        <v/>
      </c>
      <c r="F587" s="3" t="str">
        <f>IF(EXACT(A587,C587),"X","")</f>
        <v/>
      </c>
      <c r="G587" s="3" t="str">
        <f>IF(A587&lt;&gt;C587,VLOOKUP(C587,$A$5:$D$9954,4,FALSE),"")</f>
        <v>Vvardenfell</v>
      </c>
      <c r="H587" s="17">
        <f>A587</f>
        <v>959</v>
      </c>
      <c r="I587" s="17">
        <f>C587</f>
        <v>849</v>
      </c>
      <c r="J587">
        <v>6</v>
      </c>
      <c r="K587" s="3" t="str">
        <f>VLOOKUP(J587,'LibSets constants'!$A$4:$B$1017,2,FALSE)</f>
        <v>DLC_MORROWIND</v>
      </c>
      <c r="L587" s="3" t="str">
        <f>VLOOKUP(J587,'LibSets constants'!$A$4:$C$1017,3,FALSE)</f>
        <v>Morrowind</v>
      </c>
    </row>
    <row r="588" spans="1:12" x14ac:dyDescent="0.25">
      <c r="A588">
        <v>1470</v>
      </c>
      <c r="B588">
        <v>1009</v>
      </c>
      <c r="C588">
        <v>1207</v>
      </c>
      <c r="D588" t="s">
        <v>3873</v>
      </c>
      <c r="E588" t="str">
        <f>IF(NOT(ISERROR(VLOOKUP(D588,'ESO Dungeon constants'!$A$3:$A$9999,1,FALSE))),"X","")</f>
        <v>X</v>
      </c>
      <c r="F588" s="3" t="str">
        <f>IF(EXACT(A588,C588),"X","")</f>
        <v/>
      </c>
      <c r="G588" s="3" t="str">
        <f>IF(A588&lt;&gt;C588,VLOOKUP(C588,$A$5:$D$9954,4,FALSE),"")</f>
        <v>The Reach</v>
      </c>
      <c r="H588" s="17">
        <f>A588</f>
        <v>1470</v>
      </c>
      <c r="I588" s="17">
        <f>C588</f>
        <v>1207</v>
      </c>
      <c r="J588">
        <f>IF(E588="X",VLOOKUP(D588,'ESO Dungeon constants'!$A$3:$H$9999,8,FALSE),0)</f>
        <v>33</v>
      </c>
      <c r="K588" s="3" t="str">
        <f>VLOOKUP(J588,'LibSets constants'!$A$4:$B$1017,2,FALSE)</f>
        <v>DLC_SCIONS_OF_ITHELIA</v>
      </c>
      <c r="L588" s="3" t="str">
        <f>VLOOKUP(J588,'LibSets constants'!$A$4:$C$1017,3,FALSE)</f>
        <v>Scions of Ithelia</v>
      </c>
    </row>
    <row r="589" spans="1:12" x14ac:dyDescent="0.25">
      <c r="A589">
        <v>960</v>
      </c>
      <c r="B589">
        <v>573</v>
      </c>
      <c r="C589">
        <v>849</v>
      </c>
      <c r="D589" t="s">
        <v>624</v>
      </c>
      <c r="E589" t="str">
        <f>IF(NOT(ISERROR(VLOOKUP(D589,'ESO Dungeon constants'!$A$3:$A$9999,1,FALSE))),"X","")</f>
        <v/>
      </c>
      <c r="F589" s="3" t="str">
        <f>IF(EXACT(A589,C589),"X","")</f>
        <v/>
      </c>
      <c r="G589" s="3" t="str">
        <f>IF(A589&lt;&gt;C589,VLOOKUP(C589,$A$5:$D$9954,4,FALSE),"")</f>
        <v>Vvardenfell</v>
      </c>
      <c r="H589" s="17">
        <f>A589</f>
        <v>960</v>
      </c>
      <c r="I589" s="17">
        <f>C589</f>
        <v>849</v>
      </c>
      <c r="J589">
        <v>6</v>
      </c>
      <c r="K589" s="3" t="str">
        <f>VLOOKUP(J589,'LibSets constants'!$A$4:$B$1017,2,FALSE)</f>
        <v>DLC_MORROWIND</v>
      </c>
      <c r="L589" s="3" t="str">
        <f>VLOOKUP(J589,'LibSets constants'!$A$4:$C$1017,3,FALSE)</f>
        <v>Morrowind</v>
      </c>
    </row>
    <row r="590" spans="1:12" x14ac:dyDescent="0.25">
      <c r="A590">
        <v>961</v>
      </c>
      <c r="B590">
        <v>574</v>
      </c>
      <c r="C590">
        <v>849</v>
      </c>
      <c r="D590" t="s">
        <v>625</v>
      </c>
      <c r="E590" t="str">
        <f>IF(NOT(ISERROR(VLOOKUP(D590,'ESO Dungeon constants'!$A$3:$A$9999,1,FALSE))),"X","")</f>
        <v/>
      </c>
      <c r="F590" s="3" t="str">
        <f>IF(EXACT(A590,C590),"X","")</f>
        <v/>
      </c>
      <c r="G590" s="3" t="str">
        <f>IF(A590&lt;&gt;C590,VLOOKUP(C590,$A$5:$D$9954,4,FALSE),"")</f>
        <v>Vvardenfell</v>
      </c>
      <c r="H590" s="17">
        <f>A590</f>
        <v>961</v>
      </c>
      <c r="I590" s="17">
        <f>C590</f>
        <v>849</v>
      </c>
      <c r="J590">
        <v>6</v>
      </c>
      <c r="K590" s="3" t="str">
        <f>VLOOKUP(J590,'LibSets constants'!$A$4:$B$1017,2,FALSE)</f>
        <v>DLC_MORROWIND</v>
      </c>
      <c r="L590" s="3" t="str">
        <f>VLOOKUP(J590,'LibSets constants'!$A$4:$C$1017,3,FALSE)</f>
        <v>Morrowind</v>
      </c>
    </row>
    <row r="591" spans="1:12" x14ac:dyDescent="0.25">
      <c r="A591">
        <v>962</v>
      </c>
      <c r="B591">
        <v>575</v>
      </c>
      <c r="C591">
        <v>849</v>
      </c>
      <c r="D591" t="s">
        <v>626</v>
      </c>
      <c r="E591" t="str">
        <f>IF(NOT(ISERROR(VLOOKUP(D591,'ESO Dungeon constants'!$A$3:$A$9999,1,FALSE))),"X","")</f>
        <v/>
      </c>
      <c r="F591" s="3" t="str">
        <f>IF(EXACT(A591,C591),"X","")</f>
        <v/>
      </c>
      <c r="G591" s="3" t="str">
        <f>IF(A591&lt;&gt;C591,VLOOKUP(C591,$A$5:$D$9954,4,FALSE),"")</f>
        <v>Vvardenfell</v>
      </c>
      <c r="H591" s="17">
        <f>A591</f>
        <v>962</v>
      </c>
      <c r="I591" s="17">
        <f>C591</f>
        <v>849</v>
      </c>
      <c r="J591">
        <v>6</v>
      </c>
      <c r="K591" s="3" t="str">
        <f>VLOOKUP(J591,'LibSets constants'!$A$4:$B$1017,2,FALSE)</f>
        <v>DLC_MORROWIND</v>
      </c>
      <c r="L591" s="3" t="str">
        <f>VLOOKUP(J591,'LibSets constants'!$A$4:$C$1017,3,FALSE)</f>
        <v>Morrowind</v>
      </c>
    </row>
    <row r="592" spans="1:12" x14ac:dyDescent="0.25">
      <c r="A592">
        <v>963</v>
      </c>
      <c r="B592">
        <v>576</v>
      </c>
      <c r="C592">
        <v>849</v>
      </c>
      <c r="D592" t="s">
        <v>627</v>
      </c>
      <c r="E592" t="str">
        <f>IF(NOT(ISERROR(VLOOKUP(D592,'ESO Dungeon constants'!$A$3:$A$9999,1,FALSE))),"X","")</f>
        <v/>
      </c>
      <c r="F592" s="3" t="str">
        <f>IF(EXACT(A592,C592),"X","")</f>
        <v/>
      </c>
      <c r="G592" s="3" t="str">
        <f>IF(A592&lt;&gt;C592,VLOOKUP(C592,$A$5:$D$9954,4,FALSE),"")</f>
        <v>Vvardenfell</v>
      </c>
      <c r="H592" s="17">
        <f>A592</f>
        <v>963</v>
      </c>
      <c r="I592" s="17">
        <f>C592</f>
        <v>849</v>
      </c>
      <c r="J592">
        <v>6</v>
      </c>
      <c r="K592" s="3" t="str">
        <f>VLOOKUP(J592,'LibSets constants'!$A$4:$B$1017,2,FALSE)</f>
        <v>DLC_MORROWIND</v>
      </c>
      <c r="L592" s="3" t="str">
        <f>VLOOKUP(J592,'LibSets constants'!$A$4:$C$1017,3,FALSE)</f>
        <v>Morrowind</v>
      </c>
    </row>
    <row r="593" spans="1:12" x14ac:dyDescent="0.25">
      <c r="A593">
        <v>964</v>
      </c>
      <c r="B593">
        <v>577</v>
      </c>
      <c r="C593">
        <v>849</v>
      </c>
      <c r="D593" t="s">
        <v>628</v>
      </c>
      <c r="E593" t="str">
        <f>IF(NOT(ISERROR(VLOOKUP(D593,'ESO Dungeon constants'!$A$3:$A$9999,1,FALSE))),"X","")</f>
        <v/>
      </c>
      <c r="F593" s="3" t="str">
        <f>IF(EXACT(A593,C593),"X","")</f>
        <v/>
      </c>
      <c r="G593" s="3" t="str">
        <f>IF(A593&lt;&gt;C593,VLOOKUP(C593,$A$5:$D$9954,4,FALSE),"")</f>
        <v>Vvardenfell</v>
      </c>
      <c r="H593" s="17">
        <f>A593</f>
        <v>964</v>
      </c>
      <c r="I593" s="17">
        <f>C593</f>
        <v>849</v>
      </c>
      <c r="J593">
        <v>6</v>
      </c>
      <c r="K593" s="3" t="str">
        <f>VLOOKUP(J593,'LibSets constants'!$A$4:$B$1017,2,FALSE)</f>
        <v>DLC_MORROWIND</v>
      </c>
      <c r="L593" s="3" t="str">
        <f>VLOOKUP(J593,'LibSets constants'!$A$4:$C$1017,3,FALSE)</f>
        <v>Morrowind</v>
      </c>
    </row>
    <row r="594" spans="1:12" x14ac:dyDescent="0.25">
      <c r="A594">
        <v>965</v>
      </c>
      <c r="B594">
        <v>578</v>
      </c>
      <c r="C594">
        <v>849</v>
      </c>
      <c r="D594" t="s">
        <v>629</v>
      </c>
      <c r="E594" t="str">
        <f>IF(NOT(ISERROR(VLOOKUP(D594,'ESO Dungeon constants'!$A$3:$A$9999,1,FALSE))),"X","")</f>
        <v/>
      </c>
      <c r="F594" s="3" t="str">
        <f>IF(EXACT(A594,C594),"X","")</f>
        <v/>
      </c>
      <c r="G594" s="3" t="str">
        <f>IF(A594&lt;&gt;C594,VLOOKUP(C594,$A$5:$D$9954,4,FALSE),"")</f>
        <v>Vvardenfell</v>
      </c>
      <c r="H594" s="17">
        <f>A594</f>
        <v>965</v>
      </c>
      <c r="I594" s="17">
        <f>C594</f>
        <v>849</v>
      </c>
      <c r="J594">
        <v>6</v>
      </c>
      <c r="K594" s="3" t="str">
        <f>VLOOKUP(J594,'LibSets constants'!$A$4:$B$1017,2,FALSE)</f>
        <v>DLC_MORROWIND</v>
      </c>
      <c r="L594" s="3" t="str">
        <f>VLOOKUP(J594,'LibSets constants'!$A$4:$C$1017,3,FALSE)</f>
        <v>Morrowind</v>
      </c>
    </row>
    <row r="595" spans="1:12" x14ac:dyDescent="0.25">
      <c r="A595">
        <v>966</v>
      </c>
      <c r="B595">
        <v>579</v>
      </c>
      <c r="C595">
        <v>849</v>
      </c>
      <c r="D595" t="s">
        <v>630</v>
      </c>
      <c r="E595" t="str">
        <f>IF(NOT(ISERROR(VLOOKUP(D595,'ESO Dungeon constants'!$A$3:$A$9999,1,FALSE))),"X","")</f>
        <v/>
      </c>
      <c r="F595" s="3" t="str">
        <f>IF(EXACT(A595,C595),"X","")</f>
        <v/>
      </c>
      <c r="G595" s="3" t="str">
        <f>IF(A595&lt;&gt;C595,VLOOKUP(C595,$A$5:$D$9954,4,FALSE),"")</f>
        <v>Vvardenfell</v>
      </c>
      <c r="H595" s="17">
        <f>A595</f>
        <v>966</v>
      </c>
      <c r="I595" s="17">
        <f>C595</f>
        <v>849</v>
      </c>
      <c r="J595">
        <v>6</v>
      </c>
      <c r="K595" s="3" t="str">
        <f>VLOOKUP(J595,'LibSets constants'!$A$4:$B$1017,2,FALSE)</f>
        <v>DLC_MORROWIND</v>
      </c>
      <c r="L595" s="3" t="str">
        <f>VLOOKUP(J595,'LibSets constants'!$A$4:$C$1017,3,FALSE)</f>
        <v>Morrowind</v>
      </c>
    </row>
    <row r="596" spans="1:12" x14ac:dyDescent="0.25">
      <c r="A596">
        <v>967</v>
      </c>
      <c r="B596">
        <v>580</v>
      </c>
      <c r="C596">
        <v>849</v>
      </c>
      <c r="D596" t="s">
        <v>631</v>
      </c>
      <c r="E596" t="str">
        <f>IF(NOT(ISERROR(VLOOKUP(D596,'ESO Dungeon constants'!$A$3:$A$9999,1,FALSE))),"X","")</f>
        <v/>
      </c>
      <c r="F596" s="3" t="str">
        <f>IF(EXACT(A596,C596),"X","")</f>
        <v/>
      </c>
      <c r="G596" s="3" t="str">
        <f>IF(A596&lt;&gt;C596,VLOOKUP(C596,$A$5:$D$9954,4,FALSE),"")</f>
        <v>Vvardenfell</v>
      </c>
      <c r="H596" s="17">
        <f>A596</f>
        <v>967</v>
      </c>
      <c r="I596" s="17">
        <f>C596</f>
        <v>849</v>
      </c>
      <c r="J596">
        <v>6</v>
      </c>
      <c r="K596" s="3" t="str">
        <f>VLOOKUP(J596,'LibSets constants'!$A$4:$B$1017,2,FALSE)</f>
        <v>DLC_MORROWIND</v>
      </c>
      <c r="L596" s="3" t="str">
        <f>VLOOKUP(J596,'LibSets constants'!$A$4:$C$1017,3,FALSE)</f>
        <v>Morrowind</v>
      </c>
    </row>
    <row r="597" spans="1:12" x14ac:dyDescent="0.25">
      <c r="A597">
        <v>968</v>
      </c>
      <c r="B597">
        <v>581</v>
      </c>
      <c r="C597">
        <v>849</v>
      </c>
      <c r="D597" t="s">
        <v>632</v>
      </c>
      <c r="E597" t="str">
        <f>IF(NOT(ISERROR(VLOOKUP(D597,'ESO Dungeon constants'!$A$3:$A$9999,1,FALSE))),"X","")</f>
        <v/>
      </c>
      <c r="F597" s="3" t="str">
        <f>IF(EXACT(A597,C597),"X","")</f>
        <v/>
      </c>
      <c r="G597" s="3" t="str">
        <f>IF(A597&lt;&gt;C597,VLOOKUP(C597,$A$5:$D$9954,4,FALSE),"")</f>
        <v>Vvardenfell</v>
      </c>
      <c r="H597" s="17">
        <f>A597</f>
        <v>968</v>
      </c>
      <c r="I597" s="17">
        <f>C597</f>
        <v>849</v>
      </c>
      <c r="J597">
        <v>6</v>
      </c>
      <c r="K597" s="3" t="str">
        <f>VLOOKUP(J597,'LibSets constants'!$A$4:$B$1017,2,FALSE)</f>
        <v>DLC_MORROWIND</v>
      </c>
      <c r="L597" s="3" t="str">
        <f>VLOOKUP(J597,'LibSets constants'!$A$4:$C$1017,3,FALSE)</f>
        <v>Morrowind</v>
      </c>
    </row>
    <row r="598" spans="1:12" x14ac:dyDescent="0.25">
      <c r="A598">
        <v>969</v>
      </c>
      <c r="B598">
        <v>582</v>
      </c>
      <c r="C598">
        <v>849</v>
      </c>
      <c r="D598" t="s">
        <v>633</v>
      </c>
      <c r="E598" t="str">
        <f>IF(NOT(ISERROR(VLOOKUP(D598,'ESO Dungeon constants'!$A$3:$A$9999,1,FALSE))),"X","")</f>
        <v/>
      </c>
      <c r="F598" s="3" t="str">
        <f>IF(EXACT(A598,C598),"X","")</f>
        <v/>
      </c>
      <c r="G598" s="3" t="str">
        <f>IF(A598&lt;&gt;C598,VLOOKUP(C598,$A$5:$D$9954,4,FALSE),"")</f>
        <v>Vvardenfell</v>
      </c>
      <c r="H598" s="17">
        <f>A598</f>
        <v>969</v>
      </c>
      <c r="I598" s="17">
        <f>C598</f>
        <v>849</v>
      </c>
      <c r="J598">
        <v>6</v>
      </c>
      <c r="K598" s="3" t="str">
        <f>VLOOKUP(J598,'LibSets constants'!$A$4:$B$1017,2,FALSE)</f>
        <v>DLC_MORROWIND</v>
      </c>
      <c r="L598" s="3" t="str">
        <f>VLOOKUP(J598,'LibSets constants'!$A$4:$C$1017,3,FALSE)</f>
        <v>Morrowind</v>
      </c>
    </row>
    <row r="599" spans="1:12" x14ac:dyDescent="0.25">
      <c r="A599">
        <v>970</v>
      </c>
      <c r="B599">
        <v>583</v>
      </c>
      <c r="C599">
        <v>849</v>
      </c>
      <c r="D599" t="s">
        <v>634</v>
      </c>
      <c r="E599" t="str">
        <f>IF(NOT(ISERROR(VLOOKUP(D599,'ESO Dungeon constants'!$A$3:$A$9999,1,FALSE))),"X","")</f>
        <v/>
      </c>
      <c r="F599" s="3" t="str">
        <f>IF(EXACT(A599,C599),"X","")</f>
        <v/>
      </c>
      <c r="G599" s="3" t="str">
        <f>IF(A599&lt;&gt;C599,VLOOKUP(C599,$A$5:$D$9954,4,FALSE),"")</f>
        <v>Vvardenfell</v>
      </c>
      <c r="H599" s="17">
        <f>A599</f>
        <v>970</v>
      </c>
      <c r="I599" s="17">
        <f>C599</f>
        <v>849</v>
      </c>
      <c r="J599">
        <v>6</v>
      </c>
      <c r="K599" s="3" t="str">
        <f>VLOOKUP(J599,'LibSets constants'!$A$4:$B$1017,2,FALSE)</f>
        <v>DLC_MORROWIND</v>
      </c>
      <c r="L599" s="3" t="str">
        <f>VLOOKUP(J599,'LibSets constants'!$A$4:$C$1017,3,FALSE)</f>
        <v>Morrowind</v>
      </c>
    </row>
    <row r="600" spans="1:12" x14ac:dyDescent="0.25">
      <c r="A600">
        <v>971</v>
      </c>
      <c r="B600">
        <v>584</v>
      </c>
      <c r="C600">
        <v>849</v>
      </c>
      <c r="D600" t="s">
        <v>635</v>
      </c>
      <c r="E600" t="str">
        <f>IF(NOT(ISERROR(VLOOKUP(D600,'ESO Dungeon constants'!$A$3:$A$9999,1,FALSE))),"X","")</f>
        <v/>
      </c>
      <c r="F600" s="3" t="str">
        <f>IF(EXACT(A600,C600),"X","")</f>
        <v/>
      </c>
      <c r="G600" s="3" t="str">
        <f>IF(A600&lt;&gt;C600,VLOOKUP(C600,$A$5:$D$9954,4,FALSE),"")</f>
        <v>Vvardenfell</v>
      </c>
      <c r="H600" s="17">
        <f>A600</f>
        <v>971</v>
      </c>
      <c r="I600" s="17">
        <f>C600</f>
        <v>849</v>
      </c>
      <c r="J600">
        <v>6</v>
      </c>
      <c r="K600" s="3" t="str">
        <f>VLOOKUP(J600,'LibSets constants'!$A$4:$B$1017,2,FALSE)</f>
        <v>DLC_MORROWIND</v>
      </c>
      <c r="L600" s="3" t="str">
        <f>VLOOKUP(J600,'LibSets constants'!$A$4:$C$1017,3,FALSE)</f>
        <v>Morrowind</v>
      </c>
    </row>
    <row r="601" spans="1:12" x14ac:dyDescent="0.25">
      <c r="A601">
        <v>972</v>
      </c>
      <c r="B601">
        <v>585</v>
      </c>
      <c r="C601">
        <v>849</v>
      </c>
      <c r="D601" t="s">
        <v>636</v>
      </c>
      <c r="E601" t="str">
        <f>IF(NOT(ISERROR(VLOOKUP(D601,'ESO Dungeon constants'!$A$3:$A$9999,1,FALSE))),"X","")</f>
        <v/>
      </c>
      <c r="F601" s="3" t="str">
        <f>IF(EXACT(A601,C601),"X","")</f>
        <v/>
      </c>
      <c r="G601" s="3" t="str">
        <f>IF(A601&lt;&gt;C601,VLOOKUP(C601,$A$5:$D$9954,4,FALSE),"")</f>
        <v>Vvardenfell</v>
      </c>
      <c r="H601" s="17">
        <f>A601</f>
        <v>972</v>
      </c>
      <c r="I601" s="17">
        <f>C601</f>
        <v>849</v>
      </c>
      <c r="J601">
        <v>6</v>
      </c>
      <c r="K601" s="3" t="str">
        <f>VLOOKUP(J601,'LibSets constants'!$A$4:$B$1017,2,FALSE)</f>
        <v>DLC_MORROWIND</v>
      </c>
      <c r="L601" s="3" t="str">
        <f>VLOOKUP(J601,'LibSets constants'!$A$4:$C$1017,3,FALSE)</f>
        <v>Morrowind</v>
      </c>
    </row>
    <row r="602" spans="1:12" x14ac:dyDescent="0.25">
      <c r="A602">
        <v>977</v>
      </c>
      <c r="B602">
        <v>589</v>
      </c>
      <c r="C602">
        <v>849</v>
      </c>
      <c r="D602" t="s">
        <v>638</v>
      </c>
      <c r="E602" t="str">
        <f>IF(NOT(ISERROR(VLOOKUP(D602,'ESO Dungeon constants'!$A$3:$A$9999,1,FALSE))),"X","")</f>
        <v/>
      </c>
      <c r="F602" s="3" t="str">
        <f>IF(EXACT(A602,C602),"X","")</f>
        <v/>
      </c>
      <c r="G602" s="3" t="str">
        <f>IF(A602&lt;&gt;C602,VLOOKUP(C602,$A$5:$D$9954,4,FALSE),"")</f>
        <v>Vvardenfell</v>
      </c>
      <c r="H602" s="17">
        <f>A602</f>
        <v>977</v>
      </c>
      <c r="I602" s="17">
        <f>C602</f>
        <v>849</v>
      </c>
      <c r="J602">
        <v>6</v>
      </c>
      <c r="K602" s="3" t="str">
        <f>VLOOKUP(J602,'LibSets constants'!$A$4:$B$1017,2,FALSE)</f>
        <v>DLC_MORROWIND</v>
      </c>
      <c r="L602" s="3" t="str">
        <f>VLOOKUP(J602,'LibSets constants'!$A$4:$C$1017,3,FALSE)</f>
        <v>Morrowind</v>
      </c>
    </row>
    <row r="603" spans="1:12" x14ac:dyDescent="0.25">
      <c r="A603">
        <v>979</v>
      </c>
      <c r="B603">
        <v>590</v>
      </c>
      <c r="C603">
        <v>849</v>
      </c>
      <c r="D603" t="s">
        <v>631</v>
      </c>
      <c r="E603" t="str">
        <f>IF(NOT(ISERROR(VLOOKUP(D603,'ESO Dungeon constants'!$A$3:$A$9999,1,FALSE))),"X","")</f>
        <v/>
      </c>
      <c r="F603" s="3" t="str">
        <f>IF(EXACT(A603,C603),"X","")</f>
        <v/>
      </c>
      <c r="G603" s="3" t="str">
        <f>IF(A603&lt;&gt;C603,VLOOKUP(C603,$A$5:$D$9954,4,FALSE),"")</f>
        <v>Vvardenfell</v>
      </c>
      <c r="H603" s="17">
        <f>A603</f>
        <v>979</v>
      </c>
      <c r="I603" s="17">
        <f>C603</f>
        <v>849</v>
      </c>
      <c r="J603">
        <v>6</v>
      </c>
      <c r="K603" s="3" t="str">
        <f>VLOOKUP(J603,'LibSets constants'!$A$4:$B$1017,2,FALSE)</f>
        <v>DLC_MORROWIND</v>
      </c>
      <c r="L603" s="3" t="str">
        <f>VLOOKUP(J603,'LibSets constants'!$A$4:$C$1017,3,FALSE)</f>
        <v>Morrowind</v>
      </c>
    </row>
    <row r="604" spans="1:12" x14ac:dyDescent="0.25">
      <c r="A604">
        <v>980</v>
      </c>
      <c r="B604">
        <v>591</v>
      </c>
      <c r="C604">
        <v>980</v>
      </c>
      <c r="D604" t="s">
        <v>78</v>
      </c>
      <c r="E604" t="str">
        <f>IF(NOT(ISERROR(VLOOKUP(D604,'ESO Dungeon constants'!$A$3:$A$9999,1,FALSE))),"X","")</f>
        <v/>
      </c>
      <c r="F604" s="3" t="str">
        <f>IF(EXACT(A604,C604),"X","")</f>
        <v>X</v>
      </c>
      <c r="G604" s="3" t="str">
        <f>IF(A604&lt;&gt;C604,VLOOKUP(C604,$A$5:$D$9954,4,FALSE),"")</f>
        <v/>
      </c>
      <c r="H604" s="17">
        <f>A604</f>
        <v>980</v>
      </c>
      <c r="I604" s="17">
        <f>C604</f>
        <v>980</v>
      </c>
      <c r="J604">
        <v>30</v>
      </c>
      <c r="K604" s="3" t="str">
        <f>VLOOKUP(J604,'LibSets constants'!$A$4:$B$1017,2,FALSE)</f>
        <v>DLC_NECROM</v>
      </c>
      <c r="L604" s="3" t="str">
        <f>VLOOKUP(J604,'LibSets constants'!$A$4:$C$1017,3,FALSE)</f>
        <v>Necrom</v>
      </c>
    </row>
    <row r="605" spans="1:12" x14ac:dyDescent="0.25">
      <c r="A605">
        <v>981</v>
      </c>
      <c r="B605">
        <v>592</v>
      </c>
      <c r="C605">
        <v>980</v>
      </c>
      <c r="D605" t="s">
        <v>639</v>
      </c>
      <c r="E605" t="str">
        <f>IF(NOT(ISERROR(VLOOKUP(D605,'ESO Dungeon constants'!$A$3:$A$9999,1,FALSE))),"X","")</f>
        <v/>
      </c>
      <c r="F605" s="3" t="str">
        <f>IF(EXACT(A605,C605),"X","")</f>
        <v/>
      </c>
      <c r="G605" s="3" t="str">
        <f>IF(A605&lt;&gt;C605,VLOOKUP(C605,$A$5:$D$9954,4,FALSE),"")</f>
        <v>Clockwork City</v>
      </c>
      <c r="H605" s="17">
        <f>A605</f>
        <v>981</v>
      </c>
      <c r="I605" s="17">
        <f>C605</f>
        <v>980</v>
      </c>
      <c r="J605">
        <v>8</v>
      </c>
      <c r="K605" s="3" t="str">
        <f>VLOOKUP(J605,'LibSets constants'!$A$4:$B$1017,2,FALSE)</f>
        <v>DLC_CLOCKWORK_CITY</v>
      </c>
      <c r="L605" s="3" t="str">
        <f>VLOOKUP(J605,'LibSets constants'!$A$4:$C$1017,3,FALSE)</f>
        <v>Clockwork City</v>
      </c>
    </row>
    <row r="606" spans="1:12" x14ac:dyDescent="0.25">
      <c r="A606">
        <v>982</v>
      </c>
      <c r="B606">
        <v>593</v>
      </c>
      <c r="C606">
        <v>980</v>
      </c>
      <c r="D606" t="s">
        <v>640</v>
      </c>
      <c r="E606" t="str">
        <f>IF(NOT(ISERROR(VLOOKUP(D606,'ESO Dungeon constants'!$A$3:$A$9999,1,FALSE))),"X","")</f>
        <v/>
      </c>
      <c r="F606" s="3" t="str">
        <f>IF(EXACT(A606,C606),"X","")</f>
        <v/>
      </c>
      <c r="G606" s="3" t="str">
        <f>IF(A606&lt;&gt;C606,VLOOKUP(C606,$A$5:$D$9954,4,FALSE),"")</f>
        <v>Clockwork City</v>
      </c>
      <c r="H606" s="17">
        <f>A606</f>
        <v>982</v>
      </c>
      <c r="I606" s="17">
        <f>C606</f>
        <v>980</v>
      </c>
      <c r="J606">
        <v>8</v>
      </c>
      <c r="K606" s="3" t="str">
        <f>VLOOKUP(J606,'LibSets constants'!$A$4:$B$1017,2,FALSE)</f>
        <v>DLC_CLOCKWORK_CITY</v>
      </c>
      <c r="L606" s="3" t="str">
        <f>VLOOKUP(J606,'LibSets constants'!$A$4:$C$1017,3,FALSE)</f>
        <v>Clockwork City</v>
      </c>
    </row>
    <row r="607" spans="1:12" x14ac:dyDescent="0.25">
      <c r="A607">
        <v>983</v>
      </c>
      <c r="B607">
        <v>594</v>
      </c>
      <c r="C607">
        <v>980</v>
      </c>
      <c r="D607" t="s">
        <v>641</v>
      </c>
      <c r="E607" t="str">
        <f>IF(NOT(ISERROR(VLOOKUP(D607,'ESO Dungeon constants'!$A$3:$A$9999,1,FALSE))),"X","")</f>
        <v/>
      </c>
      <c r="F607" s="3" t="str">
        <f>IF(EXACT(A607,C607),"X","")</f>
        <v/>
      </c>
      <c r="G607" s="3" t="str">
        <f>IF(A607&lt;&gt;C607,VLOOKUP(C607,$A$5:$D$9954,4,FALSE),"")</f>
        <v>Clockwork City</v>
      </c>
      <c r="H607" s="17">
        <f>A607</f>
        <v>983</v>
      </c>
      <c r="I607" s="17">
        <f>C607</f>
        <v>980</v>
      </c>
      <c r="J607">
        <v>8</v>
      </c>
      <c r="K607" s="3" t="str">
        <f>VLOOKUP(J607,'LibSets constants'!$A$4:$B$1017,2,FALSE)</f>
        <v>DLC_CLOCKWORK_CITY</v>
      </c>
      <c r="L607" s="3" t="str">
        <f>VLOOKUP(J607,'LibSets constants'!$A$4:$C$1017,3,FALSE)</f>
        <v>Clockwork City</v>
      </c>
    </row>
    <row r="608" spans="1:12" x14ac:dyDescent="0.25">
      <c r="A608">
        <v>984</v>
      </c>
      <c r="B608">
        <v>595</v>
      </c>
      <c r="C608">
        <v>980</v>
      </c>
      <c r="D608" t="s">
        <v>642</v>
      </c>
      <c r="E608" t="str">
        <f>IF(NOT(ISERROR(VLOOKUP(D608,'ESO Dungeon constants'!$A$3:$A$9999,1,FALSE))),"X","")</f>
        <v/>
      </c>
      <c r="F608" s="3" t="str">
        <f>IF(EXACT(A608,C608),"X","")</f>
        <v/>
      </c>
      <c r="G608" s="3" t="str">
        <f>IF(A608&lt;&gt;C608,VLOOKUP(C608,$A$5:$D$9954,4,FALSE),"")</f>
        <v>Clockwork City</v>
      </c>
      <c r="H608" s="17">
        <f>A608</f>
        <v>984</v>
      </c>
      <c r="I608" s="17">
        <f>C608</f>
        <v>980</v>
      </c>
      <c r="J608">
        <v>8</v>
      </c>
      <c r="K608" s="3" t="str">
        <f>VLOOKUP(J608,'LibSets constants'!$A$4:$B$1017,2,FALSE)</f>
        <v>DLC_CLOCKWORK_CITY</v>
      </c>
      <c r="L608" s="3" t="str">
        <f>VLOOKUP(J608,'LibSets constants'!$A$4:$C$1017,3,FALSE)</f>
        <v>Clockwork City</v>
      </c>
    </row>
    <row r="609" spans="1:12" x14ac:dyDescent="0.25">
      <c r="A609">
        <v>985</v>
      </c>
      <c r="B609">
        <v>596</v>
      </c>
      <c r="C609">
        <v>980</v>
      </c>
      <c r="D609" t="s">
        <v>643</v>
      </c>
      <c r="E609" t="str">
        <f>IF(NOT(ISERROR(VLOOKUP(D609,'ESO Dungeon constants'!$A$3:$A$9999,1,FALSE))),"X","")</f>
        <v/>
      </c>
      <c r="F609" s="3" t="str">
        <f>IF(EXACT(A609,C609),"X","")</f>
        <v/>
      </c>
      <c r="G609" s="3" t="str">
        <f>IF(A609&lt;&gt;C609,VLOOKUP(C609,$A$5:$D$9954,4,FALSE),"")</f>
        <v>Clockwork City</v>
      </c>
      <c r="H609" s="17">
        <f>A609</f>
        <v>985</v>
      </c>
      <c r="I609" s="17">
        <f>C609</f>
        <v>980</v>
      </c>
      <c r="J609">
        <v>8</v>
      </c>
      <c r="K609" s="3" t="str">
        <f>VLOOKUP(J609,'LibSets constants'!$A$4:$B$1017,2,FALSE)</f>
        <v>DLC_CLOCKWORK_CITY</v>
      </c>
      <c r="L609" s="3" t="str">
        <f>VLOOKUP(J609,'LibSets constants'!$A$4:$C$1017,3,FALSE)</f>
        <v>Clockwork City</v>
      </c>
    </row>
    <row r="610" spans="1:12" x14ac:dyDescent="0.25">
      <c r="A610">
        <v>986</v>
      </c>
      <c r="B610">
        <v>597</v>
      </c>
      <c r="C610">
        <v>980</v>
      </c>
      <c r="D610" t="s">
        <v>644</v>
      </c>
      <c r="E610" t="str">
        <f>IF(NOT(ISERROR(VLOOKUP(D610,'ESO Dungeon constants'!$A$3:$A$9999,1,FALSE))),"X","")</f>
        <v/>
      </c>
      <c r="F610" s="3" t="str">
        <f>IF(EXACT(A610,C610),"X","")</f>
        <v/>
      </c>
      <c r="G610" s="3" t="str">
        <f>IF(A610&lt;&gt;C610,VLOOKUP(C610,$A$5:$D$9954,4,FALSE),"")</f>
        <v>Clockwork City</v>
      </c>
      <c r="H610" s="17">
        <f>A610</f>
        <v>986</v>
      </c>
      <c r="I610" s="17">
        <f>C610</f>
        <v>980</v>
      </c>
      <c r="J610">
        <v>8</v>
      </c>
      <c r="K610" s="3" t="str">
        <f>VLOOKUP(J610,'LibSets constants'!$A$4:$B$1017,2,FALSE)</f>
        <v>DLC_CLOCKWORK_CITY</v>
      </c>
      <c r="L610" s="3" t="str">
        <f>VLOOKUP(J610,'LibSets constants'!$A$4:$C$1017,3,FALSE)</f>
        <v>Clockwork City</v>
      </c>
    </row>
    <row r="611" spans="1:12" x14ac:dyDescent="0.25">
      <c r="A611">
        <v>988</v>
      </c>
      <c r="B611">
        <v>598</v>
      </c>
      <c r="C611">
        <v>980</v>
      </c>
      <c r="D611" t="s">
        <v>645</v>
      </c>
      <c r="E611" t="str">
        <f>IF(NOT(ISERROR(VLOOKUP(D611,'ESO Dungeon constants'!$A$3:$A$9999,1,FALSE))),"X","")</f>
        <v/>
      </c>
      <c r="F611" s="3" t="str">
        <f>IF(EXACT(A611,C611),"X","")</f>
        <v/>
      </c>
      <c r="G611" s="3" t="str">
        <f>IF(A611&lt;&gt;C611,VLOOKUP(C611,$A$5:$D$9954,4,FALSE),"")</f>
        <v>Clockwork City</v>
      </c>
      <c r="H611" s="17">
        <f>A611</f>
        <v>988</v>
      </c>
      <c r="I611" s="17">
        <f>C611</f>
        <v>980</v>
      </c>
      <c r="J611">
        <v>8</v>
      </c>
      <c r="K611" s="3" t="str">
        <f>VLOOKUP(J611,'LibSets constants'!$A$4:$B$1017,2,FALSE)</f>
        <v>DLC_CLOCKWORK_CITY</v>
      </c>
      <c r="L611" s="3" t="str">
        <f>VLOOKUP(J611,'LibSets constants'!$A$4:$C$1017,3,FALSE)</f>
        <v>Clockwork City</v>
      </c>
    </row>
    <row r="612" spans="1:12" x14ac:dyDescent="0.25">
      <c r="A612">
        <v>989</v>
      </c>
      <c r="B612">
        <v>599</v>
      </c>
      <c r="C612">
        <v>980</v>
      </c>
      <c r="D612" t="s">
        <v>646</v>
      </c>
      <c r="E612" t="str">
        <f>IF(NOT(ISERROR(VLOOKUP(D612,'ESO Dungeon constants'!$A$3:$A$9999,1,FALSE))),"X","")</f>
        <v/>
      </c>
      <c r="F612" s="3" t="str">
        <f>IF(EXACT(A612,C612),"X","")</f>
        <v/>
      </c>
      <c r="G612" s="3" t="str">
        <f>IF(A612&lt;&gt;C612,VLOOKUP(C612,$A$5:$D$9954,4,FALSE),"")</f>
        <v>Clockwork City</v>
      </c>
      <c r="H612" s="17">
        <f>A612</f>
        <v>989</v>
      </c>
      <c r="I612" s="17">
        <f>C612</f>
        <v>980</v>
      </c>
      <c r="J612">
        <v>8</v>
      </c>
      <c r="K612" s="3" t="str">
        <f>VLOOKUP(J612,'LibSets constants'!$A$4:$B$1017,2,FALSE)</f>
        <v>DLC_CLOCKWORK_CITY</v>
      </c>
      <c r="L612" s="3" t="str">
        <f>VLOOKUP(J612,'LibSets constants'!$A$4:$C$1017,3,FALSE)</f>
        <v>Clockwork City</v>
      </c>
    </row>
    <row r="613" spans="1:12" x14ac:dyDescent="0.25">
      <c r="A613">
        <v>990</v>
      </c>
      <c r="B613">
        <v>600</v>
      </c>
      <c r="C613">
        <v>980</v>
      </c>
      <c r="D613" t="s">
        <v>647</v>
      </c>
      <c r="E613" t="str">
        <f>IF(NOT(ISERROR(VLOOKUP(D613,'ESO Dungeon constants'!$A$3:$A$9999,1,FALSE))),"X","")</f>
        <v/>
      </c>
      <c r="F613" s="3" t="str">
        <f>IF(EXACT(A613,C613),"X","")</f>
        <v/>
      </c>
      <c r="G613" s="3" t="str">
        <f>IF(A613&lt;&gt;C613,VLOOKUP(C613,$A$5:$D$9954,4,FALSE),"")</f>
        <v>Clockwork City</v>
      </c>
      <c r="H613" s="17">
        <f>A613</f>
        <v>990</v>
      </c>
      <c r="I613" s="17">
        <f>C613</f>
        <v>980</v>
      </c>
      <c r="J613">
        <v>8</v>
      </c>
      <c r="K613" s="3" t="str">
        <f>VLOOKUP(J613,'LibSets constants'!$A$4:$B$1017,2,FALSE)</f>
        <v>DLC_CLOCKWORK_CITY</v>
      </c>
      <c r="L613" s="3" t="str">
        <f>VLOOKUP(J613,'LibSets constants'!$A$4:$C$1017,3,FALSE)</f>
        <v>Clockwork City</v>
      </c>
    </row>
    <row r="614" spans="1:12" x14ac:dyDescent="0.25">
      <c r="A614">
        <v>991</v>
      </c>
      <c r="B614">
        <v>601</v>
      </c>
      <c r="C614">
        <v>980</v>
      </c>
      <c r="D614" t="s">
        <v>648</v>
      </c>
      <c r="E614" t="str">
        <f>IF(NOT(ISERROR(VLOOKUP(D614,'ESO Dungeon constants'!$A$3:$A$9999,1,FALSE))),"X","")</f>
        <v/>
      </c>
      <c r="F614" s="3" t="str">
        <f>IF(EXACT(A614,C614),"X","")</f>
        <v/>
      </c>
      <c r="G614" s="3" t="str">
        <f>IF(A614&lt;&gt;C614,VLOOKUP(C614,$A$5:$D$9954,4,FALSE),"")</f>
        <v>Clockwork City</v>
      </c>
      <c r="H614" s="17">
        <f>A614</f>
        <v>991</v>
      </c>
      <c r="I614" s="17">
        <f>C614</f>
        <v>980</v>
      </c>
      <c r="J614">
        <v>8</v>
      </c>
      <c r="K614" s="3" t="str">
        <f>VLOOKUP(J614,'LibSets constants'!$A$4:$B$1017,2,FALSE)</f>
        <v>DLC_CLOCKWORK_CITY</v>
      </c>
      <c r="L614" s="3" t="str">
        <f>VLOOKUP(J614,'LibSets constants'!$A$4:$C$1017,3,FALSE)</f>
        <v>Clockwork City</v>
      </c>
    </row>
    <row r="615" spans="1:12" x14ac:dyDescent="0.25">
      <c r="A615">
        <v>992</v>
      </c>
      <c r="B615">
        <v>602</v>
      </c>
      <c r="C615">
        <v>980</v>
      </c>
      <c r="D615" t="s">
        <v>649</v>
      </c>
      <c r="E615" t="str">
        <f>IF(NOT(ISERROR(VLOOKUP(D615,'ESO Dungeon constants'!$A$3:$A$9999,1,FALSE))),"X","")</f>
        <v/>
      </c>
      <c r="F615" s="3" t="str">
        <f>IF(EXACT(A615,C615),"X","")</f>
        <v/>
      </c>
      <c r="G615" s="3" t="str">
        <f>IF(A615&lt;&gt;C615,VLOOKUP(C615,$A$5:$D$9954,4,FALSE),"")</f>
        <v>Clockwork City</v>
      </c>
      <c r="H615" s="17">
        <f>A615</f>
        <v>992</v>
      </c>
      <c r="I615" s="17">
        <f>C615</f>
        <v>980</v>
      </c>
      <c r="J615">
        <v>8</v>
      </c>
      <c r="K615" s="3" t="str">
        <f>VLOOKUP(J615,'LibSets constants'!$A$4:$B$1017,2,FALSE)</f>
        <v>DLC_CLOCKWORK_CITY</v>
      </c>
      <c r="L615" s="3" t="str">
        <f>VLOOKUP(J615,'LibSets constants'!$A$4:$C$1017,3,FALSE)</f>
        <v>Clockwork City</v>
      </c>
    </row>
    <row r="616" spans="1:12" x14ac:dyDescent="0.25">
      <c r="A616">
        <v>993</v>
      </c>
      <c r="B616">
        <v>603</v>
      </c>
      <c r="C616">
        <v>980</v>
      </c>
      <c r="D616" t="s">
        <v>650</v>
      </c>
      <c r="E616" t="str">
        <f>IF(NOT(ISERROR(VLOOKUP(D616,'ESO Dungeon constants'!$A$3:$A$9999,1,FALSE))),"X","")</f>
        <v/>
      </c>
      <c r="F616" s="3" t="str">
        <f>IF(EXACT(A616,C616),"X","")</f>
        <v/>
      </c>
      <c r="G616" s="3" t="str">
        <f>IF(A616&lt;&gt;C616,VLOOKUP(C616,$A$5:$D$9954,4,FALSE),"")</f>
        <v>Clockwork City</v>
      </c>
      <c r="H616" s="17">
        <f>A616</f>
        <v>993</v>
      </c>
      <c r="I616" s="17">
        <f>C616</f>
        <v>980</v>
      </c>
      <c r="J616">
        <v>8</v>
      </c>
      <c r="K616" s="3" t="str">
        <f>VLOOKUP(J616,'LibSets constants'!$A$4:$B$1017,2,FALSE)</f>
        <v>DLC_CLOCKWORK_CITY</v>
      </c>
      <c r="L616" s="3" t="str">
        <f>VLOOKUP(J616,'LibSets constants'!$A$4:$C$1017,3,FALSE)</f>
        <v>Clockwork City</v>
      </c>
    </row>
    <row r="617" spans="1:12" x14ac:dyDescent="0.25">
      <c r="A617">
        <v>994</v>
      </c>
      <c r="B617">
        <v>604</v>
      </c>
      <c r="C617">
        <v>849</v>
      </c>
      <c r="D617" t="s">
        <v>651</v>
      </c>
      <c r="E617" t="str">
        <f>IF(NOT(ISERROR(VLOOKUP(D617,'ESO Dungeon constants'!$A$3:$A$9999,1,FALSE))),"X","")</f>
        <v/>
      </c>
      <c r="F617" s="3" t="str">
        <f>IF(EXACT(A617,C617),"X","")</f>
        <v/>
      </c>
      <c r="G617" s="3" t="str">
        <f>IF(A617&lt;&gt;C617,VLOOKUP(C617,$A$5:$D$9954,4,FALSE),"")</f>
        <v>Vvardenfell</v>
      </c>
      <c r="H617" s="17">
        <f>A617</f>
        <v>994</v>
      </c>
      <c r="I617" s="17">
        <f>C617</f>
        <v>849</v>
      </c>
      <c r="J617">
        <v>6</v>
      </c>
      <c r="K617" s="3" t="str">
        <f>VLOOKUP(J617,'LibSets constants'!$A$4:$B$1017,2,FALSE)</f>
        <v>DLC_MORROWIND</v>
      </c>
      <c r="L617" s="3" t="str">
        <f>VLOOKUP(J617,'LibSets constants'!$A$4:$C$1017,3,FALSE)</f>
        <v>Morrowind</v>
      </c>
    </row>
    <row r="618" spans="1:12" x14ac:dyDescent="0.25">
      <c r="A618">
        <v>995</v>
      </c>
      <c r="B618">
        <v>605</v>
      </c>
      <c r="C618">
        <v>849</v>
      </c>
      <c r="D618" t="s">
        <v>652</v>
      </c>
      <c r="E618" t="str">
        <f>IF(NOT(ISERROR(VLOOKUP(D618,'ESO Dungeon constants'!$A$3:$A$9999,1,FALSE))),"X","")</f>
        <v/>
      </c>
      <c r="F618" s="3" t="str">
        <f>IF(EXACT(A618,C618),"X","")</f>
        <v/>
      </c>
      <c r="G618" s="3" t="str">
        <f>IF(A618&lt;&gt;C618,VLOOKUP(C618,$A$5:$D$9954,4,FALSE),"")</f>
        <v>Vvardenfell</v>
      </c>
      <c r="H618" s="17">
        <f>A618</f>
        <v>995</v>
      </c>
      <c r="I618" s="17">
        <f>C618</f>
        <v>849</v>
      </c>
      <c r="J618">
        <v>6</v>
      </c>
      <c r="K618" s="3" t="str">
        <f>VLOOKUP(J618,'LibSets constants'!$A$4:$B$1017,2,FALSE)</f>
        <v>DLC_MORROWIND</v>
      </c>
      <c r="L618" s="3" t="str">
        <f>VLOOKUP(J618,'LibSets constants'!$A$4:$C$1017,3,FALSE)</f>
        <v>Morrowind</v>
      </c>
    </row>
    <row r="619" spans="1:12" x14ac:dyDescent="0.25">
      <c r="A619">
        <v>996</v>
      </c>
      <c r="B619">
        <v>606</v>
      </c>
      <c r="C619">
        <v>849</v>
      </c>
      <c r="D619" t="s">
        <v>653</v>
      </c>
      <c r="E619" t="str">
        <f>IF(NOT(ISERROR(VLOOKUP(D619,'ESO Dungeon constants'!$A$3:$A$9999,1,FALSE))),"X","")</f>
        <v/>
      </c>
      <c r="F619" s="3" t="str">
        <f>IF(EXACT(A619,C619),"X","")</f>
        <v/>
      </c>
      <c r="G619" s="3" t="str">
        <f>IF(A619&lt;&gt;C619,VLOOKUP(C619,$A$5:$D$9954,4,FALSE),"")</f>
        <v>Vvardenfell</v>
      </c>
      <c r="H619" s="17">
        <f>A619</f>
        <v>996</v>
      </c>
      <c r="I619" s="17">
        <f>C619</f>
        <v>849</v>
      </c>
      <c r="J619">
        <v>6</v>
      </c>
      <c r="K619" s="3" t="str">
        <f>VLOOKUP(J619,'LibSets constants'!$A$4:$B$1017,2,FALSE)</f>
        <v>DLC_MORROWIND</v>
      </c>
      <c r="L619" s="3" t="str">
        <f>VLOOKUP(J619,'LibSets constants'!$A$4:$C$1017,3,FALSE)</f>
        <v>Morrowind</v>
      </c>
    </row>
    <row r="620" spans="1:12" x14ac:dyDescent="0.25">
      <c r="A620">
        <v>997</v>
      </c>
      <c r="B620">
        <v>607</v>
      </c>
      <c r="C620">
        <v>849</v>
      </c>
      <c r="D620" t="s">
        <v>654</v>
      </c>
      <c r="E620" t="str">
        <f>IF(NOT(ISERROR(VLOOKUP(D620,'ESO Dungeon constants'!$A$3:$A$9999,1,FALSE))),"X","")</f>
        <v/>
      </c>
      <c r="F620" s="3" t="str">
        <f>IF(EXACT(A620,C620),"X","")</f>
        <v/>
      </c>
      <c r="G620" s="3" t="str">
        <f>IF(A620&lt;&gt;C620,VLOOKUP(C620,$A$5:$D$9954,4,FALSE),"")</f>
        <v>Vvardenfell</v>
      </c>
      <c r="H620" s="17">
        <f>A620</f>
        <v>997</v>
      </c>
      <c r="I620" s="17">
        <f>C620</f>
        <v>849</v>
      </c>
      <c r="J620">
        <v>6</v>
      </c>
      <c r="K620" s="3" t="str">
        <f>VLOOKUP(J620,'LibSets constants'!$A$4:$B$1017,2,FALSE)</f>
        <v>DLC_MORROWIND</v>
      </c>
      <c r="L620" s="3" t="str">
        <f>VLOOKUP(J620,'LibSets constants'!$A$4:$C$1017,3,FALSE)</f>
        <v>Morrowind</v>
      </c>
    </row>
    <row r="621" spans="1:12" x14ac:dyDescent="0.25">
      <c r="A621">
        <v>998</v>
      </c>
      <c r="B621">
        <v>608</v>
      </c>
      <c r="C621">
        <v>381</v>
      </c>
      <c r="D621" t="s">
        <v>655</v>
      </c>
      <c r="E621" t="str">
        <f>IF(NOT(ISERROR(VLOOKUP(D621,'ESO Dungeon constants'!$A$3:$A$9999,1,FALSE))),"X","")</f>
        <v/>
      </c>
      <c r="F621" s="3" t="str">
        <f>IF(EXACT(A621,C621),"X","")</f>
        <v/>
      </c>
      <c r="G621" s="3" t="str">
        <f>IF(A621&lt;&gt;C621,VLOOKUP(C621,$A$5:$D$9954,4,FALSE),"")</f>
        <v>Auridon</v>
      </c>
      <c r="H621" s="17">
        <f>A621</f>
        <v>998</v>
      </c>
      <c r="I621" s="17">
        <f>C621</f>
        <v>381</v>
      </c>
      <c r="J621">
        <v>0</v>
      </c>
      <c r="K621" s="3" t="str">
        <f>VLOOKUP(J621,'LibSets constants'!$A$4:$B$1017,2,FALSE)</f>
        <v>DLC_BASE_GAME</v>
      </c>
      <c r="L621" s="3" t="str">
        <f>VLOOKUP(J621,'LibSets constants'!$A$4:$C$1017,3,FALSE)</f>
        <v>Included in base game</v>
      </c>
    </row>
    <row r="622" spans="1:12" x14ac:dyDescent="0.25">
      <c r="A622">
        <v>999</v>
      </c>
      <c r="B622">
        <v>609</v>
      </c>
      <c r="C622">
        <v>980</v>
      </c>
      <c r="D622" t="s">
        <v>656</v>
      </c>
      <c r="E622" t="str">
        <f>IF(NOT(ISERROR(VLOOKUP(D622,'ESO Dungeon constants'!$A$3:$A$9999,1,FALSE))),"X","")</f>
        <v/>
      </c>
      <c r="F622" s="3" t="str">
        <f>IF(EXACT(A622,C622),"X","")</f>
        <v/>
      </c>
      <c r="G622" s="3" t="str">
        <f>IF(A622&lt;&gt;C622,VLOOKUP(C622,$A$5:$D$9954,4,FALSE),"")</f>
        <v>Clockwork City</v>
      </c>
      <c r="H622" s="17">
        <f>A622</f>
        <v>999</v>
      </c>
      <c r="I622" s="17">
        <f>C622</f>
        <v>980</v>
      </c>
      <c r="J622">
        <v>8</v>
      </c>
      <c r="K622" s="3" t="str">
        <f>VLOOKUP(J622,'LibSets constants'!$A$4:$B$1017,2,FALSE)</f>
        <v>DLC_CLOCKWORK_CITY</v>
      </c>
      <c r="L622" s="3" t="str">
        <f>VLOOKUP(J622,'LibSets constants'!$A$4:$C$1017,3,FALSE)</f>
        <v>Clockwork City</v>
      </c>
    </row>
    <row r="623" spans="1:12" x14ac:dyDescent="0.25">
      <c r="A623">
        <v>1004</v>
      </c>
      <c r="B623">
        <v>611</v>
      </c>
      <c r="C623">
        <v>980</v>
      </c>
      <c r="D623" t="s">
        <v>658</v>
      </c>
      <c r="E623" t="str">
        <f>IF(NOT(ISERROR(VLOOKUP(D623,'ESO Dungeon constants'!$A$3:$A$9999,1,FALSE))),"X","")</f>
        <v/>
      </c>
      <c r="F623" s="3" t="str">
        <f>IF(EXACT(A623,C623),"X","")</f>
        <v/>
      </c>
      <c r="G623" s="3" t="str">
        <f>IF(A623&lt;&gt;C623,VLOOKUP(C623,$A$5:$D$9954,4,FALSE),"")</f>
        <v>Clockwork City</v>
      </c>
      <c r="H623" s="17">
        <f>A623</f>
        <v>1004</v>
      </c>
      <c r="I623" s="17">
        <f>C623</f>
        <v>980</v>
      </c>
      <c r="J623">
        <v>8</v>
      </c>
      <c r="K623" s="3" t="str">
        <f>VLOOKUP(J623,'LibSets constants'!$A$4:$B$1017,2,FALSE)</f>
        <v>DLC_CLOCKWORK_CITY</v>
      </c>
      <c r="L623" s="3" t="str">
        <f>VLOOKUP(J623,'LibSets constants'!$A$4:$C$1017,3,FALSE)</f>
        <v>Clockwork City</v>
      </c>
    </row>
    <row r="624" spans="1:12" x14ac:dyDescent="0.25">
      <c r="A624">
        <v>1005</v>
      </c>
      <c r="B624">
        <v>612</v>
      </c>
      <c r="C624">
        <v>823</v>
      </c>
      <c r="D624" t="s">
        <v>659</v>
      </c>
      <c r="E624" t="str">
        <f>IF(NOT(ISERROR(VLOOKUP(D624,'ESO Dungeon constants'!$A$3:$A$9999,1,FALSE))),"X","")</f>
        <v/>
      </c>
      <c r="F624" s="3" t="str">
        <f>IF(EXACT(A624,C624),"X","")</f>
        <v/>
      </c>
      <c r="G624" s="3" t="str">
        <f>IF(A624&lt;&gt;C624,VLOOKUP(C624,$A$5:$D$9954,4,FALSE),"")</f>
        <v>Gold Coast</v>
      </c>
      <c r="H624" s="17">
        <f>A624</f>
        <v>1005</v>
      </c>
      <c r="I624" s="17">
        <f>C624</f>
        <v>823</v>
      </c>
      <c r="J624">
        <v>4</v>
      </c>
      <c r="K624" s="3" t="str">
        <f>VLOOKUP(J624,'LibSets constants'!$A$4:$B$1017,2,FALSE)</f>
        <v>DLC_DARK_BROTHERHOOD</v>
      </c>
      <c r="L624" s="3" t="str">
        <f>VLOOKUP(J624,'LibSets constants'!$A$4:$C$1017,3,FALSE)</f>
        <v>Dark Brotherhood</v>
      </c>
    </row>
    <row r="625" spans="1:12" x14ac:dyDescent="0.25">
      <c r="A625">
        <v>1006</v>
      </c>
      <c r="B625">
        <v>613</v>
      </c>
      <c r="C625">
        <v>3</v>
      </c>
      <c r="D625" t="s">
        <v>660</v>
      </c>
      <c r="E625" t="str">
        <f>IF(NOT(ISERROR(VLOOKUP(D625,'ESO Dungeon constants'!$A$3:$A$9999,1,FALSE))),"X","")</f>
        <v/>
      </c>
      <c r="F625" s="3" t="str">
        <f>IF(EXACT(A625,C625),"X","")</f>
        <v/>
      </c>
      <c r="G625" s="3" t="str">
        <f>IF(A625&lt;&gt;C625,VLOOKUP(C625,$A$5:$D$9954,4,FALSE),"")</f>
        <v>Glenumbra</v>
      </c>
      <c r="H625" s="17">
        <f>A625</f>
        <v>1006</v>
      </c>
      <c r="I625" s="17">
        <f>C625</f>
        <v>3</v>
      </c>
      <c r="J625">
        <v>0</v>
      </c>
      <c r="K625" s="3" t="str">
        <f>VLOOKUP(J625,'LibSets constants'!$A$4:$B$1017,2,FALSE)</f>
        <v>DLC_BASE_GAME</v>
      </c>
      <c r="L625" s="3" t="str">
        <f>VLOOKUP(J625,'LibSets constants'!$A$4:$C$1017,3,FALSE)</f>
        <v>Included in base game</v>
      </c>
    </row>
    <row r="626" spans="1:12" x14ac:dyDescent="0.25">
      <c r="A626">
        <v>1007</v>
      </c>
      <c r="B626">
        <v>614</v>
      </c>
      <c r="C626">
        <v>888</v>
      </c>
      <c r="D626" t="s">
        <v>661</v>
      </c>
      <c r="E626" t="str">
        <f>IF(NOT(ISERROR(VLOOKUP(D626,'ESO Dungeon constants'!$A$3:$A$9999,1,FALSE))),"X","")</f>
        <v/>
      </c>
      <c r="F626" s="3" t="str">
        <f>IF(EXACT(A626,C626),"X","")</f>
        <v/>
      </c>
      <c r="G626" s="3" t="str">
        <f>IF(A626&lt;&gt;C626,VLOOKUP(C626,$A$5:$D$9954,4,FALSE),"")</f>
        <v>Craglorn</v>
      </c>
      <c r="H626" s="17">
        <f>A626</f>
        <v>1007</v>
      </c>
      <c r="I626" s="17">
        <f>C626</f>
        <v>888</v>
      </c>
      <c r="J626">
        <v>0</v>
      </c>
      <c r="K626" s="3" t="str">
        <f>VLOOKUP(J626,'LibSets constants'!$A$4:$B$1017,2,FALSE)</f>
        <v>DLC_BASE_GAME</v>
      </c>
      <c r="L626" s="3" t="str">
        <f>VLOOKUP(J626,'LibSets constants'!$A$4:$C$1017,3,FALSE)</f>
        <v>Included in base game</v>
      </c>
    </row>
    <row r="627" spans="1:12" x14ac:dyDescent="0.25">
      <c r="A627">
        <v>1008</v>
      </c>
      <c r="B627">
        <v>615</v>
      </c>
      <c r="C627">
        <v>347</v>
      </c>
      <c r="D627" t="s">
        <v>662</v>
      </c>
      <c r="E627" t="str">
        <f>IF(NOT(ISERROR(VLOOKUP(D627,'ESO Dungeon constants'!$A$3:$A$9999,1,FALSE))),"X","")</f>
        <v/>
      </c>
      <c r="F627" s="3" t="str">
        <f>IF(EXACT(A627,C627),"X","")</f>
        <v/>
      </c>
      <c r="G627" s="3" t="str">
        <f>IF(A627&lt;&gt;C627,VLOOKUP(C627,$A$5:$D$9954,4,FALSE),"")</f>
        <v>Coldharbour</v>
      </c>
      <c r="H627" s="17">
        <f>A627</f>
        <v>1008</v>
      </c>
      <c r="I627" s="17">
        <f>C627</f>
        <v>347</v>
      </c>
      <c r="J627">
        <v>0</v>
      </c>
      <c r="K627" s="3" t="str">
        <f>VLOOKUP(J627,'LibSets constants'!$A$4:$B$1017,2,FALSE)</f>
        <v>DLC_BASE_GAME</v>
      </c>
      <c r="L627" s="3" t="str">
        <f>VLOOKUP(J627,'LibSets constants'!$A$4:$C$1017,3,FALSE)</f>
        <v>Included in base game</v>
      </c>
    </row>
    <row r="628" spans="1:12" x14ac:dyDescent="0.25">
      <c r="A628">
        <v>1011</v>
      </c>
      <c r="B628">
        <v>618</v>
      </c>
      <c r="C628">
        <v>1011</v>
      </c>
      <c r="D628" t="s">
        <v>79</v>
      </c>
      <c r="E628" t="str">
        <f>IF(NOT(ISERROR(VLOOKUP(D628,'ESO Dungeon constants'!$A$3:$A$9999,1,FALSE))),"X","")</f>
        <v/>
      </c>
      <c r="F628" s="3" t="str">
        <f>IF(EXACT(A628,C628),"X","")</f>
        <v>X</v>
      </c>
      <c r="G628" s="3" t="str">
        <f>IF(A628&lt;&gt;C628,VLOOKUP(C628,$A$5:$D$9954,4,FALSE),"")</f>
        <v/>
      </c>
      <c r="H628" s="17">
        <f>A628</f>
        <v>1011</v>
      </c>
      <c r="I628" s="17">
        <f>C628</f>
        <v>1011</v>
      </c>
      <c r="J628">
        <v>30</v>
      </c>
      <c r="K628" s="3" t="str">
        <f>VLOOKUP(J628,'LibSets constants'!$A$4:$B$1017,2,FALSE)</f>
        <v>DLC_NECROM</v>
      </c>
      <c r="L628" s="3" t="str">
        <f>VLOOKUP(J628,'LibSets constants'!$A$4:$C$1017,3,FALSE)</f>
        <v>Necrom</v>
      </c>
    </row>
    <row r="629" spans="1:12" x14ac:dyDescent="0.25">
      <c r="A629">
        <v>1012</v>
      </c>
      <c r="B629">
        <v>619</v>
      </c>
      <c r="C629">
        <v>381</v>
      </c>
      <c r="D629" t="s">
        <v>663</v>
      </c>
      <c r="E629" t="str">
        <f>IF(NOT(ISERROR(VLOOKUP(D629,'ESO Dungeon constants'!$A$3:$A$9999,1,FALSE))),"X","")</f>
        <v/>
      </c>
      <c r="F629" s="3" t="str">
        <f>IF(EXACT(A629,C629),"X","")</f>
        <v/>
      </c>
      <c r="G629" s="3" t="str">
        <f>IF(A629&lt;&gt;C629,VLOOKUP(C629,$A$5:$D$9954,4,FALSE),"")</f>
        <v>Auridon</v>
      </c>
      <c r="H629" s="17">
        <f>A629</f>
        <v>1012</v>
      </c>
      <c r="I629" s="17">
        <f>C629</f>
        <v>381</v>
      </c>
      <c r="J629">
        <v>0</v>
      </c>
      <c r="K629" s="3" t="str">
        <f>VLOOKUP(J629,'LibSets constants'!$A$4:$B$1017,2,FALSE)</f>
        <v>DLC_BASE_GAME</v>
      </c>
      <c r="L629" s="3" t="str">
        <f>VLOOKUP(J629,'LibSets constants'!$A$4:$C$1017,3,FALSE)</f>
        <v>Included in base game</v>
      </c>
    </row>
    <row r="630" spans="1:12" x14ac:dyDescent="0.25">
      <c r="A630">
        <v>1013</v>
      </c>
      <c r="B630">
        <v>620</v>
      </c>
      <c r="C630">
        <v>1011</v>
      </c>
      <c r="D630" t="s">
        <v>664</v>
      </c>
      <c r="E630" t="str">
        <f>IF(NOT(ISERROR(VLOOKUP(D630,'ESO Dungeon constants'!$A$3:$A$9999,1,FALSE))),"X","")</f>
        <v/>
      </c>
      <c r="F630" s="3" t="str">
        <f>IF(EXACT(A630,C630),"X","")</f>
        <v/>
      </c>
      <c r="G630" s="3" t="str">
        <f>IF(A630&lt;&gt;C630,VLOOKUP(C630,$A$5:$D$9954,4,FALSE),"")</f>
        <v>Summerset</v>
      </c>
      <c r="H630" s="17">
        <f>A630</f>
        <v>1013</v>
      </c>
      <c r="I630" s="17">
        <f>C630</f>
        <v>1011</v>
      </c>
      <c r="J630">
        <v>10</v>
      </c>
      <c r="K630" s="3" t="str">
        <f>VLOOKUP(J630,'LibSets constants'!$A$4:$B$1017,2,FALSE)</f>
        <v>DLC_SUMMERSET</v>
      </c>
      <c r="L630" s="3" t="str">
        <f>VLOOKUP(J630,'LibSets constants'!$A$4:$C$1017,3,FALSE)</f>
        <v>Summerset</v>
      </c>
    </row>
    <row r="631" spans="1:12" x14ac:dyDescent="0.25">
      <c r="A631">
        <v>1014</v>
      </c>
      <c r="B631">
        <v>621</v>
      </c>
      <c r="C631">
        <v>1011</v>
      </c>
      <c r="D631" t="s">
        <v>665</v>
      </c>
      <c r="E631" t="str">
        <f>IF(NOT(ISERROR(VLOOKUP(D631,'ESO Dungeon constants'!$A$3:$A$9999,1,FALSE))),"X","")</f>
        <v/>
      </c>
      <c r="F631" s="3" t="str">
        <f>IF(EXACT(A631,C631),"X","")</f>
        <v/>
      </c>
      <c r="G631" s="3" t="str">
        <f>IF(A631&lt;&gt;C631,VLOOKUP(C631,$A$5:$D$9954,4,FALSE),"")</f>
        <v>Summerset</v>
      </c>
      <c r="H631" s="17">
        <f>A631</f>
        <v>1014</v>
      </c>
      <c r="I631" s="17">
        <f>C631</f>
        <v>1011</v>
      </c>
      <c r="J631">
        <v>10</v>
      </c>
      <c r="K631" s="3" t="str">
        <f>VLOOKUP(J631,'LibSets constants'!$A$4:$B$1017,2,FALSE)</f>
        <v>DLC_SUMMERSET</v>
      </c>
      <c r="L631" s="3" t="str">
        <f>VLOOKUP(J631,'LibSets constants'!$A$4:$C$1017,3,FALSE)</f>
        <v>Summerset</v>
      </c>
    </row>
    <row r="632" spans="1:12" x14ac:dyDescent="0.25">
      <c r="A632">
        <v>1015</v>
      </c>
      <c r="B632">
        <v>622</v>
      </c>
      <c r="C632">
        <v>1011</v>
      </c>
      <c r="D632" t="s">
        <v>666</v>
      </c>
      <c r="E632" t="str">
        <f>IF(NOT(ISERROR(VLOOKUP(D632,'ESO Dungeon constants'!$A$3:$A$9999,1,FALSE))),"X","")</f>
        <v/>
      </c>
      <c r="F632" s="3" t="str">
        <f>IF(EXACT(A632,C632),"X","")</f>
        <v/>
      </c>
      <c r="G632" s="3" t="str">
        <f>IF(A632&lt;&gt;C632,VLOOKUP(C632,$A$5:$D$9954,4,FALSE),"")</f>
        <v>Summerset</v>
      </c>
      <c r="H632" s="17">
        <f>A632</f>
        <v>1015</v>
      </c>
      <c r="I632" s="17">
        <f>C632</f>
        <v>1011</v>
      </c>
      <c r="J632">
        <v>10</v>
      </c>
      <c r="K632" s="3" t="str">
        <f>VLOOKUP(J632,'LibSets constants'!$A$4:$B$1017,2,FALSE)</f>
        <v>DLC_SUMMERSET</v>
      </c>
      <c r="L632" s="3" t="str">
        <f>VLOOKUP(J632,'LibSets constants'!$A$4:$C$1017,3,FALSE)</f>
        <v>Summerset</v>
      </c>
    </row>
    <row r="633" spans="1:12" x14ac:dyDescent="0.25">
      <c r="A633">
        <v>1016</v>
      </c>
      <c r="B633">
        <v>623</v>
      </c>
      <c r="C633">
        <v>1011</v>
      </c>
      <c r="D633" t="s">
        <v>667</v>
      </c>
      <c r="E633" t="str">
        <f>IF(NOT(ISERROR(VLOOKUP(D633,'ESO Dungeon constants'!$A$3:$A$9999,1,FALSE))),"X","")</f>
        <v/>
      </c>
      <c r="F633" s="3" t="str">
        <f>IF(EXACT(A633,C633),"X","")</f>
        <v/>
      </c>
      <c r="G633" s="3" t="str">
        <f>IF(A633&lt;&gt;C633,VLOOKUP(C633,$A$5:$D$9954,4,FALSE),"")</f>
        <v>Summerset</v>
      </c>
      <c r="H633" s="17">
        <f>A633</f>
        <v>1016</v>
      </c>
      <c r="I633" s="17">
        <f>C633</f>
        <v>1011</v>
      </c>
      <c r="J633">
        <v>10</v>
      </c>
      <c r="K633" s="3" t="str">
        <f>VLOOKUP(J633,'LibSets constants'!$A$4:$B$1017,2,FALSE)</f>
        <v>DLC_SUMMERSET</v>
      </c>
      <c r="L633" s="3" t="str">
        <f>VLOOKUP(J633,'LibSets constants'!$A$4:$C$1017,3,FALSE)</f>
        <v>Summerset</v>
      </c>
    </row>
    <row r="634" spans="1:12" x14ac:dyDescent="0.25">
      <c r="A634">
        <v>1017</v>
      </c>
      <c r="B634">
        <v>624</v>
      </c>
      <c r="C634">
        <v>1011</v>
      </c>
      <c r="D634" t="s">
        <v>668</v>
      </c>
      <c r="E634" t="str">
        <f>IF(NOT(ISERROR(VLOOKUP(D634,'ESO Dungeon constants'!$A$3:$A$9999,1,FALSE))),"X","")</f>
        <v/>
      </c>
      <c r="F634" s="3" t="str">
        <f>IF(EXACT(A634,C634),"X","")</f>
        <v/>
      </c>
      <c r="G634" s="3" t="str">
        <f>IF(A634&lt;&gt;C634,VLOOKUP(C634,$A$5:$D$9954,4,FALSE),"")</f>
        <v>Summerset</v>
      </c>
      <c r="H634" s="17">
        <f>A634</f>
        <v>1017</v>
      </c>
      <c r="I634" s="17">
        <f>C634</f>
        <v>1011</v>
      </c>
      <c r="J634">
        <v>10</v>
      </c>
      <c r="K634" s="3" t="str">
        <f>VLOOKUP(J634,'LibSets constants'!$A$4:$B$1017,2,FALSE)</f>
        <v>DLC_SUMMERSET</v>
      </c>
      <c r="L634" s="3" t="str">
        <f>VLOOKUP(J634,'LibSets constants'!$A$4:$C$1017,3,FALSE)</f>
        <v>Summerset</v>
      </c>
    </row>
    <row r="635" spans="1:12" x14ac:dyDescent="0.25">
      <c r="A635">
        <v>1018</v>
      </c>
      <c r="B635">
        <v>625</v>
      </c>
      <c r="C635">
        <v>1011</v>
      </c>
      <c r="D635" t="s">
        <v>669</v>
      </c>
      <c r="E635" t="str">
        <f>IF(NOT(ISERROR(VLOOKUP(D635,'ESO Dungeon constants'!$A$3:$A$9999,1,FALSE))),"X","")</f>
        <v/>
      </c>
      <c r="F635" s="3" t="str">
        <f>IF(EXACT(A635,C635),"X","")</f>
        <v/>
      </c>
      <c r="G635" s="3" t="str">
        <f>IF(A635&lt;&gt;C635,VLOOKUP(C635,$A$5:$D$9954,4,FALSE),"")</f>
        <v>Summerset</v>
      </c>
      <c r="H635" s="17">
        <f>A635</f>
        <v>1018</v>
      </c>
      <c r="I635" s="17">
        <f>C635</f>
        <v>1011</v>
      </c>
      <c r="J635">
        <v>10</v>
      </c>
      <c r="K635" s="3" t="str">
        <f>VLOOKUP(J635,'LibSets constants'!$A$4:$B$1017,2,FALSE)</f>
        <v>DLC_SUMMERSET</v>
      </c>
      <c r="L635" s="3" t="str">
        <f>VLOOKUP(J635,'LibSets constants'!$A$4:$C$1017,3,FALSE)</f>
        <v>Summerset</v>
      </c>
    </row>
    <row r="636" spans="1:12" x14ac:dyDescent="0.25">
      <c r="A636">
        <v>1019</v>
      </c>
      <c r="B636">
        <v>626</v>
      </c>
      <c r="C636">
        <v>1011</v>
      </c>
      <c r="D636" t="s">
        <v>670</v>
      </c>
      <c r="E636" t="str">
        <f>IF(NOT(ISERROR(VLOOKUP(D636,'ESO Dungeon constants'!$A$3:$A$9999,1,FALSE))),"X","")</f>
        <v/>
      </c>
      <c r="F636" s="3" t="str">
        <f>IF(EXACT(A636,C636),"X","")</f>
        <v/>
      </c>
      <c r="G636" s="3" t="str">
        <f>IF(A636&lt;&gt;C636,VLOOKUP(C636,$A$5:$D$9954,4,FALSE),"")</f>
        <v>Summerset</v>
      </c>
      <c r="H636" s="17">
        <f>A636</f>
        <v>1019</v>
      </c>
      <c r="I636" s="17">
        <f>C636</f>
        <v>1011</v>
      </c>
      <c r="J636">
        <v>10</v>
      </c>
      <c r="K636" s="3" t="str">
        <f>VLOOKUP(J636,'LibSets constants'!$A$4:$B$1017,2,FALSE)</f>
        <v>DLC_SUMMERSET</v>
      </c>
      <c r="L636" s="3" t="str">
        <f>VLOOKUP(J636,'LibSets constants'!$A$4:$C$1017,3,FALSE)</f>
        <v>Summerset</v>
      </c>
    </row>
    <row r="637" spans="1:12" x14ac:dyDescent="0.25">
      <c r="A637">
        <v>1020</v>
      </c>
      <c r="B637">
        <v>627</v>
      </c>
      <c r="C637">
        <v>1011</v>
      </c>
      <c r="D637" t="s">
        <v>671</v>
      </c>
      <c r="E637" t="str">
        <f>IF(NOT(ISERROR(VLOOKUP(D637,'ESO Dungeon constants'!$A$3:$A$9999,1,FALSE))),"X","")</f>
        <v/>
      </c>
      <c r="F637" s="3" t="str">
        <f>IF(EXACT(A637,C637),"X","")</f>
        <v/>
      </c>
      <c r="G637" s="3" t="str">
        <f>IF(A637&lt;&gt;C637,VLOOKUP(C637,$A$5:$D$9954,4,FALSE),"")</f>
        <v>Summerset</v>
      </c>
      <c r="H637" s="17">
        <f>A637</f>
        <v>1020</v>
      </c>
      <c r="I637" s="17">
        <f>C637</f>
        <v>1011</v>
      </c>
      <c r="J637">
        <v>10</v>
      </c>
      <c r="K637" s="3" t="str">
        <f>VLOOKUP(J637,'LibSets constants'!$A$4:$B$1017,2,FALSE)</f>
        <v>DLC_SUMMERSET</v>
      </c>
      <c r="L637" s="3" t="str">
        <f>VLOOKUP(J637,'LibSets constants'!$A$4:$C$1017,3,FALSE)</f>
        <v>Summerset</v>
      </c>
    </row>
    <row r="638" spans="1:12" x14ac:dyDescent="0.25">
      <c r="A638">
        <v>1021</v>
      </c>
      <c r="B638">
        <v>628</v>
      </c>
      <c r="C638">
        <v>1011</v>
      </c>
      <c r="D638" t="s">
        <v>672</v>
      </c>
      <c r="E638" t="str">
        <f>IF(NOT(ISERROR(VLOOKUP(D638,'ESO Dungeon constants'!$A$3:$A$9999,1,FALSE))),"X","")</f>
        <v/>
      </c>
      <c r="F638" s="3" t="str">
        <f>IF(EXACT(A638,C638),"X","")</f>
        <v/>
      </c>
      <c r="G638" s="3" t="str">
        <f>IF(A638&lt;&gt;C638,VLOOKUP(C638,$A$5:$D$9954,4,FALSE),"")</f>
        <v>Summerset</v>
      </c>
      <c r="H638" s="17">
        <f>A638</f>
        <v>1021</v>
      </c>
      <c r="I638" s="17">
        <f>C638</f>
        <v>1011</v>
      </c>
      <c r="J638">
        <v>10</v>
      </c>
      <c r="K638" s="3" t="str">
        <f>VLOOKUP(J638,'LibSets constants'!$A$4:$B$1017,2,FALSE)</f>
        <v>DLC_SUMMERSET</v>
      </c>
      <c r="L638" s="3" t="str">
        <f>VLOOKUP(J638,'LibSets constants'!$A$4:$C$1017,3,FALSE)</f>
        <v>Summerset</v>
      </c>
    </row>
    <row r="639" spans="1:12" x14ac:dyDescent="0.25">
      <c r="A639">
        <v>1022</v>
      </c>
      <c r="B639">
        <v>629</v>
      </c>
      <c r="C639">
        <v>1011</v>
      </c>
      <c r="D639" t="s">
        <v>673</v>
      </c>
      <c r="E639" t="str">
        <f>IF(NOT(ISERROR(VLOOKUP(D639,'ESO Dungeon constants'!$A$3:$A$9999,1,FALSE))),"X","")</f>
        <v/>
      </c>
      <c r="F639" s="3" t="str">
        <f>IF(EXACT(A639,C639),"X","")</f>
        <v/>
      </c>
      <c r="G639" s="3" t="str">
        <f>IF(A639&lt;&gt;C639,VLOOKUP(C639,$A$5:$D$9954,4,FALSE),"")</f>
        <v>Summerset</v>
      </c>
      <c r="H639" s="17">
        <f>A639</f>
        <v>1022</v>
      </c>
      <c r="I639" s="17">
        <f>C639</f>
        <v>1011</v>
      </c>
      <c r="J639">
        <v>10</v>
      </c>
      <c r="K639" s="3" t="str">
        <f>VLOOKUP(J639,'LibSets constants'!$A$4:$B$1017,2,FALSE)</f>
        <v>DLC_SUMMERSET</v>
      </c>
      <c r="L639" s="3" t="str">
        <f>VLOOKUP(J639,'LibSets constants'!$A$4:$C$1017,3,FALSE)</f>
        <v>Summerset</v>
      </c>
    </row>
    <row r="640" spans="1:12" x14ac:dyDescent="0.25">
      <c r="A640">
        <v>1023</v>
      </c>
      <c r="B640">
        <v>630</v>
      </c>
      <c r="C640">
        <v>1011</v>
      </c>
      <c r="D640" t="s">
        <v>674</v>
      </c>
      <c r="E640" t="str">
        <f>IF(NOT(ISERROR(VLOOKUP(D640,'ESO Dungeon constants'!$A$3:$A$9999,1,FALSE))),"X","")</f>
        <v/>
      </c>
      <c r="F640" s="3" t="str">
        <f>IF(EXACT(A640,C640),"X","")</f>
        <v/>
      </c>
      <c r="G640" s="3" t="str">
        <f>IF(A640&lt;&gt;C640,VLOOKUP(C640,$A$5:$D$9954,4,FALSE),"")</f>
        <v>Summerset</v>
      </c>
      <c r="H640" s="17">
        <f>A640</f>
        <v>1023</v>
      </c>
      <c r="I640" s="17">
        <f>C640</f>
        <v>1011</v>
      </c>
      <c r="J640">
        <v>10</v>
      </c>
      <c r="K640" s="41" t="str">
        <f>VLOOKUP(J640,'LibSets constants'!$A$4:$B$1017,2,FALSE)</f>
        <v>DLC_SUMMERSET</v>
      </c>
      <c r="L640" s="41" t="str">
        <f>VLOOKUP(J640,'LibSets constants'!$A$4:$C$1017,3,FALSE)</f>
        <v>Summerset</v>
      </c>
    </row>
    <row r="641" spans="1:12" x14ac:dyDescent="0.25">
      <c r="A641">
        <v>1024</v>
      </c>
      <c r="B641">
        <v>631</v>
      </c>
      <c r="C641">
        <v>1011</v>
      </c>
      <c r="D641" t="s">
        <v>675</v>
      </c>
      <c r="E641" t="str">
        <f>IF(NOT(ISERROR(VLOOKUP(D641,'ESO Dungeon constants'!$A$3:$A$9999,1,FALSE))),"X","")</f>
        <v/>
      </c>
      <c r="F641" s="3" t="str">
        <f>IF(EXACT(A641,C641),"X","")</f>
        <v/>
      </c>
      <c r="G641" s="3" t="str">
        <f>IF(A641&lt;&gt;C641,VLOOKUP(C641,$A$5:$D$9954,4,FALSE),"")</f>
        <v>Summerset</v>
      </c>
      <c r="H641" s="17">
        <f>A641</f>
        <v>1024</v>
      </c>
      <c r="I641" s="17">
        <f>C641</f>
        <v>1011</v>
      </c>
      <c r="J641">
        <v>10</v>
      </c>
      <c r="K641" s="3" t="str">
        <f>VLOOKUP(J641,'LibSets constants'!$A$4:$B$1017,2,FALSE)</f>
        <v>DLC_SUMMERSET</v>
      </c>
      <c r="L641" s="3" t="str">
        <f>VLOOKUP(J641,'LibSets constants'!$A$4:$C$1017,3,FALSE)</f>
        <v>Summerset</v>
      </c>
    </row>
    <row r="642" spans="1:12" x14ac:dyDescent="0.25">
      <c r="A642">
        <v>1267</v>
      </c>
      <c r="B642">
        <v>842</v>
      </c>
      <c r="C642">
        <v>3</v>
      </c>
      <c r="D642" t="s">
        <v>2486</v>
      </c>
      <c r="E642" t="str">
        <f>IF(NOT(ISERROR(VLOOKUP(D642,'ESO Dungeon constants'!$A$3:$A$9999,1,FALSE))),"X","")</f>
        <v>X</v>
      </c>
      <c r="F642" s="3" t="str">
        <f>IF(EXACT(A642,C642),"X","")</f>
        <v/>
      </c>
      <c r="G642" s="3" t="str">
        <f>IF(A642&lt;&gt;C642,VLOOKUP(C642,$A$5:$D$9954,4,FALSE),"")</f>
        <v>Glenumbra</v>
      </c>
      <c r="H642" s="17">
        <f>A642</f>
        <v>1267</v>
      </c>
      <c r="I642" s="17">
        <f>C642</f>
        <v>3</v>
      </c>
      <c r="J642">
        <f>IF(E642="X",VLOOKUP(D642,'ESO Dungeon constants'!$A$3:$H$9999,8,FALSE),0)</f>
        <v>23</v>
      </c>
      <c r="K642" s="3" t="str">
        <f>VLOOKUP(J642,'LibSets constants'!$A$4:$B$1017,2,FALSE)</f>
        <v>DLC_WAKING_FLAME</v>
      </c>
      <c r="L642" s="3" t="str">
        <f>VLOOKUP(J642,'LibSets constants'!$A$4:$C$1017,3,FALSE)</f>
        <v>Waking Flame</v>
      </c>
    </row>
    <row r="643" spans="1:12" x14ac:dyDescent="0.25">
      <c r="A643">
        <v>1025</v>
      </c>
      <c r="B643">
        <v>632</v>
      </c>
      <c r="C643">
        <v>1011</v>
      </c>
      <c r="D643" t="s">
        <v>676</v>
      </c>
      <c r="E643" t="str">
        <f>IF(NOT(ISERROR(VLOOKUP(D643,'ESO Dungeon constants'!$A$3:$A$9999,1,FALSE))),"X","")</f>
        <v/>
      </c>
      <c r="F643" s="3" t="str">
        <f>IF(EXACT(A643,C643),"X","")</f>
        <v/>
      </c>
      <c r="G643" s="3" t="str">
        <f>IF(A643&lt;&gt;C643,VLOOKUP(C643,$A$5:$D$9954,4,FALSE),"")</f>
        <v>Summerset</v>
      </c>
      <c r="H643" s="17">
        <f>A643</f>
        <v>1025</v>
      </c>
      <c r="I643" s="17">
        <f>C643</f>
        <v>1011</v>
      </c>
      <c r="J643">
        <v>10</v>
      </c>
      <c r="K643" s="3" t="str">
        <f>VLOOKUP(J643,'LibSets constants'!$A$4:$B$1017,2,FALSE)</f>
        <v>DLC_SUMMERSET</v>
      </c>
      <c r="L643" s="3" t="str">
        <f>VLOOKUP(J643,'LibSets constants'!$A$4:$C$1017,3,FALSE)</f>
        <v>Summerset</v>
      </c>
    </row>
    <row r="644" spans="1:12" x14ac:dyDescent="0.25">
      <c r="A644">
        <v>1026</v>
      </c>
      <c r="B644">
        <v>633</v>
      </c>
      <c r="C644">
        <v>1011</v>
      </c>
      <c r="D644" t="s">
        <v>677</v>
      </c>
      <c r="E644" t="str">
        <f>IF(NOT(ISERROR(VLOOKUP(D644,'ESO Dungeon constants'!$A$3:$A$9999,1,FALSE))),"X","")</f>
        <v/>
      </c>
      <c r="F644" s="3" t="str">
        <f>IF(EXACT(A644,C644),"X","")</f>
        <v/>
      </c>
      <c r="G644" s="3" t="str">
        <f>IF(A644&lt;&gt;C644,VLOOKUP(C644,$A$5:$D$9954,4,FALSE),"")</f>
        <v>Summerset</v>
      </c>
      <c r="H644" s="17">
        <f>A644</f>
        <v>1026</v>
      </c>
      <c r="I644" s="17">
        <f>C644</f>
        <v>1011</v>
      </c>
      <c r="J644">
        <v>10</v>
      </c>
      <c r="K644" s="3" t="str">
        <f>VLOOKUP(J644,'LibSets constants'!$A$4:$B$1017,2,FALSE)</f>
        <v>DLC_SUMMERSET</v>
      </c>
      <c r="L644" s="3" t="str">
        <f>VLOOKUP(J644,'LibSets constants'!$A$4:$C$1017,3,FALSE)</f>
        <v>Summerset</v>
      </c>
    </row>
    <row r="645" spans="1:12" x14ac:dyDescent="0.25">
      <c r="A645">
        <v>1027</v>
      </c>
      <c r="B645">
        <v>634</v>
      </c>
      <c r="C645">
        <v>1011</v>
      </c>
      <c r="D645" t="s">
        <v>678</v>
      </c>
      <c r="E645" t="str">
        <f>IF(NOT(ISERROR(VLOOKUP(D645,'ESO Dungeon constants'!$A$3:$A$9999,1,FALSE))),"X","")</f>
        <v/>
      </c>
      <c r="F645" s="3" t="str">
        <f>IF(EXACT(A645,C645),"X","")</f>
        <v/>
      </c>
      <c r="G645" s="3" t="str">
        <f>IF(A645&lt;&gt;C645,VLOOKUP(C645,$A$5:$D$9954,4,FALSE),"")</f>
        <v>Summerset</v>
      </c>
      <c r="H645" s="17">
        <f>A645</f>
        <v>1027</v>
      </c>
      <c r="I645" s="17">
        <f>C645</f>
        <v>1011</v>
      </c>
      <c r="J645">
        <v>10</v>
      </c>
      <c r="K645" s="3" t="str">
        <f>VLOOKUP(J645,'LibSets constants'!$A$4:$B$1017,2,FALSE)</f>
        <v>DLC_SUMMERSET</v>
      </c>
      <c r="L645" s="3" t="str">
        <f>VLOOKUP(J645,'LibSets constants'!$A$4:$C$1017,3,FALSE)</f>
        <v>Summerset</v>
      </c>
    </row>
    <row r="646" spans="1:12" x14ac:dyDescent="0.25">
      <c r="A646">
        <v>1028</v>
      </c>
      <c r="B646">
        <v>635</v>
      </c>
      <c r="C646">
        <v>1011</v>
      </c>
      <c r="D646" t="s">
        <v>679</v>
      </c>
      <c r="E646" t="str">
        <f>IF(NOT(ISERROR(VLOOKUP(D646,'ESO Dungeon constants'!$A$3:$A$9999,1,FALSE))),"X","")</f>
        <v/>
      </c>
      <c r="F646" s="3" t="str">
        <f>IF(EXACT(A646,C646),"X","")</f>
        <v/>
      </c>
      <c r="G646" s="3" t="str">
        <f>IF(A646&lt;&gt;C646,VLOOKUP(C646,$A$5:$D$9954,4,FALSE),"")</f>
        <v>Summerset</v>
      </c>
      <c r="H646" s="17">
        <f>A646</f>
        <v>1028</v>
      </c>
      <c r="I646" s="17">
        <f>C646</f>
        <v>1011</v>
      </c>
      <c r="J646">
        <v>10</v>
      </c>
      <c r="K646" s="3" t="str">
        <f>VLOOKUP(J646,'LibSets constants'!$A$4:$B$1017,2,FALSE)</f>
        <v>DLC_SUMMERSET</v>
      </c>
      <c r="L646" s="3" t="str">
        <f>VLOOKUP(J646,'LibSets constants'!$A$4:$C$1017,3,FALSE)</f>
        <v>Summerset</v>
      </c>
    </row>
    <row r="647" spans="1:12" x14ac:dyDescent="0.25">
      <c r="A647">
        <v>1029</v>
      </c>
      <c r="B647">
        <v>636</v>
      </c>
      <c r="C647">
        <v>1011</v>
      </c>
      <c r="D647" t="s">
        <v>680</v>
      </c>
      <c r="E647" t="str">
        <f>IF(NOT(ISERROR(VLOOKUP(D647,'ESO Dungeon constants'!$A$3:$A$9999,1,FALSE))),"X","")</f>
        <v/>
      </c>
      <c r="F647" s="3" t="str">
        <f>IF(EXACT(A647,C647),"X","")</f>
        <v/>
      </c>
      <c r="G647" s="3" t="str">
        <f>IF(A647&lt;&gt;C647,VLOOKUP(C647,$A$5:$D$9954,4,FALSE),"")</f>
        <v>Summerset</v>
      </c>
      <c r="H647" s="17">
        <f>A647</f>
        <v>1029</v>
      </c>
      <c r="I647" s="17">
        <f>C647</f>
        <v>1011</v>
      </c>
      <c r="J647">
        <v>10</v>
      </c>
      <c r="K647" s="3" t="str">
        <f>VLOOKUP(J647,'LibSets constants'!$A$4:$B$1017,2,FALSE)</f>
        <v>DLC_SUMMERSET</v>
      </c>
      <c r="L647" s="3" t="str">
        <f>VLOOKUP(J647,'LibSets constants'!$A$4:$C$1017,3,FALSE)</f>
        <v>Summerset</v>
      </c>
    </row>
    <row r="648" spans="1:12" x14ac:dyDescent="0.25">
      <c r="A648">
        <v>1030</v>
      </c>
      <c r="B648">
        <v>637</v>
      </c>
      <c r="C648">
        <v>1011</v>
      </c>
      <c r="D648" t="s">
        <v>681</v>
      </c>
      <c r="E648" t="str">
        <f>IF(NOT(ISERROR(VLOOKUP(D648,'ESO Dungeon constants'!$A$3:$A$9999,1,FALSE))),"X","")</f>
        <v/>
      </c>
      <c r="F648" s="3" t="str">
        <f>IF(EXACT(A648,C648),"X","")</f>
        <v/>
      </c>
      <c r="G648" s="3" t="str">
        <f>IF(A648&lt;&gt;C648,VLOOKUP(C648,$A$5:$D$9954,4,FALSE),"")</f>
        <v>Summerset</v>
      </c>
      <c r="H648" s="17">
        <f>A648</f>
        <v>1030</v>
      </c>
      <c r="I648" s="17">
        <f>C648</f>
        <v>1011</v>
      </c>
      <c r="J648">
        <v>10</v>
      </c>
      <c r="K648" s="3" t="str">
        <f>VLOOKUP(J648,'LibSets constants'!$A$4:$B$1017,2,FALSE)</f>
        <v>DLC_SUMMERSET</v>
      </c>
      <c r="L648" s="3" t="str">
        <f>VLOOKUP(J648,'LibSets constants'!$A$4:$C$1017,3,FALSE)</f>
        <v>Summerset</v>
      </c>
    </row>
    <row r="649" spans="1:12" x14ac:dyDescent="0.25">
      <c r="A649">
        <v>1031</v>
      </c>
      <c r="B649">
        <v>638</v>
      </c>
      <c r="C649">
        <v>1011</v>
      </c>
      <c r="D649" t="s">
        <v>682</v>
      </c>
      <c r="E649" t="str">
        <f>IF(NOT(ISERROR(VLOOKUP(D649,'ESO Dungeon constants'!$A$3:$A$9999,1,FALSE))),"X","")</f>
        <v/>
      </c>
      <c r="F649" s="3" t="str">
        <f>IF(EXACT(A649,C649),"X","")</f>
        <v/>
      </c>
      <c r="G649" s="3" t="str">
        <f>IF(A649&lt;&gt;C649,VLOOKUP(C649,$A$5:$D$9954,4,FALSE),"")</f>
        <v>Summerset</v>
      </c>
      <c r="H649" s="17">
        <f>A649</f>
        <v>1031</v>
      </c>
      <c r="I649" s="17">
        <f>C649</f>
        <v>1011</v>
      </c>
      <c r="J649">
        <v>10</v>
      </c>
      <c r="K649" s="3" t="str">
        <f>VLOOKUP(J649,'LibSets constants'!$A$4:$B$1017,2,FALSE)</f>
        <v>DLC_SUMMERSET</v>
      </c>
      <c r="L649" s="3" t="str">
        <f>VLOOKUP(J649,'LibSets constants'!$A$4:$C$1017,3,FALSE)</f>
        <v>Summerset</v>
      </c>
    </row>
    <row r="650" spans="1:12" x14ac:dyDescent="0.25">
      <c r="A650">
        <v>1032</v>
      </c>
      <c r="B650">
        <v>639</v>
      </c>
      <c r="C650">
        <v>1011</v>
      </c>
      <c r="D650" t="s">
        <v>683</v>
      </c>
      <c r="E650" t="str">
        <f>IF(NOT(ISERROR(VLOOKUP(D650,'ESO Dungeon constants'!$A$3:$A$9999,1,FALSE))),"X","")</f>
        <v/>
      </c>
      <c r="F650" s="3" t="str">
        <f>IF(EXACT(A650,C650),"X","")</f>
        <v/>
      </c>
      <c r="G650" s="3" t="str">
        <f>IF(A650&lt;&gt;C650,VLOOKUP(C650,$A$5:$D$9954,4,FALSE),"")</f>
        <v>Summerset</v>
      </c>
      <c r="H650" s="17">
        <f>A650</f>
        <v>1032</v>
      </c>
      <c r="I650" s="17">
        <f>C650</f>
        <v>1011</v>
      </c>
      <c r="J650">
        <v>10</v>
      </c>
      <c r="K650" s="3" t="str">
        <f>VLOOKUP(J650,'LibSets constants'!$A$4:$B$1017,2,FALSE)</f>
        <v>DLC_SUMMERSET</v>
      </c>
      <c r="L650" s="3" t="str">
        <f>VLOOKUP(J650,'LibSets constants'!$A$4:$C$1017,3,FALSE)</f>
        <v>Summerset</v>
      </c>
    </row>
    <row r="651" spans="1:12" x14ac:dyDescent="0.25">
      <c r="A651">
        <v>1033</v>
      </c>
      <c r="B651">
        <v>640</v>
      </c>
      <c r="C651">
        <v>1011</v>
      </c>
      <c r="D651" t="s">
        <v>684</v>
      </c>
      <c r="E651" t="str">
        <f>IF(NOT(ISERROR(VLOOKUP(D651,'ESO Dungeon constants'!$A$3:$A$9999,1,FALSE))),"X","")</f>
        <v/>
      </c>
      <c r="F651" s="3" t="str">
        <f>IF(EXACT(A651,C651),"X","")</f>
        <v/>
      </c>
      <c r="G651" s="3" t="str">
        <f>IF(A651&lt;&gt;C651,VLOOKUP(C651,$A$5:$D$9954,4,FALSE),"")</f>
        <v>Summerset</v>
      </c>
      <c r="H651" s="17">
        <f>A651</f>
        <v>1033</v>
      </c>
      <c r="I651" s="17">
        <f>C651</f>
        <v>1011</v>
      </c>
      <c r="J651">
        <v>10</v>
      </c>
      <c r="K651" s="3" t="str">
        <f>VLOOKUP(J651,'LibSets constants'!$A$4:$B$1017,2,FALSE)</f>
        <v>DLC_SUMMERSET</v>
      </c>
      <c r="L651" s="3" t="str">
        <f>VLOOKUP(J651,'LibSets constants'!$A$4:$C$1017,3,FALSE)</f>
        <v>Summerset</v>
      </c>
    </row>
    <row r="652" spans="1:12" x14ac:dyDescent="0.25">
      <c r="A652">
        <v>1034</v>
      </c>
      <c r="B652">
        <v>641</v>
      </c>
      <c r="C652">
        <v>1011</v>
      </c>
      <c r="D652" t="s">
        <v>685</v>
      </c>
      <c r="E652" t="str">
        <f>IF(NOT(ISERROR(VLOOKUP(D652,'ESO Dungeon constants'!$A$3:$A$9999,1,FALSE))),"X","")</f>
        <v/>
      </c>
      <c r="F652" s="3" t="str">
        <f>IF(EXACT(A652,C652),"X","")</f>
        <v/>
      </c>
      <c r="G652" s="3" t="str">
        <f>IF(A652&lt;&gt;C652,VLOOKUP(C652,$A$5:$D$9954,4,FALSE),"")</f>
        <v>Summerset</v>
      </c>
      <c r="H652" s="17">
        <f>A652</f>
        <v>1034</v>
      </c>
      <c r="I652" s="17">
        <f>C652</f>
        <v>1011</v>
      </c>
      <c r="J652">
        <v>10</v>
      </c>
      <c r="K652" s="3" t="str">
        <f>VLOOKUP(J652,'LibSets constants'!$A$4:$B$1017,2,FALSE)</f>
        <v>DLC_SUMMERSET</v>
      </c>
      <c r="L652" s="3" t="str">
        <f>VLOOKUP(J652,'LibSets constants'!$A$4:$C$1017,3,FALSE)</f>
        <v>Summerset</v>
      </c>
    </row>
    <row r="653" spans="1:12" x14ac:dyDescent="0.25">
      <c r="A653">
        <v>1035</v>
      </c>
      <c r="B653">
        <v>642</v>
      </c>
      <c r="C653">
        <v>1011</v>
      </c>
      <c r="D653" t="s">
        <v>663</v>
      </c>
      <c r="E653" t="str">
        <f>IF(NOT(ISERROR(VLOOKUP(D653,'ESO Dungeon constants'!$A$3:$A$9999,1,FALSE))),"X","")</f>
        <v/>
      </c>
      <c r="F653" s="3" t="str">
        <f>IF(EXACT(A653,C653),"X","")</f>
        <v/>
      </c>
      <c r="G653" s="3" t="str">
        <f>IF(A653&lt;&gt;C653,VLOOKUP(C653,$A$5:$D$9954,4,FALSE),"")</f>
        <v>Summerset</v>
      </c>
      <c r="H653" s="17">
        <f>A653</f>
        <v>1035</v>
      </c>
      <c r="I653" s="17">
        <f>C653</f>
        <v>1011</v>
      </c>
      <c r="J653">
        <v>10</v>
      </c>
      <c r="K653" s="3" t="str">
        <f>VLOOKUP(J653,'LibSets constants'!$A$4:$B$1017,2,FALSE)</f>
        <v>DLC_SUMMERSET</v>
      </c>
      <c r="L653" s="3" t="str">
        <f>VLOOKUP(J653,'LibSets constants'!$A$4:$C$1017,3,FALSE)</f>
        <v>Summerset</v>
      </c>
    </row>
    <row r="654" spans="1:12" x14ac:dyDescent="0.25">
      <c r="A654">
        <v>1036</v>
      </c>
      <c r="B654">
        <v>643</v>
      </c>
      <c r="C654">
        <v>1011</v>
      </c>
      <c r="D654" t="s">
        <v>686</v>
      </c>
      <c r="E654" t="str">
        <f>IF(NOT(ISERROR(VLOOKUP(D654,'ESO Dungeon constants'!$A$3:$A$9999,1,FALSE))),"X","")</f>
        <v/>
      </c>
      <c r="F654" s="3" t="str">
        <f>IF(EXACT(A654,C654),"X","")</f>
        <v/>
      </c>
      <c r="G654" s="3" t="str">
        <f>IF(A654&lt;&gt;C654,VLOOKUP(C654,$A$5:$D$9954,4,FALSE),"")</f>
        <v>Summerset</v>
      </c>
      <c r="H654" s="17">
        <f>A654</f>
        <v>1036</v>
      </c>
      <c r="I654" s="17">
        <f>C654</f>
        <v>1011</v>
      </c>
      <c r="J654">
        <v>10</v>
      </c>
      <c r="K654" s="3" t="str">
        <f>VLOOKUP(J654,'LibSets constants'!$A$4:$B$1017,2,FALSE)</f>
        <v>DLC_SUMMERSET</v>
      </c>
      <c r="L654" s="3" t="str">
        <f>VLOOKUP(J654,'LibSets constants'!$A$4:$C$1017,3,FALSE)</f>
        <v>Summerset</v>
      </c>
    </row>
    <row r="655" spans="1:12" x14ac:dyDescent="0.25">
      <c r="A655">
        <v>1037</v>
      </c>
      <c r="B655">
        <v>644</v>
      </c>
      <c r="C655">
        <v>1011</v>
      </c>
      <c r="D655" t="s">
        <v>687</v>
      </c>
      <c r="E655" t="str">
        <f>IF(NOT(ISERROR(VLOOKUP(D655,'ESO Dungeon constants'!$A$3:$A$9999,1,FALSE))),"X","")</f>
        <v/>
      </c>
      <c r="F655" s="3" t="str">
        <f>IF(EXACT(A655,C655),"X","")</f>
        <v/>
      </c>
      <c r="G655" s="3" t="str">
        <f>IF(A655&lt;&gt;C655,VLOOKUP(C655,$A$5:$D$9954,4,FALSE),"")</f>
        <v>Summerset</v>
      </c>
      <c r="H655" s="17">
        <f>A655</f>
        <v>1037</v>
      </c>
      <c r="I655" s="17">
        <f>C655</f>
        <v>1011</v>
      </c>
      <c r="J655">
        <v>10</v>
      </c>
      <c r="K655" s="3" t="str">
        <f>VLOOKUP(J655,'LibSets constants'!$A$4:$B$1017,2,FALSE)</f>
        <v>DLC_SUMMERSET</v>
      </c>
      <c r="L655" s="3" t="str">
        <f>VLOOKUP(J655,'LibSets constants'!$A$4:$C$1017,3,FALSE)</f>
        <v>Summerset</v>
      </c>
    </row>
    <row r="656" spans="1:12" x14ac:dyDescent="0.25">
      <c r="A656">
        <v>1038</v>
      </c>
      <c r="B656">
        <v>645</v>
      </c>
      <c r="C656">
        <v>1011</v>
      </c>
      <c r="D656" t="s">
        <v>688</v>
      </c>
      <c r="E656" t="str">
        <f>IF(NOT(ISERROR(VLOOKUP(D656,'ESO Dungeon constants'!$A$3:$A$9999,1,FALSE))),"X","")</f>
        <v/>
      </c>
      <c r="F656" s="3" t="str">
        <f>IF(EXACT(A656,C656),"X","")</f>
        <v/>
      </c>
      <c r="G656" s="3" t="str">
        <f>IF(A656&lt;&gt;C656,VLOOKUP(C656,$A$5:$D$9954,4,FALSE),"")</f>
        <v>Summerset</v>
      </c>
      <c r="H656" s="17">
        <f>A656</f>
        <v>1038</v>
      </c>
      <c r="I656" s="17">
        <f>C656</f>
        <v>1011</v>
      </c>
      <c r="J656">
        <v>10</v>
      </c>
      <c r="K656" s="3" t="str">
        <f>VLOOKUP(J656,'LibSets constants'!$A$4:$B$1017,2,FALSE)</f>
        <v>DLC_SUMMERSET</v>
      </c>
      <c r="L656" s="3" t="str">
        <f>VLOOKUP(J656,'LibSets constants'!$A$4:$C$1017,3,FALSE)</f>
        <v>Summerset</v>
      </c>
    </row>
    <row r="657" spans="1:12" x14ac:dyDescent="0.25">
      <c r="A657">
        <v>1039</v>
      </c>
      <c r="B657">
        <v>646</v>
      </c>
      <c r="C657">
        <v>1011</v>
      </c>
      <c r="D657" t="s">
        <v>689</v>
      </c>
      <c r="E657" t="str">
        <f>IF(NOT(ISERROR(VLOOKUP(D657,'ESO Dungeon constants'!$A$3:$A$9999,1,FALSE))),"X","")</f>
        <v/>
      </c>
      <c r="F657" s="3" t="str">
        <f>IF(EXACT(A657,C657),"X","")</f>
        <v/>
      </c>
      <c r="G657" s="3" t="str">
        <f>IF(A657&lt;&gt;C657,VLOOKUP(C657,$A$5:$D$9954,4,FALSE),"")</f>
        <v>Summerset</v>
      </c>
      <c r="H657" s="17">
        <f>A657</f>
        <v>1039</v>
      </c>
      <c r="I657" s="17">
        <f>C657</f>
        <v>1011</v>
      </c>
      <c r="J657">
        <v>10</v>
      </c>
      <c r="K657" s="3" t="str">
        <f>VLOOKUP(J657,'LibSets constants'!$A$4:$B$1017,2,FALSE)</f>
        <v>DLC_SUMMERSET</v>
      </c>
      <c r="L657" s="3" t="str">
        <f>VLOOKUP(J657,'LibSets constants'!$A$4:$C$1017,3,FALSE)</f>
        <v>Summerset</v>
      </c>
    </row>
    <row r="658" spans="1:12" x14ac:dyDescent="0.25">
      <c r="A658">
        <v>1040</v>
      </c>
      <c r="B658">
        <v>647</v>
      </c>
      <c r="C658">
        <v>1011</v>
      </c>
      <c r="D658" t="s">
        <v>656</v>
      </c>
      <c r="E658" t="str">
        <f>IF(NOT(ISERROR(VLOOKUP(D658,'ESO Dungeon constants'!$A$3:$A$9999,1,FALSE))),"X","")</f>
        <v/>
      </c>
      <c r="F658" s="3" t="str">
        <f>IF(EXACT(A658,C658),"X","")</f>
        <v/>
      </c>
      <c r="G658" s="3" t="str">
        <f>IF(A658&lt;&gt;C658,VLOOKUP(C658,$A$5:$D$9954,4,FALSE),"")</f>
        <v>Summerset</v>
      </c>
      <c r="H658" s="17">
        <f>A658</f>
        <v>1040</v>
      </c>
      <c r="I658" s="17">
        <f>C658</f>
        <v>1011</v>
      </c>
      <c r="J658">
        <v>10</v>
      </c>
      <c r="K658" s="3" t="str">
        <f>VLOOKUP(J658,'LibSets constants'!$A$4:$B$1017,2,FALSE)</f>
        <v>DLC_SUMMERSET</v>
      </c>
      <c r="L658" s="3" t="str">
        <f>VLOOKUP(J658,'LibSets constants'!$A$4:$C$1017,3,FALSE)</f>
        <v>Summerset</v>
      </c>
    </row>
    <row r="659" spans="1:12" x14ac:dyDescent="0.25">
      <c r="A659">
        <v>1042</v>
      </c>
      <c r="B659">
        <v>648</v>
      </c>
      <c r="C659">
        <v>684</v>
      </c>
      <c r="D659" t="s">
        <v>690</v>
      </c>
      <c r="E659" t="str">
        <f>IF(NOT(ISERROR(VLOOKUP(D659,'ESO Dungeon constants'!$A$3:$A$9999,1,FALSE))),"X","")</f>
        <v/>
      </c>
      <c r="F659" s="3" t="str">
        <f>IF(EXACT(A659,C659),"X","")</f>
        <v/>
      </c>
      <c r="G659" s="3" t="str">
        <f>IF(A659&lt;&gt;C659,VLOOKUP(C659,$A$5:$D$9954,4,FALSE),"")</f>
        <v>Wrothgar</v>
      </c>
      <c r="H659" s="17">
        <f>A659</f>
        <v>1042</v>
      </c>
      <c r="I659" s="17">
        <f>C659</f>
        <v>684</v>
      </c>
      <c r="J659">
        <v>2</v>
      </c>
      <c r="K659" s="3" t="str">
        <f>VLOOKUP(J659,'LibSets constants'!$A$4:$B$1017,2,FALSE)</f>
        <v>DLC_ORSINIUM</v>
      </c>
      <c r="L659" s="3" t="str">
        <f>VLOOKUP(J659,'LibSets constants'!$A$4:$C$1017,3,FALSE)</f>
        <v>Orsinium</v>
      </c>
    </row>
    <row r="660" spans="1:12" x14ac:dyDescent="0.25">
      <c r="A660">
        <v>1043</v>
      </c>
      <c r="B660">
        <v>649</v>
      </c>
      <c r="C660">
        <v>980</v>
      </c>
      <c r="D660" t="s">
        <v>691</v>
      </c>
      <c r="E660" t="str">
        <f>IF(NOT(ISERROR(VLOOKUP(D660,'ESO Dungeon constants'!$A$3:$A$9999,1,FALSE))),"X","")</f>
        <v/>
      </c>
      <c r="F660" s="3" t="str">
        <f>IF(EXACT(A660,C660),"X","")</f>
        <v/>
      </c>
      <c r="G660" s="3" t="str">
        <f>IF(A660&lt;&gt;C660,VLOOKUP(C660,$A$5:$D$9954,4,FALSE),"")</f>
        <v>Clockwork City</v>
      </c>
      <c r="H660" s="17">
        <f>A660</f>
        <v>1043</v>
      </c>
      <c r="I660" s="17">
        <f>C660</f>
        <v>980</v>
      </c>
      <c r="J660">
        <v>8</v>
      </c>
      <c r="K660" s="3" t="str">
        <f>VLOOKUP(J660,'LibSets constants'!$A$4:$B$1017,2,FALSE)</f>
        <v>DLC_CLOCKWORK_CITY</v>
      </c>
      <c r="L660" s="3" t="str">
        <f>VLOOKUP(J660,'LibSets constants'!$A$4:$C$1017,3,FALSE)</f>
        <v>Clockwork City</v>
      </c>
    </row>
    <row r="661" spans="1:12" x14ac:dyDescent="0.25">
      <c r="A661">
        <v>1044</v>
      </c>
      <c r="B661">
        <v>650</v>
      </c>
      <c r="C661">
        <v>823</v>
      </c>
      <c r="D661" t="s">
        <v>692</v>
      </c>
      <c r="E661" t="str">
        <f>IF(NOT(ISERROR(VLOOKUP(D661,'ESO Dungeon constants'!$A$3:$A$9999,1,FALSE))),"X","")</f>
        <v/>
      </c>
      <c r="F661" s="3" t="str">
        <f>IF(EXACT(A661,C661),"X","")</f>
        <v/>
      </c>
      <c r="G661" s="3" t="str">
        <f>IF(A661&lt;&gt;C661,VLOOKUP(C661,$A$5:$D$9954,4,FALSE),"")</f>
        <v>Gold Coast</v>
      </c>
      <c r="H661" s="17">
        <f>A661</f>
        <v>1044</v>
      </c>
      <c r="I661" s="17">
        <f>C661</f>
        <v>823</v>
      </c>
      <c r="J661">
        <v>4</v>
      </c>
      <c r="K661" s="3" t="str">
        <f>VLOOKUP(J661,'LibSets constants'!$A$4:$B$1017,2,FALSE)</f>
        <v>DLC_DARK_BROTHERHOOD</v>
      </c>
      <c r="L661" s="3" t="str">
        <f>VLOOKUP(J661,'LibSets constants'!$A$4:$C$1017,3,FALSE)</f>
        <v>Dark Brotherhood</v>
      </c>
    </row>
    <row r="662" spans="1:12" x14ac:dyDescent="0.25">
      <c r="A662">
        <v>1045</v>
      </c>
      <c r="B662">
        <v>651</v>
      </c>
      <c r="C662">
        <v>816</v>
      </c>
      <c r="D662" t="s">
        <v>693</v>
      </c>
      <c r="E662" t="str">
        <f>IF(NOT(ISERROR(VLOOKUP(D662,'ESO Dungeon constants'!$A$3:$A$9999,1,FALSE))),"X","")</f>
        <v/>
      </c>
      <c r="F662" s="3" t="str">
        <f>IF(EXACT(A662,C662),"X","")</f>
        <v/>
      </c>
      <c r="G662" s="3" t="str">
        <f>IF(A662&lt;&gt;C662,VLOOKUP(C662,$A$5:$D$9954,4,FALSE),"")</f>
        <v>Hew's Bane</v>
      </c>
      <c r="H662" s="17">
        <f>A662</f>
        <v>1045</v>
      </c>
      <c r="I662" s="17">
        <f>C662</f>
        <v>816</v>
      </c>
      <c r="J662">
        <v>3</v>
      </c>
      <c r="K662" s="3" t="str">
        <f>VLOOKUP(J662,'LibSets constants'!$A$4:$B$1017,2,FALSE)</f>
        <v>DLC_THIEVES_GUILD</v>
      </c>
      <c r="L662" s="3" t="str">
        <f>VLOOKUP(J662,'LibSets constants'!$A$4:$C$1017,3,FALSE)</f>
        <v>Thieves Guild</v>
      </c>
    </row>
    <row r="663" spans="1:12" x14ac:dyDescent="0.25">
      <c r="A663">
        <v>1046</v>
      </c>
      <c r="B663">
        <v>652</v>
      </c>
      <c r="C663">
        <v>1011</v>
      </c>
      <c r="D663" t="s">
        <v>694</v>
      </c>
      <c r="E663" t="str">
        <f>IF(NOT(ISERROR(VLOOKUP(D663,'ESO Dungeon constants'!$A$3:$A$9999,1,FALSE))),"X","")</f>
        <v/>
      </c>
      <c r="F663" s="3" t="str">
        <f>IF(EXACT(A663,C663),"X","")</f>
        <v/>
      </c>
      <c r="G663" s="3" t="str">
        <f>IF(A663&lt;&gt;C663,VLOOKUP(C663,$A$5:$D$9954,4,FALSE),"")</f>
        <v>Summerset</v>
      </c>
      <c r="H663" s="17">
        <f>A663</f>
        <v>1046</v>
      </c>
      <c r="I663" s="17">
        <f>C663</f>
        <v>1011</v>
      </c>
      <c r="J663">
        <v>10</v>
      </c>
      <c r="K663" s="3" t="str">
        <f>VLOOKUP(J663,'LibSets constants'!$A$4:$B$1017,2,FALSE)</f>
        <v>DLC_SUMMERSET</v>
      </c>
      <c r="L663" s="3" t="str">
        <f>VLOOKUP(J663,'LibSets constants'!$A$4:$C$1017,3,FALSE)</f>
        <v>Summerset</v>
      </c>
    </row>
    <row r="664" spans="1:12" x14ac:dyDescent="0.25">
      <c r="A664">
        <v>1047</v>
      </c>
      <c r="B664">
        <v>653</v>
      </c>
      <c r="C664">
        <v>1011</v>
      </c>
      <c r="D664" t="s">
        <v>695</v>
      </c>
      <c r="E664" t="str">
        <f>IF(NOT(ISERROR(VLOOKUP(D664,'ESO Dungeon constants'!$A$3:$A$9999,1,FALSE))),"X","")</f>
        <v/>
      </c>
      <c r="F664" s="3" t="str">
        <f>IF(EXACT(A664,C664),"X","")</f>
        <v/>
      </c>
      <c r="G664" s="3" t="str">
        <f>IF(A664&lt;&gt;C664,VLOOKUP(C664,$A$5:$D$9954,4,FALSE),"")</f>
        <v>Summerset</v>
      </c>
      <c r="H664" s="17">
        <f>A664</f>
        <v>1047</v>
      </c>
      <c r="I664" s="17">
        <f>C664</f>
        <v>1011</v>
      </c>
      <c r="J664">
        <v>10</v>
      </c>
      <c r="K664" s="3" t="str">
        <f>VLOOKUP(J664,'LibSets constants'!$A$4:$B$1017,2,FALSE)</f>
        <v>DLC_SUMMERSET</v>
      </c>
      <c r="L664" s="3" t="str">
        <f>VLOOKUP(J664,'LibSets constants'!$A$4:$C$1017,3,FALSE)</f>
        <v>Summerset</v>
      </c>
    </row>
    <row r="665" spans="1:12" x14ac:dyDescent="0.25">
      <c r="A665">
        <v>1048</v>
      </c>
      <c r="B665">
        <v>654</v>
      </c>
      <c r="C665">
        <v>1011</v>
      </c>
      <c r="D665" t="s">
        <v>696</v>
      </c>
      <c r="E665" t="str">
        <f>IF(NOT(ISERROR(VLOOKUP(D665,'ESO Dungeon constants'!$A$3:$A$9999,1,FALSE))),"X","")</f>
        <v/>
      </c>
      <c r="F665" s="3" t="str">
        <f>IF(EXACT(A665,C665),"X","")</f>
        <v/>
      </c>
      <c r="G665" s="3" t="str">
        <f>IF(A665&lt;&gt;C665,VLOOKUP(C665,$A$5:$D$9954,4,FALSE),"")</f>
        <v>Summerset</v>
      </c>
      <c r="H665" s="17">
        <f>A665</f>
        <v>1048</v>
      </c>
      <c r="I665" s="17">
        <f>C665</f>
        <v>1011</v>
      </c>
      <c r="J665">
        <v>10</v>
      </c>
      <c r="K665" s="3" t="str">
        <f>VLOOKUP(J665,'LibSets constants'!$A$4:$B$1017,2,FALSE)</f>
        <v>DLC_SUMMERSET</v>
      </c>
      <c r="L665" s="3" t="str">
        <f>VLOOKUP(J665,'LibSets constants'!$A$4:$C$1017,3,FALSE)</f>
        <v>Summerset</v>
      </c>
    </row>
    <row r="666" spans="1:12" x14ac:dyDescent="0.25">
      <c r="A666">
        <v>1059</v>
      </c>
      <c r="B666">
        <v>658</v>
      </c>
      <c r="C666">
        <v>1011</v>
      </c>
      <c r="D666" t="s">
        <v>699</v>
      </c>
      <c r="E666" t="str">
        <f>IF(NOT(ISERROR(VLOOKUP(D666,'ESO Dungeon constants'!$A$3:$A$9999,1,FALSE))),"X","")</f>
        <v/>
      </c>
      <c r="F666" s="3" t="str">
        <f>IF(EXACT(A666,C666),"X","")</f>
        <v/>
      </c>
      <c r="G666" s="3" t="str">
        <f>IF(A666&lt;&gt;C666,VLOOKUP(C666,$A$5:$D$9954,4,FALSE),"")</f>
        <v>Summerset</v>
      </c>
      <c r="H666" s="17">
        <f>A666</f>
        <v>1059</v>
      </c>
      <c r="I666" s="17">
        <f>C666</f>
        <v>1011</v>
      </c>
      <c r="J666">
        <v>10</v>
      </c>
      <c r="K666" s="3" t="str">
        <f>VLOOKUP(J666,'LibSets constants'!$A$4:$B$1017,2,FALSE)</f>
        <v>DLC_SUMMERSET</v>
      </c>
      <c r="L666" s="3" t="str">
        <f>VLOOKUP(J666,'LibSets constants'!$A$4:$C$1017,3,FALSE)</f>
        <v>Summerset</v>
      </c>
    </row>
    <row r="667" spans="1:12" x14ac:dyDescent="0.25">
      <c r="A667">
        <v>1060</v>
      </c>
      <c r="B667">
        <v>659</v>
      </c>
      <c r="C667">
        <v>1011</v>
      </c>
      <c r="D667" t="s">
        <v>700</v>
      </c>
      <c r="E667" t="str">
        <f>IF(NOT(ISERROR(VLOOKUP(D667,'ESO Dungeon constants'!$A$3:$A$9999,1,FALSE))),"X","")</f>
        <v/>
      </c>
      <c r="F667" s="3" t="str">
        <f>IF(EXACT(A667,C667),"X","")</f>
        <v/>
      </c>
      <c r="G667" s="3" t="str">
        <f>IF(A667&lt;&gt;C667,VLOOKUP(C667,$A$5:$D$9954,4,FALSE),"")</f>
        <v>Summerset</v>
      </c>
      <c r="H667" s="17">
        <f>A667</f>
        <v>1060</v>
      </c>
      <c r="I667" s="17">
        <f>C667</f>
        <v>1011</v>
      </c>
      <c r="J667">
        <v>10</v>
      </c>
      <c r="K667" s="3" t="str">
        <f>VLOOKUP(J667,'LibSets constants'!$A$4:$B$1017,2,FALSE)</f>
        <v>DLC_SUMMERSET</v>
      </c>
      <c r="L667" s="3" t="str">
        <f>VLOOKUP(J667,'LibSets constants'!$A$4:$C$1017,3,FALSE)</f>
        <v>Summerset</v>
      </c>
    </row>
    <row r="668" spans="1:12" x14ac:dyDescent="0.25">
      <c r="A668">
        <v>1061</v>
      </c>
      <c r="B668">
        <v>660</v>
      </c>
      <c r="C668">
        <v>1011</v>
      </c>
      <c r="D668" t="s">
        <v>701</v>
      </c>
      <c r="E668" t="str">
        <f>IF(NOT(ISERROR(VLOOKUP(D668,'ESO Dungeon constants'!$A$3:$A$9999,1,FALSE))),"X","")</f>
        <v/>
      </c>
      <c r="F668" s="3" t="str">
        <f>IF(EXACT(A668,C668),"X","")</f>
        <v/>
      </c>
      <c r="G668" s="3" t="str">
        <f>IF(A668&lt;&gt;C668,VLOOKUP(C668,$A$5:$D$9954,4,FALSE),"")</f>
        <v>Summerset</v>
      </c>
      <c r="H668" s="17">
        <f>A668</f>
        <v>1061</v>
      </c>
      <c r="I668" s="17">
        <f>C668</f>
        <v>1011</v>
      </c>
      <c r="J668">
        <v>10</v>
      </c>
      <c r="K668" s="3" t="str">
        <f>VLOOKUP(J668,'LibSets constants'!$A$4:$B$1017,2,FALSE)</f>
        <v>DLC_SUMMERSET</v>
      </c>
      <c r="L668" s="3" t="str">
        <f>VLOOKUP(J668,'LibSets constants'!$A$4:$C$1017,3,FALSE)</f>
        <v>Summerset</v>
      </c>
    </row>
    <row r="669" spans="1:12" x14ac:dyDescent="0.25">
      <c r="A669">
        <v>1063</v>
      </c>
      <c r="B669">
        <v>661</v>
      </c>
      <c r="C669">
        <v>1027</v>
      </c>
      <c r="D669" t="s">
        <v>703</v>
      </c>
      <c r="E669" t="str">
        <f>IF(NOT(ISERROR(VLOOKUP(D669,'ESO Dungeon constants'!$A$3:$A$9999,1,FALSE))),"X","")</f>
        <v/>
      </c>
      <c r="F669" s="3" t="str">
        <f>IF(EXACT(A669,C669),"X","")</f>
        <v/>
      </c>
      <c r="G669" s="3" t="str">
        <f>IF(A669&lt;&gt;C669,VLOOKUP(C669,$A$5:$D$9954,4,FALSE),"")</f>
        <v>Artaeum</v>
      </c>
      <c r="H669" s="17">
        <f>A669</f>
        <v>1063</v>
      </c>
      <c r="I669" s="17">
        <f>C669</f>
        <v>1027</v>
      </c>
      <c r="J669">
        <v>0</v>
      </c>
      <c r="K669" s="3" t="str">
        <f>VLOOKUP(J669,'LibSets constants'!$A$4:$B$1017,2,FALSE)</f>
        <v>DLC_BASE_GAME</v>
      </c>
      <c r="L669" s="3" t="str">
        <f>VLOOKUP(J669,'LibSets constants'!$A$4:$C$1017,3,FALSE)</f>
        <v>Included in base game</v>
      </c>
    </row>
    <row r="670" spans="1:12" x14ac:dyDescent="0.25">
      <c r="A670">
        <v>1064</v>
      </c>
      <c r="B670">
        <v>662</v>
      </c>
      <c r="C670">
        <v>103</v>
      </c>
      <c r="D670" t="s">
        <v>704</v>
      </c>
      <c r="E670" t="str">
        <f>IF(NOT(ISERROR(VLOOKUP(D670,'ESO Dungeon constants'!$A$3:$A$9999,1,FALSE))),"X","")</f>
        <v/>
      </c>
      <c r="F670" s="3" t="str">
        <f>IF(EXACT(A670,C670),"X","")</f>
        <v/>
      </c>
      <c r="G670" s="3" t="str">
        <f>IF(A670&lt;&gt;C670,VLOOKUP(C670,$A$5:$D$9954,4,FALSE),"")</f>
        <v>The Rift</v>
      </c>
      <c r="H670" s="17">
        <f>A670</f>
        <v>1064</v>
      </c>
      <c r="I670" s="17">
        <f>C670</f>
        <v>103</v>
      </c>
      <c r="J670">
        <v>0</v>
      </c>
      <c r="K670" s="3" t="str">
        <f>VLOOKUP(J670,'LibSets constants'!$A$4:$B$1017,2,FALSE)</f>
        <v>DLC_BASE_GAME</v>
      </c>
      <c r="L670" s="3" t="str">
        <f>VLOOKUP(J670,'LibSets constants'!$A$4:$C$1017,3,FALSE)</f>
        <v>Included in base game</v>
      </c>
    </row>
    <row r="671" spans="1:12" x14ac:dyDescent="0.25">
      <c r="A671">
        <v>1065</v>
      </c>
      <c r="B671">
        <v>663</v>
      </c>
      <c r="C671">
        <v>726</v>
      </c>
      <c r="D671" t="s">
        <v>705</v>
      </c>
      <c r="E671" t="str">
        <f>IF(NOT(ISERROR(VLOOKUP(D671,'ESO Dungeon constants'!$A$3:$A$9999,1,FALSE))),"X","")</f>
        <v/>
      </c>
      <c r="F671" s="3" t="str">
        <f>IF(EXACT(A671,C671),"X","")</f>
        <v/>
      </c>
      <c r="G671" s="3" t="str">
        <f>IF(A671&lt;&gt;C671,VLOOKUP(C671,$A$5:$D$9954,4,FALSE),"")</f>
        <v>Murkmire</v>
      </c>
      <c r="H671" s="17">
        <f>A671</f>
        <v>1065</v>
      </c>
      <c r="I671" s="17">
        <f>C671</f>
        <v>726</v>
      </c>
      <c r="J671">
        <v>12</v>
      </c>
      <c r="K671" s="3" t="str">
        <f>VLOOKUP(J671,'LibSets constants'!$A$4:$B$1017,2,FALSE)</f>
        <v>DLC_MURKMIRE</v>
      </c>
      <c r="L671" s="3" t="str">
        <f>VLOOKUP(J671,'LibSets constants'!$A$4:$C$1017,3,FALSE)</f>
        <v>Murkmire</v>
      </c>
    </row>
    <row r="672" spans="1:12" x14ac:dyDescent="0.25">
      <c r="A672">
        <v>843</v>
      </c>
      <c r="B672">
        <v>465</v>
      </c>
      <c r="C672">
        <v>117</v>
      </c>
      <c r="D672" t="s">
        <v>53</v>
      </c>
      <c r="E672" t="str">
        <f>IF(NOT(ISERROR(VLOOKUP(D672,'ESO Dungeon constants'!$A$3:$A$9999,1,FALSE))),"X","")</f>
        <v>X</v>
      </c>
      <c r="F672" s="3" t="str">
        <f>IF(EXACT(A672,C672),"X","")</f>
        <v/>
      </c>
      <c r="G672" s="3" t="str">
        <f>IF(A672&lt;&gt;C672,VLOOKUP(C672,$A$5:$D$9954,4,FALSE),"")</f>
        <v>Shadowfen</v>
      </c>
      <c r="H672" s="17">
        <f>A672</f>
        <v>843</v>
      </c>
      <c r="I672" s="17">
        <f>C672</f>
        <v>117</v>
      </c>
      <c r="J672">
        <f>IF(E672="X",VLOOKUP(D672,'ESO Dungeon constants'!$A$3:$H$9999,8,FALSE),0)</f>
        <v>5</v>
      </c>
      <c r="K672" s="3" t="str">
        <f>VLOOKUP(J672,'LibSets constants'!$A$4:$B$1017,2,FALSE)</f>
        <v>DLC_SHADOWS_OF_THE_HIST</v>
      </c>
      <c r="L672" s="3" t="str">
        <f>VLOOKUP(J672,'LibSets constants'!$A$4:$C$1017,3,FALSE)</f>
        <v>Shadows of the Hist</v>
      </c>
    </row>
    <row r="673" spans="1:12" x14ac:dyDescent="0.25">
      <c r="A673">
        <v>1066</v>
      </c>
      <c r="B673">
        <v>664</v>
      </c>
      <c r="C673">
        <v>726</v>
      </c>
      <c r="D673" t="s">
        <v>706</v>
      </c>
      <c r="E673" t="str">
        <f>IF(NOT(ISERROR(VLOOKUP(D673,'ESO Dungeon constants'!$A$3:$A$9999,1,FALSE))),"X","")</f>
        <v/>
      </c>
      <c r="F673" s="3" t="str">
        <f>IF(EXACT(A673,C673),"X","")</f>
        <v/>
      </c>
      <c r="G673" s="3" t="str">
        <f>IF(A673&lt;&gt;C673,VLOOKUP(C673,$A$5:$D$9954,4,FALSE),"")</f>
        <v>Murkmire</v>
      </c>
      <c r="H673" s="17">
        <f>A673</f>
        <v>1066</v>
      </c>
      <c r="I673" s="17">
        <f>C673</f>
        <v>726</v>
      </c>
      <c r="J673">
        <v>12</v>
      </c>
      <c r="K673" s="3" t="str">
        <f>VLOOKUP(J673,'LibSets constants'!$A$4:$B$1017,2,FALSE)</f>
        <v>DLC_MURKMIRE</v>
      </c>
      <c r="L673" s="3" t="str">
        <f>VLOOKUP(J673,'LibSets constants'!$A$4:$C$1017,3,FALSE)</f>
        <v>Murkmire</v>
      </c>
    </row>
    <row r="674" spans="1:12" x14ac:dyDescent="0.25">
      <c r="A674">
        <v>1067</v>
      </c>
      <c r="B674">
        <v>665</v>
      </c>
      <c r="C674">
        <v>726</v>
      </c>
      <c r="D674" t="s">
        <v>707</v>
      </c>
      <c r="E674" t="str">
        <f>IF(NOT(ISERROR(VLOOKUP(D674,'ESO Dungeon constants'!$A$3:$A$9999,1,FALSE))),"X","")</f>
        <v/>
      </c>
      <c r="F674" s="3" t="str">
        <f>IF(EXACT(A674,C674),"X","")</f>
        <v/>
      </c>
      <c r="G674" s="3" t="str">
        <f>IF(A674&lt;&gt;C674,VLOOKUP(C674,$A$5:$D$9954,4,FALSE),"")</f>
        <v>Murkmire</v>
      </c>
      <c r="H674" s="17">
        <f>A674</f>
        <v>1067</v>
      </c>
      <c r="I674" s="17">
        <f>C674</f>
        <v>726</v>
      </c>
      <c r="J674">
        <v>12</v>
      </c>
      <c r="K674" s="3" t="str">
        <f>VLOOKUP(J674,'LibSets constants'!$A$4:$B$1017,2,FALSE)</f>
        <v>DLC_MURKMIRE</v>
      </c>
      <c r="L674" s="3" t="str">
        <f>VLOOKUP(J674,'LibSets constants'!$A$4:$C$1017,3,FALSE)</f>
        <v>Murkmire</v>
      </c>
    </row>
    <row r="675" spans="1:12" x14ac:dyDescent="0.25">
      <c r="A675">
        <v>1068</v>
      </c>
      <c r="B675">
        <v>666</v>
      </c>
      <c r="C675">
        <v>726</v>
      </c>
      <c r="D675" t="s">
        <v>708</v>
      </c>
      <c r="E675" t="str">
        <f>IF(NOT(ISERROR(VLOOKUP(D675,'ESO Dungeon constants'!$A$3:$A$9999,1,FALSE))),"X","")</f>
        <v/>
      </c>
      <c r="F675" s="3" t="str">
        <f>IF(EXACT(A675,C675),"X","")</f>
        <v/>
      </c>
      <c r="G675" s="3" t="str">
        <f>IF(A675&lt;&gt;C675,VLOOKUP(C675,$A$5:$D$9954,4,FALSE),"")</f>
        <v>Murkmire</v>
      </c>
      <c r="H675" s="17">
        <f>A675</f>
        <v>1068</v>
      </c>
      <c r="I675" s="17">
        <f>C675</f>
        <v>726</v>
      </c>
      <c r="J675">
        <v>12</v>
      </c>
      <c r="K675" s="3" t="str">
        <f>VLOOKUP(J675,'LibSets constants'!$A$4:$B$1017,2,FALSE)</f>
        <v>DLC_MURKMIRE</v>
      </c>
      <c r="L675" s="3" t="str">
        <f>VLOOKUP(J675,'LibSets constants'!$A$4:$C$1017,3,FALSE)</f>
        <v>Murkmire</v>
      </c>
    </row>
    <row r="676" spans="1:12" x14ac:dyDescent="0.25">
      <c r="A676">
        <v>1069</v>
      </c>
      <c r="B676">
        <v>667</v>
      </c>
      <c r="C676">
        <v>726</v>
      </c>
      <c r="D676" t="s">
        <v>709</v>
      </c>
      <c r="E676" t="str">
        <f>IF(NOT(ISERROR(VLOOKUP(D676,'ESO Dungeon constants'!$A$3:$A$9999,1,FALSE))),"X","")</f>
        <v/>
      </c>
      <c r="F676" s="3" t="str">
        <f>IF(EXACT(A676,C676),"X","")</f>
        <v/>
      </c>
      <c r="G676" s="3" t="str">
        <f>IF(A676&lt;&gt;C676,VLOOKUP(C676,$A$5:$D$9954,4,FALSE),"")</f>
        <v>Murkmire</v>
      </c>
      <c r="H676" s="17">
        <f>A676</f>
        <v>1069</v>
      </c>
      <c r="I676" s="17">
        <f>C676</f>
        <v>726</v>
      </c>
      <c r="J676">
        <v>12</v>
      </c>
      <c r="K676" s="3" t="str">
        <f>VLOOKUP(J676,'LibSets constants'!$A$4:$B$1017,2,FALSE)</f>
        <v>DLC_MURKMIRE</v>
      </c>
      <c r="L676" s="3" t="str">
        <f>VLOOKUP(J676,'LibSets constants'!$A$4:$C$1017,3,FALSE)</f>
        <v>Murkmire</v>
      </c>
    </row>
    <row r="677" spans="1:12" x14ac:dyDescent="0.25">
      <c r="A677">
        <v>1070</v>
      </c>
      <c r="B677">
        <v>668</v>
      </c>
      <c r="C677">
        <v>726</v>
      </c>
      <c r="D677" t="s">
        <v>710</v>
      </c>
      <c r="E677" t="str">
        <f>IF(NOT(ISERROR(VLOOKUP(D677,'ESO Dungeon constants'!$A$3:$A$9999,1,FALSE))),"X","")</f>
        <v/>
      </c>
      <c r="F677" s="3" t="str">
        <f>IF(EXACT(A677,C677),"X","")</f>
        <v/>
      </c>
      <c r="G677" s="3" t="str">
        <f>IF(A677&lt;&gt;C677,VLOOKUP(C677,$A$5:$D$9954,4,FALSE),"")</f>
        <v>Murkmire</v>
      </c>
      <c r="H677" s="17">
        <f>A677</f>
        <v>1070</v>
      </c>
      <c r="I677" s="17">
        <f>C677</f>
        <v>726</v>
      </c>
      <c r="J677">
        <v>12</v>
      </c>
      <c r="K677" s="3" t="str">
        <f>VLOOKUP(J677,'LibSets constants'!$A$4:$B$1017,2,FALSE)</f>
        <v>DLC_MURKMIRE</v>
      </c>
      <c r="L677" s="3" t="str">
        <f>VLOOKUP(J677,'LibSets constants'!$A$4:$C$1017,3,FALSE)</f>
        <v>Murkmire</v>
      </c>
    </row>
    <row r="678" spans="1:12" x14ac:dyDescent="0.25">
      <c r="A678">
        <v>1071</v>
      </c>
      <c r="B678">
        <v>669</v>
      </c>
      <c r="C678">
        <v>726</v>
      </c>
      <c r="D678" t="s">
        <v>711</v>
      </c>
      <c r="E678" t="str">
        <f>IF(NOT(ISERROR(VLOOKUP(D678,'ESO Dungeon constants'!$A$3:$A$9999,1,FALSE))),"X","")</f>
        <v/>
      </c>
      <c r="F678" s="3" t="str">
        <f>IF(EXACT(A678,C678),"X","")</f>
        <v/>
      </c>
      <c r="G678" s="3" t="str">
        <f>IF(A678&lt;&gt;C678,VLOOKUP(C678,$A$5:$D$9954,4,FALSE),"")</f>
        <v>Murkmire</v>
      </c>
      <c r="H678" s="17">
        <f>A678</f>
        <v>1071</v>
      </c>
      <c r="I678" s="17">
        <f>C678</f>
        <v>726</v>
      </c>
      <c r="J678">
        <v>12</v>
      </c>
      <c r="K678" s="3" t="str">
        <f>VLOOKUP(J678,'LibSets constants'!$A$4:$B$1017,2,FALSE)</f>
        <v>DLC_MURKMIRE</v>
      </c>
      <c r="L678" s="3" t="str">
        <f>VLOOKUP(J678,'LibSets constants'!$A$4:$C$1017,3,FALSE)</f>
        <v>Murkmire</v>
      </c>
    </row>
    <row r="679" spans="1:12" x14ac:dyDescent="0.25">
      <c r="A679">
        <v>1072</v>
      </c>
      <c r="B679">
        <v>670</v>
      </c>
      <c r="C679">
        <v>117</v>
      </c>
      <c r="D679" t="s">
        <v>712</v>
      </c>
      <c r="E679" t="str">
        <f>IF(NOT(ISERROR(VLOOKUP(D679,'ESO Dungeon constants'!$A$3:$A$9999,1,FALSE))),"X","")</f>
        <v/>
      </c>
      <c r="F679" s="3" t="str">
        <f>IF(EXACT(A679,C679),"X","")</f>
        <v/>
      </c>
      <c r="G679" s="3" t="str">
        <f>IF(A679&lt;&gt;C679,VLOOKUP(C679,$A$5:$D$9954,4,FALSE),"")</f>
        <v>Shadowfen</v>
      </c>
      <c r="H679" s="17">
        <f>A679</f>
        <v>1072</v>
      </c>
      <c r="I679" s="17">
        <f>C679</f>
        <v>117</v>
      </c>
      <c r="J679">
        <v>0</v>
      </c>
      <c r="K679" s="3" t="str">
        <f>VLOOKUP(J679,'LibSets constants'!$A$4:$B$1017,2,FALSE)</f>
        <v>DLC_BASE_GAME</v>
      </c>
      <c r="L679" s="3" t="str">
        <f>VLOOKUP(J679,'LibSets constants'!$A$4:$C$1017,3,FALSE)</f>
        <v>Included in base game</v>
      </c>
    </row>
    <row r="680" spans="1:12" x14ac:dyDescent="0.25">
      <c r="A680">
        <v>1073</v>
      </c>
      <c r="B680">
        <v>671</v>
      </c>
      <c r="C680">
        <v>726</v>
      </c>
      <c r="D680" t="s">
        <v>713</v>
      </c>
      <c r="E680" t="str">
        <f>IF(NOT(ISERROR(VLOOKUP(D680,'ESO Dungeon constants'!$A$3:$A$9999,1,FALSE))),"X","")</f>
        <v/>
      </c>
      <c r="F680" s="3" t="str">
        <f>IF(EXACT(A680,C680),"X","")</f>
        <v/>
      </c>
      <c r="G680" s="3" t="str">
        <f>IF(A680&lt;&gt;C680,VLOOKUP(C680,$A$5:$D$9954,4,FALSE),"")</f>
        <v>Murkmire</v>
      </c>
      <c r="H680" s="17">
        <f>A680</f>
        <v>1073</v>
      </c>
      <c r="I680" s="17">
        <f>C680</f>
        <v>726</v>
      </c>
      <c r="J680">
        <v>12</v>
      </c>
      <c r="K680" s="3" t="str">
        <f>VLOOKUP(J680,'LibSets constants'!$A$4:$B$1017,2,FALSE)</f>
        <v>DLC_MURKMIRE</v>
      </c>
      <c r="L680" s="3" t="str">
        <f>VLOOKUP(J680,'LibSets constants'!$A$4:$C$1017,3,FALSE)</f>
        <v>Murkmire</v>
      </c>
    </row>
    <row r="681" spans="1:12" x14ac:dyDescent="0.25">
      <c r="A681">
        <v>1074</v>
      </c>
      <c r="B681">
        <v>672</v>
      </c>
      <c r="C681">
        <v>41</v>
      </c>
      <c r="D681" t="s">
        <v>714</v>
      </c>
      <c r="E681" t="str">
        <f>IF(NOT(ISERROR(VLOOKUP(D681,'ESO Dungeon constants'!$A$3:$A$9999,1,FALSE))),"X","")</f>
        <v/>
      </c>
      <c r="F681" s="3" t="str">
        <f>IF(EXACT(A681,C681),"X","")</f>
        <v/>
      </c>
      <c r="G681" s="3" t="str">
        <f>IF(A681&lt;&gt;C681,VLOOKUP(C681,$A$5:$D$9954,4,FALSE),"")</f>
        <v>Stonefalls</v>
      </c>
      <c r="H681" s="17">
        <f>A681</f>
        <v>1074</v>
      </c>
      <c r="I681" s="17">
        <f>C681</f>
        <v>41</v>
      </c>
      <c r="J681">
        <v>0</v>
      </c>
      <c r="K681" s="3" t="str">
        <f>VLOOKUP(J681,'LibSets constants'!$A$4:$B$1017,2,FALSE)</f>
        <v>DLC_BASE_GAME</v>
      </c>
      <c r="L681" s="3" t="str">
        <f>VLOOKUP(J681,'LibSets constants'!$A$4:$C$1017,3,FALSE)</f>
        <v>Included in base game</v>
      </c>
    </row>
    <row r="682" spans="1:12" x14ac:dyDescent="0.25">
      <c r="A682">
        <v>1075</v>
      </c>
      <c r="B682">
        <v>673</v>
      </c>
      <c r="C682">
        <v>381</v>
      </c>
      <c r="D682" t="s">
        <v>714</v>
      </c>
      <c r="E682" t="str">
        <f>IF(NOT(ISERROR(VLOOKUP(D682,'ESO Dungeon constants'!$A$3:$A$9999,1,FALSE))),"X","")</f>
        <v/>
      </c>
      <c r="F682" s="3" t="str">
        <f>IF(EXACT(A682,C682),"X","")</f>
        <v/>
      </c>
      <c r="G682" s="3" t="str">
        <f>IF(A682&lt;&gt;C682,VLOOKUP(C682,$A$5:$D$9954,4,FALSE),"")</f>
        <v>Auridon</v>
      </c>
      <c r="H682" s="17">
        <f>A682</f>
        <v>1075</v>
      </c>
      <c r="I682" s="17">
        <f>C682</f>
        <v>381</v>
      </c>
      <c r="J682">
        <v>0</v>
      </c>
      <c r="K682" s="3" t="str">
        <f>VLOOKUP(J682,'LibSets constants'!$A$4:$B$1017,2,FALSE)</f>
        <v>DLC_BASE_GAME</v>
      </c>
      <c r="L682" s="3" t="str">
        <f>VLOOKUP(J682,'LibSets constants'!$A$4:$C$1017,3,FALSE)</f>
        <v>Included in base game</v>
      </c>
    </row>
    <row r="683" spans="1:12" x14ac:dyDescent="0.25">
      <c r="A683">
        <v>639</v>
      </c>
      <c r="B683">
        <v>371</v>
      </c>
      <c r="C683">
        <v>888</v>
      </c>
      <c r="D683" t="s">
        <v>442</v>
      </c>
      <c r="E683" t="str">
        <f>IF(NOT(ISERROR(VLOOKUP(D683,'ESO Dungeon constants'!$A$3:$A$9999,1,FALSE))),"X","")</f>
        <v>X</v>
      </c>
      <c r="F683" s="3" t="str">
        <f>IF(EXACT(A683,C683),"X","")</f>
        <v/>
      </c>
      <c r="G683" s="3" t="str">
        <f>IF(A683&lt;&gt;C683,VLOOKUP(C683,$A$5:$D$9954,4,FALSE),"")</f>
        <v>Craglorn</v>
      </c>
      <c r="H683" s="17">
        <f>A683</f>
        <v>639</v>
      </c>
      <c r="I683" s="17">
        <f>C683</f>
        <v>888</v>
      </c>
      <c r="J683">
        <f>IF(E683="X",VLOOKUP(D683,'ESO Dungeon constants'!$A$3:$H$9999,8,FALSE),0)</f>
        <v>0</v>
      </c>
      <c r="K683" s="3" t="str">
        <f>VLOOKUP(J683,'LibSets constants'!$A$4:$B$1017,2,FALSE)</f>
        <v>DLC_BASE_GAME</v>
      </c>
      <c r="L683" s="3" t="str">
        <f>VLOOKUP(J683,'LibSets constants'!$A$4:$C$1017,3,FALSE)</f>
        <v>Included in base game</v>
      </c>
    </row>
    <row r="684" spans="1:12" x14ac:dyDescent="0.25">
      <c r="A684">
        <v>1076</v>
      </c>
      <c r="B684">
        <v>674</v>
      </c>
      <c r="C684">
        <v>3</v>
      </c>
      <c r="D684" t="s">
        <v>714</v>
      </c>
      <c r="E684" t="str">
        <f>IF(NOT(ISERROR(VLOOKUP(D684,'ESO Dungeon constants'!$A$3:$A$9999,1,FALSE))),"X","")</f>
        <v/>
      </c>
      <c r="F684" s="3" t="str">
        <f>IF(EXACT(A684,C684),"X","")</f>
        <v/>
      </c>
      <c r="G684" s="3" t="str">
        <f>IF(A684&lt;&gt;C684,VLOOKUP(C684,$A$5:$D$9954,4,FALSE),"")</f>
        <v>Glenumbra</v>
      </c>
      <c r="H684" s="17">
        <f>A684</f>
        <v>1076</v>
      </c>
      <c r="I684" s="17">
        <f>C684</f>
        <v>3</v>
      </c>
      <c r="J684">
        <v>0</v>
      </c>
      <c r="K684" s="3" t="str">
        <f>VLOOKUP(J684,'LibSets constants'!$A$4:$B$1017,2,FALSE)</f>
        <v>DLC_BASE_GAME</v>
      </c>
      <c r="L684" s="3" t="str">
        <f>VLOOKUP(J684,'LibSets constants'!$A$4:$C$1017,3,FALSE)</f>
        <v>Included in base game</v>
      </c>
    </row>
    <row r="685" spans="1:12" x14ac:dyDescent="0.25">
      <c r="A685">
        <v>1077</v>
      </c>
      <c r="B685">
        <v>675</v>
      </c>
      <c r="C685">
        <v>726</v>
      </c>
      <c r="D685" t="s">
        <v>715</v>
      </c>
      <c r="E685" t="str">
        <f>IF(NOT(ISERROR(VLOOKUP(D685,'ESO Dungeon constants'!$A$3:$A$9999,1,FALSE))),"X","")</f>
        <v/>
      </c>
      <c r="F685" s="3" t="str">
        <f>IF(EXACT(A685,C685),"X","")</f>
        <v/>
      </c>
      <c r="G685" s="3" t="str">
        <f>IF(A685&lt;&gt;C685,VLOOKUP(C685,$A$5:$D$9954,4,FALSE),"")</f>
        <v>Murkmire</v>
      </c>
      <c r="H685" s="17">
        <f>A685</f>
        <v>1077</v>
      </c>
      <c r="I685" s="17">
        <f>C685</f>
        <v>726</v>
      </c>
      <c r="J685">
        <v>12</v>
      </c>
      <c r="K685" s="3" t="str">
        <f>VLOOKUP(J685,'LibSets constants'!$A$4:$B$1017,2,FALSE)</f>
        <v>DLC_MURKMIRE</v>
      </c>
      <c r="L685" s="3" t="str">
        <f>VLOOKUP(J685,'LibSets constants'!$A$4:$C$1017,3,FALSE)</f>
        <v>Murkmire</v>
      </c>
    </row>
    <row r="686" spans="1:12" x14ac:dyDescent="0.25">
      <c r="A686">
        <v>1427</v>
      </c>
      <c r="B686">
        <v>971</v>
      </c>
      <c r="C686">
        <v>1414</v>
      </c>
      <c r="D686" t="s">
        <v>3672</v>
      </c>
      <c r="E686" t="str">
        <f>IF(NOT(ISERROR(VLOOKUP(D686,'ESO Dungeon constants'!$A$3:$A$9999,1,FALSE))),"X","")</f>
        <v>X</v>
      </c>
      <c r="F686" s="3" t="str">
        <f>IF(EXACT(A686,C686),"X","")</f>
        <v/>
      </c>
      <c r="G686" s="3" t="str">
        <f>IF(A686&lt;&gt;C686,VLOOKUP(C686,$A$5:$D$9954,4,FALSE),"")</f>
        <v>Telvanni Peninsula</v>
      </c>
      <c r="H686" s="17">
        <f>A686</f>
        <v>1427</v>
      </c>
      <c r="I686" s="17">
        <f>C686</f>
        <v>1414</v>
      </c>
      <c r="J686">
        <f>IF(E686="X",VLOOKUP(D686,'ESO Dungeon constants'!$A$3:$H$9999,8,FALSE),0)</f>
        <v>29</v>
      </c>
      <c r="K686" s="3" t="str">
        <f>VLOOKUP(J686,'LibSets constants'!$A$4:$B$1017,2,FALSE)</f>
        <v>DLC_SCRIBES_OF_FATE</v>
      </c>
      <c r="L686" s="3" t="str">
        <f>VLOOKUP(J686,'LibSets constants'!$A$4:$C$1017,3,FALSE)</f>
        <v>Scribes of Fate</v>
      </c>
    </row>
    <row r="687" spans="1:12" x14ac:dyDescent="0.25">
      <c r="A687">
        <v>1078</v>
      </c>
      <c r="B687">
        <v>676</v>
      </c>
      <c r="C687">
        <v>726</v>
      </c>
      <c r="D687" t="s">
        <v>716</v>
      </c>
      <c r="E687" t="str">
        <f>IF(NOT(ISERROR(VLOOKUP(D687,'ESO Dungeon constants'!$A$3:$A$9999,1,FALSE))),"X","")</f>
        <v/>
      </c>
      <c r="F687" s="3" t="str">
        <f>IF(EXACT(A687,C687),"X","")</f>
        <v/>
      </c>
      <c r="G687" s="3" t="str">
        <f>IF(A687&lt;&gt;C687,VLOOKUP(C687,$A$5:$D$9954,4,FALSE),"")</f>
        <v>Murkmire</v>
      </c>
      <c r="H687" s="17">
        <f>A687</f>
        <v>1078</v>
      </c>
      <c r="I687" s="17">
        <f>C687</f>
        <v>726</v>
      </c>
      <c r="J687">
        <v>12</v>
      </c>
      <c r="K687" s="3" t="str">
        <f>VLOOKUP(J687,'LibSets constants'!$A$4:$B$1017,2,FALSE)</f>
        <v>DLC_MURKMIRE</v>
      </c>
      <c r="L687" s="3" t="str">
        <f>VLOOKUP(J687,'LibSets constants'!$A$4:$C$1017,3,FALSE)</f>
        <v>Murkmire</v>
      </c>
    </row>
    <row r="688" spans="1:12" x14ac:dyDescent="0.25">
      <c r="A688">
        <v>1079</v>
      </c>
      <c r="B688">
        <v>677</v>
      </c>
      <c r="C688">
        <v>726</v>
      </c>
      <c r="D688" t="s">
        <v>717</v>
      </c>
      <c r="E688" t="str">
        <f>IF(NOT(ISERROR(VLOOKUP(D688,'ESO Dungeon constants'!$A$3:$A$9999,1,FALSE))),"X","")</f>
        <v/>
      </c>
      <c r="F688" s="3" t="str">
        <f>IF(EXACT(A688,C688),"X","")</f>
        <v/>
      </c>
      <c r="G688" s="3" t="str">
        <f>IF(A688&lt;&gt;C688,VLOOKUP(C688,$A$5:$D$9954,4,FALSE),"")</f>
        <v>Murkmire</v>
      </c>
      <c r="H688" s="17">
        <f>A688</f>
        <v>1079</v>
      </c>
      <c r="I688" s="17">
        <f>C688</f>
        <v>726</v>
      </c>
      <c r="J688">
        <v>12</v>
      </c>
      <c r="K688" s="3" t="str">
        <f>VLOOKUP(J688,'LibSets constants'!$A$4:$B$1017,2,FALSE)</f>
        <v>DLC_MURKMIRE</v>
      </c>
      <c r="L688" s="3" t="str">
        <f>VLOOKUP(J688,'LibSets constants'!$A$4:$C$1017,3,FALSE)</f>
        <v>Murkmire</v>
      </c>
    </row>
    <row r="689" spans="1:12" x14ac:dyDescent="0.25">
      <c r="A689">
        <v>1082</v>
      </c>
      <c r="B689">
        <v>680</v>
      </c>
      <c r="C689">
        <v>726</v>
      </c>
      <c r="D689" t="s">
        <v>718</v>
      </c>
      <c r="E689" t="str">
        <f>IF(NOT(ISERROR(VLOOKUP(D689,'ESO Dungeon constants'!$A$3:$A$9999,1,FALSE))),"X","")</f>
        <v/>
      </c>
      <c r="F689" s="3" t="str">
        <f>IF(EXACT(A689,C689),"X","")</f>
        <v/>
      </c>
      <c r="G689" s="3" t="str">
        <f>IF(A689&lt;&gt;C689,VLOOKUP(C689,$A$5:$D$9954,4,FALSE),"")</f>
        <v>Murkmire</v>
      </c>
      <c r="H689" s="17">
        <f>A689</f>
        <v>1082</v>
      </c>
      <c r="I689" s="17">
        <f>C689</f>
        <v>726</v>
      </c>
      <c r="J689">
        <v>12</v>
      </c>
      <c r="K689" s="3" t="str">
        <f>VLOOKUP(J689,'LibSets constants'!$A$4:$B$1017,2,FALSE)</f>
        <v>DLC_MURKMIRE</v>
      </c>
      <c r="L689" s="3" t="str">
        <f>VLOOKUP(J689,'LibSets constants'!$A$4:$C$1017,3,FALSE)</f>
        <v>Murkmire</v>
      </c>
    </row>
    <row r="690" spans="1:12" x14ac:dyDescent="0.25">
      <c r="A690">
        <v>1010</v>
      </c>
      <c r="B690">
        <v>617</v>
      </c>
      <c r="C690">
        <v>19</v>
      </c>
      <c r="D690" t="s">
        <v>74</v>
      </c>
      <c r="E690" t="str">
        <f>IF(NOT(ISERROR(VLOOKUP(D690,'ESO Dungeon constants'!$A$3:$A$9999,1,FALSE))),"X","")</f>
        <v>X</v>
      </c>
      <c r="F690" s="3" t="str">
        <f>IF(EXACT(A690,C690),"X","")</f>
        <v/>
      </c>
      <c r="G690" s="3" t="str">
        <f>IF(A690&lt;&gt;C690,VLOOKUP(C690,$A$5:$D$9954,4,FALSE),"")</f>
        <v>Stormhaven</v>
      </c>
      <c r="H690" s="17">
        <f>A690</f>
        <v>1010</v>
      </c>
      <c r="I690" s="17">
        <f>C690</f>
        <v>19</v>
      </c>
      <c r="J690">
        <f>IF(E690="X",VLOOKUP(D690,'ESO Dungeon constants'!$A$3:$H$9999,8,FALSE),0)</f>
        <v>9</v>
      </c>
      <c r="K690" s="3" t="str">
        <f>VLOOKUP(J690,'LibSets constants'!$A$4:$B$1017,2,FALSE)</f>
        <v>DLC_DRAGON_BONES</v>
      </c>
      <c r="L690" s="3" t="str">
        <f>VLOOKUP(J690,'LibSets constants'!$A$4:$C$1017,3,FALSE)</f>
        <v>Dragon Bones</v>
      </c>
    </row>
    <row r="691" spans="1:12" x14ac:dyDescent="0.25">
      <c r="A691">
        <v>1083</v>
      </c>
      <c r="B691">
        <v>681</v>
      </c>
      <c r="C691">
        <v>726</v>
      </c>
      <c r="D691" t="s">
        <v>719</v>
      </c>
      <c r="E691" t="str">
        <f>IF(NOT(ISERROR(VLOOKUP(D691,'ESO Dungeon constants'!$A$3:$A$9999,1,FALSE))),"X","")</f>
        <v/>
      </c>
      <c r="F691" s="3" t="str">
        <f>IF(EXACT(A691,C691),"X","")</f>
        <v/>
      </c>
      <c r="G691" s="3" t="str">
        <f>IF(A691&lt;&gt;C691,VLOOKUP(C691,$A$5:$D$9954,4,FALSE),"")</f>
        <v>Murkmire</v>
      </c>
      <c r="H691" s="17">
        <f>A691</f>
        <v>1083</v>
      </c>
      <c r="I691" s="17">
        <f>C691</f>
        <v>726</v>
      </c>
      <c r="J691">
        <v>12</v>
      </c>
      <c r="K691" s="3" t="str">
        <f>VLOOKUP(J691,'LibSets constants'!$A$4:$B$1017,2,FALSE)</f>
        <v>DLC_MURKMIRE</v>
      </c>
      <c r="L691" s="3" t="str">
        <f>VLOOKUP(J691,'LibSets constants'!$A$4:$C$1017,3,FALSE)</f>
        <v>Murkmire</v>
      </c>
    </row>
    <row r="692" spans="1:12" x14ac:dyDescent="0.25">
      <c r="A692">
        <v>1085</v>
      </c>
      <c r="B692">
        <v>682</v>
      </c>
      <c r="C692">
        <v>1086</v>
      </c>
      <c r="D692" t="s">
        <v>721</v>
      </c>
      <c r="E692" t="str">
        <f>IF(NOT(ISERROR(VLOOKUP(D692,'ESO Dungeon constants'!$A$3:$A$9999,1,FALSE))),"X","")</f>
        <v/>
      </c>
      <c r="F692" s="3" t="str">
        <f>IF(EXACT(A692,C692),"X","")</f>
        <v/>
      </c>
      <c r="G692" s="3" t="str">
        <f>IF(A692&lt;&gt;C692,VLOOKUP(C692,$A$5:$D$9954,4,FALSE),"")</f>
        <v>Northern Elsweyr</v>
      </c>
      <c r="H692" s="17">
        <f>A692</f>
        <v>1085</v>
      </c>
      <c r="I692" s="17">
        <f>C692</f>
        <v>1086</v>
      </c>
      <c r="J692">
        <v>14</v>
      </c>
      <c r="K692" s="3" t="str">
        <f>VLOOKUP(J692,'LibSets constants'!$A$4:$B$1017,2,FALSE)</f>
        <v>DLC_ELSWEYR</v>
      </c>
      <c r="L692" s="3" t="str">
        <f>VLOOKUP(J692,'LibSets constants'!$A$4:$C$1017,3,FALSE)</f>
        <v>Elsweyr</v>
      </c>
    </row>
    <row r="693" spans="1:12" x14ac:dyDescent="0.25">
      <c r="A693">
        <v>1390</v>
      </c>
      <c r="B693">
        <v>937</v>
      </c>
      <c r="C693">
        <v>103</v>
      </c>
      <c r="D693" t="s">
        <v>3565</v>
      </c>
      <c r="E693" t="str">
        <f>IF(NOT(ISERROR(VLOOKUP(D693,'ESO Dungeon constants'!$A$3:$A$9999,1,FALSE))),"X","")</f>
        <v>X</v>
      </c>
      <c r="F693" s="3" t="str">
        <f>IF(EXACT(A693,C693),"X","")</f>
        <v/>
      </c>
      <c r="G693" s="3" t="str">
        <f>IF(A693&lt;&gt;C693,VLOOKUP(C693,$A$5:$D$9954,4,FALSE),"")</f>
        <v>The Rift</v>
      </c>
      <c r="H693" s="17">
        <f>A693</f>
        <v>1390</v>
      </c>
      <c r="I693" s="17">
        <f>C693</f>
        <v>103</v>
      </c>
      <c r="J693">
        <f>IF(E693="X",VLOOKUP(D693,'ESO Dungeon constants'!$A$3:$H$9999,8,FALSE),0)</f>
        <v>29</v>
      </c>
      <c r="K693" s="3" t="str">
        <f>VLOOKUP(J693,'LibSets constants'!$A$4:$B$1017,2,FALSE)</f>
        <v>DLC_SCRIBES_OF_FATE</v>
      </c>
      <c r="L693" s="3" t="str">
        <f>VLOOKUP(J693,'LibSets constants'!$A$4:$C$1017,3,FALSE)</f>
        <v>Scribes of Fate</v>
      </c>
    </row>
    <row r="694" spans="1:12" x14ac:dyDescent="0.25">
      <c r="A694">
        <v>1086</v>
      </c>
      <c r="B694">
        <v>683</v>
      </c>
      <c r="C694">
        <v>1086</v>
      </c>
      <c r="D694" t="s">
        <v>1384</v>
      </c>
      <c r="E694" t="str">
        <f>IF(NOT(ISERROR(VLOOKUP(D694,'ESO Dungeon constants'!$A$3:$A$9999,1,FALSE))),"X","")</f>
        <v/>
      </c>
      <c r="F694" s="3" t="str">
        <f>IF(EXACT(A694,C694),"X","")</f>
        <v>X</v>
      </c>
      <c r="G694" s="3" t="str">
        <f>IF(A694&lt;&gt;C694,VLOOKUP(C694,$A$5:$D$9954,4,FALSE),"")</f>
        <v/>
      </c>
      <c r="H694" s="17">
        <f>A694</f>
        <v>1086</v>
      </c>
      <c r="I694" s="17">
        <f>C694</f>
        <v>1086</v>
      </c>
      <c r="J694">
        <v>4</v>
      </c>
      <c r="K694" s="3" t="str">
        <f>VLOOKUP(J694,'LibSets constants'!$A$4:$B$1017,2,FALSE)</f>
        <v>DLC_DARK_BROTHERHOOD</v>
      </c>
      <c r="L694" s="3" t="str">
        <f>VLOOKUP(J694,'LibSets constants'!$A$4:$C$1017,3,FALSE)</f>
        <v>Dark Brotherhood</v>
      </c>
    </row>
    <row r="695" spans="1:12" x14ac:dyDescent="0.25">
      <c r="A695">
        <v>1088</v>
      </c>
      <c r="B695">
        <v>684</v>
      </c>
      <c r="C695">
        <v>1086</v>
      </c>
      <c r="D695" t="s">
        <v>1411</v>
      </c>
      <c r="E695" t="str">
        <f>IF(NOT(ISERROR(VLOOKUP(D695,'ESO Dungeon constants'!$A$3:$A$9999,1,FALSE))),"X","")</f>
        <v/>
      </c>
      <c r="F695" s="3" t="str">
        <f>IF(EXACT(A695,C695),"X","")</f>
        <v/>
      </c>
      <c r="G695" s="3" t="str">
        <f>IF(A695&lt;&gt;C695,VLOOKUP(C695,$A$5:$D$9954,4,FALSE),"")</f>
        <v>Northern Elsweyr</v>
      </c>
      <c r="H695" s="17">
        <f>A695</f>
        <v>1088</v>
      </c>
      <c r="I695" s="17">
        <f>C695</f>
        <v>1086</v>
      </c>
      <c r="J695">
        <v>14</v>
      </c>
      <c r="K695" s="3" t="str">
        <f>VLOOKUP(J695,'LibSets constants'!$A$4:$B$1017,2,FALSE)</f>
        <v>DLC_ELSWEYR</v>
      </c>
      <c r="L695" s="3" t="str">
        <f>VLOOKUP(J695,'LibSets constants'!$A$4:$C$1017,3,FALSE)</f>
        <v>Elsweyr</v>
      </c>
    </row>
    <row r="696" spans="1:12" x14ac:dyDescent="0.25">
      <c r="A696">
        <v>1089</v>
      </c>
      <c r="B696">
        <v>685</v>
      </c>
      <c r="C696">
        <v>1086</v>
      </c>
      <c r="D696" t="s">
        <v>1385</v>
      </c>
      <c r="E696" t="str">
        <f>IF(NOT(ISERROR(VLOOKUP(D696,'ESO Dungeon constants'!$A$3:$A$9999,1,FALSE))),"X","")</f>
        <v/>
      </c>
      <c r="F696" s="3" t="str">
        <f>IF(EXACT(A696,C696),"X","")</f>
        <v/>
      </c>
      <c r="G696" s="3" t="str">
        <f>IF(A696&lt;&gt;C696,VLOOKUP(C696,$A$5:$D$9954,4,FALSE),"")</f>
        <v>Northern Elsweyr</v>
      </c>
      <c r="H696" s="17">
        <f>A696</f>
        <v>1089</v>
      </c>
      <c r="I696" s="17">
        <f>C696</f>
        <v>1086</v>
      </c>
      <c r="J696">
        <v>14</v>
      </c>
      <c r="K696" s="3" t="str">
        <f>VLOOKUP(J696,'LibSets constants'!$A$4:$B$1017,2,FALSE)</f>
        <v>DLC_ELSWEYR</v>
      </c>
      <c r="L696" s="3" t="str">
        <f>VLOOKUP(J696,'LibSets constants'!$A$4:$C$1017,3,FALSE)</f>
        <v>Elsweyr</v>
      </c>
    </row>
    <row r="697" spans="1:12" x14ac:dyDescent="0.25">
      <c r="A697">
        <v>1090</v>
      </c>
      <c r="B697">
        <v>686</v>
      </c>
      <c r="C697">
        <v>1086</v>
      </c>
      <c r="D697" t="s">
        <v>1386</v>
      </c>
      <c r="E697" t="str">
        <f>IF(NOT(ISERROR(VLOOKUP(D697,'ESO Dungeon constants'!$A$3:$A$9999,1,FALSE))),"X","")</f>
        <v/>
      </c>
      <c r="F697" s="3" t="str">
        <f>IF(EXACT(A697,C697),"X","")</f>
        <v/>
      </c>
      <c r="G697" s="3" t="str">
        <f>IF(A697&lt;&gt;C697,VLOOKUP(C697,$A$5:$D$9954,4,FALSE),"")</f>
        <v>Northern Elsweyr</v>
      </c>
      <c r="H697" s="17">
        <f>A697</f>
        <v>1090</v>
      </c>
      <c r="I697" s="17">
        <f>C697</f>
        <v>1086</v>
      </c>
      <c r="J697">
        <v>14</v>
      </c>
      <c r="K697" s="3" t="str">
        <f>VLOOKUP(J697,'LibSets constants'!$A$4:$B$1017,2,FALSE)</f>
        <v>DLC_ELSWEYR</v>
      </c>
      <c r="L697" s="3" t="str">
        <f>VLOOKUP(J697,'LibSets constants'!$A$4:$C$1017,3,FALSE)</f>
        <v>Elsweyr</v>
      </c>
    </row>
    <row r="698" spans="1:12" x14ac:dyDescent="0.25">
      <c r="A698">
        <v>1091</v>
      </c>
      <c r="B698">
        <v>687</v>
      </c>
      <c r="C698">
        <v>1086</v>
      </c>
      <c r="D698" t="s">
        <v>1387</v>
      </c>
      <c r="E698" t="str">
        <f>IF(NOT(ISERROR(VLOOKUP(D698,'ESO Dungeon constants'!$A$3:$A$9999,1,FALSE))),"X","")</f>
        <v/>
      </c>
      <c r="F698" s="3" t="str">
        <f>IF(EXACT(A698,C698),"X","")</f>
        <v/>
      </c>
      <c r="G698" s="3" t="str">
        <f>IF(A698&lt;&gt;C698,VLOOKUP(C698,$A$5:$D$9954,4,FALSE),"")</f>
        <v>Northern Elsweyr</v>
      </c>
      <c r="H698" s="17">
        <f>A698</f>
        <v>1091</v>
      </c>
      <c r="I698" s="17">
        <f>C698</f>
        <v>1086</v>
      </c>
      <c r="J698">
        <v>14</v>
      </c>
      <c r="K698" s="3" t="str">
        <f>VLOOKUP(J698,'LibSets constants'!$A$4:$B$1017,2,FALSE)</f>
        <v>DLC_ELSWEYR</v>
      </c>
      <c r="L698" s="3" t="str">
        <f>VLOOKUP(J698,'LibSets constants'!$A$4:$C$1017,3,FALSE)</f>
        <v>Elsweyr</v>
      </c>
    </row>
    <row r="699" spans="1:12" x14ac:dyDescent="0.25">
      <c r="A699">
        <v>1092</v>
      </c>
      <c r="B699">
        <v>688</v>
      </c>
      <c r="C699">
        <v>1086</v>
      </c>
      <c r="D699" t="s">
        <v>1388</v>
      </c>
      <c r="E699" t="str">
        <f>IF(NOT(ISERROR(VLOOKUP(D699,'ESO Dungeon constants'!$A$3:$A$9999,1,FALSE))),"X","")</f>
        <v/>
      </c>
      <c r="F699" s="3" t="str">
        <f>IF(EXACT(A699,C699),"X","")</f>
        <v/>
      </c>
      <c r="G699" s="3" t="str">
        <f>IF(A699&lt;&gt;C699,VLOOKUP(C699,$A$5:$D$9954,4,FALSE),"")</f>
        <v>Northern Elsweyr</v>
      </c>
      <c r="H699" s="17">
        <f>A699</f>
        <v>1092</v>
      </c>
      <c r="I699" s="17">
        <f>C699</f>
        <v>1086</v>
      </c>
      <c r="J699">
        <v>14</v>
      </c>
      <c r="K699" s="3" t="str">
        <f>VLOOKUP(J699,'LibSets constants'!$A$4:$B$1017,2,FALSE)</f>
        <v>DLC_ELSWEYR</v>
      </c>
      <c r="L699" s="3" t="str">
        <f>VLOOKUP(J699,'LibSets constants'!$A$4:$C$1017,3,FALSE)</f>
        <v>Elsweyr</v>
      </c>
    </row>
    <row r="700" spans="1:12" x14ac:dyDescent="0.25">
      <c r="A700">
        <v>31</v>
      </c>
      <c r="B700">
        <v>7</v>
      </c>
      <c r="C700">
        <v>382</v>
      </c>
      <c r="D700" t="s">
        <v>59</v>
      </c>
      <c r="E700" t="str">
        <f>IF(NOT(ISERROR(VLOOKUP(D700,'ESO Dungeon constants'!$A$3:$A$9999,1,FALSE))),"X","")</f>
        <v>X</v>
      </c>
      <c r="F700" s="3" t="str">
        <f>IF(EXACT(A700,C700),"X","")</f>
        <v/>
      </c>
      <c r="G700" s="3" t="str">
        <f>IF(A700&lt;&gt;C700,VLOOKUP(C700,$A$5:$D$9954,4,FALSE),"")</f>
        <v>Reaper's March</v>
      </c>
      <c r="H700" s="17">
        <f>A700</f>
        <v>31</v>
      </c>
      <c r="I700" s="17">
        <f>C700</f>
        <v>382</v>
      </c>
      <c r="J700">
        <f>IF(E700="X",VLOOKUP(D700,'ESO Dungeon constants'!$A$3:$H$9999,8,FALSE),0)</f>
        <v>0</v>
      </c>
      <c r="K700" s="3" t="str">
        <f>VLOOKUP(J700,'LibSets constants'!$A$4:$B$1017,2,FALSE)</f>
        <v>DLC_BASE_GAME</v>
      </c>
      <c r="L700" s="3" t="str">
        <f>VLOOKUP(J700,'LibSets constants'!$A$4:$C$1017,3,FALSE)</f>
        <v>Included in base game</v>
      </c>
    </row>
    <row r="701" spans="1:12" x14ac:dyDescent="0.25">
      <c r="A701">
        <v>1094</v>
      </c>
      <c r="B701">
        <v>689</v>
      </c>
      <c r="C701">
        <v>1086</v>
      </c>
      <c r="D701" t="s">
        <v>1389</v>
      </c>
      <c r="E701" t="str">
        <f>IF(NOT(ISERROR(VLOOKUP(D701,'ESO Dungeon constants'!$A$3:$A$9999,1,FALSE))),"X","")</f>
        <v/>
      </c>
      <c r="F701" s="3" t="str">
        <f>IF(EXACT(A701,C701),"X","")</f>
        <v/>
      </c>
      <c r="G701" s="3" t="str">
        <f>IF(A701&lt;&gt;C701,VLOOKUP(C701,$A$5:$D$9954,4,FALSE),"")</f>
        <v>Northern Elsweyr</v>
      </c>
      <c r="H701" s="17">
        <f>A701</f>
        <v>1094</v>
      </c>
      <c r="I701" s="17">
        <f>C701</f>
        <v>1086</v>
      </c>
      <c r="J701">
        <v>14</v>
      </c>
      <c r="K701" s="3" t="str">
        <f>VLOOKUP(J701,'LibSets constants'!$A$4:$B$1017,2,FALSE)</f>
        <v>DLC_ELSWEYR</v>
      </c>
      <c r="L701" s="3" t="str">
        <f>VLOOKUP(J701,'LibSets constants'!$A$4:$C$1017,3,FALSE)</f>
        <v>Elsweyr</v>
      </c>
    </row>
    <row r="702" spans="1:12" x14ac:dyDescent="0.25">
      <c r="A702">
        <v>1095</v>
      </c>
      <c r="B702">
        <v>690</v>
      </c>
      <c r="C702">
        <v>1086</v>
      </c>
      <c r="D702" t="s">
        <v>1390</v>
      </c>
      <c r="E702" t="str">
        <f>IF(NOT(ISERROR(VLOOKUP(D702,'ESO Dungeon constants'!$A$3:$A$9999,1,FALSE))),"X","")</f>
        <v/>
      </c>
      <c r="F702" s="3" t="str">
        <f>IF(EXACT(A702,C702),"X","")</f>
        <v/>
      </c>
      <c r="G702" s="3" t="str">
        <f>IF(A702&lt;&gt;C702,VLOOKUP(C702,$A$5:$D$9954,4,FALSE),"")</f>
        <v>Northern Elsweyr</v>
      </c>
      <c r="H702" s="17">
        <f>A702</f>
        <v>1095</v>
      </c>
      <c r="I702" s="17">
        <f>C702</f>
        <v>1086</v>
      </c>
      <c r="J702">
        <v>14</v>
      </c>
      <c r="K702" s="3" t="str">
        <f>VLOOKUP(J702,'LibSets constants'!$A$4:$B$1017,2,FALSE)</f>
        <v>DLC_ELSWEYR</v>
      </c>
      <c r="L702" s="3" t="str">
        <f>VLOOKUP(J702,'LibSets constants'!$A$4:$C$1017,3,FALSE)</f>
        <v>Elsweyr</v>
      </c>
    </row>
    <row r="703" spans="1:12" x14ac:dyDescent="0.25">
      <c r="A703">
        <v>1096</v>
      </c>
      <c r="B703">
        <v>691</v>
      </c>
      <c r="C703">
        <v>1086</v>
      </c>
      <c r="D703" t="s">
        <v>1391</v>
      </c>
      <c r="E703" t="str">
        <f>IF(NOT(ISERROR(VLOOKUP(D703,'ESO Dungeon constants'!$A$3:$A$9999,1,FALSE))),"X","")</f>
        <v/>
      </c>
      <c r="F703" s="3" t="str">
        <f>IF(EXACT(A703,C703),"X","")</f>
        <v/>
      </c>
      <c r="G703" s="3" t="str">
        <f>IF(A703&lt;&gt;C703,VLOOKUP(C703,$A$5:$D$9954,4,FALSE),"")</f>
        <v>Northern Elsweyr</v>
      </c>
      <c r="H703" s="17">
        <f>A703</f>
        <v>1096</v>
      </c>
      <c r="I703" s="17">
        <f>C703</f>
        <v>1086</v>
      </c>
      <c r="J703">
        <v>14</v>
      </c>
      <c r="K703" s="3" t="str">
        <f>VLOOKUP(J703,'LibSets constants'!$A$4:$B$1017,2,FALSE)</f>
        <v>DLC_ELSWEYR</v>
      </c>
      <c r="L703" s="3" t="str">
        <f>VLOOKUP(J703,'LibSets constants'!$A$4:$C$1017,3,FALSE)</f>
        <v>Elsweyr</v>
      </c>
    </row>
    <row r="704" spans="1:12" x14ac:dyDescent="0.25">
      <c r="A704">
        <v>1097</v>
      </c>
      <c r="B704">
        <v>692</v>
      </c>
      <c r="C704">
        <v>1086</v>
      </c>
      <c r="D704" t="s">
        <v>1392</v>
      </c>
      <c r="E704" t="str">
        <f>IF(NOT(ISERROR(VLOOKUP(D704,'ESO Dungeon constants'!$A$3:$A$9999,1,FALSE))),"X","")</f>
        <v/>
      </c>
      <c r="F704" s="3" t="str">
        <f>IF(EXACT(A704,C704),"X","")</f>
        <v/>
      </c>
      <c r="G704" s="3" t="str">
        <f>IF(A704&lt;&gt;C704,VLOOKUP(C704,$A$5:$D$9954,4,FALSE),"")</f>
        <v>Northern Elsweyr</v>
      </c>
      <c r="H704" s="17">
        <f>A704</f>
        <v>1097</v>
      </c>
      <c r="I704" s="17">
        <f>C704</f>
        <v>1086</v>
      </c>
      <c r="J704">
        <v>14</v>
      </c>
      <c r="K704" s="3" t="str">
        <f>VLOOKUP(J704,'LibSets constants'!$A$4:$B$1017,2,FALSE)</f>
        <v>DLC_ELSWEYR</v>
      </c>
      <c r="L704" s="3" t="str">
        <f>VLOOKUP(J704,'LibSets constants'!$A$4:$C$1017,3,FALSE)</f>
        <v>Elsweyr</v>
      </c>
    </row>
    <row r="705" spans="1:12" x14ac:dyDescent="0.25">
      <c r="A705">
        <v>1098</v>
      </c>
      <c r="B705">
        <v>693</v>
      </c>
      <c r="C705">
        <v>1086</v>
      </c>
      <c r="D705" t="s">
        <v>1393</v>
      </c>
      <c r="E705" t="str">
        <f>IF(NOT(ISERROR(VLOOKUP(D705,'ESO Dungeon constants'!$A$3:$A$9999,1,FALSE))),"X","")</f>
        <v/>
      </c>
      <c r="F705" s="3" t="str">
        <f>IF(EXACT(A705,C705),"X","")</f>
        <v/>
      </c>
      <c r="G705" s="3" t="str">
        <f>IF(A705&lt;&gt;C705,VLOOKUP(C705,$A$5:$D$9954,4,FALSE),"")</f>
        <v>Northern Elsweyr</v>
      </c>
      <c r="H705" s="17">
        <f>A705</f>
        <v>1098</v>
      </c>
      <c r="I705" s="17">
        <f>C705</f>
        <v>1086</v>
      </c>
      <c r="J705">
        <v>14</v>
      </c>
      <c r="K705" s="3" t="str">
        <f>VLOOKUP(J705,'LibSets constants'!$A$4:$B$1017,2,FALSE)</f>
        <v>DLC_ELSWEYR</v>
      </c>
      <c r="L705" s="3" t="str">
        <f>VLOOKUP(J705,'LibSets constants'!$A$4:$C$1017,3,FALSE)</f>
        <v>Elsweyr</v>
      </c>
    </row>
    <row r="706" spans="1:12" x14ac:dyDescent="0.25">
      <c r="A706">
        <v>1099</v>
      </c>
      <c r="B706">
        <v>694</v>
      </c>
      <c r="C706">
        <v>1086</v>
      </c>
      <c r="D706" t="s">
        <v>1394</v>
      </c>
      <c r="E706" t="str">
        <f>IF(NOT(ISERROR(VLOOKUP(D706,'ESO Dungeon constants'!$A$3:$A$9999,1,FALSE))),"X","")</f>
        <v/>
      </c>
      <c r="F706" s="3" t="str">
        <f>IF(EXACT(A706,C706),"X","")</f>
        <v/>
      </c>
      <c r="G706" s="3" t="str">
        <f>IF(A706&lt;&gt;C706,VLOOKUP(C706,$A$5:$D$9954,4,FALSE),"")</f>
        <v>Northern Elsweyr</v>
      </c>
      <c r="H706" s="17">
        <f>A706</f>
        <v>1099</v>
      </c>
      <c r="I706" s="17">
        <f>C706</f>
        <v>1086</v>
      </c>
      <c r="J706">
        <v>14</v>
      </c>
      <c r="K706" s="3" t="str">
        <f>VLOOKUP(J706,'LibSets constants'!$A$4:$B$1017,2,FALSE)</f>
        <v>DLC_ELSWEYR</v>
      </c>
      <c r="L706" s="3" t="str">
        <f>VLOOKUP(J706,'LibSets constants'!$A$4:$C$1017,3,FALSE)</f>
        <v>Elsweyr</v>
      </c>
    </row>
    <row r="707" spans="1:12" x14ac:dyDescent="0.25">
      <c r="A707">
        <v>1101</v>
      </c>
      <c r="B707">
        <v>695</v>
      </c>
      <c r="C707">
        <v>1086</v>
      </c>
      <c r="D707" t="s">
        <v>1395</v>
      </c>
      <c r="E707" t="str">
        <f>IF(NOT(ISERROR(VLOOKUP(D707,'ESO Dungeon constants'!$A$3:$A$9999,1,FALSE))),"X","")</f>
        <v/>
      </c>
      <c r="F707" s="3" t="str">
        <f>IF(EXACT(A707,C707),"X","")</f>
        <v/>
      </c>
      <c r="G707" s="3" t="str">
        <f>IF(A707&lt;&gt;C707,VLOOKUP(C707,$A$5:$D$9954,4,FALSE),"")</f>
        <v>Northern Elsweyr</v>
      </c>
      <c r="H707" s="17">
        <f>A707</f>
        <v>1101</v>
      </c>
      <c r="I707" s="17">
        <f>C707</f>
        <v>1086</v>
      </c>
      <c r="J707">
        <v>14</v>
      </c>
      <c r="K707" s="3" t="str">
        <f>VLOOKUP(J707,'LibSets constants'!$A$4:$B$1017,2,FALSE)</f>
        <v>DLC_ELSWEYR</v>
      </c>
      <c r="L707" s="3" t="str">
        <f>VLOOKUP(J707,'LibSets constants'!$A$4:$C$1017,3,FALSE)</f>
        <v>Elsweyr</v>
      </c>
    </row>
    <row r="708" spans="1:12" x14ac:dyDescent="0.25">
      <c r="A708">
        <v>1102</v>
      </c>
      <c r="B708">
        <v>696</v>
      </c>
      <c r="C708">
        <v>1086</v>
      </c>
      <c r="D708" t="s">
        <v>1396</v>
      </c>
      <c r="E708" t="str">
        <f>IF(NOT(ISERROR(VLOOKUP(D708,'ESO Dungeon constants'!$A$3:$A$9999,1,FALSE))),"X","")</f>
        <v/>
      </c>
      <c r="F708" s="3" t="str">
        <f>IF(EXACT(A708,C708),"X","")</f>
        <v/>
      </c>
      <c r="G708" s="3" t="str">
        <f>IF(A708&lt;&gt;C708,VLOOKUP(C708,$A$5:$D$9954,4,FALSE),"")</f>
        <v>Northern Elsweyr</v>
      </c>
      <c r="H708" s="17">
        <f>A708</f>
        <v>1102</v>
      </c>
      <c r="I708" s="17">
        <f>C708</f>
        <v>1086</v>
      </c>
      <c r="J708">
        <v>14</v>
      </c>
      <c r="K708" s="3" t="str">
        <f>VLOOKUP(J708,'LibSets constants'!$A$4:$B$1017,2,FALSE)</f>
        <v>DLC_ELSWEYR</v>
      </c>
      <c r="L708" s="3" t="str">
        <f>VLOOKUP(J708,'LibSets constants'!$A$4:$C$1017,3,FALSE)</f>
        <v>Elsweyr</v>
      </c>
    </row>
    <row r="709" spans="1:12" x14ac:dyDescent="0.25">
      <c r="A709">
        <v>1103</v>
      </c>
      <c r="B709">
        <v>697</v>
      </c>
      <c r="C709">
        <v>1086</v>
      </c>
      <c r="D709" t="s">
        <v>1397</v>
      </c>
      <c r="E709" t="str">
        <f>IF(NOT(ISERROR(VLOOKUP(D709,'ESO Dungeon constants'!$A$3:$A$9999,1,FALSE))),"X","")</f>
        <v/>
      </c>
      <c r="F709" s="3" t="str">
        <f>IF(EXACT(A709,C709),"X","")</f>
        <v/>
      </c>
      <c r="G709" s="3" t="str">
        <f>IF(A709&lt;&gt;C709,VLOOKUP(C709,$A$5:$D$9954,4,FALSE),"")</f>
        <v>Northern Elsweyr</v>
      </c>
      <c r="H709" s="17">
        <f>A709</f>
        <v>1103</v>
      </c>
      <c r="I709" s="17">
        <f>C709</f>
        <v>1086</v>
      </c>
      <c r="J709">
        <v>14</v>
      </c>
      <c r="K709" s="3" t="str">
        <f>VLOOKUP(J709,'LibSets constants'!$A$4:$B$1017,2,FALSE)</f>
        <v>DLC_ELSWEYR</v>
      </c>
      <c r="L709" s="3" t="str">
        <f>VLOOKUP(J709,'LibSets constants'!$A$4:$C$1017,3,FALSE)</f>
        <v>Elsweyr</v>
      </c>
    </row>
    <row r="710" spans="1:12" x14ac:dyDescent="0.25">
      <c r="A710">
        <v>1105</v>
      </c>
      <c r="B710">
        <v>698</v>
      </c>
      <c r="C710">
        <v>1086</v>
      </c>
      <c r="D710" t="s">
        <v>1398</v>
      </c>
      <c r="E710" t="str">
        <f>IF(NOT(ISERROR(VLOOKUP(D710,'ESO Dungeon constants'!$A$3:$A$9999,1,FALSE))),"X","")</f>
        <v/>
      </c>
      <c r="F710" s="3" t="str">
        <f>IF(EXACT(A710,C710),"X","")</f>
        <v/>
      </c>
      <c r="G710" s="3" t="str">
        <f>IF(A710&lt;&gt;C710,VLOOKUP(C710,$A$5:$D$9954,4,FALSE),"")</f>
        <v>Northern Elsweyr</v>
      </c>
      <c r="H710" s="17">
        <f>A710</f>
        <v>1105</v>
      </c>
      <c r="I710" s="17">
        <f>C710</f>
        <v>1086</v>
      </c>
      <c r="J710">
        <v>14</v>
      </c>
      <c r="K710" s="3" t="str">
        <f>VLOOKUP(J710,'LibSets constants'!$A$4:$B$1017,2,FALSE)</f>
        <v>DLC_ELSWEYR</v>
      </c>
      <c r="L710" s="3" t="str">
        <f>VLOOKUP(J710,'LibSets constants'!$A$4:$C$1017,3,FALSE)</f>
        <v>Elsweyr</v>
      </c>
    </row>
    <row r="711" spans="1:12" x14ac:dyDescent="0.25">
      <c r="A711">
        <v>1106</v>
      </c>
      <c r="B711">
        <v>699</v>
      </c>
      <c r="C711">
        <v>1086</v>
      </c>
      <c r="D711" t="s">
        <v>1399</v>
      </c>
      <c r="E711" t="str">
        <f>IF(NOT(ISERROR(VLOOKUP(D711,'ESO Dungeon constants'!$A$3:$A$9999,1,FALSE))),"X","")</f>
        <v/>
      </c>
      <c r="F711" s="3" t="str">
        <f>IF(EXACT(A711,C711),"X","")</f>
        <v/>
      </c>
      <c r="G711" s="3" t="str">
        <f>IF(A711&lt;&gt;C711,VLOOKUP(C711,$A$5:$D$9954,4,FALSE),"")</f>
        <v>Northern Elsweyr</v>
      </c>
      <c r="H711" s="17">
        <f>A711</f>
        <v>1106</v>
      </c>
      <c r="I711" s="17">
        <f>C711</f>
        <v>1086</v>
      </c>
      <c r="J711">
        <v>14</v>
      </c>
      <c r="K711" s="3" t="str">
        <f>VLOOKUP(J711,'LibSets constants'!$A$4:$B$1017,2,FALSE)</f>
        <v>DLC_ELSWEYR</v>
      </c>
      <c r="L711" s="3" t="str">
        <f>VLOOKUP(J711,'LibSets constants'!$A$4:$C$1017,3,FALSE)</f>
        <v>Elsweyr</v>
      </c>
    </row>
    <row r="712" spans="1:12" x14ac:dyDescent="0.25">
      <c r="A712">
        <v>1107</v>
      </c>
      <c r="B712">
        <v>700</v>
      </c>
      <c r="C712">
        <v>1107</v>
      </c>
      <c r="D712" t="s">
        <v>723</v>
      </c>
      <c r="E712" t="str">
        <f>IF(NOT(ISERROR(VLOOKUP(D712,'ESO Dungeon constants'!$A$3:$A$9999,1,FALSE))),"X","")</f>
        <v/>
      </c>
      <c r="F712" s="3" t="str">
        <f>IF(EXACT(A712,C712),"X","")</f>
        <v>X</v>
      </c>
      <c r="G712" s="3" t="str">
        <f>IF(A712&lt;&gt;C712,VLOOKUP(C712,$A$5:$D$9954,4,FALSE),"")</f>
        <v/>
      </c>
      <c r="H712" s="17">
        <f>A712</f>
        <v>1107</v>
      </c>
      <c r="I712" s="17">
        <f>C712</f>
        <v>1107</v>
      </c>
      <c r="J712">
        <v>0</v>
      </c>
      <c r="K712" s="3" t="str">
        <f>VLOOKUP(J712,'LibSets constants'!$A$4:$B$1017,2,FALSE)</f>
        <v>DLC_BASE_GAME</v>
      </c>
      <c r="L712" s="3" t="str">
        <f>VLOOKUP(J712,'LibSets constants'!$A$4:$C$1017,3,FALSE)</f>
        <v>Included in base game</v>
      </c>
    </row>
    <row r="713" spans="1:12" x14ac:dyDescent="0.25">
      <c r="A713">
        <v>1108</v>
      </c>
      <c r="B713">
        <v>701</v>
      </c>
      <c r="C713">
        <v>726</v>
      </c>
      <c r="D713" t="s">
        <v>722</v>
      </c>
      <c r="E713" t="str">
        <f>IF(NOT(ISERROR(VLOOKUP(D713,'ESO Dungeon constants'!$A$3:$A$9999,1,FALSE))),"X","")</f>
        <v/>
      </c>
      <c r="F713" s="3" t="str">
        <f>IF(EXACT(A713,C713),"X","")</f>
        <v/>
      </c>
      <c r="G713" s="3" t="str">
        <f>IF(A713&lt;&gt;C713,VLOOKUP(C713,$A$5:$D$9954,4,FALSE),"")</f>
        <v>Murkmire</v>
      </c>
      <c r="H713" s="17">
        <f>A713</f>
        <v>1108</v>
      </c>
      <c r="I713" s="17">
        <f>C713</f>
        <v>726</v>
      </c>
      <c r="J713">
        <v>12</v>
      </c>
      <c r="K713" s="3" t="str">
        <f>VLOOKUP(J713,'LibSets constants'!$A$4:$B$1017,2,FALSE)</f>
        <v>DLC_MURKMIRE</v>
      </c>
      <c r="L713" s="3" t="str">
        <f>VLOOKUP(J713,'LibSets constants'!$A$4:$C$1017,3,FALSE)</f>
        <v>Murkmire</v>
      </c>
    </row>
    <row r="714" spans="1:12" x14ac:dyDescent="0.25">
      <c r="A714">
        <v>1109</v>
      </c>
      <c r="B714">
        <v>702</v>
      </c>
      <c r="C714">
        <v>101</v>
      </c>
      <c r="D714" t="s">
        <v>720</v>
      </c>
      <c r="E714" t="str">
        <f>IF(NOT(ISERROR(VLOOKUP(D714,'ESO Dungeon constants'!$A$3:$A$9999,1,FALSE))),"X","")</f>
        <v/>
      </c>
      <c r="F714" s="3" t="str">
        <f>IF(EXACT(A714,C714),"X","")</f>
        <v/>
      </c>
      <c r="G714" s="3" t="str">
        <f>IF(A714&lt;&gt;C714,VLOOKUP(C714,$A$5:$D$9954,4,FALSE),"")</f>
        <v>Eastmarch</v>
      </c>
      <c r="H714" s="17">
        <f>A714</f>
        <v>1109</v>
      </c>
      <c r="I714" s="17">
        <f>C714</f>
        <v>101</v>
      </c>
      <c r="J714">
        <v>0</v>
      </c>
      <c r="K714" s="3" t="str">
        <f>VLOOKUP(J714,'LibSets constants'!$A$4:$B$1017,2,FALSE)</f>
        <v>DLC_BASE_GAME</v>
      </c>
      <c r="L714" s="3" t="str">
        <f>VLOOKUP(J714,'LibSets constants'!$A$4:$C$1017,3,FALSE)</f>
        <v>Included in base game</v>
      </c>
    </row>
    <row r="715" spans="1:12" x14ac:dyDescent="0.25">
      <c r="A715">
        <v>1110</v>
      </c>
      <c r="B715">
        <v>703</v>
      </c>
      <c r="C715">
        <v>1086</v>
      </c>
      <c r="D715" t="s">
        <v>1400</v>
      </c>
      <c r="E715" t="str">
        <f>IF(NOT(ISERROR(VLOOKUP(D715,'ESO Dungeon constants'!$A$3:$A$9999,1,FALSE))),"X","")</f>
        <v/>
      </c>
      <c r="F715" s="3" t="str">
        <f>IF(EXACT(A715,C715),"X","")</f>
        <v/>
      </c>
      <c r="G715" s="3" t="str">
        <f>IF(A715&lt;&gt;C715,VLOOKUP(C715,$A$5:$D$9954,4,FALSE),"")</f>
        <v>Northern Elsweyr</v>
      </c>
      <c r="H715" s="17">
        <f>A715</f>
        <v>1110</v>
      </c>
      <c r="I715" s="17">
        <f>C715</f>
        <v>1086</v>
      </c>
      <c r="J715">
        <v>14</v>
      </c>
      <c r="K715" s="3" t="str">
        <f>VLOOKUP(J715,'LibSets constants'!$A$4:$B$1017,2,FALSE)</f>
        <v>DLC_ELSWEYR</v>
      </c>
      <c r="L715" s="3" t="str">
        <f>VLOOKUP(J715,'LibSets constants'!$A$4:$C$1017,3,FALSE)</f>
        <v>Elsweyr</v>
      </c>
    </row>
    <row r="716" spans="1:12" x14ac:dyDescent="0.25">
      <c r="A716">
        <v>1111</v>
      </c>
      <c r="B716">
        <v>704</v>
      </c>
      <c r="C716">
        <v>1086</v>
      </c>
      <c r="D716" t="s">
        <v>1401</v>
      </c>
      <c r="E716" t="str">
        <f>IF(NOT(ISERROR(VLOOKUP(D716,'ESO Dungeon constants'!$A$3:$A$9999,1,FALSE))),"X","")</f>
        <v/>
      </c>
      <c r="F716" s="3" t="str">
        <f>IF(EXACT(A716,C716),"X","")</f>
        <v/>
      </c>
      <c r="G716" s="3" t="str">
        <f>IF(A716&lt;&gt;C716,VLOOKUP(C716,$A$5:$D$9954,4,FALSE),"")</f>
        <v>Northern Elsweyr</v>
      </c>
      <c r="H716" s="17">
        <f>A716</f>
        <v>1111</v>
      </c>
      <c r="I716" s="17">
        <f>C716</f>
        <v>1086</v>
      </c>
      <c r="J716">
        <v>14</v>
      </c>
      <c r="K716" s="3" t="str">
        <f>VLOOKUP(J716,'LibSets constants'!$A$4:$B$1017,2,FALSE)</f>
        <v>DLC_ELSWEYR</v>
      </c>
      <c r="L716" s="3" t="str">
        <f>VLOOKUP(J716,'LibSets constants'!$A$4:$C$1017,3,FALSE)</f>
        <v>Elsweyr</v>
      </c>
    </row>
    <row r="717" spans="1:12" x14ac:dyDescent="0.25">
      <c r="A717">
        <v>1112</v>
      </c>
      <c r="B717">
        <v>705</v>
      </c>
      <c r="C717">
        <v>1086</v>
      </c>
      <c r="D717" t="s">
        <v>1402</v>
      </c>
      <c r="E717" t="str">
        <f>IF(NOT(ISERROR(VLOOKUP(D717,'ESO Dungeon constants'!$A$3:$A$9999,1,FALSE))),"X","")</f>
        <v/>
      </c>
      <c r="F717" s="3" t="str">
        <f>IF(EXACT(A717,C717),"X","")</f>
        <v/>
      </c>
      <c r="G717" s="3" t="str">
        <f>IF(A717&lt;&gt;C717,VLOOKUP(C717,$A$5:$D$9954,4,FALSE),"")</f>
        <v>Northern Elsweyr</v>
      </c>
      <c r="H717" s="17">
        <f>A717</f>
        <v>1112</v>
      </c>
      <c r="I717" s="17">
        <f>C717</f>
        <v>1086</v>
      </c>
      <c r="J717">
        <v>14</v>
      </c>
      <c r="K717" s="3" t="str">
        <f>VLOOKUP(J717,'LibSets constants'!$A$4:$B$1017,2,FALSE)</f>
        <v>DLC_ELSWEYR</v>
      </c>
      <c r="L717" s="3" t="str">
        <f>VLOOKUP(J717,'LibSets constants'!$A$4:$C$1017,3,FALSE)</f>
        <v>Elsweyr</v>
      </c>
    </row>
    <row r="718" spans="1:12" x14ac:dyDescent="0.25">
      <c r="A718">
        <v>1113</v>
      </c>
      <c r="B718">
        <v>706</v>
      </c>
      <c r="C718">
        <v>1086</v>
      </c>
      <c r="D718" t="s">
        <v>1403</v>
      </c>
      <c r="E718" t="str">
        <f>IF(NOT(ISERROR(VLOOKUP(D718,'ESO Dungeon constants'!$A$3:$A$9999,1,FALSE))),"X","")</f>
        <v/>
      </c>
      <c r="F718" s="3" t="str">
        <f>IF(EXACT(A718,C718),"X","")</f>
        <v/>
      </c>
      <c r="G718" s="3" t="str">
        <f>IF(A718&lt;&gt;C718,VLOOKUP(C718,$A$5:$D$9954,4,FALSE),"")</f>
        <v>Northern Elsweyr</v>
      </c>
      <c r="H718" s="17">
        <f>A718</f>
        <v>1113</v>
      </c>
      <c r="I718" s="17">
        <f>C718</f>
        <v>1086</v>
      </c>
      <c r="J718">
        <v>14</v>
      </c>
      <c r="K718" s="3" t="str">
        <f>VLOOKUP(J718,'LibSets constants'!$A$4:$B$1017,2,FALSE)</f>
        <v>DLC_ELSWEYR</v>
      </c>
      <c r="L718" s="3" t="str">
        <f>VLOOKUP(J718,'LibSets constants'!$A$4:$C$1017,3,FALSE)</f>
        <v>Elsweyr</v>
      </c>
    </row>
    <row r="719" spans="1:12" x14ac:dyDescent="0.25">
      <c r="A719">
        <v>1114</v>
      </c>
      <c r="B719">
        <v>707</v>
      </c>
      <c r="C719">
        <v>1086</v>
      </c>
      <c r="D719" t="s">
        <v>1404</v>
      </c>
      <c r="E719" t="str">
        <f>IF(NOT(ISERROR(VLOOKUP(D719,'ESO Dungeon constants'!$A$3:$A$9999,1,FALSE))),"X","")</f>
        <v/>
      </c>
      <c r="F719" s="3" t="str">
        <f>IF(EXACT(A719,C719),"X","")</f>
        <v/>
      </c>
      <c r="G719" s="3" t="str">
        <f>IF(A719&lt;&gt;C719,VLOOKUP(C719,$A$5:$D$9954,4,FALSE),"")</f>
        <v>Northern Elsweyr</v>
      </c>
      <c r="H719" s="17">
        <f>A719</f>
        <v>1114</v>
      </c>
      <c r="I719" s="17">
        <f>C719</f>
        <v>1086</v>
      </c>
      <c r="J719">
        <v>14</v>
      </c>
      <c r="K719" s="3" t="str">
        <f>VLOOKUP(J719,'LibSets constants'!$A$4:$B$1017,2,FALSE)</f>
        <v>DLC_ELSWEYR</v>
      </c>
      <c r="L719" s="3" t="str">
        <f>VLOOKUP(J719,'LibSets constants'!$A$4:$C$1017,3,FALSE)</f>
        <v>Elsweyr</v>
      </c>
    </row>
    <row r="720" spans="1:12" x14ac:dyDescent="0.25">
      <c r="A720">
        <v>1115</v>
      </c>
      <c r="B720">
        <v>708</v>
      </c>
      <c r="C720">
        <v>1086</v>
      </c>
      <c r="D720" t="s">
        <v>1405</v>
      </c>
      <c r="E720" t="str">
        <f>IF(NOT(ISERROR(VLOOKUP(D720,'ESO Dungeon constants'!$A$3:$A$9999,1,FALSE))),"X","")</f>
        <v/>
      </c>
      <c r="F720" s="3" t="str">
        <f>IF(EXACT(A720,C720),"X","")</f>
        <v/>
      </c>
      <c r="G720" s="3" t="str">
        <f>IF(A720&lt;&gt;C720,VLOOKUP(C720,$A$5:$D$9954,4,FALSE),"")</f>
        <v>Northern Elsweyr</v>
      </c>
      <c r="H720" s="17">
        <f>A720</f>
        <v>1115</v>
      </c>
      <c r="I720" s="17">
        <f>C720</f>
        <v>1086</v>
      </c>
      <c r="J720">
        <v>14</v>
      </c>
      <c r="K720" s="3" t="str">
        <f>VLOOKUP(J720,'LibSets constants'!$A$4:$B$1017,2,FALSE)</f>
        <v>DLC_ELSWEYR</v>
      </c>
      <c r="L720" s="3" t="str">
        <f>VLOOKUP(J720,'LibSets constants'!$A$4:$C$1017,3,FALSE)</f>
        <v>Elsweyr</v>
      </c>
    </row>
    <row r="721" spans="1:12" x14ac:dyDescent="0.25">
      <c r="A721">
        <v>1116</v>
      </c>
      <c r="B721">
        <v>709</v>
      </c>
      <c r="C721">
        <v>1116</v>
      </c>
      <c r="D721" t="s">
        <v>1380</v>
      </c>
      <c r="E721" t="str">
        <f>IF(NOT(ISERROR(VLOOKUP(D721,'ESO Dungeon constants'!$A$3:$A$9999,1,FALSE))),"X","")</f>
        <v/>
      </c>
      <c r="F721" s="3" t="str">
        <f>IF(EXACT(A721,C721),"X","")</f>
        <v>X</v>
      </c>
      <c r="G721" s="3" t="str">
        <f>IF(A721&lt;&gt;C721,VLOOKUP(C721,$A$5:$D$9954,4,FALSE),"")</f>
        <v/>
      </c>
      <c r="H721" s="17">
        <f>A721</f>
        <v>1116</v>
      </c>
      <c r="I721" s="17">
        <f>C721</f>
        <v>1116</v>
      </c>
      <c r="J721">
        <v>0</v>
      </c>
      <c r="K721" s="3" t="str">
        <f>VLOOKUP(J721,'LibSets constants'!$A$4:$B$1017,2,FALSE)</f>
        <v>DLC_BASE_GAME</v>
      </c>
      <c r="L721" s="3" t="str">
        <f>VLOOKUP(J721,'LibSets constants'!$A$4:$C$1017,3,FALSE)</f>
        <v>Included in base game</v>
      </c>
    </row>
    <row r="722" spans="1:12" x14ac:dyDescent="0.25">
      <c r="A722">
        <v>1117</v>
      </c>
      <c r="B722">
        <v>710</v>
      </c>
      <c r="C722">
        <v>1086</v>
      </c>
      <c r="D722" t="s">
        <v>1406</v>
      </c>
      <c r="E722" t="str">
        <f>IF(NOT(ISERROR(VLOOKUP(D722,'ESO Dungeon constants'!$A$3:$A$9999,1,FALSE))),"X","")</f>
        <v/>
      </c>
      <c r="F722" s="3" t="str">
        <f>IF(EXACT(A722,C722),"X","")</f>
        <v/>
      </c>
      <c r="G722" s="3" t="str">
        <f>IF(A722&lt;&gt;C722,VLOOKUP(C722,$A$5:$D$9954,4,FALSE),"")</f>
        <v>Northern Elsweyr</v>
      </c>
      <c r="H722" s="17">
        <f>A722</f>
        <v>1117</v>
      </c>
      <c r="I722" s="17">
        <f>C722</f>
        <v>1086</v>
      </c>
      <c r="J722">
        <v>14</v>
      </c>
      <c r="K722" s="3" t="str">
        <f>VLOOKUP(J722,'LibSets constants'!$A$4:$B$1017,2,FALSE)</f>
        <v>DLC_ELSWEYR</v>
      </c>
      <c r="L722" s="3" t="str">
        <f>VLOOKUP(J722,'LibSets constants'!$A$4:$C$1017,3,FALSE)</f>
        <v>Elsweyr</v>
      </c>
    </row>
    <row r="723" spans="1:12" x14ac:dyDescent="0.25">
      <c r="A723">
        <v>1118</v>
      </c>
      <c r="B723">
        <v>711</v>
      </c>
      <c r="C723">
        <v>1086</v>
      </c>
      <c r="D723" t="s">
        <v>1407</v>
      </c>
      <c r="E723" t="str">
        <f>IF(NOT(ISERROR(VLOOKUP(D723,'ESO Dungeon constants'!$A$3:$A$9999,1,FALSE))),"X","")</f>
        <v/>
      </c>
      <c r="F723" s="3" t="str">
        <f>IF(EXACT(A723,C723),"X","")</f>
        <v/>
      </c>
      <c r="G723" s="3" t="str">
        <f>IF(A723&lt;&gt;C723,VLOOKUP(C723,$A$5:$D$9954,4,FALSE),"")</f>
        <v>Northern Elsweyr</v>
      </c>
      <c r="H723" s="17">
        <f>A723</f>
        <v>1118</v>
      </c>
      <c r="I723" s="17">
        <f>C723</f>
        <v>1086</v>
      </c>
      <c r="J723">
        <v>14</v>
      </c>
      <c r="K723" s="3" t="str">
        <f>VLOOKUP(J723,'LibSets constants'!$A$4:$B$1017,2,FALSE)</f>
        <v>DLC_ELSWEYR</v>
      </c>
      <c r="L723" s="3" t="str">
        <f>VLOOKUP(J723,'LibSets constants'!$A$4:$C$1017,3,FALSE)</f>
        <v>Elsweyr</v>
      </c>
    </row>
    <row r="724" spans="1:12" x14ac:dyDescent="0.25">
      <c r="A724">
        <v>1119</v>
      </c>
      <c r="B724">
        <v>712</v>
      </c>
      <c r="C724">
        <v>1086</v>
      </c>
      <c r="D724" t="s">
        <v>1408</v>
      </c>
      <c r="E724" t="str">
        <f>IF(NOT(ISERROR(VLOOKUP(D724,'ESO Dungeon constants'!$A$3:$A$9999,1,FALSE))),"X","")</f>
        <v/>
      </c>
      <c r="F724" s="3" t="str">
        <f>IF(EXACT(A724,C724),"X","")</f>
        <v/>
      </c>
      <c r="G724" s="3" t="str">
        <f>IF(A724&lt;&gt;C724,VLOOKUP(C724,$A$5:$D$9954,4,FALSE),"")</f>
        <v>Northern Elsweyr</v>
      </c>
      <c r="H724" s="17">
        <f>A724</f>
        <v>1119</v>
      </c>
      <c r="I724" s="17">
        <f>C724</f>
        <v>1086</v>
      </c>
      <c r="J724">
        <v>14</v>
      </c>
      <c r="K724" s="3" t="str">
        <f>VLOOKUP(J724,'LibSets constants'!$A$4:$B$1017,2,FALSE)</f>
        <v>DLC_ELSWEYR</v>
      </c>
      <c r="L724" s="3" t="str">
        <f>VLOOKUP(J724,'LibSets constants'!$A$4:$C$1017,3,FALSE)</f>
        <v>Elsweyr</v>
      </c>
    </row>
    <row r="725" spans="1:12" x14ac:dyDescent="0.25">
      <c r="A725">
        <v>1302</v>
      </c>
      <c r="B725">
        <v>873</v>
      </c>
      <c r="C725">
        <v>20</v>
      </c>
      <c r="D725" t="s">
        <v>2716</v>
      </c>
      <c r="E725" t="str">
        <f>IF(NOT(ISERROR(VLOOKUP(D725,'ESO Dungeon constants'!$A$3:$A$9999,1,FALSE))),"X","")</f>
        <v>X</v>
      </c>
      <c r="F725" s="3" t="str">
        <f>IF(EXACT(A725,C725),"X","")</f>
        <v/>
      </c>
      <c r="G725" s="3" t="str">
        <f>IF(A725&lt;&gt;C725,VLOOKUP(C725,$A$5:$D$9954,4,FALSE),"")</f>
        <v>Rivenspire</v>
      </c>
      <c r="H725" s="17">
        <f>A725</f>
        <v>1302</v>
      </c>
      <c r="I725" s="17">
        <f>C725</f>
        <v>20</v>
      </c>
      <c r="J725">
        <f>IF(E725="X",VLOOKUP(D725,'ESO Dungeon constants'!$A$3:$H$9999,8,FALSE),0)</f>
        <v>25</v>
      </c>
      <c r="K725" s="3" t="str">
        <f>VLOOKUP(J725,'LibSets constants'!$A$4:$B$1017,2,FALSE)</f>
        <v>DLC_ASCENDING_TIDE</v>
      </c>
      <c r="L725" s="3" t="str">
        <f>VLOOKUP(J725,'LibSets constants'!$A$4:$C$1017,3,FALSE)</f>
        <v>Ascending Tide</v>
      </c>
    </row>
    <row r="726" spans="1:12" x14ac:dyDescent="0.25">
      <c r="A726">
        <v>1120</v>
      </c>
      <c r="B726">
        <v>713</v>
      </c>
      <c r="C726">
        <v>1086</v>
      </c>
      <c r="D726" t="s">
        <v>1409</v>
      </c>
      <c r="E726" t="str">
        <f>IF(NOT(ISERROR(VLOOKUP(D726,'ESO Dungeon constants'!$A$3:$A$9999,1,FALSE))),"X","")</f>
        <v/>
      </c>
      <c r="F726" s="3" t="str">
        <f>IF(EXACT(A726,C726),"X","")</f>
        <v/>
      </c>
      <c r="G726" s="3" t="str">
        <f>IF(A726&lt;&gt;C726,VLOOKUP(C726,$A$5:$D$9954,4,FALSE),"")</f>
        <v>Northern Elsweyr</v>
      </c>
      <c r="H726" s="17">
        <f>A726</f>
        <v>1120</v>
      </c>
      <c r="I726" s="17">
        <f>C726</f>
        <v>1086</v>
      </c>
      <c r="J726">
        <v>14</v>
      </c>
      <c r="K726" s="3" t="str">
        <f>VLOOKUP(J726,'LibSets constants'!$A$4:$B$1017,2,FALSE)</f>
        <v>DLC_ELSWEYR</v>
      </c>
      <c r="L726" s="3" t="str">
        <f>VLOOKUP(J726,'LibSets constants'!$A$4:$C$1017,3,FALSE)</f>
        <v>Elsweyr</v>
      </c>
    </row>
    <row r="727" spans="1:12" x14ac:dyDescent="0.25">
      <c r="A727">
        <v>1125</v>
      </c>
      <c r="B727">
        <v>717</v>
      </c>
      <c r="C727">
        <v>101</v>
      </c>
      <c r="D727" t="s">
        <v>698</v>
      </c>
      <c r="E727" t="str">
        <f>IF(NOT(ISERROR(VLOOKUP(D727,'ESO Dungeon constants'!$A$3:$A$9999,1,FALSE))),"X","")</f>
        <v/>
      </c>
      <c r="F727" s="3" t="str">
        <f>IF(EXACT(A727,C727),"X","")</f>
        <v/>
      </c>
      <c r="G727" s="3" t="str">
        <f>IF(A727&lt;&gt;C727,VLOOKUP(C727,$A$5:$D$9954,4,FALSE),"")</f>
        <v>Eastmarch</v>
      </c>
      <c r="H727" s="17">
        <f>A727</f>
        <v>1125</v>
      </c>
      <c r="I727" s="17">
        <f>C727</f>
        <v>101</v>
      </c>
      <c r="J727">
        <v>0</v>
      </c>
      <c r="K727" s="3" t="str">
        <f>VLOOKUP(J727,'LibSets constants'!$A$4:$B$1017,2,FALSE)</f>
        <v>DLC_BASE_GAME</v>
      </c>
      <c r="L727" s="3" t="str">
        <f>VLOOKUP(J727,'LibSets constants'!$A$4:$C$1017,3,FALSE)</f>
        <v>Included in base game</v>
      </c>
    </row>
    <row r="728" spans="1:12" x14ac:dyDescent="0.25">
      <c r="A728">
        <v>1126</v>
      </c>
      <c r="B728">
        <v>718</v>
      </c>
      <c r="C728">
        <v>888</v>
      </c>
      <c r="D728" t="s">
        <v>702</v>
      </c>
      <c r="E728" t="str">
        <f>IF(NOT(ISERROR(VLOOKUP(D728,'ESO Dungeon constants'!$A$3:$A$9999,1,FALSE))),"X","")</f>
        <v/>
      </c>
      <c r="F728" s="3" t="str">
        <f>IF(EXACT(A728,C728),"X","")</f>
        <v/>
      </c>
      <c r="G728" s="3" t="str">
        <f>IF(A728&lt;&gt;C728,VLOOKUP(C728,$A$5:$D$9954,4,FALSE),"")</f>
        <v>Craglorn</v>
      </c>
      <c r="H728" s="17">
        <f>A728</f>
        <v>1126</v>
      </c>
      <c r="I728" s="17">
        <f>C728</f>
        <v>888</v>
      </c>
      <c r="J728">
        <v>0</v>
      </c>
      <c r="K728" s="3" t="str">
        <f>VLOOKUP(J728,'LibSets constants'!$A$4:$B$1017,2,FALSE)</f>
        <v>DLC_BASE_GAME</v>
      </c>
      <c r="L728" s="3" t="str">
        <f>VLOOKUP(J728,'LibSets constants'!$A$4:$C$1017,3,FALSE)</f>
        <v>Included in base game</v>
      </c>
    </row>
    <row r="729" spans="1:12" x14ac:dyDescent="0.25">
      <c r="A729">
        <v>1128</v>
      </c>
      <c r="B729">
        <v>719</v>
      </c>
      <c r="C729">
        <v>1086</v>
      </c>
      <c r="D729" t="s">
        <v>1381</v>
      </c>
      <c r="E729" t="str">
        <f>IF(NOT(ISERROR(VLOOKUP(D729,'ESO Dungeon constants'!$A$3:$A$9999,1,FALSE))),"X","")</f>
        <v/>
      </c>
      <c r="F729" s="3" t="str">
        <f>IF(EXACT(A729,C729),"X","")</f>
        <v/>
      </c>
      <c r="G729" s="3" t="str">
        <f>IF(A729&lt;&gt;C729,VLOOKUP(C729,$A$5:$D$9954,4,FALSE),"")</f>
        <v>Northern Elsweyr</v>
      </c>
      <c r="H729" s="17">
        <f>A729</f>
        <v>1128</v>
      </c>
      <c r="I729" s="17">
        <f>C729</f>
        <v>1086</v>
      </c>
      <c r="J729">
        <v>14</v>
      </c>
      <c r="K729" s="3" t="str">
        <f>VLOOKUP(J729,'LibSets constants'!$A$4:$B$1017,2,FALSE)</f>
        <v>DLC_ELSWEYR</v>
      </c>
      <c r="L729" s="3" t="str">
        <f>VLOOKUP(J729,'LibSets constants'!$A$4:$C$1017,3,FALSE)</f>
        <v>Elsweyr</v>
      </c>
    </row>
    <row r="730" spans="1:12" x14ac:dyDescent="0.25">
      <c r="A730">
        <v>1129</v>
      </c>
      <c r="B730">
        <v>720</v>
      </c>
      <c r="C730">
        <v>1086</v>
      </c>
      <c r="D730" t="s">
        <v>1382</v>
      </c>
      <c r="E730" t="str">
        <f>IF(NOT(ISERROR(VLOOKUP(D730,'ESO Dungeon constants'!$A$3:$A$9999,1,FALSE))),"X","")</f>
        <v/>
      </c>
      <c r="F730" s="3" t="str">
        <f>IF(EXACT(A730,C730),"X","")</f>
        <v/>
      </c>
      <c r="G730" s="3" t="str">
        <f>IF(A730&lt;&gt;C730,VLOOKUP(C730,$A$5:$D$9954,4,FALSE),"")</f>
        <v>Northern Elsweyr</v>
      </c>
      <c r="H730" s="17">
        <f>A730</f>
        <v>1129</v>
      </c>
      <c r="I730" s="17">
        <f>C730</f>
        <v>1086</v>
      </c>
      <c r="J730">
        <v>14</v>
      </c>
      <c r="K730" s="3" t="str">
        <f>VLOOKUP(J730,'LibSets constants'!$A$4:$B$1017,2,FALSE)</f>
        <v>DLC_ELSWEYR</v>
      </c>
      <c r="L730" s="3" t="str">
        <f>VLOOKUP(J730,'LibSets constants'!$A$4:$C$1017,3,FALSE)</f>
        <v>Elsweyr</v>
      </c>
    </row>
    <row r="731" spans="1:12" x14ac:dyDescent="0.25">
      <c r="A731">
        <v>1130</v>
      </c>
      <c r="B731">
        <v>721</v>
      </c>
      <c r="C731">
        <v>1086</v>
      </c>
      <c r="D731" t="s">
        <v>1383</v>
      </c>
      <c r="E731" t="str">
        <f>IF(NOT(ISERROR(VLOOKUP(D731,'ESO Dungeon constants'!$A$3:$A$9999,1,FALSE))),"X","")</f>
        <v/>
      </c>
      <c r="F731" s="3" t="str">
        <f>IF(EXACT(A731,C731),"X","")</f>
        <v/>
      </c>
      <c r="G731" s="3" t="str">
        <f>IF(A731&lt;&gt;C731,VLOOKUP(C731,$A$5:$D$9954,4,FALSE),"")</f>
        <v>Northern Elsweyr</v>
      </c>
      <c r="H731" s="17">
        <f>A731</f>
        <v>1130</v>
      </c>
      <c r="I731" s="17">
        <f>C731</f>
        <v>1086</v>
      </c>
      <c r="J731">
        <v>14</v>
      </c>
      <c r="K731" s="3" t="str">
        <f>VLOOKUP(J731,'LibSets constants'!$A$4:$B$1017,2,FALSE)</f>
        <v>DLC_ELSWEYR</v>
      </c>
      <c r="L731" s="3" t="str">
        <f>VLOOKUP(J731,'LibSets constants'!$A$4:$C$1017,3,FALSE)</f>
        <v>Elsweyr</v>
      </c>
    </row>
    <row r="732" spans="1:12" x14ac:dyDescent="0.25">
      <c r="A732">
        <v>1133</v>
      </c>
      <c r="B732">
        <v>722</v>
      </c>
      <c r="C732">
        <v>1133</v>
      </c>
      <c r="D732" t="s">
        <v>1577</v>
      </c>
      <c r="E732" t="str">
        <f>IF(NOT(ISERROR(VLOOKUP(D732,'ESO Dungeon constants'!$A$3:$A$9999,1,FALSE))),"X","")</f>
        <v/>
      </c>
      <c r="F732" s="3" t="str">
        <f>IF(EXACT(A732,C732),"X","")</f>
        <v>X</v>
      </c>
      <c r="G732" s="3" t="str">
        <f>IF(A732&lt;&gt;C732,VLOOKUP(C732,$A$5:$D$9954,4,FALSE),"")</f>
        <v/>
      </c>
      <c r="H732" s="17">
        <f>A732</f>
        <v>1133</v>
      </c>
      <c r="I732" s="17">
        <f>C732</f>
        <v>1133</v>
      </c>
      <c r="J732">
        <v>0</v>
      </c>
      <c r="K732" s="3" t="str">
        <f>VLOOKUP(J732,'LibSets constants'!$A$4:$B$1017,2,FALSE)</f>
        <v>DLC_BASE_GAME</v>
      </c>
      <c r="L732" s="3" t="str">
        <f>VLOOKUP(J732,'LibSets constants'!$A$4:$C$1017,3,FALSE)</f>
        <v>Included in base game</v>
      </c>
    </row>
    <row r="733" spans="1:12" x14ac:dyDescent="0.25">
      <c r="A733">
        <v>1134</v>
      </c>
      <c r="B733">
        <v>723</v>
      </c>
      <c r="C733">
        <v>1133</v>
      </c>
      <c r="D733" t="s">
        <v>1578</v>
      </c>
      <c r="E733" t="str">
        <f>IF(NOT(ISERROR(VLOOKUP(D733,'ESO Dungeon constants'!$A$3:$A$9999,1,FALSE))),"X","")</f>
        <v/>
      </c>
      <c r="F733" s="3" t="str">
        <f>IF(EXACT(A733,C733),"X","")</f>
        <v/>
      </c>
      <c r="G733" s="3" t="str">
        <f>IF(A733&lt;&gt;C733,VLOOKUP(C733,$A$5:$D$9954,4,FALSE),"")</f>
        <v>Southern Elsweyr</v>
      </c>
      <c r="H733" s="17">
        <f>A733</f>
        <v>1134</v>
      </c>
      <c r="I733" s="17">
        <f>C733</f>
        <v>1133</v>
      </c>
      <c r="J733">
        <v>16</v>
      </c>
      <c r="K733" s="3" t="str">
        <f>VLOOKUP(J733,'LibSets constants'!$A$4:$B$1017,2,FALSE)</f>
        <v>DLC_DRAGONHOLD</v>
      </c>
      <c r="L733" s="3" t="str">
        <f>VLOOKUP(J733,'LibSets constants'!$A$4:$C$1017,3,FALSE)</f>
        <v>Dragonhold</v>
      </c>
    </row>
    <row r="734" spans="1:12" x14ac:dyDescent="0.25">
      <c r="A734">
        <v>1135</v>
      </c>
      <c r="B734">
        <v>724</v>
      </c>
      <c r="C734">
        <v>1133</v>
      </c>
      <c r="D734" t="s">
        <v>1579</v>
      </c>
      <c r="E734" t="str">
        <f>IF(NOT(ISERROR(VLOOKUP(D734,'ESO Dungeon constants'!$A$3:$A$9999,1,FALSE))),"X","")</f>
        <v/>
      </c>
      <c r="F734" s="3" t="str">
        <f>IF(EXACT(A734,C734),"X","")</f>
        <v/>
      </c>
      <c r="G734" s="3" t="str">
        <f>IF(A734&lt;&gt;C734,VLOOKUP(C734,$A$5:$D$9954,4,FALSE),"")</f>
        <v>Southern Elsweyr</v>
      </c>
      <c r="H734" s="17">
        <f>A734</f>
        <v>1135</v>
      </c>
      <c r="I734" s="17">
        <f>C734</f>
        <v>1133</v>
      </c>
      <c r="J734">
        <v>16</v>
      </c>
      <c r="K734" s="3" t="str">
        <f>VLOOKUP(J734,'LibSets constants'!$A$4:$B$1017,2,FALSE)</f>
        <v>DLC_DRAGONHOLD</v>
      </c>
      <c r="L734" s="3" t="str">
        <f>VLOOKUP(J734,'LibSets constants'!$A$4:$C$1017,3,FALSE)</f>
        <v>Dragonhold</v>
      </c>
    </row>
    <row r="735" spans="1:12" x14ac:dyDescent="0.25">
      <c r="A735">
        <v>1136</v>
      </c>
      <c r="B735">
        <v>725</v>
      </c>
      <c r="C735">
        <v>1133</v>
      </c>
      <c r="D735" t="s">
        <v>1580</v>
      </c>
      <c r="E735" t="str">
        <f>IF(NOT(ISERROR(VLOOKUP(D735,'ESO Dungeon constants'!$A$3:$A$9999,1,FALSE))),"X","")</f>
        <v/>
      </c>
      <c r="F735" s="3" t="str">
        <f>IF(EXACT(A735,C735),"X","")</f>
        <v/>
      </c>
      <c r="G735" s="3" t="str">
        <f>IF(A735&lt;&gt;C735,VLOOKUP(C735,$A$5:$D$9954,4,FALSE),"")</f>
        <v>Southern Elsweyr</v>
      </c>
      <c r="H735" s="17">
        <f>A735</f>
        <v>1136</v>
      </c>
      <c r="I735" s="17">
        <f>C735</f>
        <v>1133</v>
      </c>
      <c r="J735">
        <v>16</v>
      </c>
      <c r="K735" s="3" t="str">
        <f>VLOOKUP(J735,'LibSets constants'!$A$4:$B$1017,2,FALSE)</f>
        <v>DLC_DRAGONHOLD</v>
      </c>
      <c r="L735" s="3" t="str">
        <f>VLOOKUP(J735,'LibSets constants'!$A$4:$C$1017,3,FALSE)</f>
        <v>Dragonhold</v>
      </c>
    </row>
    <row r="736" spans="1:12" x14ac:dyDescent="0.25">
      <c r="A736">
        <v>1137</v>
      </c>
      <c r="B736">
        <v>726</v>
      </c>
      <c r="C736">
        <v>1133</v>
      </c>
      <c r="D736" t="s">
        <v>1581</v>
      </c>
      <c r="E736" t="str">
        <f>IF(NOT(ISERROR(VLOOKUP(D736,'ESO Dungeon constants'!$A$3:$A$9999,1,FALSE))),"X","")</f>
        <v/>
      </c>
      <c r="F736" s="3" t="str">
        <f>IF(EXACT(A736,C736),"X","")</f>
        <v/>
      </c>
      <c r="G736" s="3" t="str">
        <f>IF(A736&lt;&gt;C736,VLOOKUP(C736,$A$5:$D$9954,4,FALSE),"")</f>
        <v>Southern Elsweyr</v>
      </c>
      <c r="H736" s="17">
        <f>A736</f>
        <v>1137</v>
      </c>
      <c r="I736" s="17">
        <f>C736</f>
        <v>1133</v>
      </c>
      <c r="J736">
        <v>16</v>
      </c>
      <c r="K736" s="3" t="str">
        <f>VLOOKUP(J736,'LibSets constants'!$A$4:$B$1017,2,FALSE)</f>
        <v>DLC_DRAGONHOLD</v>
      </c>
      <c r="L736" s="3" t="str">
        <f>VLOOKUP(J736,'LibSets constants'!$A$4:$C$1017,3,FALSE)</f>
        <v>Dragonhold</v>
      </c>
    </row>
    <row r="737" spans="1:12" x14ac:dyDescent="0.25">
      <c r="A737">
        <v>1138</v>
      </c>
      <c r="B737">
        <v>727</v>
      </c>
      <c r="C737">
        <v>1133</v>
      </c>
      <c r="D737" t="s">
        <v>1483</v>
      </c>
      <c r="E737" t="str">
        <f>IF(NOT(ISERROR(VLOOKUP(D737,'ESO Dungeon constants'!$A$3:$A$9999,1,FALSE))),"X","")</f>
        <v/>
      </c>
      <c r="F737" s="3" t="str">
        <f>IF(EXACT(A737,C737),"X","")</f>
        <v/>
      </c>
      <c r="G737" s="3" t="str">
        <f>IF(A737&lt;&gt;C737,VLOOKUP(C737,$A$5:$D$9954,4,FALSE),"")</f>
        <v>Southern Elsweyr</v>
      </c>
      <c r="H737" s="17">
        <f>A737</f>
        <v>1138</v>
      </c>
      <c r="I737" s="17">
        <f>C737</f>
        <v>1133</v>
      </c>
      <c r="J737">
        <v>16</v>
      </c>
      <c r="K737" s="3" t="str">
        <f>VLOOKUP(J737,'LibSets constants'!$A$4:$B$1017,2,FALSE)</f>
        <v>DLC_DRAGONHOLD</v>
      </c>
      <c r="L737" s="3" t="str">
        <f>VLOOKUP(J737,'LibSets constants'!$A$4:$C$1017,3,FALSE)</f>
        <v>Dragonhold</v>
      </c>
    </row>
    <row r="738" spans="1:12" x14ac:dyDescent="0.25">
      <c r="A738">
        <v>1139</v>
      </c>
      <c r="B738">
        <v>728</v>
      </c>
      <c r="C738">
        <v>1133</v>
      </c>
      <c r="D738" t="s">
        <v>1582</v>
      </c>
      <c r="E738" t="str">
        <f>IF(NOT(ISERROR(VLOOKUP(D738,'ESO Dungeon constants'!$A$3:$A$9999,1,FALSE))),"X","")</f>
        <v/>
      </c>
      <c r="F738" s="3" t="str">
        <f>IF(EXACT(A738,C738),"X","")</f>
        <v/>
      </c>
      <c r="G738" s="3" t="str">
        <f>IF(A738&lt;&gt;C738,VLOOKUP(C738,$A$5:$D$9954,4,FALSE),"")</f>
        <v>Southern Elsweyr</v>
      </c>
      <c r="H738" s="17">
        <f>A738</f>
        <v>1139</v>
      </c>
      <c r="I738" s="17">
        <f>C738</f>
        <v>1133</v>
      </c>
      <c r="J738">
        <v>16</v>
      </c>
      <c r="K738" s="3" t="str">
        <f>VLOOKUP(J738,'LibSets constants'!$A$4:$B$1017,2,FALSE)</f>
        <v>DLC_DRAGONHOLD</v>
      </c>
      <c r="L738" s="3" t="str">
        <f>VLOOKUP(J738,'LibSets constants'!$A$4:$C$1017,3,FALSE)</f>
        <v>Dragonhold</v>
      </c>
    </row>
    <row r="739" spans="1:12" x14ac:dyDescent="0.25">
      <c r="A739">
        <v>1140</v>
      </c>
      <c r="B739">
        <v>729</v>
      </c>
      <c r="C739">
        <v>104</v>
      </c>
      <c r="D739" t="s">
        <v>1485</v>
      </c>
      <c r="E739" t="str">
        <f>IF(NOT(ISERROR(VLOOKUP(D739,'ESO Dungeon constants'!$A$3:$A$9999,1,FALSE))),"X","")</f>
        <v/>
      </c>
      <c r="F739" s="3" t="str">
        <f>IF(EXACT(A739,C739),"X","")</f>
        <v/>
      </c>
      <c r="G739" s="3" t="str">
        <f>IF(A739&lt;&gt;C739,VLOOKUP(C739,$A$5:$D$9954,4,FALSE),"")</f>
        <v>Alik'r Desert</v>
      </c>
      <c r="H739" s="17">
        <f>A739</f>
        <v>1140</v>
      </c>
      <c r="I739" s="17">
        <f>C739</f>
        <v>104</v>
      </c>
      <c r="J739">
        <v>0</v>
      </c>
      <c r="K739" s="3" t="str">
        <f>VLOOKUP(J739,'LibSets constants'!$A$4:$B$1017,2,FALSE)</f>
        <v>DLC_BASE_GAME</v>
      </c>
      <c r="L739" s="3" t="str">
        <f>VLOOKUP(J739,'LibSets constants'!$A$4:$C$1017,3,FALSE)</f>
        <v>Included in base game</v>
      </c>
    </row>
    <row r="740" spans="1:12" x14ac:dyDescent="0.25">
      <c r="A740">
        <v>1141</v>
      </c>
      <c r="B740">
        <v>730</v>
      </c>
      <c r="C740">
        <v>101</v>
      </c>
      <c r="D740" t="s">
        <v>1491</v>
      </c>
      <c r="E740" t="str">
        <f>IF(NOT(ISERROR(VLOOKUP(D740,'ESO Dungeon constants'!$A$3:$A$9999,1,FALSE))),"X","")</f>
        <v/>
      </c>
      <c r="F740" s="3" t="str">
        <f>IF(EXACT(A740,C740),"X","")</f>
        <v/>
      </c>
      <c r="G740" s="3" t="str">
        <f>IF(A740&lt;&gt;C740,VLOOKUP(C740,$A$5:$D$9954,4,FALSE),"")</f>
        <v>Eastmarch</v>
      </c>
      <c r="H740" s="17">
        <f>A740</f>
        <v>1141</v>
      </c>
      <c r="I740" s="17">
        <f>C740</f>
        <v>101</v>
      </c>
      <c r="J740">
        <v>0</v>
      </c>
      <c r="K740" s="3" t="str">
        <f>VLOOKUP(J740,'LibSets constants'!$A$4:$B$1017,2,FALSE)</f>
        <v>DLC_BASE_GAME</v>
      </c>
      <c r="L740" s="3" t="str">
        <f>VLOOKUP(J740,'LibSets constants'!$A$4:$C$1017,3,FALSE)</f>
        <v>Included in base game</v>
      </c>
    </row>
    <row r="741" spans="1:12" x14ac:dyDescent="0.25">
      <c r="A741">
        <v>1142</v>
      </c>
      <c r="B741">
        <v>731</v>
      </c>
      <c r="C741">
        <v>1142</v>
      </c>
      <c r="D741" t="s">
        <v>413</v>
      </c>
      <c r="E741" t="str">
        <f>IF(NOT(ISERROR(VLOOKUP(D741,'ESO Dungeon constants'!$A$3:$A$9999,1,FALSE))),"X","")</f>
        <v/>
      </c>
      <c r="F741" s="3" t="str">
        <f>IF(EXACT(A741,C741),"X","")</f>
        <v>X</v>
      </c>
      <c r="G741" s="3" t="str">
        <f>IF(A741&lt;&gt;C741,VLOOKUP(C741,$A$5:$D$9954,4,FALSE),"")</f>
        <v/>
      </c>
      <c r="H741" s="17">
        <f>A741</f>
        <v>1142</v>
      </c>
      <c r="I741" s="17">
        <f>C741</f>
        <v>1142</v>
      </c>
      <c r="J741">
        <v>0</v>
      </c>
      <c r="K741" s="3" t="str">
        <f>VLOOKUP(J741,'LibSets constants'!$A$4:$B$1017,2,FALSE)</f>
        <v>DLC_BASE_GAME</v>
      </c>
      <c r="L741" s="3" t="str">
        <f>VLOOKUP(J741,'LibSets constants'!$A$4:$C$1017,3,FALSE)</f>
        <v>Included in base game</v>
      </c>
    </row>
    <row r="742" spans="1:12" x14ac:dyDescent="0.25">
      <c r="A742">
        <v>1143</v>
      </c>
      <c r="B742">
        <v>732</v>
      </c>
      <c r="C742">
        <v>19</v>
      </c>
      <c r="D742" t="s">
        <v>1486</v>
      </c>
      <c r="E742" t="str">
        <f>IF(NOT(ISERROR(VLOOKUP(D742,'ESO Dungeon constants'!$A$3:$A$9999,1,FALSE))),"X","")</f>
        <v/>
      </c>
      <c r="F742" s="3" t="str">
        <f>IF(EXACT(A742,C742),"X","")</f>
        <v/>
      </c>
      <c r="G742" s="3" t="str">
        <f>IF(A742&lt;&gt;C742,VLOOKUP(C742,$A$5:$D$9954,4,FALSE),"")</f>
        <v>Stormhaven</v>
      </c>
      <c r="H742" s="17">
        <f>A742</f>
        <v>1143</v>
      </c>
      <c r="I742" s="17">
        <f>C742</f>
        <v>19</v>
      </c>
      <c r="J742">
        <v>0</v>
      </c>
      <c r="K742" s="3" t="str">
        <f>VLOOKUP(J742,'LibSets constants'!$A$4:$B$1017,2,FALSE)</f>
        <v>DLC_BASE_GAME</v>
      </c>
      <c r="L742" s="3" t="str">
        <f>VLOOKUP(J742,'LibSets constants'!$A$4:$C$1017,3,FALSE)</f>
        <v>Included in base game</v>
      </c>
    </row>
    <row r="743" spans="1:12" x14ac:dyDescent="0.25">
      <c r="A743">
        <v>1144</v>
      </c>
      <c r="B743">
        <v>733</v>
      </c>
      <c r="C743">
        <v>1144</v>
      </c>
      <c r="D743" t="s">
        <v>1487</v>
      </c>
      <c r="E743" t="str">
        <f>IF(NOT(ISERROR(VLOOKUP(D743,'ESO Dungeon constants'!$A$3:$A$9999,1,FALSE))),"X","")</f>
        <v/>
      </c>
      <c r="F743" s="3" t="str">
        <f>IF(EXACT(A743,C743),"X","")</f>
        <v>X</v>
      </c>
      <c r="G743" s="3" t="str">
        <f>IF(A743&lt;&gt;C743,VLOOKUP(C743,$A$5:$D$9954,4,FALSE),"")</f>
        <v/>
      </c>
      <c r="H743" s="17">
        <f>A743</f>
        <v>1144</v>
      </c>
      <c r="I743" s="17">
        <f>C743</f>
        <v>1144</v>
      </c>
      <c r="J743">
        <v>0</v>
      </c>
      <c r="K743" s="3" t="str">
        <f>VLOOKUP(J743,'LibSets constants'!$A$4:$B$1017,2,FALSE)</f>
        <v>DLC_BASE_GAME</v>
      </c>
      <c r="L743" s="3" t="str">
        <f>VLOOKUP(J743,'LibSets constants'!$A$4:$C$1017,3,FALSE)</f>
        <v>Included in base game</v>
      </c>
    </row>
    <row r="744" spans="1:12" x14ac:dyDescent="0.25">
      <c r="A744">
        <v>1145</v>
      </c>
      <c r="B744">
        <v>734</v>
      </c>
      <c r="C744">
        <v>1133</v>
      </c>
      <c r="D744" t="s">
        <v>1583</v>
      </c>
      <c r="E744" t="str">
        <f>IF(NOT(ISERROR(VLOOKUP(D744,'ESO Dungeon constants'!$A$3:$A$9999,1,FALSE))),"X","")</f>
        <v/>
      </c>
      <c r="F744" s="3" t="str">
        <f>IF(EXACT(A744,C744),"X","")</f>
        <v/>
      </c>
      <c r="G744" s="3" t="str">
        <f>IF(A744&lt;&gt;C744,VLOOKUP(C744,$A$5:$D$9954,4,FALSE),"")</f>
        <v>Southern Elsweyr</v>
      </c>
      <c r="H744" s="17">
        <f>A744</f>
        <v>1145</v>
      </c>
      <c r="I744" s="17">
        <f>C744</f>
        <v>1133</v>
      </c>
      <c r="J744">
        <v>16</v>
      </c>
      <c r="K744" s="3" t="str">
        <f>VLOOKUP(J744,'LibSets constants'!$A$4:$B$1017,2,FALSE)</f>
        <v>DLC_DRAGONHOLD</v>
      </c>
      <c r="L744" s="3" t="str">
        <f>VLOOKUP(J744,'LibSets constants'!$A$4:$C$1017,3,FALSE)</f>
        <v>Dragonhold</v>
      </c>
    </row>
    <row r="745" spans="1:12" x14ac:dyDescent="0.25">
      <c r="A745">
        <v>1146</v>
      </c>
      <c r="B745">
        <v>735</v>
      </c>
      <c r="C745">
        <v>1133</v>
      </c>
      <c r="D745" t="s">
        <v>1584</v>
      </c>
      <c r="E745" t="str">
        <f>IF(NOT(ISERROR(VLOOKUP(D745,'ESO Dungeon constants'!$A$3:$A$9999,1,FALSE))),"X","")</f>
        <v/>
      </c>
      <c r="F745" s="3" t="str">
        <f>IF(EXACT(A745,C745),"X","")</f>
        <v/>
      </c>
      <c r="G745" s="3" t="str">
        <f>IF(A745&lt;&gt;C745,VLOOKUP(C745,$A$5:$D$9954,4,FALSE),"")</f>
        <v>Southern Elsweyr</v>
      </c>
      <c r="H745" s="17">
        <f>A745</f>
        <v>1146</v>
      </c>
      <c r="I745" s="17">
        <f>C745</f>
        <v>1133</v>
      </c>
      <c r="J745">
        <v>16</v>
      </c>
      <c r="K745" s="3" t="str">
        <f>VLOOKUP(J745,'LibSets constants'!$A$4:$B$1017,2,FALSE)</f>
        <v>DLC_DRAGONHOLD</v>
      </c>
      <c r="L745" s="3" t="str">
        <f>VLOOKUP(J745,'LibSets constants'!$A$4:$C$1017,3,FALSE)</f>
        <v>Dragonhold</v>
      </c>
    </row>
    <row r="746" spans="1:12" x14ac:dyDescent="0.25">
      <c r="A746">
        <v>1147</v>
      </c>
      <c r="B746">
        <v>736</v>
      </c>
      <c r="C746">
        <v>1133</v>
      </c>
      <c r="D746" t="s">
        <v>1585</v>
      </c>
      <c r="E746" t="str">
        <f>IF(NOT(ISERROR(VLOOKUP(D746,'ESO Dungeon constants'!$A$3:$A$9999,1,FALSE))),"X","")</f>
        <v/>
      </c>
      <c r="F746" s="3" t="str">
        <f>IF(EXACT(A746,C746),"X","")</f>
        <v/>
      </c>
      <c r="G746" s="3" t="str">
        <f>IF(A746&lt;&gt;C746,VLOOKUP(C746,$A$5:$D$9954,4,FALSE),"")</f>
        <v>Southern Elsweyr</v>
      </c>
      <c r="H746" s="17">
        <f>A746</f>
        <v>1147</v>
      </c>
      <c r="I746" s="17">
        <f>C746</f>
        <v>1133</v>
      </c>
      <c r="J746">
        <v>16</v>
      </c>
      <c r="K746" s="3" t="str">
        <f>VLOOKUP(J746,'LibSets constants'!$A$4:$B$1017,2,FALSE)</f>
        <v>DLC_DRAGONHOLD</v>
      </c>
      <c r="L746" s="3" t="str">
        <f>VLOOKUP(J746,'LibSets constants'!$A$4:$C$1017,3,FALSE)</f>
        <v>Dragonhold</v>
      </c>
    </row>
    <row r="747" spans="1:12" x14ac:dyDescent="0.25">
      <c r="A747">
        <v>1148</v>
      </c>
      <c r="B747">
        <v>737</v>
      </c>
      <c r="C747">
        <v>1133</v>
      </c>
      <c r="D747" t="s">
        <v>1589</v>
      </c>
      <c r="E747" t="str">
        <f>IF(NOT(ISERROR(VLOOKUP(D747,'ESO Dungeon constants'!$A$3:$A$9999,1,FALSE))),"X","")</f>
        <v/>
      </c>
      <c r="F747" s="3" t="str">
        <f>IF(EXACT(A747,C747),"X","")</f>
        <v/>
      </c>
      <c r="G747" s="3" t="str">
        <f>IF(A747&lt;&gt;C747,VLOOKUP(C747,$A$5:$D$9954,4,FALSE),"")</f>
        <v>Southern Elsweyr</v>
      </c>
      <c r="H747" s="17">
        <f>A747</f>
        <v>1148</v>
      </c>
      <c r="I747" s="17">
        <f>C747</f>
        <v>1133</v>
      </c>
      <c r="J747">
        <v>16</v>
      </c>
      <c r="K747" s="3" t="str">
        <f>VLOOKUP(J747,'LibSets constants'!$A$4:$B$1017,2,FALSE)</f>
        <v>DLC_DRAGONHOLD</v>
      </c>
      <c r="L747" s="3" t="str">
        <f>VLOOKUP(J747,'LibSets constants'!$A$4:$C$1017,3,FALSE)</f>
        <v>Dragonhold</v>
      </c>
    </row>
    <row r="748" spans="1:12" x14ac:dyDescent="0.25">
      <c r="A748">
        <v>1149</v>
      </c>
      <c r="B748">
        <v>738</v>
      </c>
      <c r="C748">
        <v>1133</v>
      </c>
      <c r="D748" t="s">
        <v>1586</v>
      </c>
      <c r="E748" t="str">
        <f>IF(NOT(ISERROR(VLOOKUP(D748,'ESO Dungeon constants'!$A$3:$A$9999,1,FALSE))),"X","")</f>
        <v/>
      </c>
      <c r="F748" s="3" t="str">
        <f>IF(EXACT(A748,C748),"X","")</f>
        <v/>
      </c>
      <c r="G748" s="3" t="str">
        <f>IF(A748&lt;&gt;C748,VLOOKUP(C748,$A$5:$D$9954,4,FALSE),"")</f>
        <v>Southern Elsweyr</v>
      </c>
      <c r="H748" s="17">
        <f>A748</f>
        <v>1149</v>
      </c>
      <c r="I748" s="17">
        <f>C748</f>
        <v>1133</v>
      </c>
      <c r="J748">
        <v>16</v>
      </c>
      <c r="K748" s="3" t="str">
        <f>VLOOKUP(J748,'LibSets constants'!$A$4:$B$1017,2,FALSE)</f>
        <v>DLC_DRAGONHOLD</v>
      </c>
      <c r="L748" s="3" t="str">
        <f>VLOOKUP(J748,'LibSets constants'!$A$4:$C$1017,3,FALSE)</f>
        <v>Dragonhold</v>
      </c>
    </row>
    <row r="749" spans="1:12" x14ac:dyDescent="0.25">
      <c r="A749">
        <v>1150</v>
      </c>
      <c r="B749">
        <v>739</v>
      </c>
      <c r="C749">
        <v>1133</v>
      </c>
      <c r="D749" t="s">
        <v>1588</v>
      </c>
      <c r="E749" t="str">
        <f>IF(NOT(ISERROR(VLOOKUP(D749,'ESO Dungeon constants'!$A$3:$A$9999,1,FALSE))),"X","")</f>
        <v/>
      </c>
      <c r="F749" s="3" t="str">
        <f>IF(EXACT(A749,C749),"X","")</f>
        <v/>
      </c>
      <c r="G749" s="3" t="str">
        <f>IF(A749&lt;&gt;C749,VLOOKUP(C749,$A$5:$D$9954,4,FALSE),"")</f>
        <v>Southern Elsweyr</v>
      </c>
      <c r="H749" s="17">
        <f>A749</f>
        <v>1150</v>
      </c>
      <c r="I749" s="17">
        <f>C749</f>
        <v>1133</v>
      </c>
      <c r="J749">
        <v>16</v>
      </c>
      <c r="K749" s="3" t="str">
        <f>VLOOKUP(J749,'LibSets constants'!$A$4:$B$1017,2,FALSE)</f>
        <v>DLC_DRAGONHOLD</v>
      </c>
      <c r="L749" s="3" t="str">
        <f>VLOOKUP(J749,'LibSets constants'!$A$4:$C$1017,3,FALSE)</f>
        <v>Dragonhold</v>
      </c>
    </row>
    <row r="750" spans="1:12" x14ac:dyDescent="0.25">
      <c r="A750">
        <v>1151</v>
      </c>
      <c r="B750">
        <v>740</v>
      </c>
      <c r="C750">
        <v>1133</v>
      </c>
      <c r="D750" t="s">
        <v>1587</v>
      </c>
      <c r="E750" t="str">
        <f>IF(NOT(ISERROR(VLOOKUP(D750,'ESO Dungeon constants'!$A$3:$A$9999,1,FALSE))),"X","")</f>
        <v/>
      </c>
      <c r="F750" s="3" t="str">
        <f>IF(EXACT(A750,C750),"X","")</f>
        <v/>
      </c>
      <c r="G750" s="3" t="str">
        <f>IF(A750&lt;&gt;C750,VLOOKUP(C750,$A$5:$D$9954,4,FALSE),"")</f>
        <v>Southern Elsweyr</v>
      </c>
      <c r="H750" s="17">
        <f>A750</f>
        <v>1151</v>
      </c>
      <c r="I750" s="17">
        <f>C750</f>
        <v>1133</v>
      </c>
      <c r="J750">
        <v>16</v>
      </c>
      <c r="K750" s="3" t="str">
        <f>VLOOKUP(J750,'LibSets constants'!$A$4:$B$1017,2,FALSE)</f>
        <v>DLC_DRAGONHOLD</v>
      </c>
      <c r="L750" s="3" t="str">
        <f>VLOOKUP(J750,'LibSets constants'!$A$4:$C$1017,3,FALSE)</f>
        <v>Dragonhold</v>
      </c>
    </row>
    <row r="751" spans="1:12" x14ac:dyDescent="0.25">
      <c r="A751">
        <v>1154</v>
      </c>
      <c r="B751">
        <v>743</v>
      </c>
      <c r="C751">
        <v>1086</v>
      </c>
      <c r="D751" t="s">
        <v>1489</v>
      </c>
      <c r="E751" t="str">
        <f>IF(NOT(ISERROR(VLOOKUP(D751,'ESO Dungeon constants'!$A$3:$A$9999,1,FALSE))),"X","")</f>
        <v/>
      </c>
      <c r="F751" s="3" t="str">
        <f>IF(EXACT(A751,C751),"X","")</f>
        <v/>
      </c>
      <c r="G751" s="3" t="str">
        <f>IF(A751&lt;&gt;C751,VLOOKUP(C751,$A$5:$D$9954,4,FALSE),"")</f>
        <v>Northern Elsweyr</v>
      </c>
      <c r="H751" s="17">
        <f>A751</f>
        <v>1154</v>
      </c>
      <c r="I751" s="17">
        <f>C751</f>
        <v>1086</v>
      </c>
      <c r="J751">
        <v>14</v>
      </c>
      <c r="K751" s="3" t="str">
        <f>VLOOKUP(J751,'LibSets constants'!$A$4:$B$1017,2,FALSE)</f>
        <v>DLC_ELSWEYR</v>
      </c>
      <c r="L751" s="3" t="str">
        <f>VLOOKUP(J751,'LibSets constants'!$A$4:$C$1017,3,FALSE)</f>
        <v>Elsweyr</v>
      </c>
    </row>
    <row r="752" spans="1:12" x14ac:dyDescent="0.25">
      <c r="A752">
        <v>1155</v>
      </c>
      <c r="B752">
        <v>744</v>
      </c>
      <c r="C752">
        <v>20</v>
      </c>
      <c r="D752" t="s">
        <v>1490</v>
      </c>
      <c r="E752" t="str">
        <f>IF(NOT(ISERROR(VLOOKUP(D752,'ESO Dungeon constants'!$A$3:$A$9999,1,FALSE))),"X","")</f>
        <v/>
      </c>
      <c r="F752" s="3" t="str">
        <f>IF(EXACT(A752,C752),"X","")</f>
        <v/>
      </c>
      <c r="G752" s="3" t="str">
        <f>IF(A752&lt;&gt;C752,VLOOKUP(C752,$A$5:$D$9954,4,FALSE),"")</f>
        <v>Rivenspire</v>
      </c>
      <c r="H752" s="17">
        <f>A752</f>
        <v>1155</v>
      </c>
      <c r="I752" s="17">
        <f>C752</f>
        <v>20</v>
      </c>
      <c r="J752">
        <v>0</v>
      </c>
      <c r="K752" s="3" t="str">
        <f>VLOOKUP(J752,'LibSets constants'!$A$4:$B$1017,2,FALSE)</f>
        <v>DLC_BASE_GAME</v>
      </c>
      <c r="L752" s="3" t="str">
        <f>VLOOKUP(J752,'LibSets constants'!$A$4:$C$1017,3,FALSE)</f>
        <v>Included in base game</v>
      </c>
    </row>
    <row r="753" spans="1:12" x14ac:dyDescent="0.25">
      <c r="A753">
        <v>1160</v>
      </c>
      <c r="B753">
        <v>745</v>
      </c>
      <c r="C753">
        <v>1160</v>
      </c>
      <c r="D753" t="s">
        <v>1677</v>
      </c>
      <c r="E753" t="str">
        <f>IF(NOT(ISERROR(VLOOKUP(D753,'ESO Dungeon constants'!$A$3:$A$9999,1,FALSE))),"X","")</f>
        <v/>
      </c>
      <c r="F753" s="3" t="str">
        <f>IF(EXACT(A753,C753),"X","")</f>
        <v>X</v>
      </c>
      <c r="G753" s="3" t="str">
        <f>IF(A753&lt;&gt;C753,VLOOKUP(C753,$A$5:$D$9954,4,FALSE),"")</f>
        <v/>
      </c>
      <c r="H753" s="17">
        <f>A753</f>
        <v>1160</v>
      </c>
      <c r="I753" s="17">
        <f>C753</f>
        <v>1160</v>
      </c>
      <c r="J753">
        <v>20</v>
      </c>
      <c r="K753" s="3" t="str">
        <f>VLOOKUP(J753,'LibSets constants'!$A$4:$B$1017,2,FALSE)</f>
        <v>DLC_MARKARTH</v>
      </c>
      <c r="L753" s="3" t="str">
        <f>VLOOKUP(J753,'LibSets constants'!$A$4:$C$1017,3,FALSE)</f>
        <v>Markarth</v>
      </c>
    </row>
    <row r="754" spans="1:12" x14ac:dyDescent="0.25">
      <c r="A754">
        <v>1161</v>
      </c>
      <c r="B754">
        <v>746</v>
      </c>
      <c r="C754">
        <v>1161</v>
      </c>
      <c r="D754" t="s">
        <v>1707</v>
      </c>
      <c r="E754" t="str">
        <f>IF(NOT(ISERROR(VLOOKUP(D754,'ESO Dungeon constants'!$A$3:$A$9999,1,FALSE))),"X","")</f>
        <v/>
      </c>
      <c r="F754" s="3" t="str">
        <f>IF(EXACT(A754,C754),"X","")</f>
        <v>X</v>
      </c>
      <c r="G754" s="3" t="str">
        <f>IF(A754&lt;&gt;C754,VLOOKUP(C754,$A$5:$D$9954,4,FALSE),"")</f>
        <v/>
      </c>
      <c r="H754" s="17">
        <f>A754</f>
        <v>1161</v>
      </c>
      <c r="I754" s="17">
        <f>C754</f>
        <v>1161</v>
      </c>
      <c r="J754">
        <v>0</v>
      </c>
      <c r="K754" s="3" t="str">
        <f>VLOOKUP(J754,'LibSets constants'!$A$4:$B$1017,2,FALSE)</f>
        <v>DLC_BASE_GAME</v>
      </c>
      <c r="L754" s="3" t="str">
        <f>VLOOKUP(J754,'LibSets constants'!$A$4:$C$1017,3,FALSE)</f>
        <v>Included in base game</v>
      </c>
    </row>
    <row r="755" spans="1:12" x14ac:dyDescent="0.25">
      <c r="A755">
        <v>1165</v>
      </c>
      <c r="B755">
        <v>747</v>
      </c>
      <c r="C755">
        <v>1161</v>
      </c>
      <c r="D755" t="s">
        <v>1678</v>
      </c>
      <c r="E755" t="str">
        <f>IF(NOT(ISERROR(VLOOKUP(D755,'ESO Dungeon constants'!$A$3:$A$9999,1,FALSE))),"X","")</f>
        <v/>
      </c>
      <c r="F755" s="3" t="str">
        <f>IF(EXACT(A755,C755),"X","")</f>
        <v/>
      </c>
      <c r="G755" s="3" t="str">
        <f>IF(A755&lt;&gt;C755,VLOOKUP(C755,$A$5:$D$9954,4,FALSE),"")</f>
        <v>Blackreach: Greymoor Caverns</v>
      </c>
      <c r="H755" s="17">
        <f>A755</f>
        <v>1165</v>
      </c>
      <c r="I755" s="17">
        <f>C755</f>
        <v>1161</v>
      </c>
      <c r="J755">
        <v>18</v>
      </c>
      <c r="K755" s="3" t="str">
        <f>VLOOKUP(J755,'LibSets constants'!$A$4:$B$1017,2,FALSE)</f>
        <v>DLC_GREYMOOR</v>
      </c>
      <c r="L755" s="3" t="str">
        <f>VLOOKUP(J755,'LibSets constants'!$A$4:$C$1017,3,FALSE)</f>
        <v>Greymoor</v>
      </c>
    </row>
    <row r="756" spans="1:12" x14ac:dyDescent="0.25">
      <c r="A756">
        <v>1166</v>
      </c>
      <c r="B756">
        <v>748</v>
      </c>
      <c r="C756">
        <v>1160</v>
      </c>
      <c r="D756" t="s">
        <v>1706</v>
      </c>
      <c r="E756" t="str">
        <f>IF(NOT(ISERROR(VLOOKUP(D756,'ESO Dungeon constants'!$A$3:$A$9999,1,FALSE))),"X","")</f>
        <v/>
      </c>
      <c r="F756" s="3" t="str">
        <f>IF(EXACT(A756,C756),"X","")</f>
        <v/>
      </c>
      <c r="G756" s="3" t="str">
        <f>IF(A756&lt;&gt;C756,VLOOKUP(C756,$A$5:$D$9954,4,FALSE),"")</f>
        <v>Western Skyrim</v>
      </c>
      <c r="H756" s="17">
        <f>A756</f>
        <v>1166</v>
      </c>
      <c r="I756" s="17">
        <f>C756</f>
        <v>1160</v>
      </c>
      <c r="J756">
        <v>18</v>
      </c>
      <c r="K756" s="3" t="str">
        <f>VLOOKUP(J756,'LibSets constants'!$A$4:$B$1017,2,FALSE)</f>
        <v>DLC_GREYMOOR</v>
      </c>
      <c r="L756" s="3" t="str">
        <f>VLOOKUP(J756,'LibSets constants'!$A$4:$C$1017,3,FALSE)</f>
        <v>Greymoor</v>
      </c>
    </row>
    <row r="757" spans="1:12" x14ac:dyDescent="0.25">
      <c r="A757">
        <v>1167</v>
      </c>
      <c r="B757">
        <v>749</v>
      </c>
      <c r="C757">
        <v>1160</v>
      </c>
      <c r="D757" t="s">
        <v>1679</v>
      </c>
      <c r="E757" t="str">
        <f>IF(NOT(ISERROR(VLOOKUP(D757,'ESO Dungeon constants'!$A$3:$A$9999,1,FALSE))),"X","")</f>
        <v/>
      </c>
      <c r="F757" s="3" t="str">
        <f>IF(EXACT(A757,C757),"X","")</f>
        <v/>
      </c>
      <c r="G757" s="3" t="str">
        <f>IF(A757&lt;&gt;C757,VLOOKUP(C757,$A$5:$D$9954,4,FALSE),"")</f>
        <v>Western Skyrim</v>
      </c>
      <c r="H757" s="17">
        <f>A757</f>
        <v>1167</v>
      </c>
      <c r="I757" s="17">
        <f>C757</f>
        <v>1160</v>
      </c>
      <c r="J757">
        <v>18</v>
      </c>
      <c r="K757" s="3" t="str">
        <f>VLOOKUP(J757,'LibSets constants'!$A$4:$B$1017,2,FALSE)</f>
        <v>DLC_GREYMOOR</v>
      </c>
      <c r="L757" s="3" t="str">
        <f>VLOOKUP(J757,'LibSets constants'!$A$4:$C$1017,3,FALSE)</f>
        <v>Greymoor</v>
      </c>
    </row>
    <row r="758" spans="1:12" x14ac:dyDescent="0.25">
      <c r="A758">
        <v>1168</v>
      </c>
      <c r="B758">
        <v>750</v>
      </c>
      <c r="C758">
        <v>1160</v>
      </c>
      <c r="D758" t="s">
        <v>1705</v>
      </c>
      <c r="E758" t="str">
        <f>IF(NOT(ISERROR(VLOOKUP(D758,'ESO Dungeon constants'!$A$3:$A$9999,1,FALSE))),"X","")</f>
        <v/>
      </c>
      <c r="F758" s="3" t="str">
        <f>IF(EXACT(A758,C758),"X","")</f>
        <v/>
      </c>
      <c r="G758" s="3" t="str">
        <f>IF(A758&lt;&gt;C758,VLOOKUP(C758,$A$5:$D$9954,4,FALSE),"")</f>
        <v>Western Skyrim</v>
      </c>
      <c r="H758" s="17">
        <f>A758</f>
        <v>1168</v>
      </c>
      <c r="I758" s="17">
        <f>C758</f>
        <v>1160</v>
      </c>
      <c r="J758">
        <v>18</v>
      </c>
      <c r="K758" s="3" t="str">
        <f>VLOOKUP(J758,'LibSets constants'!$A$4:$B$1017,2,FALSE)</f>
        <v>DLC_GREYMOOR</v>
      </c>
      <c r="L758" s="3" t="str">
        <f>VLOOKUP(J758,'LibSets constants'!$A$4:$C$1017,3,FALSE)</f>
        <v>Greymoor</v>
      </c>
    </row>
    <row r="759" spans="1:12" x14ac:dyDescent="0.25">
      <c r="A759">
        <v>1169</v>
      </c>
      <c r="B759">
        <v>751</v>
      </c>
      <c r="C759">
        <v>1160</v>
      </c>
      <c r="D759" t="s">
        <v>1680</v>
      </c>
      <c r="E759" t="str">
        <f>IF(NOT(ISERROR(VLOOKUP(D759,'ESO Dungeon constants'!$A$3:$A$9999,1,FALSE))),"X","")</f>
        <v/>
      </c>
      <c r="F759" s="3" t="str">
        <f>IF(EXACT(A759,C759),"X","")</f>
        <v/>
      </c>
      <c r="G759" s="3" t="str">
        <f>IF(A759&lt;&gt;C759,VLOOKUP(C759,$A$5:$D$9954,4,FALSE),"")</f>
        <v>Western Skyrim</v>
      </c>
      <c r="H759" s="17">
        <f>A759</f>
        <v>1169</v>
      </c>
      <c r="I759" s="17">
        <f>C759</f>
        <v>1160</v>
      </c>
      <c r="J759">
        <v>18</v>
      </c>
      <c r="K759" s="3" t="str">
        <f>VLOOKUP(J759,'LibSets constants'!$A$4:$B$1017,2,FALSE)</f>
        <v>DLC_GREYMOOR</v>
      </c>
      <c r="L759" s="3" t="str">
        <f>VLOOKUP(J759,'LibSets constants'!$A$4:$C$1017,3,FALSE)</f>
        <v>Greymoor</v>
      </c>
    </row>
    <row r="760" spans="1:12" x14ac:dyDescent="0.25">
      <c r="A760">
        <v>1170</v>
      </c>
      <c r="B760">
        <v>752</v>
      </c>
      <c r="C760">
        <v>1160</v>
      </c>
      <c r="D760" t="s">
        <v>1704</v>
      </c>
      <c r="E760" t="str">
        <f>IF(NOT(ISERROR(VLOOKUP(D760,'ESO Dungeon constants'!$A$3:$A$9999,1,FALSE))),"X","")</f>
        <v/>
      </c>
      <c r="F760" s="3" t="str">
        <f>IF(EXACT(A760,C760),"X","")</f>
        <v/>
      </c>
      <c r="G760" s="3" t="str">
        <f>IF(A760&lt;&gt;C760,VLOOKUP(C760,$A$5:$D$9954,4,FALSE),"")</f>
        <v>Western Skyrim</v>
      </c>
      <c r="H760" s="17">
        <f>A760</f>
        <v>1170</v>
      </c>
      <c r="I760" s="17">
        <f>C760</f>
        <v>1160</v>
      </c>
      <c r="J760">
        <v>18</v>
      </c>
      <c r="K760" s="3" t="str">
        <f>VLOOKUP(J760,'LibSets constants'!$A$4:$B$1017,2,FALSE)</f>
        <v>DLC_GREYMOOR</v>
      </c>
      <c r="L760" s="3" t="str">
        <f>VLOOKUP(J760,'LibSets constants'!$A$4:$C$1017,3,FALSE)</f>
        <v>Greymoor</v>
      </c>
    </row>
    <row r="761" spans="1:12" x14ac:dyDescent="0.25">
      <c r="A761">
        <v>1171</v>
      </c>
      <c r="B761">
        <v>753</v>
      </c>
      <c r="C761">
        <v>1161</v>
      </c>
      <c r="D761" t="s">
        <v>1681</v>
      </c>
      <c r="E761" t="str">
        <f>IF(NOT(ISERROR(VLOOKUP(D761,'ESO Dungeon constants'!$A$3:$A$9999,1,FALSE))),"X","")</f>
        <v/>
      </c>
      <c r="F761" s="3" t="str">
        <f>IF(EXACT(A761,C761),"X","")</f>
        <v/>
      </c>
      <c r="G761" s="3" t="str">
        <f>IF(A761&lt;&gt;C761,VLOOKUP(C761,$A$5:$D$9954,4,FALSE),"")</f>
        <v>Blackreach: Greymoor Caverns</v>
      </c>
      <c r="H761" s="17">
        <f>A761</f>
        <v>1171</v>
      </c>
      <c r="I761" s="17">
        <f>C761</f>
        <v>1161</v>
      </c>
      <c r="J761">
        <v>18</v>
      </c>
      <c r="K761" s="3" t="str">
        <f>VLOOKUP(J761,'LibSets constants'!$A$4:$B$1017,2,FALSE)</f>
        <v>DLC_GREYMOOR</v>
      </c>
      <c r="L761" s="3" t="str">
        <f>VLOOKUP(J761,'LibSets constants'!$A$4:$C$1017,3,FALSE)</f>
        <v>Greymoor</v>
      </c>
    </row>
    <row r="762" spans="1:12" x14ac:dyDescent="0.25">
      <c r="A762">
        <v>144</v>
      </c>
      <c r="B762">
        <v>28</v>
      </c>
      <c r="C762">
        <v>3</v>
      </c>
      <c r="D762" t="s">
        <v>66</v>
      </c>
      <c r="E762" t="str">
        <f>IF(NOT(ISERROR(VLOOKUP(D762,'ESO Dungeon constants'!$A$3:$A$9999,1,FALSE))),"X","")</f>
        <v>X</v>
      </c>
      <c r="F762" s="3" t="str">
        <f>IF(EXACT(A762,C762),"X","")</f>
        <v/>
      </c>
      <c r="G762" s="3" t="str">
        <f>IF(A762&lt;&gt;C762,VLOOKUP(C762,$A$5:$D$9954,4,FALSE),"")</f>
        <v>Glenumbra</v>
      </c>
      <c r="H762" s="17">
        <f>A762</f>
        <v>144</v>
      </c>
      <c r="I762" s="17">
        <f>C762</f>
        <v>3</v>
      </c>
      <c r="J762">
        <f>IF(E762="X",VLOOKUP(D762,'ESO Dungeon constants'!$A$3:$H$9999,8,FALSE),0)</f>
        <v>0</v>
      </c>
      <c r="K762" s="3" t="str">
        <f>VLOOKUP(J762,'LibSets constants'!$A$4:$B$1017,2,FALSE)</f>
        <v>DLC_BASE_GAME</v>
      </c>
      <c r="L762" s="3" t="str">
        <f>VLOOKUP(J762,'LibSets constants'!$A$4:$C$1017,3,FALSE)</f>
        <v>Included in base game</v>
      </c>
    </row>
    <row r="763" spans="1:12" x14ac:dyDescent="0.25">
      <c r="A763">
        <v>936</v>
      </c>
      <c r="B763">
        <v>549</v>
      </c>
      <c r="C763">
        <v>3</v>
      </c>
      <c r="D763" t="s">
        <v>42</v>
      </c>
      <c r="E763" t="str">
        <f>IF(NOT(ISERROR(VLOOKUP(D763,'ESO Dungeon constants'!$A$3:$A$9999,1,FALSE))),"X","")</f>
        <v>X</v>
      </c>
      <c r="F763" s="3" t="str">
        <f>IF(EXACT(A763,C763),"X","")</f>
        <v/>
      </c>
      <c r="G763" s="3" t="str">
        <f>IF(A763&lt;&gt;C763,VLOOKUP(C763,$A$5:$D$9954,4,FALSE),"")</f>
        <v>Glenumbra</v>
      </c>
      <c r="H763" s="17">
        <f>A763</f>
        <v>936</v>
      </c>
      <c r="I763" s="17">
        <f>C763</f>
        <v>3</v>
      </c>
      <c r="J763">
        <f>IF(E763="X",VLOOKUP(D763,'ESO Dungeon constants'!$A$3:$H$9999,8,FALSE),0)</f>
        <v>0</v>
      </c>
      <c r="K763" s="3" t="str">
        <f>VLOOKUP(J763,'LibSets constants'!$A$4:$B$1017,2,FALSE)</f>
        <v>DLC_BASE_GAME</v>
      </c>
      <c r="L763" s="3" t="str">
        <f>VLOOKUP(J763,'LibSets constants'!$A$4:$C$1017,3,FALSE)</f>
        <v>Included in base game</v>
      </c>
    </row>
    <row r="764" spans="1:12" x14ac:dyDescent="0.25">
      <c r="A764">
        <v>1172</v>
      </c>
      <c r="B764">
        <v>754</v>
      </c>
      <c r="C764">
        <v>1161</v>
      </c>
      <c r="D764" t="s">
        <v>1702</v>
      </c>
      <c r="E764" t="str">
        <f>IF(NOT(ISERROR(VLOOKUP(D764,'ESO Dungeon constants'!$A$3:$A$9999,1,FALSE))),"X","")</f>
        <v/>
      </c>
      <c r="F764" s="3" t="str">
        <f>IF(EXACT(A764,C764),"X","")</f>
        <v/>
      </c>
      <c r="G764" s="3" t="str">
        <f>IF(A764&lt;&gt;C764,VLOOKUP(C764,$A$5:$D$9954,4,FALSE),"")</f>
        <v>Blackreach: Greymoor Caverns</v>
      </c>
      <c r="H764" s="17">
        <f>A764</f>
        <v>1172</v>
      </c>
      <c r="I764" s="17">
        <f>C764</f>
        <v>1161</v>
      </c>
      <c r="J764">
        <v>18</v>
      </c>
      <c r="K764" s="3" t="str">
        <f>VLOOKUP(J764,'LibSets constants'!$A$4:$B$1017,2,FALSE)</f>
        <v>DLC_GREYMOOR</v>
      </c>
      <c r="L764" s="3" t="str">
        <f>VLOOKUP(J764,'LibSets constants'!$A$4:$C$1017,3,FALSE)</f>
        <v>Greymoor</v>
      </c>
    </row>
    <row r="765" spans="1:12" x14ac:dyDescent="0.25">
      <c r="A765">
        <v>1173</v>
      </c>
      <c r="B765">
        <v>755</v>
      </c>
      <c r="C765">
        <v>1161</v>
      </c>
      <c r="D765" t="s">
        <v>1682</v>
      </c>
      <c r="E765" t="str">
        <f>IF(NOT(ISERROR(VLOOKUP(D765,'ESO Dungeon constants'!$A$3:$A$9999,1,FALSE))),"X","")</f>
        <v/>
      </c>
      <c r="F765" s="3" t="str">
        <f>IF(EXACT(A765,C765),"X","")</f>
        <v/>
      </c>
      <c r="G765" s="3" t="str">
        <f>IF(A765&lt;&gt;C765,VLOOKUP(C765,$A$5:$D$9954,4,FALSE),"")</f>
        <v>Blackreach: Greymoor Caverns</v>
      </c>
      <c r="H765" s="17">
        <f>A765</f>
        <v>1173</v>
      </c>
      <c r="I765" s="17">
        <f>C765</f>
        <v>1161</v>
      </c>
      <c r="J765">
        <v>18</v>
      </c>
      <c r="K765" s="3" t="str">
        <f>VLOOKUP(J765,'LibSets constants'!$A$4:$B$1017,2,FALSE)</f>
        <v>DLC_GREYMOOR</v>
      </c>
      <c r="L765" s="3" t="str">
        <f>VLOOKUP(J765,'LibSets constants'!$A$4:$C$1017,3,FALSE)</f>
        <v>Greymoor</v>
      </c>
    </row>
    <row r="766" spans="1:12" x14ac:dyDescent="0.25">
      <c r="A766">
        <v>1174</v>
      </c>
      <c r="B766">
        <v>756</v>
      </c>
      <c r="C766">
        <v>1160</v>
      </c>
      <c r="D766" t="s">
        <v>1683</v>
      </c>
      <c r="E766" t="str">
        <f>IF(NOT(ISERROR(VLOOKUP(D766,'ESO Dungeon constants'!$A$3:$A$9999,1,FALSE))),"X","")</f>
        <v/>
      </c>
      <c r="F766" s="3" t="str">
        <f>IF(EXACT(A766,C766),"X","")</f>
        <v/>
      </c>
      <c r="G766" s="3" t="str">
        <f>IF(A766&lt;&gt;C766,VLOOKUP(C766,$A$5:$D$9954,4,FALSE),"")</f>
        <v>Western Skyrim</v>
      </c>
      <c r="H766" s="17">
        <f>A766</f>
        <v>1174</v>
      </c>
      <c r="I766" s="17">
        <f>C766</f>
        <v>1160</v>
      </c>
      <c r="J766">
        <v>18</v>
      </c>
      <c r="K766" s="3" t="str">
        <f>VLOOKUP(J766,'LibSets constants'!$A$4:$B$1017,2,FALSE)</f>
        <v>DLC_GREYMOOR</v>
      </c>
      <c r="L766" s="3" t="str">
        <f>VLOOKUP(J766,'LibSets constants'!$A$4:$C$1017,3,FALSE)</f>
        <v>Greymoor</v>
      </c>
    </row>
    <row r="767" spans="1:12" x14ac:dyDescent="0.25">
      <c r="A767">
        <v>1175</v>
      </c>
      <c r="B767">
        <v>757</v>
      </c>
      <c r="C767">
        <v>1175</v>
      </c>
      <c r="D767" t="s">
        <v>1684</v>
      </c>
      <c r="E767" t="str">
        <f>IF(NOT(ISERROR(VLOOKUP(D767,'ESO Dungeon constants'!$A$3:$A$9999,1,FALSE))),"X","")</f>
        <v/>
      </c>
      <c r="F767" s="3" t="str">
        <f>IF(EXACT(A767,C767),"X","")</f>
        <v>X</v>
      </c>
      <c r="G767" s="3" t="str">
        <f>IF(A767&lt;&gt;C767,VLOOKUP(C767,$A$5:$D$9954,4,FALSE),"")</f>
        <v/>
      </c>
      <c r="H767" s="17">
        <f>A767</f>
        <v>1175</v>
      </c>
      <c r="I767" s="17">
        <f>C767</f>
        <v>1175</v>
      </c>
      <c r="J767">
        <v>0</v>
      </c>
      <c r="K767" s="3" t="str">
        <f>VLOOKUP(J767,'LibSets constants'!$A$4:$B$1017,2,FALSE)</f>
        <v>DLC_BASE_GAME</v>
      </c>
      <c r="L767" s="3" t="str">
        <f>VLOOKUP(J767,'LibSets constants'!$A$4:$C$1017,3,FALSE)</f>
        <v>Included in base game</v>
      </c>
    </row>
    <row r="768" spans="1:12" x14ac:dyDescent="0.25">
      <c r="A768">
        <v>1176</v>
      </c>
      <c r="B768">
        <v>758</v>
      </c>
      <c r="C768">
        <v>1160</v>
      </c>
      <c r="D768" t="s">
        <v>1685</v>
      </c>
      <c r="E768" t="str">
        <f>IF(NOT(ISERROR(VLOOKUP(D768,'ESO Dungeon constants'!$A$3:$A$9999,1,FALSE))),"X","")</f>
        <v/>
      </c>
      <c r="F768" s="3" t="str">
        <f>IF(EXACT(A768,C768),"X","")</f>
        <v/>
      </c>
      <c r="G768" s="3" t="str">
        <f>IF(A768&lt;&gt;C768,VLOOKUP(C768,$A$5:$D$9954,4,FALSE),"")</f>
        <v>Western Skyrim</v>
      </c>
      <c r="H768" s="17">
        <f>A768</f>
        <v>1176</v>
      </c>
      <c r="I768" s="17">
        <f>C768</f>
        <v>1160</v>
      </c>
      <c r="J768">
        <v>18</v>
      </c>
      <c r="K768" s="3" t="str">
        <f>VLOOKUP(J768,'LibSets constants'!$A$4:$B$1017,2,FALSE)</f>
        <v>DLC_GREYMOOR</v>
      </c>
      <c r="L768" s="3" t="str">
        <f>VLOOKUP(J768,'LibSets constants'!$A$4:$C$1017,3,FALSE)</f>
        <v>Greymoor</v>
      </c>
    </row>
    <row r="769" spans="1:12" x14ac:dyDescent="0.25">
      <c r="A769">
        <v>1177</v>
      </c>
      <c r="B769">
        <v>759</v>
      </c>
      <c r="C769">
        <v>1160</v>
      </c>
      <c r="D769" t="s">
        <v>1686</v>
      </c>
      <c r="E769" t="str">
        <f>IF(NOT(ISERROR(VLOOKUP(D769,'ESO Dungeon constants'!$A$3:$A$9999,1,FALSE))),"X","")</f>
        <v/>
      </c>
      <c r="F769" s="3" t="str">
        <f>IF(EXACT(A769,C769),"X","")</f>
        <v/>
      </c>
      <c r="G769" s="3" t="str">
        <f>IF(A769&lt;&gt;C769,VLOOKUP(C769,$A$5:$D$9954,4,FALSE),"")</f>
        <v>Western Skyrim</v>
      </c>
      <c r="H769" s="17">
        <f>A769</f>
        <v>1177</v>
      </c>
      <c r="I769" s="17">
        <f>C769</f>
        <v>1160</v>
      </c>
      <c r="J769">
        <v>18</v>
      </c>
      <c r="K769" s="3" t="str">
        <f>VLOOKUP(J769,'LibSets constants'!$A$4:$B$1017,2,FALSE)</f>
        <v>DLC_GREYMOOR</v>
      </c>
      <c r="L769" s="3" t="str">
        <f>VLOOKUP(J769,'LibSets constants'!$A$4:$C$1017,3,FALSE)</f>
        <v>Greymoor</v>
      </c>
    </row>
    <row r="770" spans="1:12" x14ac:dyDescent="0.25">
      <c r="A770">
        <v>1178</v>
      </c>
      <c r="B770">
        <v>760</v>
      </c>
      <c r="C770">
        <v>1160</v>
      </c>
      <c r="D770" t="s">
        <v>1687</v>
      </c>
      <c r="E770" t="str">
        <f>IF(NOT(ISERROR(VLOOKUP(D770,'ESO Dungeon constants'!$A$3:$A$9999,1,FALSE))),"X","")</f>
        <v/>
      </c>
      <c r="F770" s="3" t="str">
        <f>IF(EXACT(A770,C770),"X","")</f>
        <v/>
      </c>
      <c r="G770" s="3" t="str">
        <f>IF(A770&lt;&gt;C770,VLOOKUP(C770,$A$5:$D$9954,4,FALSE),"")</f>
        <v>Western Skyrim</v>
      </c>
      <c r="H770" s="17">
        <f>A770</f>
        <v>1178</v>
      </c>
      <c r="I770" s="17">
        <f>C770</f>
        <v>1160</v>
      </c>
      <c r="J770">
        <v>18</v>
      </c>
      <c r="K770" s="3" t="str">
        <f>VLOOKUP(J770,'LibSets constants'!$A$4:$B$1017,2,FALSE)</f>
        <v>DLC_GREYMOOR</v>
      </c>
      <c r="L770" s="3" t="str">
        <f>VLOOKUP(J770,'LibSets constants'!$A$4:$C$1017,3,FALSE)</f>
        <v>Greymoor</v>
      </c>
    </row>
    <row r="771" spans="1:12" x14ac:dyDescent="0.25">
      <c r="A771">
        <v>1179</v>
      </c>
      <c r="B771">
        <v>761</v>
      </c>
      <c r="C771">
        <v>1160</v>
      </c>
      <c r="D771" t="s">
        <v>1688</v>
      </c>
      <c r="E771" t="str">
        <f>IF(NOT(ISERROR(VLOOKUP(D771,'ESO Dungeon constants'!$A$3:$A$9999,1,FALSE))),"X","")</f>
        <v/>
      </c>
      <c r="F771" s="3" t="str">
        <f>IF(EXACT(A771,C771),"X","")</f>
        <v/>
      </c>
      <c r="G771" s="3" t="str">
        <f>IF(A771&lt;&gt;C771,VLOOKUP(C771,$A$5:$D$9954,4,FALSE),"")</f>
        <v>Western Skyrim</v>
      </c>
      <c r="H771" s="17">
        <f>A771</f>
        <v>1179</v>
      </c>
      <c r="I771" s="17">
        <f>C771</f>
        <v>1160</v>
      </c>
      <c r="J771">
        <v>18</v>
      </c>
      <c r="K771" s="3" t="str">
        <f>VLOOKUP(J771,'LibSets constants'!$A$4:$B$1017,2,FALSE)</f>
        <v>DLC_GREYMOOR</v>
      </c>
      <c r="L771" s="3" t="str">
        <f>VLOOKUP(J771,'LibSets constants'!$A$4:$C$1017,3,FALSE)</f>
        <v>Greymoor</v>
      </c>
    </row>
    <row r="772" spans="1:12" x14ac:dyDescent="0.25">
      <c r="A772">
        <v>1180</v>
      </c>
      <c r="B772">
        <v>762</v>
      </c>
      <c r="C772">
        <v>383</v>
      </c>
      <c r="D772" t="s">
        <v>2386</v>
      </c>
      <c r="E772" t="str">
        <f>IF(NOT(ISERROR(VLOOKUP(D772,'ESO Dungeon constants'!$A$3:$A$9999,1,FALSE))),"X","")</f>
        <v/>
      </c>
      <c r="F772" s="3" t="str">
        <f>IF(EXACT(A772,C772),"X","")</f>
        <v/>
      </c>
      <c r="G772" s="3" t="str">
        <f>IF(A772&lt;&gt;C772,VLOOKUP(C772,$A$5:$D$9954,4,FALSE),"")</f>
        <v>Grahtwood</v>
      </c>
      <c r="H772" s="17">
        <f>A772</f>
        <v>1180</v>
      </c>
      <c r="I772" s="17">
        <f>C772</f>
        <v>383</v>
      </c>
      <c r="J772">
        <v>0</v>
      </c>
      <c r="K772" s="3" t="str">
        <f>VLOOKUP(J772,'LibSets constants'!$A$4:$B$1017,2,FALSE)</f>
        <v>DLC_BASE_GAME</v>
      </c>
      <c r="L772" s="3" t="str">
        <f>VLOOKUP(J772,'LibSets constants'!$A$4:$C$1017,3,FALSE)</f>
        <v>Included in base game</v>
      </c>
    </row>
    <row r="773" spans="1:12" x14ac:dyDescent="0.25">
      <c r="A773">
        <v>1197</v>
      </c>
      <c r="B773">
        <v>778</v>
      </c>
      <c r="C773">
        <v>1161</v>
      </c>
      <c r="D773" t="s">
        <v>1797</v>
      </c>
      <c r="E773" t="str">
        <f>IF(NOT(ISERROR(VLOOKUP(D773,'ESO Dungeon constants'!$A$3:$A$9999,1,FALSE))),"X","")</f>
        <v>X</v>
      </c>
      <c r="F773" s="3" t="str">
        <f>IF(EXACT(A773,C773),"X","")</f>
        <v/>
      </c>
      <c r="G773" s="3" t="str">
        <f>IF(A773&lt;&gt;C773,VLOOKUP(C773,$A$5:$D$9954,4,FALSE),"")</f>
        <v>Blackreach: Greymoor Caverns</v>
      </c>
      <c r="H773" s="17">
        <f>A773</f>
        <v>1197</v>
      </c>
      <c r="I773" s="17">
        <f>C773</f>
        <v>1161</v>
      </c>
      <c r="J773">
        <f>IF(E773="X",VLOOKUP(D773,'ESO Dungeon constants'!$A$3:$H$9999,8,FALSE),0)</f>
        <v>19</v>
      </c>
      <c r="K773" s="3" t="str">
        <f>VLOOKUP(J773,'LibSets constants'!$A$4:$B$1017,2,FALSE)</f>
        <v>DLC_STONETHORN</v>
      </c>
      <c r="L773" s="3" t="str">
        <f>VLOOKUP(J773,'LibSets constants'!$A$4:$C$1017,3,FALSE)</f>
        <v>Stonethorn</v>
      </c>
    </row>
    <row r="774" spans="1:12" x14ac:dyDescent="0.25">
      <c r="A774">
        <v>1181</v>
      </c>
      <c r="B774">
        <v>763</v>
      </c>
      <c r="C774">
        <v>1161</v>
      </c>
      <c r="D774" t="s">
        <v>1689</v>
      </c>
      <c r="E774" t="str">
        <f>IF(NOT(ISERROR(VLOOKUP(D774,'ESO Dungeon constants'!$A$3:$A$9999,1,FALSE))),"X","")</f>
        <v/>
      </c>
      <c r="F774" s="3" t="str">
        <f>IF(EXACT(A774,C774),"X","")</f>
        <v/>
      </c>
      <c r="G774" s="3" t="str">
        <f>IF(A774&lt;&gt;C774,VLOOKUP(C774,$A$5:$D$9954,4,FALSE),"")</f>
        <v>Blackreach: Greymoor Caverns</v>
      </c>
      <c r="H774" s="17">
        <f>A774</f>
        <v>1181</v>
      </c>
      <c r="I774" s="17">
        <f>C774</f>
        <v>1161</v>
      </c>
      <c r="J774">
        <v>18</v>
      </c>
      <c r="K774" s="3" t="str">
        <f>VLOOKUP(J774,'LibSets constants'!$A$4:$B$1017,2,FALSE)</f>
        <v>DLC_GREYMOOR</v>
      </c>
      <c r="L774" s="3" t="str">
        <f>VLOOKUP(J774,'LibSets constants'!$A$4:$C$1017,3,FALSE)</f>
        <v>Greymoor</v>
      </c>
    </row>
    <row r="775" spans="1:12" x14ac:dyDescent="0.25">
      <c r="A775">
        <v>1182</v>
      </c>
      <c r="B775">
        <v>764</v>
      </c>
      <c r="C775">
        <v>1160</v>
      </c>
      <c r="D775" t="s">
        <v>1690</v>
      </c>
      <c r="E775" t="str">
        <f>IF(NOT(ISERROR(VLOOKUP(D775,'ESO Dungeon constants'!$A$3:$A$9999,1,FALSE))),"X","")</f>
        <v/>
      </c>
      <c r="F775" s="3" t="str">
        <f>IF(EXACT(A775,C775),"X","")</f>
        <v/>
      </c>
      <c r="G775" s="3" t="str">
        <f>IF(A775&lt;&gt;C775,VLOOKUP(C775,$A$5:$D$9954,4,FALSE),"")</f>
        <v>Western Skyrim</v>
      </c>
      <c r="H775" s="17">
        <f>A775</f>
        <v>1182</v>
      </c>
      <c r="I775" s="17">
        <f>C775</f>
        <v>1160</v>
      </c>
      <c r="J775">
        <v>18</v>
      </c>
      <c r="K775" s="3" t="str">
        <f>VLOOKUP(J775,'LibSets constants'!$A$4:$B$1017,2,FALSE)</f>
        <v>DLC_GREYMOOR</v>
      </c>
      <c r="L775" s="3" t="str">
        <f>VLOOKUP(J775,'LibSets constants'!$A$4:$C$1017,3,FALSE)</f>
        <v>Greymoor</v>
      </c>
    </row>
    <row r="776" spans="1:12" x14ac:dyDescent="0.25">
      <c r="A776">
        <v>1183</v>
      </c>
      <c r="B776">
        <v>765</v>
      </c>
      <c r="C776">
        <v>1161</v>
      </c>
      <c r="D776" t="s">
        <v>1701</v>
      </c>
      <c r="E776" t="str">
        <f>IF(NOT(ISERROR(VLOOKUP(D776,'ESO Dungeon constants'!$A$3:$A$9999,1,FALSE))),"X","")</f>
        <v/>
      </c>
      <c r="F776" s="3" t="str">
        <f>IF(EXACT(A776,C776),"X","")</f>
        <v/>
      </c>
      <c r="G776" s="3" t="str">
        <f>IF(A776&lt;&gt;C776,VLOOKUP(C776,$A$5:$D$9954,4,FALSE),"")</f>
        <v>Blackreach: Greymoor Caverns</v>
      </c>
      <c r="H776" s="17">
        <f>A776</f>
        <v>1183</v>
      </c>
      <c r="I776" s="17">
        <f>C776</f>
        <v>1161</v>
      </c>
      <c r="J776">
        <v>18</v>
      </c>
      <c r="K776" s="3" t="str">
        <f>VLOOKUP(J776,'LibSets constants'!$A$4:$B$1017,2,FALSE)</f>
        <v>DLC_GREYMOOR</v>
      </c>
      <c r="L776" s="3" t="str">
        <f>VLOOKUP(J776,'LibSets constants'!$A$4:$C$1017,3,FALSE)</f>
        <v>Greymoor</v>
      </c>
    </row>
    <row r="777" spans="1:12" x14ac:dyDescent="0.25">
      <c r="A777">
        <v>1184</v>
      </c>
      <c r="B777">
        <v>766</v>
      </c>
      <c r="C777">
        <v>1161</v>
      </c>
      <c r="D777" t="s">
        <v>1691</v>
      </c>
      <c r="E777" t="str">
        <f>IF(NOT(ISERROR(VLOOKUP(D777,'ESO Dungeon constants'!$A$3:$A$9999,1,FALSE))),"X","")</f>
        <v/>
      </c>
      <c r="F777" s="3" t="str">
        <f>IF(EXACT(A777,C777),"X","")</f>
        <v/>
      </c>
      <c r="G777" s="3" t="str">
        <f>IF(A777&lt;&gt;C777,VLOOKUP(C777,$A$5:$D$9954,4,FALSE),"")</f>
        <v>Blackreach: Greymoor Caverns</v>
      </c>
      <c r="H777" s="17">
        <f>A777</f>
        <v>1184</v>
      </c>
      <c r="I777" s="17">
        <f>C777</f>
        <v>1161</v>
      </c>
      <c r="J777">
        <v>18</v>
      </c>
      <c r="K777" s="3" t="str">
        <f>VLOOKUP(J777,'LibSets constants'!$A$4:$B$1017,2,FALSE)</f>
        <v>DLC_GREYMOOR</v>
      </c>
      <c r="L777" s="3" t="str">
        <f>VLOOKUP(J777,'LibSets constants'!$A$4:$C$1017,3,FALSE)</f>
        <v>Greymoor</v>
      </c>
    </row>
    <row r="778" spans="1:12" x14ac:dyDescent="0.25">
      <c r="A778">
        <v>1185</v>
      </c>
      <c r="B778">
        <v>767</v>
      </c>
      <c r="C778">
        <v>1160</v>
      </c>
      <c r="D778" t="s">
        <v>1692</v>
      </c>
      <c r="E778" t="str">
        <f>IF(NOT(ISERROR(VLOOKUP(D778,'ESO Dungeon constants'!$A$3:$A$9999,1,FALSE))),"X","")</f>
        <v/>
      </c>
      <c r="F778" s="3" t="str">
        <f>IF(EXACT(A778,C778),"X","")</f>
        <v/>
      </c>
      <c r="G778" s="3" t="str">
        <f>IF(A778&lt;&gt;C778,VLOOKUP(C778,$A$5:$D$9954,4,FALSE),"")</f>
        <v>Western Skyrim</v>
      </c>
      <c r="H778" s="17">
        <f>A778</f>
        <v>1185</v>
      </c>
      <c r="I778" s="17">
        <f>C778</f>
        <v>1160</v>
      </c>
      <c r="J778">
        <v>18</v>
      </c>
      <c r="K778" s="3" t="str">
        <f>VLOOKUP(J778,'LibSets constants'!$A$4:$B$1017,2,FALSE)</f>
        <v>DLC_GREYMOOR</v>
      </c>
      <c r="L778" s="3" t="str">
        <f>VLOOKUP(J778,'LibSets constants'!$A$4:$C$1017,3,FALSE)</f>
        <v>Greymoor</v>
      </c>
    </row>
    <row r="779" spans="1:12" x14ac:dyDescent="0.25">
      <c r="A779">
        <v>1186</v>
      </c>
      <c r="B779">
        <v>768</v>
      </c>
      <c r="C779">
        <v>1160</v>
      </c>
      <c r="D779" t="s">
        <v>1700</v>
      </c>
      <c r="E779" t="str">
        <f>IF(NOT(ISERROR(VLOOKUP(D779,'ESO Dungeon constants'!$A$3:$A$9999,1,FALSE))),"X","")</f>
        <v/>
      </c>
      <c r="F779" s="3" t="str">
        <f>IF(EXACT(A779,C779),"X","")</f>
        <v/>
      </c>
      <c r="G779" s="3" t="str">
        <f>IF(A779&lt;&gt;C779,VLOOKUP(C779,$A$5:$D$9954,4,FALSE),"")</f>
        <v>Western Skyrim</v>
      </c>
      <c r="H779" s="17">
        <f>A779</f>
        <v>1186</v>
      </c>
      <c r="I779" s="17">
        <f>C779</f>
        <v>1160</v>
      </c>
      <c r="J779">
        <v>18</v>
      </c>
      <c r="K779" s="3" t="str">
        <f>VLOOKUP(J779,'LibSets constants'!$A$4:$B$1017,2,FALSE)</f>
        <v>DLC_GREYMOOR</v>
      </c>
      <c r="L779" s="3" t="str">
        <f>VLOOKUP(J779,'LibSets constants'!$A$4:$C$1017,3,FALSE)</f>
        <v>Greymoor</v>
      </c>
    </row>
    <row r="780" spans="1:12" x14ac:dyDescent="0.25">
      <c r="A780">
        <v>1187</v>
      </c>
      <c r="B780">
        <v>769</v>
      </c>
      <c r="C780">
        <v>1161</v>
      </c>
      <c r="D780" t="s">
        <v>1693</v>
      </c>
      <c r="E780" t="str">
        <f>IF(NOT(ISERROR(VLOOKUP(D780,'ESO Dungeon constants'!$A$3:$A$9999,1,FALSE))),"X","")</f>
        <v/>
      </c>
      <c r="F780" s="3" t="str">
        <f>IF(EXACT(A780,C780),"X","")</f>
        <v/>
      </c>
      <c r="G780" s="3" t="str">
        <f>IF(A780&lt;&gt;C780,VLOOKUP(C780,$A$5:$D$9954,4,FALSE),"")</f>
        <v>Blackreach: Greymoor Caverns</v>
      </c>
      <c r="H780" s="17">
        <f>A780</f>
        <v>1187</v>
      </c>
      <c r="I780" s="17">
        <f>C780</f>
        <v>1161</v>
      </c>
      <c r="J780">
        <v>18</v>
      </c>
      <c r="K780" s="3" t="str">
        <f>VLOOKUP(J780,'LibSets constants'!$A$4:$B$1017,2,FALSE)</f>
        <v>DLC_GREYMOOR</v>
      </c>
      <c r="L780" s="3" t="str">
        <f>VLOOKUP(J780,'LibSets constants'!$A$4:$C$1017,3,FALSE)</f>
        <v>Greymoor</v>
      </c>
    </row>
    <row r="781" spans="1:12" x14ac:dyDescent="0.25">
      <c r="A781">
        <v>1188</v>
      </c>
      <c r="B781">
        <v>770</v>
      </c>
      <c r="C781">
        <v>101</v>
      </c>
      <c r="D781" t="s">
        <v>1694</v>
      </c>
      <c r="E781" t="str">
        <f>IF(NOT(ISERROR(VLOOKUP(D781,'ESO Dungeon constants'!$A$3:$A$9999,1,FALSE))),"X","")</f>
        <v/>
      </c>
      <c r="F781" s="3" t="str">
        <f>IF(EXACT(A781,C781),"X","")</f>
        <v/>
      </c>
      <c r="G781" s="3" t="str">
        <f>IF(A781&lt;&gt;C781,VLOOKUP(C781,$A$5:$D$9954,4,FALSE),"")</f>
        <v>Eastmarch</v>
      </c>
      <c r="H781" s="17">
        <f>A781</f>
        <v>1188</v>
      </c>
      <c r="I781" s="17">
        <f>C781</f>
        <v>101</v>
      </c>
      <c r="J781">
        <v>0</v>
      </c>
      <c r="K781" s="3" t="str">
        <f>VLOOKUP(J781,'LibSets constants'!$A$4:$B$1017,2,FALSE)</f>
        <v>DLC_BASE_GAME</v>
      </c>
      <c r="L781" s="3" t="str">
        <f>VLOOKUP(J781,'LibSets constants'!$A$4:$C$1017,3,FALSE)</f>
        <v>Included in base game</v>
      </c>
    </row>
    <row r="782" spans="1:12" x14ac:dyDescent="0.25">
      <c r="A782">
        <v>1189</v>
      </c>
      <c r="B782">
        <v>771</v>
      </c>
      <c r="C782">
        <v>101</v>
      </c>
      <c r="D782" t="s">
        <v>1694</v>
      </c>
      <c r="E782" t="str">
        <f>IF(NOT(ISERROR(VLOOKUP(D782,'ESO Dungeon constants'!$A$3:$A$9999,1,FALSE))),"X","")</f>
        <v/>
      </c>
      <c r="F782" s="3" t="str">
        <f>IF(EXACT(A782,C782),"X","")</f>
        <v/>
      </c>
      <c r="G782" s="3" t="str">
        <f>IF(A782&lt;&gt;C782,VLOOKUP(C782,$A$5:$D$9954,4,FALSE),"")</f>
        <v>Eastmarch</v>
      </c>
      <c r="H782" s="17">
        <f>A782</f>
        <v>1189</v>
      </c>
      <c r="I782" s="17">
        <f>C782</f>
        <v>101</v>
      </c>
      <c r="J782">
        <v>0</v>
      </c>
      <c r="K782" s="3" t="str">
        <f>VLOOKUP(J782,'LibSets constants'!$A$4:$B$1017,2,FALSE)</f>
        <v>DLC_BASE_GAME</v>
      </c>
      <c r="L782" s="3" t="str">
        <f>VLOOKUP(J782,'LibSets constants'!$A$4:$C$1017,3,FALSE)</f>
        <v>Included in base game</v>
      </c>
    </row>
    <row r="783" spans="1:12" x14ac:dyDescent="0.25">
      <c r="A783">
        <v>1190</v>
      </c>
      <c r="B783">
        <v>772</v>
      </c>
      <c r="C783">
        <v>103</v>
      </c>
      <c r="D783" t="s">
        <v>1650</v>
      </c>
      <c r="E783" t="str">
        <f>IF(NOT(ISERROR(VLOOKUP(D783,'ESO Dungeon constants'!$A$3:$A$9999,1,FALSE))),"X","")</f>
        <v/>
      </c>
      <c r="F783" s="3" t="str">
        <f>IF(EXACT(A783,C783),"X","")</f>
        <v/>
      </c>
      <c r="G783" s="3" t="str">
        <f>IF(A783&lt;&gt;C783,VLOOKUP(C783,$A$5:$D$9954,4,FALSE),"")</f>
        <v>The Rift</v>
      </c>
      <c r="H783" s="17">
        <f>A783</f>
        <v>1190</v>
      </c>
      <c r="I783" s="17">
        <f>C783</f>
        <v>103</v>
      </c>
      <c r="J783">
        <v>0</v>
      </c>
      <c r="K783" s="3" t="str">
        <f>VLOOKUP(J783,'LibSets constants'!$A$4:$B$1017,2,FALSE)</f>
        <v>DLC_BASE_GAME</v>
      </c>
      <c r="L783" s="3" t="str">
        <f>VLOOKUP(J783,'LibSets constants'!$A$4:$C$1017,3,FALSE)</f>
        <v>Included in base game</v>
      </c>
    </row>
    <row r="784" spans="1:12" x14ac:dyDescent="0.25">
      <c r="A784">
        <v>1191</v>
      </c>
      <c r="B784">
        <v>773</v>
      </c>
      <c r="C784">
        <v>101</v>
      </c>
      <c r="D784" t="s">
        <v>1649</v>
      </c>
      <c r="E784" t="str">
        <f>IF(NOT(ISERROR(VLOOKUP(D784,'ESO Dungeon constants'!$A$3:$A$9999,1,FALSE))),"X","")</f>
        <v/>
      </c>
      <c r="F784" s="3" t="str">
        <f>IF(EXACT(A784,C784),"X","")</f>
        <v/>
      </c>
      <c r="G784" s="3" t="str">
        <f>IF(A784&lt;&gt;C784,VLOOKUP(C784,$A$5:$D$9954,4,FALSE),"")</f>
        <v>Eastmarch</v>
      </c>
      <c r="H784" s="17">
        <f>A784</f>
        <v>1191</v>
      </c>
      <c r="I784" s="17">
        <f>C784</f>
        <v>101</v>
      </c>
      <c r="J784">
        <v>0</v>
      </c>
      <c r="K784" s="3" t="str">
        <f>VLOOKUP(J784,'LibSets constants'!$A$4:$B$1017,2,FALSE)</f>
        <v>DLC_BASE_GAME</v>
      </c>
      <c r="L784" s="3" t="str">
        <f>VLOOKUP(J784,'LibSets constants'!$A$4:$C$1017,3,FALSE)</f>
        <v>Included in base game</v>
      </c>
    </row>
    <row r="785" spans="1:12" x14ac:dyDescent="0.25">
      <c r="A785">
        <v>1192</v>
      </c>
      <c r="B785">
        <v>774</v>
      </c>
      <c r="C785">
        <v>1133</v>
      </c>
      <c r="D785" t="s">
        <v>1590</v>
      </c>
      <c r="E785" t="str">
        <f>IF(NOT(ISERROR(VLOOKUP(D785,'ESO Dungeon constants'!$A$3:$A$9999,1,FALSE))),"X","")</f>
        <v/>
      </c>
      <c r="F785" s="3" t="str">
        <f>IF(EXACT(A785,C785),"X","")</f>
        <v/>
      </c>
      <c r="G785" s="3" t="str">
        <f>IF(A785&lt;&gt;C785,VLOOKUP(C785,$A$5:$D$9954,4,FALSE),"")</f>
        <v>Southern Elsweyr</v>
      </c>
      <c r="H785" s="17">
        <f>A785</f>
        <v>1192</v>
      </c>
      <c r="I785" s="17">
        <f>C785</f>
        <v>1133</v>
      </c>
      <c r="J785">
        <v>16</v>
      </c>
      <c r="K785" s="3" t="str">
        <f>VLOOKUP(J785,'LibSets constants'!$A$4:$B$1017,2,FALSE)</f>
        <v>DLC_DRAGONHOLD</v>
      </c>
      <c r="L785" s="3" t="str">
        <f>VLOOKUP(J785,'LibSets constants'!$A$4:$C$1017,3,FALSE)</f>
        <v>Dragonhold</v>
      </c>
    </row>
    <row r="786" spans="1:12" x14ac:dyDescent="0.25">
      <c r="A786">
        <v>1193</v>
      </c>
      <c r="B786">
        <v>775</v>
      </c>
      <c r="C786">
        <v>1133</v>
      </c>
      <c r="D786" t="s">
        <v>1591</v>
      </c>
      <c r="E786" t="str">
        <f>IF(NOT(ISERROR(VLOOKUP(D786,'ESO Dungeon constants'!$A$3:$A$9999,1,FALSE))),"X","")</f>
        <v/>
      </c>
      <c r="F786" s="3" t="str">
        <f>IF(EXACT(A786,C786),"X","")</f>
        <v/>
      </c>
      <c r="G786" s="3" t="str">
        <f>IF(A786&lt;&gt;C786,VLOOKUP(C786,$A$5:$D$9954,4,FALSE),"")</f>
        <v>Southern Elsweyr</v>
      </c>
      <c r="H786" s="17">
        <f>A786</f>
        <v>1193</v>
      </c>
      <c r="I786" s="17">
        <f>C786</f>
        <v>1133</v>
      </c>
      <c r="J786">
        <v>16</v>
      </c>
      <c r="K786" s="3" t="str">
        <f>VLOOKUP(J786,'LibSets constants'!$A$4:$B$1017,2,FALSE)</f>
        <v>DLC_DRAGONHOLD</v>
      </c>
      <c r="L786" s="3" t="str">
        <f>VLOOKUP(J786,'LibSets constants'!$A$4:$C$1017,3,FALSE)</f>
        <v>Dragonhold</v>
      </c>
    </row>
    <row r="787" spans="1:12" x14ac:dyDescent="0.25">
      <c r="A787">
        <v>1195</v>
      </c>
      <c r="B787">
        <v>776</v>
      </c>
      <c r="C787">
        <v>1161</v>
      </c>
      <c r="D787" t="s">
        <v>1695</v>
      </c>
      <c r="E787" t="str">
        <f>IF(NOT(ISERROR(VLOOKUP(D787,'ESO Dungeon constants'!$A$3:$A$9999,1,FALSE))),"X","")</f>
        <v/>
      </c>
      <c r="F787" s="3" t="str">
        <f>IF(EXACT(A787,C787),"X","")</f>
        <v/>
      </c>
      <c r="G787" s="3" t="str">
        <f>IF(A787&lt;&gt;C787,VLOOKUP(C787,$A$5:$D$9954,4,FALSE),"")</f>
        <v>Blackreach: Greymoor Caverns</v>
      </c>
      <c r="H787" s="17">
        <f>A787</f>
        <v>1195</v>
      </c>
      <c r="I787" s="17">
        <f>C787</f>
        <v>1161</v>
      </c>
      <c r="J787">
        <v>18</v>
      </c>
      <c r="K787" s="3" t="str">
        <f>VLOOKUP(J787,'LibSets constants'!$A$4:$B$1017,2,FALSE)</f>
        <v>DLC_GREYMOOR</v>
      </c>
      <c r="L787" s="3" t="str">
        <f>VLOOKUP(J787,'LibSets constants'!$A$4:$C$1017,3,FALSE)</f>
        <v>Greymoor</v>
      </c>
    </row>
    <row r="788" spans="1:12" x14ac:dyDescent="0.25">
      <c r="A788">
        <v>1199</v>
      </c>
      <c r="B788">
        <v>779</v>
      </c>
      <c r="C788">
        <v>684</v>
      </c>
      <c r="D788" t="s">
        <v>1648</v>
      </c>
      <c r="E788" t="str">
        <f>IF(NOT(ISERROR(VLOOKUP(D788,'ESO Dungeon constants'!$A$3:$A$9999,1,FALSE))),"X","")</f>
        <v/>
      </c>
      <c r="F788" s="3" t="str">
        <f>IF(EXACT(A788,C788),"X","")</f>
        <v/>
      </c>
      <c r="G788" s="3" t="str">
        <f>IF(A788&lt;&gt;C788,VLOOKUP(C788,$A$5:$D$9954,4,FALSE),"")</f>
        <v>Wrothgar</v>
      </c>
      <c r="H788" s="17">
        <f>A788</f>
        <v>1199</v>
      </c>
      <c r="I788" s="17">
        <f>C788</f>
        <v>684</v>
      </c>
      <c r="J788">
        <v>2</v>
      </c>
      <c r="K788" s="3" t="str">
        <f>VLOOKUP(J788,'LibSets constants'!$A$4:$B$1017,2,FALSE)</f>
        <v>DLC_ORSINIUM</v>
      </c>
      <c r="L788" s="3" t="str">
        <f>VLOOKUP(J788,'LibSets constants'!$A$4:$C$1017,3,FALSE)</f>
        <v>Orsinium</v>
      </c>
    </row>
    <row r="789" spans="1:12" x14ac:dyDescent="0.25">
      <c r="A789">
        <v>1200</v>
      </c>
      <c r="B789">
        <v>780</v>
      </c>
      <c r="C789">
        <v>92</v>
      </c>
      <c r="D789" t="s">
        <v>1647</v>
      </c>
      <c r="E789" t="str">
        <f>IF(NOT(ISERROR(VLOOKUP(D789,'ESO Dungeon constants'!$A$3:$A$9999,1,FALSE))),"X","")</f>
        <v/>
      </c>
      <c r="F789" s="3" t="str">
        <f>IF(EXACT(A789,C789),"X","")</f>
        <v/>
      </c>
      <c r="G789" s="3" t="str">
        <f>IF(A789&lt;&gt;C789,VLOOKUP(C789,$A$5:$D$9954,4,FALSE),"")</f>
        <v>Bangkorai</v>
      </c>
      <c r="H789" s="17">
        <f>A789</f>
        <v>1200</v>
      </c>
      <c r="I789" s="17">
        <f>C789</f>
        <v>92</v>
      </c>
      <c r="J789">
        <v>0</v>
      </c>
      <c r="K789" s="3" t="str">
        <f>VLOOKUP(J789,'LibSets constants'!$A$4:$B$1017,2,FALSE)</f>
        <v>DLC_BASE_GAME</v>
      </c>
      <c r="L789" s="3" t="str">
        <f>VLOOKUP(J789,'LibSets constants'!$A$4:$C$1017,3,FALSE)</f>
        <v>Included in base game</v>
      </c>
    </row>
    <row r="790" spans="1:12" x14ac:dyDescent="0.25">
      <c r="A790">
        <v>1204</v>
      </c>
      <c r="B790">
        <v>782</v>
      </c>
      <c r="C790">
        <v>1204</v>
      </c>
      <c r="D790" t="s">
        <v>2142</v>
      </c>
      <c r="E790" t="str">
        <f>IF(NOT(ISERROR(VLOOKUP(D790,'ESO Dungeon constants'!$A$3:$A$9999,1,FALSE))),"X","")</f>
        <v/>
      </c>
      <c r="F790" s="3" t="str">
        <f>IF(EXACT(A790,C790),"X","")</f>
        <v>X</v>
      </c>
      <c r="G790" s="3" t="str">
        <f>IF(A790&lt;&gt;C790,VLOOKUP(C790,$A$5:$D$9954,4,FALSE),"")</f>
        <v/>
      </c>
      <c r="H790" s="17">
        <f>A790</f>
        <v>1204</v>
      </c>
      <c r="I790" s="17">
        <f>C790</f>
        <v>1204</v>
      </c>
      <c r="J790">
        <v>18</v>
      </c>
      <c r="K790" s="3" t="str">
        <f>VLOOKUP(J790,'LibSets constants'!$A$4:$B$1017,2,FALSE)</f>
        <v>DLC_GREYMOOR</v>
      </c>
      <c r="L790" s="3" t="str">
        <f>VLOOKUP(J790,'LibSets constants'!$A$4:$C$1017,3,FALSE)</f>
        <v>Greymoor</v>
      </c>
    </row>
    <row r="791" spans="1:12" x14ac:dyDescent="0.25">
      <c r="A791">
        <v>1121</v>
      </c>
      <c r="B791">
        <v>714</v>
      </c>
      <c r="C791">
        <v>1086</v>
      </c>
      <c r="D791" t="s">
        <v>1342</v>
      </c>
      <c r="E791" t="str">
        <f>IF(NOT(ISERROR(VLOOKUP(D791,'ESO Dungeon constants'!$A$3:$A$9999,1,FALSE))),"X","")</f>
        <v>X</v>
      </c>
      <c r="F791" s="3" t="str">
        <f>IF(EXACT(A791,C791),"X","")</f>
        <v/>
      </c>
      <c r="G791" s="3" t="str">
        <f>IF(A791&lt;&gt;C791,VLOOKUP(C791,$A$5:$D$9954,4,FALSE),"")</f>
        <v>Northern Elsweyr</v>
      </c>
      <c r="H791" s="17">
        <f>A791</f>
        <v>1121</v>
      </c>
      <c r="I791" s="17">
        <f>C791</f>
        <v>1086</v>
      </c>
      <c r="J791">
        <f>IF(E791="X",VLOOKUP(D791,'ESO Dungeon constants'!$A$3:$H$9999,8,FALSE),0)</f>
        <v>14</v>
      </c>
      <c r="K791" s="3" t="str">
        <f>VLOOKUP(J791,'LibSets constants'!$A$4:$B$1017,2,FALSE)</f>
        <v>DLC_ELSWEYR</v>
      </c>
      <c r="L791" s="3" t="str">
        <f>VLOOKUP(J791,'LibSets constants'!$A$4:$C$1017,3,FALSE)</f>
        <v>Elsweyr</v>
      </c>
    </row>
    <row r="792" spans="1:12" x14ac:dyDescent="0.25">
      <c r="A792">
        <v>1205</v>
      </c>
      <c r="B792">
        <v>783</v>
      </c>
      <c r="C792">
        <v>20</v>
      </c>
      <c r="D792" t="s">
        <v>2144</v>
      </c>
      <c r="E792" t="str">
        <f>IF(NOT(ISERROR(VLOOKUP(D792,'ESO Dungeon constants'!$A$3:$A$9999,1,FALSE))),"X","")</f>
        <v/>
      </c>
      <c r="F792" s="3" t="str">
        <f>IF(EXACT(A792,C792),"X","")</f>
        <v/>
      </c>
      <c r="G792" s="3" t="str">
        <f>IF(A792&lt;&gt;C792,VLOOKUP(C792,$A$5:$D$9954,4,FALSE),"")</f>
        <v>Rivenspire</v>
      </c>
      <c r="H792" s="17">
        <f>A792</f>
        <v>1205</v>
      </c>
      <c r="I792" s="17">
        <f>C792</f>
        <v>20</v>
      </c>
      <c r="J792">
        <v>0</v>
      </c>
      <c r="K792" s="3" t="str">
        <f>VLOOKUP(J792,'LibSets constants'!$A$4:$B$1017,2,FALSE)</f>
        <v>DLC_BASE_GAME</v>
      </c>
      <c r="L792" s="3" t="str">
        <f>VLOOKUP(J792,'LibSets constants'!$A$4:$C$1017,3,FALSE)</f>
        <v>Included in base game</v>
      </c>
    </row>
    <row r="793" spans="1:12" x14ac:dyDescent="0.25">
      <c r="A793">
        <v>1206</v>
      </c>
      <c r="B793">
        <v>784</v>
      </c>
      <c r="C793">
        <v>20</v>
      </c>
      <c r="D793" t="s">
        <v>2143</v>
      </c>
      <c r="E793" t="str">
        <f>IF(NOT(ISERROR(VLOOKUP(D793,'ESO Dungeon constants'!$A$3:$A$9999,1,FALSE))),"X","")</f>
        <v/>
      </c>
      <c r="F793" s="3" t="str">
        <f>IF(EXACT(A793,C793),"X","")</f>
        <v/>
      </c>
      <c r="G793" s="3" t="str">
        <f>IF(A793&lt;&gt;C793,VLOOKUP(C793,$A$5:$D$9954,4,FALSE),"")</f>
        <v>Rivenspire</v>
      </c>
      <c r="H793" s="17">
        <f>A793</f>
        <v>1206</v>
      </c>
      <c r="I793" s="17">
        <f>C793</f>
        <v>20</v>
      </c>
      <c r="J793">
        <v>0</v>
      </c>
      <c r="K793" s="3" t="str">
        <f>VLOOKUP(J793,'LibSets constants'!$A$4:$B$1017,2,FALSE)</f>
        <v>DLC_BASE_GAME</v>
      </c>
      <c r="L793" s="3" t="str">
        <f>VLOOKUP(J793,'LibSets constants'!$A$4:$C$1017,3,FALSE)</f>
        <v>Included in base game</v>
      </c>
    </row>
    <row r="794" spans="1:12" x14ac:dyDescent="0.25">
      <c r="A794">
        <v>1207</v>
      </c>
      <c r="B794">
        <v>785</v>
      </c>
      <c r="C794">
        <v>1207</v>
      </c>
      <c r="D794" t="s">
        <v>2203</v>
      </c>
      <c r="E794" t="str">
        <f>IF(NOT(ISERROR(VLOOKUP(D794,'ESO Dungeon constants'!$A$3:$A$9999,1,FALSE))),"X","")</f>
        <v/>
      </c>
      <c r="F794" s="3" t="str">
        <f>IF(EXACT(A794,C794),"X","")</f>
        <v>X</v>
      </c>
      <c r="G794" s="3" t="str">
        <f>IF(A794&lt;&gt;C794,VLOOKUP(C794,$A$5:$D$9954,4,FALSE),"")</f>
        <v/>
      </c>
      <c r="H794" s="17">
        <f>A794</f>
        <v>1207</v>
      </c>
      <c r="I794" s="17">
        <f>C794</f>
        <v>1207</v>
      </c>
      <c r="J794">
        <v>0</v>
      </c>
      <c r="K794" s="3" t="str">
        <f>VLOOKUP(J794,'LibSets constants'!$A$4:$B$1017,2,FALSE)</f>
        <v>DLC_BASE_GAME</v>
      </c>
      <c r="L794" s="3" t="str">
        <f>VLOOKUP(J794,'LibSets constants'!$A$4:$C$1017,3,FALSE)</f>
        <v>Included in base game</v>
      </c>
    </row>
    <row r="795" spans="1:12" x14ac:dyDescent="0.25">
      <c r="A795">
        <v>1208</v>
      </c>
      <c r="B795">
        <v>786</v>
      </c>
      <c r="C795">
        <v>1208</v>
      </c>
      <c r="D795" t="s">
        <v>2204</v>
      </c>
      <c r="E795" t="str">
        <f>IF(NOT(ISERROR(VLOOKUP(D795,'ESO Dungeon constants'!$A$3:$A$9999,1,FALSE))),"X","")</f>
        <v/>
      </c>
      <c r="F795" s="3" t="str">
        <f>IF(EXACT(A795,C795),"X","")</f>
        <v>X</v>
      </c>
      <c r="G795" s="3" t="str">
        <f>IF(A795&lt;&gt;C795,VLOOKUP(C795,$A$5:$D$9954,4,FALSE),"")</f>
        <v/>
      </c>
      <c r="H795" s="17">
        <f>A795</f>
        <v>1208</v>
      </c>
      <c r="I795" s="17">
        <f>C795</f>
        <v>1208</v>
      </c>
      <c r="J795">
        <v>0</v>
      </c>
      <c r="K795" s="3" t="str">
        <f>VLOOKUP(J795,'LibSets constants'!$A$4:$B$1017,2,FALSE)</f>
        <v>DLC_BASE_GAME</v>
      </c>
      <c r="L795" s="3" t="str">
        <f>VLOOKUP(J795,'LibSets constants'!$A$4:$C$1017,3,FALSE)</f>
        <v>Included in base game</v>
      </c>
    </row>
    <row r="796" spans="1:12" x14ac:dyDescent="0.25">
      <c r="A796">
        <v>1209</v>
      </c>
      <c r="B796">
        <v>787</v>
      </c>
      <c r="C796">
        <v>1207</v>
      </c>
      <c r="D796" t="s">
        <v>2205</v>
      </c>
      <c r="E796" t="str">
        <f>IF(NOT(ISERROR(VLOOKUP(D796,'ESO Dungeon constants'!$A$3:$A$9999,1,FALSE))),"X","")</f>
        <v/>
      </c>
      <c r="F796" s="3" t="str">
        <f>IF(EXACT(A796,C796),"X","")</f>
        <v/>
      </c>
      <c r="G796" s="3" t="str">
        <f>IF(A796&lt;&gt;C796,VLOOKUP(C796,$A$5:$D$9954,4,FALSE),"")</f>
        <v>The Reach</v>
      </c>
      <c r="H796" s="17">
        <f>A796</f>
        <v>1209</v>
      </c>
      <c r="I796" s="17">
        <f>C796</f>
        <v>1207</v>
      </c>
      <c r="J796">
        <v>20</v>
      </c>
      <c r="K796" s="3" t="str">
        <f>VLOOKUP(J796,'LibSets constants'!$A$4:$B$1017,2,FALSE)</f>
        <v>DLC_MARKARTH</v>
      </c>
      <c r="L796" s="3" t="str">
        <f>VLOOKUP(J796,'LibSets constants'!$A$4:$C$1017,3,FALSE)</f>
        <v>Markarth</v>
      </c>
    </row>
    <row r="797" spans="1:12" x14ac:dyDescent="0.25">
      <c r="A797">
        <v>1210</v>
      </c>
      <c r="B797">
        <v>788</v>
      </c>
      <c r="C797">
        <v>1207</v>
      </c>
      <c r="D797" t="s">
        <v>2206</v>
      </c>
      <c r="E797" t="str">
        <f>IF(NOT(ISERROR(VLOOKUP(D797,'ESO Dungeon constants'!$A$3:$A$9999,1,FALSE))),"X","")</f>
        <v/>
      </c>
      <c r="F797" s="3" t="str">
        <f>IF(EXACT(A797,C797),"X","")</f>
        <v/>
      </c>
      <c r="G797" s="3" t="str">
        <f>IF(A797&lt;&gt;C797,VLOOKUP(C797,$A$5:$D$9954,4,FALSE),"")</f>
        <v>The Reach</v>
      </c>
      <c r="H797" s="17">
        <f>A797</f>
        <v>1210</v>
      </c>
      <c r="I797" s="17">
        <f>C797</f>
        <v>1207</v>
      </c>
      <c r="J797">
        <v>20</v>
      </c>
      <c r="K797" s="3" t="str">
        <f>VLOOKUP(J797,'LibSets constants'!$A$4:$B$1017,2,FALSE)</f>
        <v>DLC_MARKARTH</v>
      </c>
      <c r="L797" s="3" t="str">
        <f>VLOOKUP(J797,'LibSets constants'!$A$4:$C$1017,3,FALSE)</f>
        <v>Markarth</v>
      </c>
    </row>
    <row r="798" spans="1:12" x14ac:dyDescent="0.25">
      <c r="A798">
        <v>1211</v>
      </c>
      <c r="B798">
        <v>789</v>
      </c>
      <c r="C798">
        <v>1207</v>
      </c>
      <c r="D798" t="s">
        <v>2218</v>
      </c>
      <c r="E798" t="str">
        <f>IF(NOT(ISERROR(VLOOKUP(D798,'ESO Dungeon constants'!$A$3:$A$9999,1,FALSE))),"X","")</f>
        <v/>
      </c>
      <c r="F798" s="3" t="str">
        <f>IF(EXACT(A798,C798),"X","")</f>
        <v/>
      </c>
      <c r="G798" s="3" t="str">
        <f>IF(A798&lt;&gt;C798,VLOOKUP(C798,$A$5:$D$9954,4,FALSE),"")</f>
        <v>The Reach</v>
      </c>
      <c r="H798" s="17">
        <f>A798</f>
        <v>1211</v>
      </c>
      <c r="I798" s="17">
        <f>C798</f>
        <v>1207</v>
      </c>
      <c r="J798">
        <v>20</v>
      </c>
      <c r="K798" s="3" t="str">
        <f>VLOOKUP(J798,'LibSets constants'!$A$4:$B$1017,2,FALSE)</f>
        <v>DLC_MARKARTH</v>
      </c>
      <c r="L798" s="3" t="str">
        <f>VLOOKUP(J798,'LibSets constants'!$A$4:$C$1017,3,FALSE)</f>
        <v>Markarth</v>
      </c>
    </row>
    <row r="799" spans="1:12" x14ac:dyDescent="0.25">
      <c r="A799">
        <v>1212</v>
      </c>
      <c r="B799">
        <v>790</v>
      </c>
      <c r="C799">
        <v>1208</v>
      </c>
      <c r="D799" t="s">
        <v>2217</v>
      </c>
      <c r="E799" t="str">
        <f>IF(NOT(ISERROR(VLOOKUP(D799,'ESO Dungeon constants'!$A$3:$A$9999,1,FALSE))),"X","")</f>
        <v/>
      </c>
      <c r="F799" s="3" t="str">
        <f>IF(EXACT(A799,C799),"X","")</f>
        <v/>
      </c>
      <c r="G799" s="3" t="str">
        <f>IF(A799&lt;&gt;C799,VLOOKUP(C799,$A$5:$D$9954,4,FALSE),"")</f>
        <v>Blackreach: Arkthzand Cavern</v>
      </c>
      <c r="H799" s="17">
        <f>A799</f>
        <v>1212</v>
      </c>
      <c r="I799" s="17">
        <f>C799</f>
        <v>1208</v>
      </c>
      <c r="J799">
        <v>20</v>
      </c>
      <c r="K799" s="3" t="str">
        <f>VLOOKUP(J799,'LibSets constants'!$A$4:$B$1017,2,FALSE)</f>
        <v>DLC_MARKARTH</v>
      </c>
      <c r="L799" s="3" t="str">
        <f>VLOOKUP(J799,'LibSets constants'!$A$4:$C$1017,3,FALSE)</f>
        <v>Markarth</v>
      </c>
    </row>
    <row r="800" spans="1:12" x14ac:dyDescent="0.25">
      <c r="A800">
        <v>1213</v>
      </c>
      <c r="B800">
        <v>791</v>
      </c>
      <c r="C800">
        <v>1207</v>
      </c>
      <c r="D800" t="s">
        <v>2392</v>
      </c>
      <c r="E800" t="str">
        <f>IF(NOT(ISERROR(VLOOKUP(D800,'ESO Dungeon constants'!$A$3:$A$9999,1,FALSE))),"X","")</f>
        <v/>
      </c>
      <c r="F800" s="3" t="str">
        <f>IF(EXACT(A800,C800),"X","")</f>
        <v/>
      </c>
      <c r="G800" s="3" t="str">
        <f>IF(A800&lt;&gt;C800,VLOOKUP(C800,$A$5:$D$9954,4,FALSE),"")</f>
        <v>The Reach</v>
      </c>
      <c r="H800" s="17">
        <f>A800</f>
        <v>1213</v>
      </c>
      <c r="I800" s="17">
        <f>C800</f>
        <v>1207</v>
      </c>
      <c r="J800">
        <v>20</v>
      </c>
      <c r="K800" s="3" t="str">
        <f>VLOOKUP(J800,'LibSets constants'!$A$4:$B$1017,2,FALSE)</f>
        <v>DLC_MARKARTH</v>
      </c>
      <c r="L800" s="3" t="str">
        <f>VLOOKUP(J800,'LibSets constants'!$A$4:$C$1017,3,FALSE)</f>
        <v>Markarth</v>
      </c>
    </row>
    <row r="801" spans="1:12" x14ac:dyDescent="0.25">
      <c r="A801">
        <v>1214</v>
      </c>
      <c r="B801">
        <v>792</v>
      </c>
      <c r="C801">
        <v>1207</v>
      </c>
      <c r="D801" t="s">
        <v>2216</v>
      </c>
      <c r="E801" t="str">
        <f>IF(NOT(ISERROR(VLOOKUP(D801,'ESO Dungeon constants'!$A$3:$A$9999,1,FALSE))),"X","")</f>
        <v/>
      </c>
      <c r="F801" s="3" t="str">
        <f>IF(EXACT(A801,C801),"X","")</f>
        <v/>
      </c>
      <c r="G801" s="3" t="str">
        <f>IF(A801&lt;&gt;C801,VLOOKUP(C801,$A$5:$D$9954,4,FALSE),"")</f>
        <v>The Reach</v>
      </c>
      <c r="H801" s="17">
        <f>A801</f>
        <v>1214</v>
      </c>
      <c r="I801" s="17">
        <f>C801</f>
        <v>1207</v>
      </c>
      <c r="J801">
        <v>20</v>
      </c>
      <c r="K801" s="3" t="str">
        <f>VLOOKUP(J801,'LibSets constants'!$A$4:$B$1017,2,FALSE)</f>
        <v>DLC_MARKARTH</v>
      </c>
      <c r="L801" s="3" t="str">
        <f>VLOOKUP(J801,'LibSets constants'!$A$4:$C$1017,3,FALSE)</f>
        <v>Markarth</v>
      </c>
    </row>
    <row r="802" spans="1:12" x14ac:dyDescent="0.25">
      <c r="A802">
        <v>1215</v>
      </c>
      <c r="B802">
        <v>793</v>
      </c>
      <c r="C802">
        <v>1207</v>
      </c>
      <c r="D802" t="s">
        <v>2215</v>
      </c>
      <c r="E802" t="str">
        <f>IF(NOT(ISERROR(VLOOKUP(D802,'ESO Dungeon constants'!$A$3:$A$9999,1,FALSE))),"X","")</f>
        <v/>
      </c>
      <c r="F802" s="3" t="str">
        <f>IF(EXACT(A802,C802),"X","")</f>
        <v/>
      </c>
      <c r="G802" s="3" t="str">
        <f>IF(A802&lt;&gt;C802,VLOOKUP(C802,$A$5:$D$9954,4,FALSE),"")</f>
        <v>The Reach</v>
      </c>
      <c r="H802" s="17">
        <f>A802</f>
        <v>1215</v>
      </c>
      <c r="I802" s="17">
        <f>C802</f>
        <v>1207</v>
      </c>
      <c r="J802">
        <v>20</v>
      </c>
      <c r="K802" s="3" t="str">
        <f>VLOOKUP(J802,'LibSets constants'!$A$4:$B$1017,2,FALSE)</f>
        <v>DLC_MARKARTH</v>
      </c>
      <c r="L802" s="3" t="str">
        <f>VLOOKUP(J802,'LibSets constants'!$A$4:$C$1017,3,FALSE)</f>
        <v>Markarth</v>
      </c>
    </row>
    <row r="803" spans="1:12" x14ac:dyDescent="0.25">
      <c r="A803">
        <v>1216</v>
      </c>
      <c r="B803">
        <v>794</v>
      </c>
      <c r="C803">
        <v>1207</v>
      </c>
      <c r="D803" t="s">
        <v>2214</v>
      </c>
      <c r="E803" t="str">
        <f>IF(NOT(ISERROR(VLOOKUP(D803,'ESO Dungeon constants'!$A$3:$A$9999,1,FALSE))),"X","")</f>
        <v/>
      </c>
      <c r="F803" s="3" t="str">
        <f>IF(EXACT(A803,C803),"X","")</f>
        <v/>
      </c>
      <c r="G803" s="3" t="str">
        <f>IF(A803&lt;&gt;C803,VLOOKUP(C803,$A$5:$D$9954,4,FALSE),"")</f>
        <v>The Reach</v>
      </c>
      <c r="H803" s="17">
        <f>A803</f>
        <v>1216</v>
      </c>
      <c r="I803" s="17">
        <f>C803</f>
        <v>1207</v>
      </c>
      <c r="J803">
        <v>20</v>
      </c>
      <c r="K803" s="3" t="str">
        <f>VLOOKUP(J803,'LibSets constants'!$A$4:$B$1017,2,FALSE)</f>
        <v>DLC_MARKARTH</v>
      </c>
      <c r="L803" s="3" t="str">
        <f>VLOOKUP(J803,'LibSets constants'!$A$4:$C$1017,3,FALSE)</f>
        <v>Markarth</v>
      </c>
    </row>
    <row r="804" spans="1:12" x14ac:dyDescent="0.25">
      <c r="A804">
        <v>1217</v>
      </c>
      <c r="B804">
        <v>795</v>
      </c>
      <c r="C804">
        <v>1208</v>
      </c>
      <c r="D804" t="s">
        <v>2213</v>
      </c>
      <c r="E804" t="str">
        <f>IF(NOT(ISERROR(VLOOKUP(D804,'ESO Dungeon constants'!$A$3:$A$9999,1,FALSE))),"X","")</f>
        <v/>
      </c>
      <c r="F804" s="3" t="str">
        <f>IF(EXACT(A804,C804),"X","")</f>
        <v/>
      </c>
      <c r="G804" s="3" t="str">
        <f>IF(A804&lt;&gt;C804,VLOOKUP(C804,$A$5:$D$9954,4,FALSE),"")</f>
        <v>Blackreach: Arkthzand Cavern</v>
      </c>
      <c r="H804" s="17">
        <f>A804</f>
        <v>1217</v>
      </c>
      <c r="I804" s="17">
        <f>C804</f>
        <v>1208</v>
      </c>
      <c r="J804">
        <v>20</v>
      </c>
      <c r="K804" s="3" t="str">
        <f>VLOOKUP(J804,'LibSets constants'!$A$4:$B$1017,2,FALSE)</f>
        <v>DLC_MARKARTH</v>
      </c>
      <c r="L804" s="3" t="str">
        <f>VLOOKUP(J804,'LibSets constants'!$A$4:$C$1017,3,FALSE)</f>
        <v>Markarth</v>
      </c>
    </row>
    <row r="805" spans="1:12" x14ac:dyDescent="0.25">
      <c r="A805">
        <v>1218</v>
      </c>
      <c r="B805">
        <v>796</v>
      </c>
      <c r="C805">
        <v>1160</v>
      </c>
      <c r="D805" t="s">
        <v>1697</v>
      </c>
      <c r="E805" t="str">
        <f>IF(NOT(ISERROR(VLOOKUP(D805,'ESO Dungeon constants'!$A$3:$A$9999,1,FALSE))),"X","")</f>
        <v/>
      </c>
      <c r="F805" s="3" t="str">
        <f>IF(EXACT(A805,C805),"X","")</f>
        <v/>
      </c>
      <c r="G805" s="3" t="str">
        <f>IF(A805&lt;&gt;C805,VLOOKUP(C805,$A$5:$D$9954,4,FALSE),"")</f>
        <v>Western Skyrim</v>
      </c>
      <c r="H805" s="17">
        <f>A805</f>
        <v>1218</v>
      </c>
      <c r="I805" s="17">
        <f>C805</f>
        <v>1160</v>
      </c>
      <c r="J805">
        <v>18</v>
      </c>
      <c r="K805" s="3" t="str">
        <f>VLOOKUP(J805,'LibSets constants'!$A$4:$B$1017,2,FALSE)</f>
        <v>DLC_GREYMOOR</v>
      </c>
      <c r="L805" s="3" t="str">
        <f>VLOOKUP(J805,'LibSets constants'!$A$4:$C$1017,3,FALSE)</f>
        <v>Greymoor</v>
      </c>
    </row>
    <row r="806" spans="1:12" x14ac:dyDescent="0.25">
      <c r="A806">
        <v>1219</v>
      </c>
      <c r="B806">
        <v>797</v>
      </c>
      <c r="C806">
        <v>1160</v>
      </c>
      <c r="D806" t="s">
        <v>1698</v>
      </c>
      <c r="E806" t="str">
        <f>IF(NOT(ISERROR(VLOOKUP(D806,'ESO Dungeon constants'!$A$3:$A$9999,1,FALSE))),"X","")</f>
        <v/>
      </c>
      <c r="F806" s="3" t="str">
        <f>IF(EXACT(A806,C806),"X","")</f>
        <v/>
      </c>
      <c r="G806" s="3" t="str">
        <f>IF(A806&lt;&gt;C806,VLOOKUP(C806,$A$5:$D$9954,4,FALSE),"")</f>
        <v>Western Skyrim</v>
      </c>
      <c r="H806" s="17">
        <f>A806</f>
        <v>1219</v>
      </c>
      <c r="I806" s="17">
        <f>C806</f>
        <v>1160</v>
      </c>
      <c r="J806">
        <v>18</v>
      </c>
      <c r="K806" s="3" t="str">
        <f>VLOOKUP(J806,'LibSets constants'!$A$4:$B$1017,2,FALSE)</f>
        <v>DLC_GREYMOOR</v>
      </c>
      <c r="L806" s="3" t="str">
        <f>VLOOKUP(J806,'LibSets constants'!$A$4:$C$1017,3,FALSE)</f>
        <v>Greymoor</v>
      </c>
    </row>
    <row r="807" spans="1:12" x14ac:dyDescent="0.25">
      <c r="A807">
        <v>1220</v>
      </c>
      <c r="B807">
        <v>798</v>
      </c>
      <c r="C807">
        <v>1161</v>
      </c>
      <c r="D807" t="s">
        <v>1699</v>
      </c>
      <c r="E807" t="str">
        <f>IF(NOT(ISERROR(VLOOKUP(D807,'ESO Dungeon constants'!$A$3:$A$9999,1,FALSE))),"X","")</f>
        <v/>
      </c>
      <c r="F807" s="3" t="str">
        <f>IF(EXACT(A807,C807),"X","")</f>
        <v/>
      </c>
      <c r="G807" s="3" t="str">
        <f>IF(A807&lt;&gt;C807,VLOOKUP(C807,$A$5:$D$9954,4,FALSE),"")</f>
        <v>Blackreach: Greymoor Caverns</v>
      </c>
      <c r="H807" s="17">
        <f>A807</f>
        <v>1220</v>
      </c>
      <c r="I807" s="17">
        <f>C807</f>
        <v>1161</v>
      </c>
      <c r="J807">
        <v>18</v>
      </c>
      <c r="K807" s="3" t="str">
        <f>VLOOKUP(J807,'LibSets constants'!$A$4:$B$1017,2,FALSE)</f>
        <v>DLC_GREYMOOR</v>
      </c>
      <c r="L807" s="3" t="str">
        <f>VLOOKUP(J807,'LibSets constants'!$A$4:$C$1017,3,FALSE)</f>
        <v>Greymoor</v>
      </c>
    </row>
    <row r="808" spans="1:12" x14ac:dyDescent="0.25">
      <c r="A808">
        <v>1221</v>
      </c>
      <c r="B808">
        <v>799</v>
      </c>
      <c r="C808">
        <v>1207</v>
      </c>
      <c r="D808" t="s">
        <v>2207</v>
      </c>
      <c r="E808" t="str">
        <f>IF(NOT(ISERROR(VLOOKUP(D808,'ESO Dungeon constants'!$A$3:$A$9999,1,FALSE))),"X","")</f>
        <v/>
      </c>
      <c r="F808" s="3" t="str">
        <f>IF(EXACT(A808,C808),"X","")</f>
        <v/>
      </c>
      <c r="G808" s="3" t="str">
        <f>IF(A808&lt;&gt;C808,VLOOKUP(C808,$A$5:$D$9954,4,FALSE),"")</f>
        <v>The Reach</v>
      </c>
      <c r="H808" s="17">
        <f>A808</f>
        <v>1221</v>
      </c>
      <c r="I808" s="17">
        <f>C808</f>
        <v>1207</v>
      </c>
      <c r="J808">
        <v>20</v>
      </c>
      <c r="K808" s="3" t="str">
        <f>VLOOKUP(J808,'LibSets constants'!$A$4:$B$1017,2,FALSE)</f>
        <v>DLC_MARKARTH</v>
      </c>
      <c r="L808" s="3" t="str">
        <f>VLOOKUP(J808,'LibSets constants'!$A$4:$C$1017,3,FALSE)</f>
        <v>Markarth</v>
      </c>
    </row>
    <row r="809" spans="1:12" s="68" customFormat="1" x14ac:dyDescent="0.25">
      <c r="A809">
        <v>1222</v>
      </c>
      <c r="B809">
        <v>800</v>
      </c>
      <c r="C809">
        <v>1160</v>
      </c>
      <c r="D809" t="s">
        <v>2208</v>
      </c>
      <c r="E809" t="str">
        <f>IF(NOT(ISERROR(VLOOKUP(D809,'ESO Dungeon constants'!$A$3:$A$9999,1,FALSE))),"X","")</f>
        <v/>
      </c>
      <c r="F809" s="3" t="str">
        <f>IF(EXACT(A809,C809),"X","")</f>
        <v/>
      </c>
      <c r="G809" s="3" t="str">
        <f>IF(A809&lt;&gt;C809,VLOOKUP(C809,$A$5:$D$9954,4,FALSE),"")</f>
        <v>Western Skyrim</v>
      </c>
      <c r="H809" s="17">
        <f>A809</f>
        <v>1222</v>
      </c>
      <c r="I809" s="17">
        <f>C809</f>
        <v>1160</v>
      </c>
      <c r="J809">
        <v>18</v>
      </c>
      <c r="K809" s="3" t="str">
        <f>VLOOKUP(J809,'LibSets constants'!$A$4:$B$1017,2,FALSE)</f>
        <v>DLC_GREYMOOR</v>
      </c>
      <c r="L809" s="3" t="str">
        <f>VLOOKUP(J809,'LibSets constants'!$A$4:$C$1017,3,FALSE)</f>
        <v>Greymoor</v>
      </c>
    </row>
    <row r="810" spans="1:12" s="68" customFormat="1" x14ac:dyDescent="0.25">
      <c r="A810">
        <v>131</v>
      </c>
      <c r="B810">
        <v>23</v>
      </c>
      <c r="C810">
        <v>58</v>
      </c>
      <c r="D810" t="s">
        <v>65</v>
      </c>
      <c r="E810" t="str">
        <f>IF(NOT(ISERROR(VLOOKUP(D810,'ESO Dungeon constants'!$A$3:$A$9999,1,FALSE))),"X","")</f>
        <v>X</v>
      </c>
      <c r="F810" s="3" t="str">
        <f>IF(EXACT(A810,C810),"X","")</f>
        <v/>
      </c>
      <c r="G810" s="3" t="str">
        <f>IF(A810&lt;&gt;C810,VLOOKUP(C810,$A$5:$D$9954,4,FALSE),"")</f>
        <v>Malabal Tor</v>
      </c>
      <c r="H810" s="17">
        <f>A810</f>
        <v>131</v>
      </c>
      <c r="I810" s="17">
        <f>C810</f>
        <v>58</v>
      </c>
      <c r="J810">
        <f>IF(E810="X",VLOOKUP(D810,'ESO Dungeon constants'!$A$3:$H$9999,8,FALSE),0)</f>
        <v>0</v>
      </c>
      <c r="K810" s="3" t="str">
        <f>VLOOKUP(J810,'LibSets constants'!$A$4:$B$1017,2,FALSE)</f>
        <v>DLC_BASE_GAME</v>
      </c>
      <c r="L810" s="3" t="str">
        <f>VLOOKUP(J810,'LibSets constants'!$A$4:$C$1017,3,FALSE)</f>
        <v>Included in base game</v>
      </c>
    </row>
    <row r="811" spans="1:12" x14ac:dyDescent="0.25">
      <c r="A811">
        <v>1223</v>
      </c>
      <c r="B811">
        <v>801</v>
      </c>
      <c r="C811">
        <v>1207</v>
      </c>
      <c r="D811" t="s">
        <v>2212</v>
      </c>
      <c r="E811" t="str">
        <f>IF(NOT(ISERROR(VLOOKUP(D811,'ESO Dungeon constants'!$A$3:$A$9999,1,FALSE))),"X","")</f>
        <v/>
      </c>
      <c r="F811" s="3" t="str">
        <f>IF(EXACT(A811,C811),"X","")</f>
        <v/>
      </c>
      <c r="G811" s="3" t="str">
        <f>IF(A811&lt;&gt;C811,VLOOKUP(C811,$A$5:$D$9954,4,FALSE),"")</f>
        <v>The Reach</v>
      </c>
      <c r="H811" s="17">
        <f>A811</f>
        <v>1223</v>
      </c>
      <c r="I811" s="17">
        <f>C811</f>
        <v>1207</v>
      </c>
      <c r="J811">
        <v>20</v>
      </c>
      <c r="K811" s="3" t="str">
        <f>VLOOKUP(J811,'LibSets constants'!$A$4:$B$1017,2,FALSE)</f>
        <v>DLC_MARKARTH</v>
      </c>
      <c r="L811" s="3" t="str">
        <f>VLOOKUP(J811,'LibSets constants'!$A$4:$C$1017,3,FALSE)</f>
        <v>Markarth</v>
      </c>
    </row>
    <row r="812" spans="1:12" x14ac:dyDescent="0.25">
      <c r="A812">
        <v>1224</v>
      </c>
      <c r="B812">
        <v>802</v>
      </c>
      <c r="C812">
        <v>1208</v>
      </c>
      <c r="D812" t="s">
        <v>2211</v>
      </c>
      <c r="E812" t="str">
        <f>IF(NOT(ISERROR(VLOOKUP(D812,'ESO Dungeon constants'!$A$3:$A$9999,1,FALSE))),"X","")</f>
        <v/>
      </c>
      <c r="F812" s="3" t="str">
        <f>IF(EXACT(A812,C812),"X","")</f>
        <v/>
      </c>
      <c r="G812" s="3" t="str">
        <f>IF(A812&lt;&gt;C812,VLOOKUP(C812,$A$5:$D$9954,4,FALSE),"")</f>
        <v>Blackreach: Arkthzand Cavern</v>
      </c>
      <c r="H812" s="17">
        <f>A812</f>
        <v>1224</v>
      </c>
      <c r="I812" s="17">
        <f>C812</f>
        <v>1208</v>
      </c>
      <c r="J812">
        <v>20</v>
      </c>
      <c r="K812" s="3" t="str">
        <f>VLOOKUP(J812,'LibSets constants'!$A$4:$B$1017,2,FALSE)</f>
        <v>DLC_MARKARTH</v>
      </c>
      <c r="L812" s="3" t="str">
        <f>VLOOKUP(J812,'LibSets constants'!$A$4:$C$1017,3,FALSE)</f>
        <v>Markarth</v>
      </c>
    </row>
    <row r="813" spans="1:12" x14ac:dyDescent="0.25">
      <c r="A813">
        <v>1225</v>
      </c>
      <c r="B813">
        <v>803</v>
      </c>
      <c r="C813">
        <v>1207</v>
      </c>
      <c r="D813" t="s">
        <v>2210</v>
      </c>
      <c r="E813" t="str">
        <f>IF(NOT(ISERROR(VLOOKUP(D813,'ESO Dungeon constants'!$A$3:$A$9999,1,FALSE))),"X","")</f>
        <v/>
      </c>
      <c r="F813" s="3" t="str">
        <f>IF(EXACT(A813,C813),"X","")</f>
        <v/>
      </c>
      <c r="G813" s="3" t="str">
        <f>IF(A813&lt;&gt;C813,VLOOKUP(C813,$A$5:$D$9954,4,FALSE),"")</f>
        <v>The Reach</v>
      </c>
      <c r="H813" s="17">
        <f>A813</f>
        <v>1225</v>
      </c>
      <c r="I813" s="17">
        <f>C813</f>
        <v>1207</v>
      </c>
      <c r="J813">
        <v>20</v>
      </c>
      <c r="K813" s="3" t="str">
        <f>VLOOKUP(J813,'LibSets constants'!$A$4:$B$1017,2,FALSE)</f>
        <v>DLC_MARKARTH</v>
      </c>
      <c r="L813" s="3" t="str">
        <f>VLOOKUP(J813,'LibSets constants'!$A$4:$C$1017,3,FALSE)</f>
        <v>Markarth</v>
      </c>
    </row>
    <row r="814" spans="1:12" x14ac:dyDescent="0.25">
      <c r="A814">
        <v>1226</v>
      </c>
      <c r="B814">
        <v>804</v>
      </c>
      <c r="C814">
        <v>1207</v>
      </c>
      <c r="D814" t="s">
        <v>2209</v>
      </c>
      <c r="E814" t="str">
        <f>IF(NOT(ISERROR(VLOOKUP(D814,'ESO Dungeon constants'!$A$3:$A$9999,1,FALSE))),"X","")</f>
        <v/>
      </c>
      <c r="F814" s="3" t="str">
        <f>IF(EXACT(A814,C814),"X","")</f>
        <v/>
      </c>
      <c r="G814" s="3" t="str">
        <f>IF(A814&lt;&gt;C814,VLOOKUP(C814,$A$5:$D$9954,4,FALSE),"")</f>
        <v>The Reach</v>
      </c>
      <c r="H814" s="17">
        <f>A814</f>
        <v>1226</v>
      </c>
      <c r="I814" s="17">
        <f>C814</f>
        <v>1207</v>
      </c>
      <c r="J814">
        <v>20</v>
      </c>
      <c r="K814" s="3" t="str">
        <f>VLOOKUP(J814,'LibSets constants'!$A$4:$B$1017,2,FALSE)</f>
        <v>DLC_MARKARTH</v>
      </c>
      <c r="L814" s="3" t="str">
        <f>VLOOKUP(J814,'LibSets constants'!$A$4:$C$1017,3,FALSE)</f>
        <v>Markarth</v>
      </c>
    </row>
    <row r="815" spans="1:12" x14ac:dyDescent="0.25">
      <c r="A815">
        <v>1227</v>
      </c>
      <c r="B815">
        <v>805</v>
      </c>
      <c r="C815">
        <v>1207</v>
      </c>
      <c r="D815" t="s">
        <v>2202</v>
      </c>
      <c r="E815" t="str">
        <f>IF(NOT(ISERROR(VLOOKUP(D815,'ESO Dungeon constants'!$A$3:$A$9999,1,FALSE))),"X","")</f>
        <v/>
      </c>
      <c r="F815" s="3" t="str">
        <f>IF(EXACT(A815,C815),"X","")</f>
        <v/>
      </c>
      <c r="G815" s="3" t="str">
        <f>IF(A815&lt;&gt;C815,VLOOKUP(C815,$A$5:$D$9954,4,FALSE),"")</f>
        <v>The Reach</v>
      </c>
      <c r="H815" s="17">
        <f>A815</f>
        <v>1227</v>
      </c>
      <c r="I815" s="17">
        <f>C815</f>
        <v>1207</v>
      </c>
      <c r="J815">
        <v>20</v>
      </c>
      <c r="K815" s="3" t="str">
        <f>VLOOKUP(J815,'LibSets constants'!$A$4:$B$1017,2,FALSE)</f>
        <v>DLC_MARKARTH</v>
      </c>
      <c r="L815" s="3" t="str">
        <f>VLOOKUP(J815,'LibSets constants'!$A$4:$C$1017,3,FALSE)</f>
        <v>Markarth</v>
      </c>
    </row>
    <row r="816" spans="1:12" x14ac:dyDescent="0.25">
      <c r="A816">
        <v>1233</v>
      </c>
      <c r="B816">
        <v>808</v>
      </c>
      <c r="C816">
        <v>1160</v>
      </c>
      <c r="D816" t="s">
        <v>2140</v>
      </c>
      <c r="E816" t="str">
        <f>IF(NOT(ISERROR(VLOOKUP(D816,'ESO Dungeon constants'!$A$3:$A$9999,1,FALSE))),"X","")</f>
        <v/>
      </c>
      <c r="F816" s="3" t="str">
        <f>IF(EXACT(A816,C816),"X","")</f>
        <v/>
      </c>
      <c r="G816" s="3" t="str">
        <f>IF(A816&lt;&gt;C816,VLOOKUP(C816,$A$5:$D$9954,4,FALSE),"")</f>
        <v>Western Skyrim</v>
      </c>
      <c r="H816" s="17">
        <f>A816</f>
        <v>1233</v>
      </c>
      <c r="I816" s="17">
        <f>C816</f>
        <v>1160</v>
      </c>
      <c r="J816">
        <v>18</v>
      </c>
      <c r="K816" s="3" t="str">
        <f>VLOOKUP(J816,'LibSets constants'!$A$4:$B$1017,2,FALSE)</f>
        <v>DLC_GREYMOOR</v>
      </c>
      <c r="L816" s="3" t="str">
        <f>VLOOKUP(J816,'LibSets constants'!$A$4:$C$1017,3,FALSE)</f>
        <v>Greymoor</v>
      </c>
    </row>
    <row r="817" spans="1:12" x14ac:dyDescent="0.25">
      <c r="A817">
        <v>1234</v>
      </c>
      <c r="B817">
        <v>809</v>
      </c>
      <c r="C817">
        <v>1160</v>
      </c>
      <c r="D817" t="s">
        <v>2141</v>
      </c>
      <c r="E817" t="str">
        <f>IF(NOT(ISERROR(VLOOKUP(D817,'ESO Dungeon constants'!$A$3:$A$9999,1,FALSE))),"X","")</f>
        <v/>
      </c>
      <c r="F817" s="3" t="str">
        <f>IF(EXACT(A817,C817),"X","")</f>
        <v/>
      </c>
      <c r="G817" s="3" t="str">
        <f>IF(A817&lt;&gt;C817,VLOOKUP(C817,$A$5:$D$9954,4,FALSE),"")</f>
        <v>Western Skyrim</v>
      </c>
      <c r="H817" s="17">
        <f>A817</f>
        <v>1234</v>
      </c>
      <c r="I817" s="17">
        <f>C817</f>
        <v>1160</v>
      </c>
      <c r="J817">
        <v>18</v>
      </c>
      <c r="K817" s="3" t="str">
        <f>VLOOKUP(J817,'LibSets constants'!$A$4:$B$1017,2,FALSE)</f>
        <v>DLC_GREYMOOR</v>
      </c>
      <c r="L817" s="3" t="str">
        <f>VLOOKUP(J817,'LibSets constants'!$A$4:$C$1017,3,FALSE)</f>
        <v>Greymoor</v>
      </c>
    </row>
    <row r="818" spans="1:12" x14ac:dyDescent="0.25">
      <c r="A818">
        <v>1235</v>
      </c>
      <c r="B818">
        <v>810</v>
      </c>
      <c r="C818">
        <v>383</v>
      </c>
      <c r="D818" t="s">
        <v>2387</v>
      </c>
      <c r="E818" t="str">
        <f>IF(NOT(ISERROR(VLOOKUP(D818,'ESO Dungeon constants'!$A$3:$A$9999,1,FALSE))),"X","")</f>
        <v/>
      </c>
      <c r="F818" s="3" t="str">
        <f>IF(EXACT(A818,C818),"X","")</f>
        <v/>
      </c>
      <c r="G818" s="3" t="str">
        <f>IF(A818&lt;&gt;C818,VLOOKUP(C818,$A$5:$D$9954,4,FALSE),"")</f>
        <v>Grahtwood</v>
      </c>
      <c r="H818" s="17">
        <f>A818</f>
        <v>1235</v>
      </c>
      <c r="I818" s="17">
        <f>C818</f>
        <v>383</v>
      </c>
      <c r="J818">
        <v>0</v>
      </c>
      <c r="K818" s="3" t="str">
        <f>VLOOKUP(J818,'LibSets constants'!$A$4:$B$1017,2,FALSE)</f>
        <v>DLC_BASE_GAME</v>
      </c>
      <c r="L818" s="3" t="str">
        <f>VLOOKUP(J818,'LibSets constants'!$A$4:$C$1017,3,FALSE)</f>
        <v>Included in base game</v>
      </c>
    </row>
    <row r="819" spans="1:12" x14ac:dyDescent="0.25">
      <c r="A819">
        <v>1236</v>
      </c>
      <c r="B819">
        <v>811</v>
      </c>
      <c r="C819">
        <v>383</v>
      </c>
      <c r="D819" t="s">
        <v>445</v>
      </c>
      <c r="E819" t="str">
        <f>IF(NOT(ISERROR(VLOOKUP(D819,'ESO Dungeon constants'!$A$3:$A$9999,1,FALSE))),"X","")</f>
        <v/>
      </c>
      <c r="F819" s="3" t="str">
        <f>IF(EXACT(A819,C819),"X","")</f>
        <v/>
      </c>
      <c r="G819" s="3" t="str">
        <f>IF(A819&lt;&gt;C819,VLOOKUP(C819,$A$5:$D$9954,4,FALSE),"")</f>
        <v>Grahtwood</v>
      </c>
      <c r="H819" s="17">
        <f>A819</f>
        <v>1236</v>
      </c>
      <c r="I819" s="17">
        <f>C819</f>
        <v>383</v>
      </c>
      <c r="J819">
        <v>1</v>
      </c>
      <c r="K819" s="3" t="str">
        <f>VLOOKUP(J819,'LibSets constants'!$A$4:$B$1017,2,FALSE)</f>
        <v>DLC_IMPERIAL_CITY</v>
      </c>
      <c r="L819" s="3" t="str">
        <f>VLOOKUP(J819,'LibSets constants'!$A$4:$C$1017,3,FALSE)</f>
        <v>Imperial City</v>
      </c>
    </row>
    <row r="820" spans="1:12" x14ac:dyDescent="0.25">
      <c r="A820">
        <v>1237</v>
      </c>
      <c r="B820">
        <v>812</v>
      </c>
      <c r="C820">
        <v>383</v>
      </c>
      <c r="D820" t="s">
        <v>2391</v>
      </c>
      <c r="E820" t="str">
        <f>IF(NOT(ISERROR(VLOOKUP(D820,'ESO Dungeon constants'!$A$3:$A$9999,1,FALSE))),"X","")</f>
        <v/>
      </c>
      <c r="F820" s="3" t="str">
        <f>IF(EXACT(A820,C820),"X","")</f>
        <v/>
      </c>
      <c r="G820" s="3" t="str">
        <f>IF(A820&lt;&gt;C820,VLOOKUP(C820,$A$5:$D$9954,4,FALSE),"")</f>
        <v>Grahtwood</v>
      </c>
      <c r="H820" s="17">
        <f>A820</f>
        <v>1237</v>
      </c>
      <c r="I820" s="17">
        <f>C820</f>
        <v>383</v>
      </c>
      <c r="J820">
        <v>0</v>
      </c>
      <c r="K820" s="3" t="str">
        <f>VLOOKUP(J820,'LibSets constants'!$A$4:$B$1017,2,FALSE)</f>
        <v>DLC_BASE_GAME</v>
      </c>
      <c r="L820" s="3" t="str">
        <f>VLOOKUP(J820,'LibSets constants'!$A$4:$C$1017,3,FALSE)</f>
        <v>Included in base game</v>
      </c>
    </row>
    <row r="821" spans="1:12" x14ac:dyDescent="0.25">
      <c r="A821">
        <v>1238</v>
      </c>
      <c r="B821">
        <v>813</v>
      </c>
      <c r="C821">
        <v>1261</v>
      </c>
      <c r="D821" t="s">
        <v>2415</v>
      </c>
      <c r="E821" t="str">
        <f>IF(NOT(ISERROR(VLOOKUP(D821,'ESO Dungeon constants'!$A$3:$A$9999,1,FALSE))),"X","")</f>
        <v/>
      </c>
      <c r="F821" s="3" t="str">
        <f>IF(EXACT(A821,C821),"X","")</f>
        <v/>
      </c>
      <c r="G821" s="3" t="str">
        <f>IF(A821&lt;&gt;C821,VLOOKUP(C821,$A$5:$D$9954,4,FALSE),"")</f>
        <v>Blackwood</v>
      </c>
      <c r="H821" s="17">
        <f>A821</f>
        <v>1238</v>
      </c>
      <c r="I821" s="17">
        <f>C821</f>
        <v>1261</v>
      </c>
      <c r="J821">
        <v>22</v>
      </c>
      <c r="K821" s="3" t="str">
        <f>VLOOKUP(J821,'LibSets constants'!$A$4:$B$1017,2,FALSE)</f>
        <v>DLC_BLACKWOOD</v>
      </c>
      <c r="L821" s="3" t="str">
        <f>VLOOKUP(J821,'LibSets constants'!$A$4:$C$1017,3,FALSE)</f>
        <v>Blackwood</v>
      </c>
    </row>
    <row r="822" spans="1:12" x14ac:dyDescent="0.25">
      <c r="A822">
        <v>1239</v>
      </c>
      <c r="B822">
        <v>814</v>
      </c>
      <c r="C822">
        <v>1261</v>
      </c>
      <c r="D822" t="s">
        <v>2412</v>
      </c>
      <c r="E822" t="str">
        <f>IF(NOT(ISERROR(VLOOKUP(D822,'ESO Dungeon constants'!$A$3:$A$9999,1,FALSE))),"X","")</f>
        <v/>
      </c>
      <c r="F822" s="3" t="str">
        <f>IF(EXACT(A822,C822),"X","")</f>
        <v/>
      </c>
      <c r="G822" s="3" t="str">
        <f>IF(A822&lt;&gt;C822,VLOOKUP(C822,$A$5:$D$9954,4,FALSE),"")</f>
        <v>Blackwood</v>
      </c>
      <c r="H822" s="17">
        <f>A822</f>
        <v>1239</v>
      </c>
      <c r="I822" s="17">
        <f>C822</f>
        <v>1261</v>
      </c>
      <c r="J822">
        <v>22</v>
      </c>
      <c r="K822" s="3" t="str">
        <f>VLOOKUP(J822,'LibSets constants'!$A$4:$B$1017,2,FALSE)</f>
        <v>DLC_BLACKWOOD</v>
      </c>
      <c r="L822" s="3" t="str">
        <f>VLOOKUP(J822,'LibSets constants'!$A$4:$C$1017,3,FALSE)</f>
        <v>Blackwood</v>
      </c>
    </row>
    <row r="823" spans="1:12" x14ac:dyDescent="0.25">
      <c r="A823">
        <v>1240</v>
      </c>
      <c r="B823">
        <v>815</v>
      </c>
      <c r="C823">
        <v>1261</v>
      </c>
      <c r="D823" t="s">
        <v>2416</v>
      </c>
      <c r="E823" t="str">
        <f>IF(NOT(ISERROR(VLOOKUP(D823,'ESO Dungeon constants'!$A$3:$A$9999,1,FALSE))),"X","")</f>
        <v/>
      </c>
      <c r="F823" s="3" t="str">
        <f>IF(EXACT(A823,C823),"X","")</f>
        <v/>
      </c>
      <c r="G823" s="3" t="str">
        <f>IF(A823&lt;&gt;C823,VLOOKUP(C823,$A$5:$D$9954,4,FALSE),"")</f>
        <v>Blackwood</v>
      </c>
      <c r="H823" s="17">
        <f>A823</f>
        <v>1240</v>
      </c>
      <c r="I823" s="17">
        <f>C823</f>
        <v>1261</v>
      </c>
      <c r="J823">
        <v>22</v>
      </c>
      <c r="K823" s="3" t="str">
        <f>VLOOKUP(J823,'LibSets constants'!$A$4:$B$1017,2,FALSE)</f>
        <v>DLC_BLACKWOOD</v>
      </c>
      <c r="L823" s="3" t="str">
        <f>VLOOKUP(J823,'LibSets constants'!$A$4:$C$1017,3,FALSE)</f>
        <v>Blackwood</v>
      </c>
    </row>
    <row r="824" spans="1:12" x14ac:dyDescent="0.25">
      <c r="A824">
        <v>380</v>
      </c>
      <c r="B824">
        <v>178</v>
      </c>
      <c r="C824">
        <v>381</v>
      </c>
      <c r="D824" t="s">
        <v>96</v>
      </c>
      <c r="E824" t="str">
        <f>IF(NOT(ISERROR(VLOOKUP(D824,'ESO Dungeon constants'!$A$3:$A$9999,1,FALSE))),"X","")</f>
        <v>X</v>
      </c>
      <c r="F824" s="3" t="str">
        <f>IF(EXACT(A824,C824),"X","")</f>
        <v/>
      </c>
      <c r="G824" s="3" t="str">
        <f>IF(A824&lt;&gt;C824,VLOOKUP(C824,$A$5:$D$9954,4,FALSE),"")</f>
        <v>Auridon</v>
      </c>
      <c r="H824" s="17">
        <f>A824</f>
        <v>380</v>
      </c>
      <c r="I824" s="17">
        <f>C824</f>
        <v>381</v>
      </c>
      <c r="J824">
        <f>IF(E824="X",VLOOKUP(D824,'ESO Dungeon constants'!$A$3:$H$9999,8,FALSE),0)</f>
        <v>0</v>
      </c>
      <c r="K824" s="3" t="str">
        <f>VLOOKUP(J824,'LibSets constants'!$A$4:$B$1017,2,FALSE)</f>
        <v>DLC_BASE_GAME</v>
      </c>
      <c r="L824" s="3" t="str">
        <f>VLOOKUP(J824,'LibSets constants'!$A$4:$C$1017,3,FALSE)</f>
        <v>Included in base game</v>
      </c>
    </row>
    <row r="825" spans="1:12" x14ac:dyDescent="0.25">
      <c r="A825">
        <v>935</v>
      </c>
      <c r="B825">
        <v>548</v>
      </c>
      <c r="C825">
        <v>381</v>
      </c>
      <c r="D825" t="s">
        <v>97</v>
      </c>
      <c r="E825" t="str">
        <f>IF(NOT(ISERROR(VLOOKUP(D825,'ESO Dungeon constants'!$A$3:$A$9999,1,FALSE))),"X","")</f>
        <v>X</v>
      </c>
      <c r="F825" s="3" t="str">
        <f>IF(EXACT(A825,C825),"X","")</f>
        <v/>
      </c>
      <c r="G825" s="3" t="str">
        <f>IF(A825&lt;&gt;C825,VLOOKUP(C825,$A$5:$D$9954,4,FALSE),"")</f>
        <v>Auridon</v>
      </c>
      <c r="H825" s="17">
        <f>A825</f>
        <v>935</v>
      </c>
      <c r="I825" s="17">
        <f>C825</f>
        <v>381</v>
      </c>
      <c r="J825">
        <f>IF(E825="X",VLOOKUP(D825,'ESO Dungeon constants'!$A$3:$H$9999,8,FALSE),0)</f>
        <v>0</v>
      </c>
      <c r="K825" s="3" t="str">
        <f>VLOOKUP(J825,'LibSets constants'!$A$4:$B$1017,2,FALSE)</f>
        <v>DLC_BASE_GAME</v>
      </c>
      <c r="L825" s="3" t="str">
        <f>VLOOKUP(J825,'LibSets constants'!$A$4:$C$1017,3,FALSE)</f>
        <v>Included in base game</v>
      </c>
    </row>
    <row r="826" spans="1:12" x14ac:dyDescent="0.25">
      <c r="A826">
        <v>1241</v>
      </c>
      <c r="B826">
        <v>816</v>
      </c>
      <c r="C826">
        <v>1261</v>
      </c>
      <c r="D826" t="s">
        <v>2417</v>
      </c>
      <c r="E826" t="str">
        <f>IF(NOT(ISERROR(VLOOKUP(D826,'ESO Dungeon constants'!$A$3:$A$9999,1,FALSE))),"X","")</f>
        <v/>
      </c>
      <c r="F826" s="3" t="str">
        <f>IF(EXACT(A826,C826),"X","")</f>
        <v/>
      </c>
      <c r="G826" s="3" t="str">
        <f>IF(A826&lt;&gt;C826,VLOOKUP(C826,$A$5:$D$9954,4,FALSE),"")</f>
        <v>Blackwood</v>
      </c>
      <c r="H826" s="17">
        <f>A826</f>
        <v>1241</v>
      </c>
      <c r="I826" s="17">
        <f>C826</f>
        <v>1261</v>
      </c>
      <c r="J826">
        <v>22</v>
      </c>
      <c r="K826" s="3" t="str">
        <f>VLOOKUP(J826,'LibSets constants'!$A$4:$B$1017,2,FALSE)</f>
        <v>DLC_BLACKWOOD</v>
      </c>
      <c r="L826" s="3" t="str">
        <f>VLOOKUP(J826,'LibSets constants'!$A$4:$C$1017,3,FALSE)</f>
        <v>Blackwood</v>
      </c>
    </row>
    <row r="827" spans="1:12" x14ac:dyDescent="0.25">
      <c r="A827">
        <v>1242</v>
      </c>
      <c r="B827">
        <v>817</v>
      </c>
      <c r="C827">
        <v>1261</v>
      </c>
      <c r="D827" t="s">
        <v>2418</v>
      </c>
      <c r="E827" t="str">
        <f>IF(NOT(ISERROR(VLOOKUP(D827,'ESO Dungeon constants'!$A$3:$A$9999,1,FALSE))),"X","")</f>
        <v/>
      </c>
      <c r="F827" s="3" t="str">
        <f>IF(EXACT(A827,C827),"X","")</f>
        <v/>
      </c>
      <c r="G827" s="3" t="str">
        <f>IF(A827&lt;&gt;C827,VLOOKUP(C827,$A$5:$D$9954,4,FALSE),"")</f>
        <v>Blackwood</v>
      </c>
      <c r="H827" s="17">
        <f>A827</f>
        <v>1242</v>
      </c>
      <c r="I827" s="17">
        <f>C827</f>
        <v>1261</v>
      </c>
      <c r="J827">
        <v>22</v>
      </c>
      <c r="K827" s="3" t="str">
        <f>VLOOKUP(J827,'LibSets constants'!$A$4:$B$1017,2,FALSE)</f>
        <v>DLC_BLACKWOOD</v>
      </c>
      <c r="L827" s="3" t="str">
        <f>VLOOKUP(J827,'LibSets constants'!$A$4:$C$1017,3,FALSE)</f>
        <v>Blackwood</v>
      </c>
    </row>
    <row r="828" spans="1:12" x14ac:dyDescent="0.25">
      <c r="A828">
        <v>1243</v>
      </c>
      <c r="B828">
        <v>818</v>
      </c>
      <c r="C828">
        <v>1261</v>
      </c>
      <c r="D828" t="s">
        <v>2419</v>
      </c>
      <c r="E828" t="str">
        <f>IF(NOT(ISERROR(VLOOKUP(D828,'ESO Dungeon constants'!$A$3:$A$9999,1,FALSE))),"X","")</f>
        <v/>
      </c>
      <c r="F828" s="3" t="str">
        <f>IF(EXACT(A828,C828),"X","")</f>
        <v/>
      </c>
      <c r="G828" s="3" t="str">
        <f>IF(A828&lt;&gt;C828,VLOOKUP(C828,$A$5:$D$9954,4,FALSE),"")</f>
        <v>Blackwood</v>
      </c>
      <c r="H828" s="17">
        <f>A828</f>
        <v>1243</v>
      </c>
      <c r="I828" s="17">
        <f>C828</f>
        <v>1261</v>
      </c>
      <c r="J828">
        <v>22</v>
      </c>
      <c r="K828" s="3" t="str">
        <f>VLOOKUP(J828,'LibSets constants'!$A$4:$B$1017,2,FALSE)</f>
        <v>DLC_BLACKWOOD</v>
      </c>
      <c r="L828" s="3" t="str">
        <f>VLOOKUP(J828,'LibSets constants'!$A$4:$C$1017,3,FALSE)</f>
        <v>Blackwood</v>
      </c>
    </row>
    <row r="829" spans="1:12" x14ac:dyDescent="0.25">
      <c r="A829">
        <v>1244</v>
      </c>
      <c r="B829">
        <v>819</v>
      </c>
      <c r="C829">
        <v>1261</v>
      </c>
      <c r="D829" t="s">
        <v>2420</v>
      </c>
      <c r="E829" t="str">
        <f>IF(NOT(ISERROR(VLOOKUP(D829,'ESO Dungeon constants'!$A$3:$A$9999,1,FALSE))),"X","")</f>
        <v/>
      </c>
      <c r="F829" s="3" t="str">
        <f>IF(EXACT(A829,C829),"X","")</f>
        <v/>
      </c>
      <c r="G829" s="3" t="str">
        <f>IF(A829&lt;&gt;C829,VLOOKUP(C829,$A$5:$D$9954,4,FALSE),"")</f>
        <v>Blackwood</v>
      </c>
      <c r="H829" s="17">
        <f>A829</f>
        <v>1244</v>
      </c>
      <c r="I829" s="17">
        <f>C829</f>
        <v>1261</v>
      </c>
      <c r="J829">
        <v>22</v>
      </c>
      <c r="K829" s="3" t="str">
        <f>VLOOKUP(J829,'LibSets constants'!$A$4:$B$1017,2,FALSE)</f>
        <v>DLC_BLACKWOOD</v>
      </c>
      <c r="L829" s="3" t="str">
        <f>VLOOKUP(J829,'LibSets constants'!$A$4:$C$1017,3,FALSE)</f>
        <v>Blackwood</v>
      </c>
    </row>
    <row r="830" spans="1:12" x14ac:dyDescent="0.25">
      <c r="A830">
        <v>1245</v>
      </c>
      <c r="B830">
        <v>820</v>
      </c>
      <c r="C830">
        <v>1261</v>
      </c>
      <c r="D830" t="s">
        <v>2421</v>
      </c>
      <c r="E830" t="str">
        <f>IF(NOT(ISERROR(VLOOKUP(D830,'ESO Dungeon constants'!$A$3:$A$9999,1,FALSE))),"X","")</f>
        <v/>
      </c>
      <c r="F830" s="3" t="str">
        <f>IF(EXACT(A830,C830),"X","")</f>
        <v/>
      </c>
      <c r="G830" s="3" t="str">
        <f>IF(A830&lt;&gt;C830,VLOOKUP(C830,$A$5:$D$9954,4,FALSE),"")</f>
        <v>Blackwood</v>
      </c>
      <c r="H830" s="17">
        <f>A830</f>
        <v>1245</v>
      </c>
      <c r="I830" s="17">
        <f>C830</f>
        <v>1261</v>
      </c>
      <c r="J830">
        <v>22</v>
      </c>
      <c r="K830" s="3" t="str">
        <f>VLOOKUP(J830,'LibSets constants'!$A$4:$B$1017,2,FALSE)</f>
        <v>DLC_BLACKWOOD</v>
      </c>
      <c r="L830" s="3" t="str">
        <f>VLOOKUP(J830,'LibSets constants'!$A$4:$C$1017,3,FALSE)</f>
        <v>Blackwood</v>
      </c>
    </row>
    <row r="831" spans="1:12" x14ac:dyDescent="0.25">
      <c r="A831">
        <v>1229</v>
      </c>
      <c r="B831">
        <v>807</v>
      </c>
      <c r="C831">
        <v>57</v>
      </c>
      <c r="D831" t="s">
        <v>2385</v>
      </c>
      <c r="E831" t="str">
        <f>IF(NOT(ISERROR(VLOOKUP(D831,'ESO Dungeon constants'!$A$3:$A$9999,1,FALSE))),"X","")</f>
        <v>X</v>
      </c>
      <c r="F831" s="3" t="str">
        <f>IF(EXACT(A831,C831),"X","")</f>
        <v/>
      </c>
      <c r="G831" s="3" t="str">
        <f>IF(A831&lt;&gt;C831,VLOOKUP(C831,$A$5:$D$9954,4,FALSE),"")</f>
        <v>Deshaan</v>
      </c>
      <c r="H831" s="17">
        <f>A831</f>
        <v>1229</v>
      </c>
      <c r="I831" s="17">
        <f>C831</f>
        <v>57</v>
      </c>
      <c r="J831">
        <f>IF(E831="X",VLOOKUP(D831,'ESO Dungeon constants'!$A$3:$H$9999,8,FALSE),0)</f>
        <v>22</v>
      </c>
      <c r="K831" s="3" t="str">
        <f>VLOOKUP(J831,'LibSets constants'!$A$4:$B$1017,2,FALSE)</f>
        <v>DLC_BLACKWOOD</v>
      </c>
      <c r="L831" s="3" t="str">
        <f>VLOOKUP(J831,'LibSets constants'!$A$4:$C$1017,3,FALSE)</f>
        <v>Blackwood</v>
      </c>
    </row>
    <row r="832" spans="1:12" x14ac:dyDescent="0.25">
      <c r="A832">
        <v>1246</v>
      </c>
      <c r="B832">
        <v>821</v>
      </c>
      <c r="C832">
        <v>1261</v>
      </c>
      <c r="D832" t="s">
        <v>2422</v>
      </c>
      <c r="E832" t="str">
        <f>IF(NOT(ISERROR(VLOOKUP(D832,'ESO Dungeon constants'!$A$3:$A$9999,1,FALSE))),"X","")</f>
        <v/>
      </c>
      <c r="F832" s="3" t="str">
        <f>IF(EXACT(A832,C832),"X","")</f>
        <v/>
      </c>
      <c r="G832" s="3" t="str">
        <f>IF(A832&lt;&gt;C832,VLOOKUP(C832,$A$5:$D$9954,4,FALSE),"")</f>
        <v>Blackwood</v>
      </c>
      <c r="H832" s="17">
        <f>A832</f>
        <v>1246</v>
      </c>
      <c r="I832" s="17">
        <f>C832</f>
        <v>1261</v>
      </c>
      <c r="J832">
        <v>22</v>
      </c>
      <c r="K832" s="3" t="str">
        <f>VLOOKUP(J832,'LibSets constants'!$A$4:$B$1017,2,FALSE)</f>
        <v>DLC_BLACKWOOD</v>
      </c>
      <c r="L832" s="3" t="str">
        <f>VLOOKUP(J832,'LibSets constants'!$A$4:$C$1017,3,FALSE)</f>
        <v>Blackwood</v>
      </c>
    </row>
    <row r="833" spans="1:12" x14ac:dyDescent="0.25">
      <c r="A833">
        <v>1247</v>
      </c>
      <c r="B833">
        <v>822</v>
      </c>
      <c r="C833">
        <v>1261</v>
      </c>
      <c r="D833" t="s">
        <v>2413</v>
      </c>
      <c r="E833" t="str">
        <f>IF(NOT(ISERROR(VLOOKUP(D833,'ESO Dungeon constants'!$A$3:$A$9999,1,FALSE))),"X","")</f>
        <v/>
      </c>
      <c r="F833" s="3" t="str">
        <f>IF(EXACT(A833,C833),"X","")</f>
        <v/>
      </c>
      <c r="G833" s="3" t="str">
        <f>IF(A833&lt;&gt;C833,VLOOKUP(C833,$A$5:$D$9954,4,FALSE),"")</f>
        <v>Blackwood</v>
      </c>
      <c r="H833" s="17">
        <f>A833</f>
        <v>1247</v>
      </c>
      <c r="I833" s="17">
        <f>C833</f>
        <v>1261</v>
      </c>
      <c r="J833">
        <v>22</v>
      </c>
      <c r="K833" s="3" t="str">
        <f>VLOOKUP(J833,'LibSets constants'!$A$4:$B$1017,2,FALSE)</f>
        <v>DLC_BLACKWOOD</v>
      </c>
      <c r="L833" s="3" t="str">
        <f>VLOOKUP(J833,'LibSets constants'!$A$4:$C$1017,3,FALSE)</f>
        <v>Blackwood</v>
      </c>
    </row>
    <row r="834" spans="1:12" x14ac:dyDescent="0.25">
      <c r="A834">
        <v>1248</v>
      </c>
      <c r="B834">
        <v>823</v>
      </c>
      <c r="C834">
        <v>1261</v>
      </c>
      <c r="D834" t="s">
        <v>2423</v>
      </c>
      <c r="E834" t="str">
        <f>IF(NOT(ISERROR(VLOOKUP(D834,'ESO Dungeon constants'!$A$3:$A$9999,1,FALSE))),"X","")</f>
        <v/>
      </c>
      <c r="F834" s="3" t="str">
        <f>IF(EXACT(A834,C834),"X","")</f>
        <v/>
      </c>
      <c r="G834" s="3" t="str">
        <f>IF(A834&lt;&gt;C834,VLOOKUP(C834,$A$5:$D$9954,4,FALSE),"")</f>
        <v>Blackwood</v>
      </c>
      <c r="H834" s="17">
        <f>A834</f>
        <v>1248</v>
      </c>
      <c r="I834" s="17">
        <f>C834</f>
        <v>1261</v>
      </c>
      <c r="J834">
        <v>22</v>
      </c>
      <c r="K834" s="3" t="str">
        <f>VLOOKUP(J834,'LibSets constants'!$A$4:$B$1017,2,FALSE)</f>
        <v>DLC_BLACKWOOD</v>
      </c>
      <c r="L834" s="3" t="str">
        <f>VLOOKUP(J834,'LibSets constants'!$A$4:$C$1017,3,FALSE)</f>
        <v>Blackwood</v>
      </c>
    </row>
    <row r="835" spans="1:12" x14ac:dyDescent="0.25">
      <c r="A835">
        <v>1249</v>
      </c>
      <c r="B835">
        <v>824</v>
      </c>
      <c r="C835">
        <v>1261</v>
      </c>
      <c r="D835" t="s">
        <v>2424</v>
      </c>
      <c r="E835" t="str">
        <f>IF(NOT(ISERROR(VLOOKUP(D835,'ESO Dungeon constants'!$A$3:$A$9999,1,FALSE))),"X","")</f>
        <v/>
      </c>
      <c r="F835" s="3" t="str">
        <f>IF(EXACT(A835,C835),"X","")</f>
        <v/>
      </c>
      <c r="G835" s="3" t="str">
        <f>IF(A835&lt;&gt;C835,VLOOKUP(C835,$A$5:$D$9954,4,FALSE),"")</f>
        <v>Blackwood</v>
      </c>
      <c r="H835" s="17">
        <f>A835</f>
        <v>1249</v>
      </c>
      <c r="I835" s="17">
        <f>C835</f>
        <v>1261</v>
      </c>
      <c r="J835">
        <v>22</v>
      </c>
      <c r="K835" s="3" t="str">
        <f>VLOOKUP(J835,'LibSets constants'!$A$4:$B$1017,2,FALSE)</f>
        <v>DLC_BLACKWOOD</v>
      </c>
      <c r="L835" s="3" t="str">
        <f>VLOOKUP(J835,'LibSets constants'!$A$4:$C$1017,3,FALSE)</f>
        <v>Blackwood</v>
      </c>
    </row>
    <row r="836" spans="1:12" x14ac:dyDescent="0.25">
      <c r="A836">
        <v>1250</v>
      </c>
      <c r="B836">
        <v>825</v>
      </c>
      <c r="C836">
        <v>1261</v>
      </c>
      <c r="D836" t="s">
        <v>2425</v>
      </c>
      <c r="E836" t="str">
        <f>IF(NOT(ISERROR(VLOOKUP(D836,'ESO Dungeon constants'!$A$3:$A$9999,1,FALSE))),"X","")</f>
        <v/>
      </c>
      <c r="F836" s="3" t="str">
        <f>IF(EXACT(A836,C836),"X","")</f>
        <v/>
      </c>
      <c r="G836" s="3" t="str">
        <f>IF(A836&lt;&gt;C836,VLOOKUP(C836,$A$5:$D$9954,4,FALSE),"")</f>
        <v>Blackwood</v>
      </c>
      <c r="H836" s="17">
        <f>A836</f>
        <v>1250</v>
      </c>
      <c r="I836" s="17">
        <f>C836</f>
        <v>1261</v>
      </c>
      <c r="J836">
        <v>22</v>
      </c>
      <c r="K836" s="3" t="str">
        <f>VLOOKUP(J836,'LibSets constants'!$A$4:$B$1017,2,FALSE)</f>
        <v>DLC_BLACKWOOD</v>
      </c>
      <c r="L836" s="3" t="str">
        <f>VLOOKUP(J836,'LibSets constants'!$A$4:$C$1017,3,FALSE)</f>
        <v>Blackwood</v>
      </c>
    </row>
    <row r="837" spans="1:12" x14ac:dyDescent="0.25">
      <c r="A837">
        <v>1251</v>
      </c>
      <c r="B837">
        <v>826</v>
      </c>
      <c r="C837">
        <v>1261</v>
      </c>
      <c r="D837" t="s">
        <v>2426</v>
      </c>
      <c r="E837" t="str">
        <f>IF(NOT(ISERROR(VLOOKUP(D837,'ESO Dungeon constants'!$A$3:$A$9999,1,FALSE))),"X","")</f>
        <v/>
      </c>
      <c r="F837" s="3" t="str">
        <f>IF(EXACT(A837,C837),"X","")</f>
        <v/>
      </c>
      <c r="G837" s="3" t="str">
        <f>IF(A837&lt;&gt;C837,VLOOKUP(C837,$A$5:$D$9954,4,FALSE),"")</f>
        <v>Blackwood</v>
      </c>
      <c r="H837" s="17">
        <f>A837</f>
        <v>1251</v>
      </c>
      <c r="I837" s="17">
        <f>C837</f>
        <v>1261</v>
      </c>
      <c r="J837">
        <v>22</v>
      </c>
      <c r="K837" s="3" t="str">
        <f>VLOOKUP(J837,'LibSets constants'!$A$4:$B$1017,2,FALSE)</f>
        <v>DLC_BLACKWOOD</v>
      </c>
      <c r="L837" s="3" t="str">
        <f>VLOOKUP(J837,'LibSets constants'!$A$4:$C$1017,3,FALSE)</f>
        <v>Blackwood</v>
      </c>
    </row>
    <row r="838" spans="1:12" x14ac:dyDescent="0.25">
      <c r="A838">
        <v>1252</v>
      </c>
      <c r="B838">
        <v>827</v>
      </c>
      <c r="C838">
        <v>1261</v>
      </c>
      <c r="D838" t="s">
        <v>2427</v>
      </c>
      <c r="E838" t="str">
        <f>IF(NOT(ISERROR(VLOOKUP(D838,'ESO Dungeon constants'!$A$3:$A$9999,1,FALSE))),"X","")</f>
        <v/>
      </c>
      <c r="F838" s="3" t="str">
        <f>IF(EXACT(A838,C838),"X","")</f>
        <v/>
      </c>
      <c r="G838" s="3" t="str">
        <f>IF(A838&lt;&gt;C838,VLOOKUP(C838,$A$5:$D$9954,4,FALSE),"")</f>
        <v>Blackwood</v>
      </c>
      <c r="H838" s="17">
        <f>A838</f>
        <v>1252</v>
      </c>
      <c r="I838" s="17">
        <f>C838</f>
        <v>1261</v>
      </c>
      <c r="J838">
        <v>22</v>
      </c>
      <c r="K838" s="3" t="str">
        <f>VLOOKUP(J838,'LibSets constants'!$A$4:$B$1017,2,FALSE)</f>
        <v>DLC_BLACKWOOD</v>
      </c>
      <c r="L838" s="3" t="str">
        <f>VLOOKUP(J838,'LibSets constants'!$A$4:$C$1017,3,FALSE)</f>
        <v>Blackwood</v>
      </c>
    </row>
    <row r="839" spans="1:12" x14ac:dyDescent="0.25">
      <c r="A839">
        <v>1253</v>
      </c>
      <c r="B839">
        <v>828</v>
      </c>
      <c r="C839">
        <v>1261</v>
      </c>
      <c r="D839" t="s">
        <v>2428</v>
      </c>
      <c r="E839" t="str">
        <f>IF(NOT(ISERROR(VLOOKUP(D839,'ESO Dungeon constants'!$A$3:$A$9999,1,FALSE))),"X","")</f>
        <v/>
      </c>
      <c r="F839" s="3" t="str">
        <f>IF(EXACT(A839,C839),"X","")</f>
        <v/>
      </c>
      <c r="G839" s="3" t="str">
        <f>IF(A839&lt;&gt;C839,VLOOKUP(C839,$A$5:$D$9954,4,FALSE),"")</f>
        <v>Blackwood</v>
      </c>
      <c r="H839" s="17">
        <f>A839</f>
        <v>1253</v>
      </c>
      <c r="I839" s="17">
        <f>C839</f>
        <v>1261</v>
      </c>
      <c r="J839">
        <v>22</v>
      </c>
      <c r="K839" s="3" t="str">
        <f>VLOOKUP(J839,'LibSets constants'!$A$4:$B$1017,2,FALSE)</f>
        <v>DLC_BLACKWOOD</v>
      </c>
      <c r="L839" s="3" t="str">
        <f>VLOOKUP(J839,'LibSets constants'!$A$4:$C$1017,3,FALSE)</f>
        <v>Blackwood</v>
      </c>
    </row>
    <row r="840" spans="1:12" x14ac:dyDescent="0.25">
      <c r="A840">
        <v>1254</v>
      </c>
      <c r="B840">
        <v>829</v>
      </c>
      <c r="C840">
        <v>1261</v>
      </c>
      <c r="D840" t="s">
        <v>2408</v>
      </c>
      <c r="E840" t="str">
        <f>IF(NOT(ISERROR(VLOOKUP(D840,'ESO Dungeon constants'!$A$3:$A$9999,1,FALSE))),"X","")</f>
        <v/>
      </c>
      <c r="F840" s="3" t="str">
        <f>IF(EXACT(A840,C840),"X","")</f>
        <v/>
      </c>
      <c r="G840" s="3" t="str">
        <f>IF(A840&lt;&gt;C840,VLOOKUP(C840,$A$5:$D$9954,4,FALSE),"")</f>
        <v>Blackwood</v>
      </c>
      <c r="H840" s="17">
        <f>A840</f>
        <v>1254</v>
      </c>
      <c r="I840" s="17">
        <f>C840</f>
        <v>1261</v>
      </c>
      <c r="J840">
        <v>22</v>
      </c>
      <c r="K840" s="3" t="str">
        <f>VLOOKUP(J840,'LibSets constants'!$A$4:$B$1017,2,FALSE)</f>
        <v>DLC_BLACKWOOD</v>
      </c>
      <c r="L840" s="3" t="str">
        <f>VLOOKUP(J840,'LibSets constants'!$A$4:$C$1017,3,FALSE)</f>
        <v>Blackwood</v>
      </c>
    </row>
    <row r="841" spans="1:12" x14ac:dyDescent="0.25">
      <c r="A841">
        <v>1255</v>
      </c>
      <c r="B841">
        <v>830</v>
      </c>
      <c r="C841">
        <v>1261</v>
      </c>
      <c r="D841" t="s">
        <v>2429</v>
      </c>
      <c r="E841" t="str">
        <f>IF(NOT(ISERROR(VLOOKUP(D841,'ESO Dungeon constants'!$A$3:$A$9999,1,FALSE))),"X","")</f>
        <v/>
      </c>
      <c r="F841" s="3" t="str">
        <f>IF(EXACT(A841,C841),"X","")</f>
        <v/>
      </c>
      <c r="G841" s="3" t="str">
        <f>IF(A841&lt;&gt;C841,VLOOKUP(C841,$A$5:$D$9954,4,FALSE),"")</f>
        <v>Blackwood</v>
      </c>
      <c r="H841" s="17">
        <f>A841</f>
        <v>1255</v>
      </c>
      <c r="I841" s="17">
        <f>C841</f>
        <v>1261</v>
      </c>
      <c r="J841">
        <v>22</v>
      </c>
      <c r="K841" s="3" t="str">
        <f>VLOOKUP(J841,'LibSets constants'!$A$4:$B$1017,2,FALSE)</f>
        <v>DLC_BLACKWOOD</v>
      </c>
      <c r="L841" s="3" t="str">
        <f>VLOOKUP(J841,'LibSets constants'!$A$4:$C$1017,3,FALSE)</f>
        <v>Blackwood</v>
      </c>
    </row>
    <row r="842" spans="1:12" x14ac:dyDescent="0.25">
      <c r="A842">
        <v>1256</v>
      </c>
      <c r="B842">
        <v>831</v>
      </c>
      <c r="C842">
        <v>1261</v>
      </c>
      <c r="D842" t="s">
        <v>2430</v>
      </c>
      <c r="E842" t="str">
        <f>IF(NOT(ISERROR(VLOOKUP(D842,'ESO Dungeon constants'!$A$3:$A$9999,1,FALSE))),"X","")</f>
        <v/>
      </c>
      <c r="F842" s="3" t="str">
        <f>IF(EXACT(A842,C842),"X","")</f>
        <v/>
      </c>
      <c r="G842" s="3" t="str">
        <f>IF(A842&lt;&gt;C842,VLOOKUP(C842,$A$5:$D$9954,4,FALSE),"")</f>
        <v>Blackwood</v>
      </c>
      <c r="H842" s="17">
        <f>A842</f>
        <v>1256</v>
      </c>
      <c r="I842" s="17">
        <f>C842</f>
        <v>1261</v>
      </c>
      <c r="J842">
        <v>22</v>
      </c>
      <c r="K842" s="3" t="str">
        <f>VLOOKUP(J842,'LibSets constants'!$A$4:$B$1017,2,FALSE)</f>
        <v>DLC_BLACKWOOD</v>
      </c>
      <c r="L842" s="3" t="str">
        <f>VLOOKUP(J842,'LibSets constants'!$A$4:$C$1017,3,FALSE)</f>
        <v>Blackwood</v>
      </c>
    </row>
    <row r="843" spans="1:12" x14ac:dyDescent="0.25">
      <c r="A843">
        <v>1257</v>
      </c>
      <c r="B843">
        <v>832</v>
      </c>
      <c r="C843">
        <v>1261</v>
      </c>
      <c r="D843" t="s">
        <v>2411</v>
      </c>
      <c r="E843" t="str">
        <f>IF(NOT(ISERROR(VLOOKUP(D843,'ESO Dungeon constants'!$A$3:$A$9999,1,FALSE))),"X","")</f>
        <v/>
      </c>
      <c r="F843" s="3" t="str">
        <f>IF(EXACT(A843,C843),"X","")</f>
        <v/>
      </c>
      <c r="G843" s="3" t="str">
        <f>IF(A843&lt;&gt;C843,VLOOKUP(C843,$A$5:$D$9954,4,FALSE),"")</f>
        <v>Blackwood</v>
      </c>
      <c r="H843" s="17">
        <f>A843</f>
        <v>1257</v>
      </c>
      <c r="I843" s="17">
        <f>C843</f>
        <v>1261</v>
      </c>
      <c r="J843">
        <v>22</v>
      </c>
      <c r="K843" s="3" t="str">
        <f>VLOOKUP(J843,'LibSets constants'!$A$4:$B$1017,2,FALSE)</f>
        <v>DLC_BLACKWOOD</v>
      </c>
      <c r="L843" s="3" t="str">
        <f>VLOOKUP(J843,'LibSets constants'!$A$4:$C$1017,3,FALSE)</f>
        <v>Blackwood</v>
      </c>
    </row>
    <row r="844" spans="1:12" x14ac:dyDescent="0.25">
      <c r="A844">
        <v>1258</v>
      </c>
      <c r="B844">
        <v>833</v>
      </c>
      <c r="C844">
        <v>1261</v>
      </c>
      <c r="D844" t="s">
        <v>2410</v>
      </c>
      <c r="E844" t="str">
        <f>IF(NOT(ISERROR(VLOOKUP(D844,'ESO Dungeon constants'!$A$3:$A$9999,1,FALSE))),"X","")</f>
        <v/>
      </c>
      <c r="F844" s="3" t="str">
        <f>IF(EXACT(A844,C844),"X","")</f>
        <v/>
      </c>
      <c r="G844" s="3" t="str">
        <f>IF(A844&lt;&gt;C844,VLOOKUP(C844,$A$5:$D$9954,4,FALSE),"")</f>
        <v>Blackwood</v>
      </c>
      <c r="H844" s="17">
        <f>A844</f>
        <v>1258</v>
      </c>
      <c r="I844" s="17">
        <f>C844</f>
        <v>1261</v>
      </c>
      <c r="J844">
        <v>22</v>
      </c>
      <c r="K844" s="3" t="str">
        <f>VLOOKUP(J844,'LibSets constants'!$A$4:$B$1017,2,FALSE)</f>
        <v>DLC_BLACKWOOD</v>
      </c>
      <c r="L844" s="3" t="str">
        <f>VLOOKUP(J844,'LibSets constants'!$A$4:$C$1017,3,FALSE)</f>
        <v>Blackwood</v>
      </c>
    </row>
    <row r="845" spans="1:12" x14ac:dyDescent="0.25">
      <c r="A845">
        <v>1259</v>
      </c>
      <c r="B845">
        <v>834</v>
      </c>
      <c r="C845">
        <v>1261</v>
      </c>
      <c r="D845" t="s">
        <v>2431</v>
      </c>
      <c r="E845" t="str">
        <f>IF(NOT(ISERROR(VLOOKUP(D845,'ESO Dungeon constants'!$A$3:$A$9999,1,FALSE))),"X","")</f>
        <v/>
      </c>
      <c r="F845" s="3" t="str">
        <f>IF(EXACT(A845,C845),"X","")</f>
        <v/>
      </c>
      <c r="G845" s="3" t="str">
        <f>IF(A845&lt;&gt;C845,VLOOKUP(C845,$A$5:$D$9954,4,FALSE),"")</f>
        <v>Blackwood</v>
      </c>
      <c r="H845" s="17">
        <f>A845</f>
        <v>1259</v>
      </c>
      <c r="I845" s="17">
        <f>C845</f>
        <v>1261</v>
      </c>
      <c r="J845">
        <v>22</v>
      </c>
      <c r="K845" s="3" t="str">
        <f>VLOOKUP(J845,'LibSets constants'!$A$4:$B$1017,2,FALSE)</f>
        <v>DLC_BLACKWOOD</v>
      </c>
      <c r="L845" s="3" t="str">
        <f>VLOOKUP(J845,'LibSets constants'!$A$4:$C$1017,3,FALSE)</f>
        <v>Blackwood</v>
      </c>
    </row>
    <row r="846" spans="1:12" x14ac:dyDescent="0.25">
      <c r="A846">
        <v>1260</v>
      </c>
      <c r="B846">
        <v>835</v>
      </c>
      <c r="C846">
        <v>1261</v>
      </c>
      <c r="D846" t="s">
        <v>2432</v>
      </c>
      <c r="E846" t="str">
        <f>IF(NOT(ISERROR(VLOOKUP(D846,'ESO Dungeon constants'!$A$3:$A$9999,1,FALSE))),"X","")</f>
        <v/>
      </c>
      <c r="F846" s="3" t="str">
        <f>IF(EXACT(A846,C846),"X","")</f>
        <v/>
      </c>
      <c r="G846" s="3" t="str">
        <f>IF(A846&lt;&gt;C846,VLOOKUP(C846,$A$5:$D$9954,4,FALSE),"")</f>
        <v>Blackwood</v>
      </c>
      <c r="H846" s="17">
        <f>A846</f>
        <v>1260</v>
      </c>
      <c r="I846" s="17">
        <f>C846</f>
        <v>1261</v>
      </c>
      <c r="J846">
        <v>22</v>
      </c>
      <c r="K846" s="3" t="str">
        <f>VLOOKUP(J846,'LibSets constants'!$A$4:$B$1017,2,FALSE)</f>
        <v>DLC_BLACKWOOD</v>
      </c>
      <c r="L846" s="3" t="str">
        <f>VLOOKUP(J846,'LibSets constants'!$A$4:$C$1017,3,FALSE)</f>
        <v>Blackwood</v>
      </c>
    </row>
    <row r="847" spans="1:12" x14ac:dyDescent="0.25">
      <c r="A847">
        <v>1261</v>
      </c>
      <c r="B847">
        <v>836</v>
      </c>
      <c r="C847">
        <v>1261</v>
      </c>
      <c r="D847" t="s">
        <v>2378</v>
      </c>
      <c r="E847" t="str">
        <f>IF(NOT(ISERROR(VLOOKUP(D847,'ESO Dungeon constants'!$A$3:$A$9999,1,FALSE))),"X","")</f>
        <v/>
      </c>
      <c r="F847" s="3" t="str">
        <f>IF(EXACT(A847,C847),"X","")</f>
        <v>X</v>
      </c>
      <c r="G847" s="3" t="str">
        <f>IF(A847&lt;&gt;C847,VLOOKUP(C847,$A$5:$D$9954,4,FALSE),"")</f>
        <v/>
      </c>
      <c r="H847" s="17">
        <f>A847</f>
        <v>1261</v>
      </c>
      <c r="I847" s="17">
        <f>C847</f>
        <v>1261</v>
      </c>
      <c r="J847">
        <v>14</v>
      </c>
      <c r="K847" s="3" t="str">
        <f>VLOOKUP(J847,'LibSets constants'!$A$4:$B$1017,2,FALSE)</f>
        <v>DLC_ELSWEYR</v>
      </c>
      <c r="L847" s="3" t="str">
        <f>VLOOKUP(J847,'LibSets constants'!$A$4:$C$1017,3,FALSE)</f>
        <v>Elsweyr</v>
      </c>
    </row>
    <row r="848" spans="1:12" x14ac:dyDescent="0.25">
      <c r="A848">
        <v>1262</v>
      </c>
      <c r="B848">
        <v>837</v>
      </c>
      <c r="C848">
        <v>19</v>
      </c>
      <c r="D848" t="s">
        <v>2390</v>
      </c>
      <c r="E848" t="str">
        <f>IF(NOT(ISERROR(VLOOKUP(D848,'ESO Dungeon constants'!$A$3:$A$9999,1,FALSE))),"X","")</f>
        <v/>
      </c>
      <c r="F848" s="3" t="str">
        <f>IF(EXACT(A848,C848),"X","")</f>
        <v/>
      </c>
      <c r="G848" s="3" t="str">
        <f>IF(A848&lt;&gt;C848,VLOOKUP(C848,$A$5:$D$9954,4,FALSE),"")</f>
        <v>Stormhaven</v>
      </c>
      <c r="H848" s="17">
        <f>A848</f>
        <v>1262</v>
      </c>
      <c r="I848" s="17">
        <f>C848</f>
        <v>19</v>
      </c>
      <c r="J848">
        <v>0</v>
      </c>
      <c r="K848" s="3" t="str">
        <f>VLOOKUP(J848,'LibSets constants'!$A$4:$B$1017,2,FALSE)</f>
        <v>DLC_BASE_GAME</v>
      </c>
      <c r="L848" s="3" t="str">
        <f>VLOOKUP(J848,'LibSets constants'!$A$4:$C$1017,3,FALSE)</f>
        <v>Included in base game</v>
      </c>
    </row>
    <row r="849" spans="1:12" x14ac:dyDescent="0.25">
      <c r="A849">
        <v>1263</v>
      </c>
      <c r="B849">
        <v>838</v>
      </c>
      <c r="C849">
        <v>1261</v>
      </c>
      <c r="D849" t="s">
        <v>2433</v>
      </c>
      <c r="E849" t="str">
        <f>IF(NOT(ISERROR(VLOOKUP(D849,'ESO Dungeon constants'!$A$3:$A$9999,1,FALSE))),"X","")</f>
        <v/>
      </c>
      <c r="F849" s="3" t="str">
        <f>IF(EXACT(A849,C849),"X","")</f>
        <v/>
      </c>
      <c r="G849" s="3" t="str">
        <f>IF(A849&lt;&gt;C849,VLOOKUP(C849,$A$5:$D$9954,4,FALSE),"")</f>
        <v>Blackwood</v>
      </c>
      <c r="H849" s="17">
        <f>A849</f>
        <v>1263</v>
      </c>
      <c r="I849" s="17">
        <f>C849</f>
        <v>1261</v>
      </c>
      <c r="J849">
        <v>22</v>
      </c>
      <c r="K849" s="3" t="str">
        <f>VLOOKUP(J849,'LibSets constants'!$A$4:$B$1017,2,FALSE)</f>
        <v>DLC_BLACKWOOD</v>
      </c>
      <c r="L849" s="3" t="str">
        <f>VLOOKUP(J849,'LibSets constants'!$A$4:$C$1017,3,FALSE)</f>
        <v>Blackwood</v>
      </c>
    </row>
    <row r="850" spans="1:12" x14ac:dyDescent="0.25">
      <c r="A850">
        <v>1264</v>
      </c>
      <c r="B850">
        <v>839</v>
      </c>
      <c r="C850">
        <v>1207</v>
      </c>
      <c r="D850" t="s">
        <v>2201</v>
      </c>
      <c r="E850" t="str">
        <f>IF(NOT(ISERROR(VLOOKUP(D850,'ESO Dungeon constants'!$A$3:$A$9999,1,FALSE))),"X","")</f>
        <v/>
      </c>
      <c r="F850" s="3" t="str">
        <f>IF(EXACT(A850,C850),"X","")</f>
        <v/>
      </c>
      <c r="G850" s="3" t="str">
        <f>IF(A850&lt;&gt;C850,VLOOKUP(C850,$A$5:$D$9954,4,FALSE),"")</f>
        <v>The Reach</v>
      </c>
      <c r="H850" s="17">
        <f>A850</f>
        <v>1264</v>
      </c>
      <c r="I850" s="17">
        <f>C850</f>
        <v>1207</v>
      </c>
      <c r="J850">
        <v>20</v>
      </c>
      <c r="K850" s="3" t="str">
        <f>VLOOKUP(J850,'LibSets constants'!$A$4:$B$1017,2,FALSE)</f>
        <v>DLC_MARKARTH</v>
      </c>
      <c r="L850" s="3" t="str">
        <f>VLOOKUP(J850,'LibSets constants'!$A$4:$C$1017,3,FALSE)</f>
        <v>Markarth</v>
      </c>
    </row>
    <row r="851" spans="1:12" x14ac:dyDescent="0.25">
      <c r="A851">
        <v>1265</v>
      </c>
      <c r="B851">
        <v>840</v>
      </c>
      <c r="C851">
        <v>1160</v>
      </c>
      <c r="D851" t="s">
        <v>2200</v>
      </c>
      <c r="E851" t="str">
        <f>IF(NOT(ISERROR(VLOOKUP(D851,'ESO Dungeon constants'!$A$3:$A$9999,1,FALSE))),"X","")</f>
        <v/>
      </c>
      <c r="F851" s="3" t="str">
        <f>IF(EXACT(A851,C851),"X","")</f>
        <v/>
      </c>
      <c r="G851" s="3" t="str">
        <f>IF(A851&lt;&gt;C851,VLOOKUP(C851,$A$5:$D$9954,4,FALSE),"")</f>
        <v>Western Skyrim</v>
      </c>
      <c r="H851" s="17">
        <f>A851</f>
        <v>1265</v>
      </c>
      <c r="I851" s="17">
        <f>C851</f>
        <v>1160</v>
      </c>
      <c r="J851">
        <v>18</v>
      </c>
      <c r="K851" s="3" t="str">
        <f>VLOOKUP(J851,'LibSets constants'!$A$4:$B$1017,2,FALSE)</f>
        <v>DLC_GREYMOOR</v>
      </c>
      <c r="L851" s="3" t="str">
        <f>VLOOKUP(J851,'LibSets constants'!$A$4:$C$1017,3,FALSE)</f>
        <v>Greymoor</v>
      </c>
    </row>
    <row r="852" spans="1:12" x14ac:dyDescent="0.25">
      <c r="A852">
        <v>1266</v>
      </c>
      <c r="B852">
        <v>841</v>
      </c>
      <c r="C852">
        <v>1261</v>
      </c>
      <c r="D852" t="s">
        <v>2409</v>
      </c>
      <c r="E852" t="str">
        <f>IF(NOT(ISERROR(VLOOKUP(D852,'ESO Dungeon constants'!$A$3:$A$9999,1,FALSE))),"X","")</f>
        <v/>
      </c>
      <c r="F852" s="3" t="str">
        <f>IF(EXACT(A852,C852),"X","")</f>
        <v/>
      </c>
      <c r="G852" s="3" t="str">
        <f>IF(A852&lt;&gt;C852,VLOOKUP(C852,$A$5:$D$9954,4,FALSE),"")</f>
        <v>Blackwood</v>
      </c>
      <c r="H852" s="17">
        <f>A852</f>
        <v>1266</v>
      </c>
      <c r="I852" s="17">
        <f>C852</f>
        <v>1261</v>
      </c>
      <c r="J852">
        <v>22</v>
      </c>
      <c r="K852" s="3" t="str">
        <f>VLOOKUP(J852,'LibSets constants'!$A$4:$B$1017,2,FALSE)</f>
        <v>DLC_BLACKWOOD</v>
      </c>
      <c r="L852" s="3" t="str">
        <f>VLOOKUP(J852,'LibSets constants'!$A$4:$C$1017,3,FALSE)</f>
        <v>Blackwood</v>
      </c>
    </row>
    <row r="853" spans="1:12" x14ac:dyDescent="0.25">
      <c r="A853">
        <v>1268</v>
      </c>
      <c r="B853">
        <v>843</v>
      </c>
      <c r="C853">
        <v>1261</v>
      </c>
      <c r="D853" t="s">
        <v>2491</v>
      </c>
      <c r="E853" t="str">
        <f>IF(NOT(ISERROR(VLOOKUP(D853,'ESO Dungeon constants'!$A$3:$A$9999,1,FALSE))),"X","")</f>
        <v/>
      </c>
      <c r="F853" s="3" t="str">
        <f>IF(EXACT(A853,C853),"X","")</f>
        <v/>
      </c>
      <c r="G853" s="3" t="str">
        <f>IF(A853&lt;&gt;C853,VLOOKUP(C853,$A$5:$D$9954,4,FALSE),"")</f>
        <v>Blackwood</v>
      </c>
      <c r="H853" s="17">
        <f>A853</f>
        <v>1268</v>
      </c>
      <c r="I853" s="17">
        <f>C853</f>
        <v>1261</v>
      </c>
      <c r="J853">
        <v>22</v>
      </c>
      <c r="K853" s="3" t="str">
        <f>VLOOKUP(J853,'LibSets constants'!$A$4:$B$1017,2,FALSE)</f>
        <v>DLC_BLACKWOOD</v>
      </c>
      <c r="L853" s="3" t="str">
        <f>VLOOKUP(J853,'LibSets constants'!$A$4:$C$1017,3,FALSE)</f>
        <v>Blackwood</v>
      </c>
    </row>
    <row r="854" spans="1:12" x14ac:dyDescent="0.25">
      <c r="A854">
        <v>1270</v>
      </c>
      <c r="B854">
        <v>844</v>
      </c>
      <c r="C854">
        <v>849</v>
      </c>
      <c r="D854" t="s">
        <v>2389</v>
      </c>
      <c r="E854" t="str">
        <f>IF(NOT(ISERROR(VLOOKUP(D854,'ESO Dungeon constants'!$A$3:$A$9999,1,FALSE))),"X","")</f>
        <v/>
      </c>
      <c r="F854" s="3" t="str">
        <f>IF(EXACT(A854,C854),"X","")</f>
        <v/>
      </c>
      <c r="G854" s="3" t="str">
        <f>IF(A854&lt;&gt;C854,VLOOKUP(C854,$A$5:$D$9954,4,FALSE),"")</f>
        <v>Vvardenfell</v>
      </c>
      <c r="H854" s="17">
        <f>A854</f>
        <v>1270</v>
      </c>
      <c r="I854" s="17">
        <f>C854</f>
        <v>849</v>
      </c>
      <c r="J854">
        <v>6</v>
      </c>
      <c r="K854" s="3" t="str">
        <f>VLOOKUP(J854,'LibSets constants'!$A$4:$B$1017,2,FALSE)</f>
        <v>DLC_MORROWIND</v>
      </c>
      <c r="L854" s="3" t="str">
        <f>VLOOKUP(J854,'LibSets constants'!$A$4:$C$1017,3,FALSE)</f>
        <v>Morrowind</v>
      </c>
    </row>
    <row r="855" spans="1:12" x14ac:dyDescent="0.25">
      <c r="A855">
        <v>1271</v>
      </c>
      <c r="B855">
        <v>845</v>
      </c>
      <c r="C855">
        <v>823</v>
      </c>
      <c r="D855" t="s">
        <v>2388</v>
      </c>
      <c r="E855" t="str">
        <f>IF(NOT(ISERROR(VLOOKUP(D855,'ESO Dungeon constants'!$A$3:$A$9999,1,FALSE))),"X","")</f>
        <v/>
      </c>
      <c r="F855" s="3" t="str">
        <f>IF(EXACT(A855,C855),"X","")</f>
        <v/>
      </c>
      <c r="G855" s="3" t="str">
        <f>IF(A855&lt;&gt;C855,VLOOKUP(C855,$A$5:$D$9954,4,FALSE),"")</f>
        <v>Gold Coast</v>
      </c>
      <c r="H855" s="17">
        <f>A855</f>
        <v>1271</v>
      </c>
      <c r="I855" s="17">
        <f>C855</f>
        <v>823</v>
      </c>
      <c r="J855">
        <v>4</v>
      </c>
      <c r="K855" s="3" t="str">
        <f>VLOOKUP(J855,'LibSets constants'!$A$4:$B$1017,2,FALSE)</f>
        <v>DLC_DARK_BROTHERHOOD</v>
      </c>
      <c r="L855" s="3" t="str">
        <f>VLOOKUP(J855,'LibSets constants'!$A$4:$C$1017,3,FALSE)</f>
        <v>Dark Brotherhood</v>
      </c>
    </row>
    <row r="856" spans="1:12" x14ac:dyDescent="0.25">
      <c r="A856">
        <v>1272</v>
      </c>
      <c r="B856">
        <v>846</v>
      </c>
      <c r="C856">
        <v>1261</v>
      </c>
      <c r="D856" t="s">
        <v>3893</v>
      </c>
      <c r="E856" t="str">
        <f>IF(NOT(ISERROR(VLOOKUP(D856,'ESO Dungeon constants'!$A$3:$A$9999,1,FALSE))),"X","")</f>
        <v/>
      </c>
      <c r="F856" s="3" t="str">
        <f>IF(EXACT(A856,C856),"X","")</f>
        <v/>
      </c>
      <c r="G856" s="3" t="str">
        <f>IF(A856&lt;&gt;C856,VLOOKUP(C856,$A$5:$D$9954,4,FALSE),"")</f>
        <v>Blackwood</v>
      </c>
      <c r="H856" s="17">
        <f>A856</f>
        <v>1272</v>
      </c>
      <c r="I856" s="17">
        <f>C856</f>
        <v>1261</v>
      </c>
      <c r="J856">
        <v>22</v>
      </c>
      <c r="K856" s="3" t="str">
        <f>VLOOKUP(J856,'LibSets constants'!$A$4:$B$1017,2,FALSE)</f>
        <v>DLC_BLACKWOOD</v>
      </c>
      <c r="L856" s="3" t="str">
        <f>VLOOKUP(J856,'LibSets constants'!$A$4:$C$1017,3,FALSE)</f>
        <v>Blackwood</v>
      </c>
    </row>
    <row r="857" spans="1:12" x14ac:dyDescent="0.25">
      <c r="A857">
        <v>1274</v>
      </c>
      <c r="B857">
        <v>847</v>
      </c>
      <c r="C857">
        <v>3</v>
      </c>
      <c r="D857" t="s">
        <v>2495</v>
      </c>
      <c r="E857" t="str">
        <f>IF(NOT(ISERROR(VLOOKUP(D857,'ESO Dungeon constants'!$A$3:$A$9999,1,FALSE))),"X","")</f>
        <v/>
      </c>
      <c r="F857" s="3" t="str">
        <f>IF(EXACT(A857,C857),"X","")</f>
        <v/>
      </c>
      <c r="G857" s="3" t="str">
        <f>IF(A857&lt;&gt;C857,VLOOKUP(C857,$A$5:$D$9954,4,FALSE),"")</f>
        <v>Glenumbra</v>
      </c>
      <c r="H857" s="17">
        <f>A857</f>
        <v>1274</v>
      </c>
      <c r="I857" s="17">
        <f>C857</f>
        <v>3</v>
      </c>
      <c r="J857">
        <v>0</v>
      </c>
      <c r="K857" s="3" t="str">
        <f>VLOOKUP(J857,'LibSets constants'!$A$4:$B$1017,2,FALSE)</f>
        <v>DLC_BASE_GAME</v>
      </c>
      <c r="L857" s="3" t="str">
        <f>VLOOKUP(J857,'LibSets constants'!$A$4:$C$1017,3,FALSE)</f>
        <v>Included in base game</v>
      </c>
    </row>
    <row r="858" spans="1:12" x14ac:dyDescent="0.25">
      <c r="A858">
        <v>1275</v>
      </c>
      <c r="B858">
        <v>848</v>
      </c>
      <c r="C858">
        <v>1261</v>
      </c>
      <c r="D858" t="s">
        <v>2435</v>
      </c>
      <c r="E858" t="str">
        <f>IF(NOT(ISERROR(VLOOKUP(D858,'ESO Dungeon constants'!$A$3:$A$9999,1,FALSE))),"X","")</f>
        <v/>
      </c>
      <c r="F858" s="3" t="str">
        <f>IF(EXACT(A858,C858),"X","")</f>
        <v/>
      </c>
      <c r="G858" s="3" t="str">
        <f>IF(A858&lt;&gt;C858,VLOOKUP(C858,$A$5:$D$9954,4,FALSE),"")</f>
        <v>Blackwood</v>
      </c>
      <c r="H858" s="17">
        <f>A858</f>
        <v>1275</v>
      </c>
      <c r="I858" s="17">
        <f>C858</f>
        <v>1261</v>
      </c>
      <c r="J858">
        <v>22</v>
      </c>
      <c r="K858" s="3" t="str">
        <f>VLOOKUP(J858,'LibSets constants'!$A$4:$B$1017,2,FALSE)</f>
        <v>DLC_BLACKWOOD</v>
      </c>
      <c r="L858" s="3" t="str">
        <f>VLOOKUP(J858,'LibSets constants'!$A$4:$C$1017,3,FALSE)</f>
        <v>Blackwood</v>
      </c>
    </row>
    <row r="859" spans="1:12" x14ac:dyDescent="0.25">
      <c r="A859">
        <v>1276</v>
      </c>
      <c r="B859">
        <v>849</v>
      </c>
      <c r="C859">
        <v>1261</v>
      </c>
      <c r="D859" t="s">
        <v>2436</v>
      </c>
      <c r="E859" t="str">
        <f>IF(NOT(ISERROR(VLOOKUP(D859,'ESO Dungeon constants'!$A$3:$A$9999,1,FALSE))),"X","")</f>
        <v/>
      </c>
      <c r="F859" s="3" t="str">
        <f>IF(EXACT(A859,C859),"X","")</f>
        <v/>
      </c>
      <c r="G859" s="3" t="str">
        <f>IF(A859&lt;&gt;C859,VLOOKUP(C859,$A$5:$D$9954,4,FALSE),"")</f>
        <v>Blackwood</v>
      </c>
      <c r="H859" s="17">
        <f>A859</f>
        <v>1276</v>
      </c>
      <c r="I859" s="17">
        <f>C859</f>
        <v>1261</v>
      </c>
      <c r="J859">
        <v>22</v>
      </c>
      <c r="K859" s="3" t="str">
        <f>VLOOKUP(J859,'LibSets constants'!$A$4:$B$1017,2,FALSE)</f>
        <v>DLC_BLACKWOOD</v>
      </c>
      <c r="L859" s="3" t="str">
        <f>VLOOKUP(J859,'LibSets constants'!$A$4:$C$1017,3,FALSE)</f>
        <v>Blackwood</v>
      </c>
    </row>
    <row r="860" spans="1:12" x14ac:dyDescent="0.25">
      <c r="A860">
        <v>1277</v>
      </c>
      <c r="B860">
        <v>850</v>
      </c>
      <c r="C860">
        <v>1261</v>
      </c>
      <c r="D860" t="s">
        <v>2407</v>
      </c>
      <c r="E860" t="str">
        <f>IF(NOT(ISERROR(VLOOKUP(D860,'ESO Dungeon constants'!$A$3:$A$9999,1,FALSE))),"X","")</f>
        <v/>
      </c>
      <c r="F860" s="3" t="str">
        <f>IF(EXACT(A860,C860),"X","")</f>
        <v/>
      </c>
      <c r="G860" s="3" t="str">
        <f>IF(A860&lt;&gt;C860,VLOOKUP(C860,$A$5:$D$9954,4,FALSE),"")</f>
        <v>Blackwood</v>
      </c>
      <c r="H860" s="17">
        <f>A860</f>
        <v>1277</v>
      </c>
      <c r="I860" s="17">
        <f>C860</f>
        <v>1261</v>
      </c>
      <c r="J860">
        <v>22</v>
      </c>
      <c r="K860" s="3" t="str">
        <f>VLOOKUP(J860,'LibSets constants'!$A$4:$B$1017,2,FALSE)</f>
        <v>DLC_BLACKWOOD</v>
      </c>
      <c r="L860" s="3" t="str">
        <f>VLOOKUP(J860,'LibSets constants'!$A$4:$C$1017,3,FALSE)</f>
        <v>Blackwood</v>
      </c>
    </row>
    <row r="861" spans="1:12" x14ac:dyDescent="0.25">
      <c r="A861">
        <v>1278</v>
      </c>
      <c r="B861">
        <v>851</v>
      </c>
      <c r="C861">
        <v>108</v>
      </c>
      <c r="D861" t="s">
        <v>2494</v>
      </c>
      <c r="E861" t="str">
        <f>IF(NOT(ISERROR(VLOOKUP(D861,'ESO Dungeon constants'!$A$3:$A$9999,1,FALSE))),"X","")</f>
        <v/>
      </c>
      <c r="F861" s="3" t="str">
        <f>IF(EXACT(A861,C861),"X","")</f>
        <v/>
      </c>
      <c r="G861" s="3" t="str">
        <f>IF(A861&lt;&gt;C861,VLOOKUP(C861,$A$5:$D$9954,4,FALSE),"")</f>
        <v>Greenshade</v>
      </c>
      <c r="H861" s="17">
        <f>A861</f>
        <v>1278</v>
      </c>
      <c r="I861" s="17">
        <f>C861</f>
        <v>108</v>
      </c>
      <c r="J861">
        <v>0</v>
      </c>
      <c r="K861" s="3" t="str">
        <f>VLOOKUP(J861,'LibSets constants'!$A$4:$B$1017,2,FALSE)</f>
        <v>DLC_BASE_GAME</v>
      </c>
      <c r="L861" s="3" t="str">
        <f>VLOOKUP(J861,'LibSets constants'!$A$4:$C$1017,3,FALSE)</f>
        <v>Included in base game</v>
      </c>
    </row>
    <row r="862" spans="1:12" x14ac:dyDescent="0.25">
      <c r="A862">
        <v>1279</v>
      </c>
      <c r="B862">
        <v>852</v>
      </c>
      <c r="C862">
        <v>108</v>
      </c>
      <c r="D862" t="s">
        <v>2493</v>
      </c>
      <c r="E862" t="str">
        <f>IF(NOT(ISERROR(VLOOKUP(D862,'ESO Dungeon constants'!$A$3:$A$9999,1,FALSE))),"X","")</f>
        <v/>
      </c>
      <c r="F862" s="3" t="str">
        <f>IF(EXACT(A862,C862),"X","")</f>
        <v/>
      </c>
      <c r="G862" s="3" t="str">
        <f>IF(A862&lt;&gt;C862,VLOOKUP(C862,$A$5:$D$9954,4,FALSE),"")</f>
        <v>Greenshade</v>
      </c>
      <c r="H862" s="17">
        <f>A862</f>
        <v>1279</v>
      </c>
      <c r="I862" s="17">
        <f>C862</f>
        <v>108</v>
      </c>
      <c r="J862">
        <v>0</v>
      </c>
      <c r="K862" s="3" t="str">
        <f>VLOOKUP(J862,'LibSets constants'!$A$4:$B$1017,2,FALSE)</f>
        <v>DLC_BASE_GAME</v>
      </c>
      <c r="L862" s="3" t="str">
        <f>VLOOKUP(J862,'LibSets constants'!$A$4:$C$1017,3,FALSE)</f>
        <v>Included in base game</v>
      </c>
    </row>
    <row r="863" spans="1:12" x14ac:dyDescent="0.25">
      <c r="A863">
        <v>1280</v>
      </c>
      <c r="B863">
        <v>853</v>
      </c>
      <c r="C863">
        <v>108</v>
      </c>
      <c r="D863" t="s">
        <v>2496</v>
      </c>
      <c r="E863" t="str">
        <f>IF(NOT(ISERROR(VLOOKUP(D863,'ESO Dungeon constants'!$A$3:$A$9999,1,FALSE))),"X","")</f>
        <v/>
      </c>
      <c r="F863" s="3" t="str">
        <f>IF(EXACT(A863,C863),"X","")</f>
        <v/>
      </c>
      <c r="G863" s="3" t="str">
        <f>IF(A863&lt;&gt;C863,VLOOKUP(C863,$A$5:$D$9954,4,FALSE),"")</f>
        <v>Greenshade</v>
      </c>
      <c r="H863" s="17">
        <f>A863</f>
        <v>1280</v>
      </c>
      <c r="I863" s="17">
        <f>C863</f>
        <v>108</v>
      </c>
      <c r="J863">
        <v>0</v>
      </c>
      <c r="K863" s="3" t="str">
        <f>VLOOKUP(J863,'LibSets constants'!$A$4:$B$1017,2,FALSE)</f>
        <v>DLC_BASE_GAME</v>
      </c>
      <c r="L863" s="3" t="str">
        <f>VLOOKUP(J863,'LibSets constants'!$A$4:$C$1017,3,FALSE)</f>
        <v>Included in base game</v>
      </c>
    </row>
    <row r="864" spans="1:12" x14ac:dyDescent="0.25">
      <c r="A864">
        <v>1281</v>
      </c>
      <c r="B864">
        <v>854</v>
      </c>
      <c r="C864">
        <v>108</v>
      </c>
      <c r="D864" t="s">
        <v>2496</v>
      </c>
      <c r="E864" t="str">
        <f>IF(NOT(ISERROR(VLOOKUP(D864,'ESO Dungeon constants'!$A$3:$A$9999,1,FALSE))),"X","")</f>
        <v/>
      </c>
      <c r="F864" s="3" t="str">
        <f>IF(EXACT(A864,C864),"X","")</f>
        <v/>
      </c>
      <c r="G864" s="3" t="str">
        <f>IF(A864&lt;&gt;C864,VLOOKUP(C864,$A$5:$D$9954,4,FALSE),"")</f>
        <v>Greenshade</v>
      </c>
      <c r="H864" s="17">
        <f>A864</f>
        <v>1281</v>
      </c>
      <c r="I864" s="17">
        <f>C864</f>
        <v>108</v>
      </c>
      <c r="J864">
        <v>0</v>
      </c>
      <c r="K864" s="3" t="str">
        <f>VLOOKUP(J864,'LibSets constants'!$A$4:$B$1017,2,FALSE)</f>
        <v>DLC_BASE_GAME</v>
      </c>
      <c r="L864" s="3" t="str">
        <f>VLOOKUP(J864,'LibSets constants'!$A$4:$C$1017,3,FALSE)</f>
        <v>Included in base game</v>
      </c>
    </row>
    <row r="865" spans="1:12" x14ac:dyDescent="0.25">
      <c r="A865">
        <v>1282</v>
      </c>
      <c r="B865">
        <v>855</v>
      </c>
      <c r="C865">
        <v>1282</v>
      </c>
      <c r="D865" t="s">
        <v>2670</v>
      </c>
      <c r="E865" t="str">
        <f>IF(NOT(ISERROR(VLOOKUP(D865,'ESO Dungeon constants'!$A$3:$A$9999,1,FALSE))),"X","")</f>
        <v/>
      </c>
      <c r="F865" s="3" t="str">
        <f>IF(EXACT(A865,C865),"X","")</f>
        <v>X</v>
      </c>
      <c r="G865" s="3" t="str">
        <f>IF(A865&lt;&gt;C865,VLOOKUP(C865,$A$5:$D$9954,4,FALSE),"")</f>
        <v/>
      </c>
      <c r="H865" s="17">
        <f>A865</f>
        <v>1282</v>
      </c>
      <c r="I865" s="17">
        <f>C865</f>
        <v>1282</v>
      </c>
      <c r="J865">
        <v>13</v>
      </c>
      <c r="K865" s="3" t="str">
        <f>VLOOKUP(J865,'LibSets constants'!$A$4:$B$1017,2,FALSE)</f>
        <v>DLC_WRATHSTONE</v>
      </c>
      <c r="L865" s="3" t="str">
        <f>VLOOKUP(J865,'LibSets constants'!$A$4:$C$1017,3,FALSE)</f>
        <v>Wrathstone</v>
      </c>
    </row>
    <row r="866" spans="1:12" x14ac:dyDescent="0.25">
      <c r="A866">
        <v>1283</v>
      </c>
      <c r="B866">
        <v>856</v>
      </c>
      <c r="C866">
        <v>1282</v>
      </c>
      <c r="D866" t="s">
        <v>2671</v>
      </c>
      <c r="E866" t="str">
        <f>IF(NOT(ISERROR(VLOOKUP(D866,'ESO Dungeon constants'!$A$3:$A$9999,1,FALSE))),"X","")</f>
        <v/>
      </c>
      <c r="F866" s="3" t="str">
        <f>IF(EXACT(A866,C866),"X","")</f>
        <v/>
      </c>
      <c r="G866" s="3" t="str">
        <f>IF(A866&lt;&gt;C866,VLOOKUP(C866,$A$5:$D$9954,4,FALSE),"")</f>
        <v>Fargrave</v>
      </c>
      <c r="H866" s="17">
        <f>A866</f>
        <v>1283</v>
      </c>
      <c r="I866" s="17">
        <f>C866</f>
        <v>1282</v>
      </c>
      <c r="J866">
        <v>24</v>
      </c>
      <c r="K866" s="3" t="str">
        <f>VLOOKUP(J866,'LibSets constants'!$A$4:$B$1017,2,FALSE)</f>
        <v>DLC_DEADLANDS</v>
      </c>
      <c r="L866" s="3" t="str">
        <f>VLOOKUP(J866,'LibSets constants'!$A$4:$C$1017,3,FALSE)</f>
        <v>The Deadlands</v>
      </c>
    </row>
    <row r="867" spans="1:12" x14ac:dyDescent="0.25">
      <c r="A867">
        <v>1284</v>
      </c>
      <c r="B867">
        <v>857</v>
      </c>
      <c r="C867">
        <v>1282</v>
      </c>
      <c r="D867" t="s">
        <v>2685</v>
      </c>
      <c r="E867" t="str">
        <f>IF(NOT(ISERROR(VLOOKUP(D867,'ESO Dungeon constants'!$A$3:$A$9999,1,FALSE))),"X","")</f>
        <v/>
      </c>
      <c r="F867" s="3" t="str">
        <f>IF(EXACT(A867,C867),"X","")</f>
        <v/>
      </c>
      <c r="G867" s="3" t="str">
        <f>IF(A867&lt;&gt;C867,VLOOKUP(C867,$A$5:$D$9954,4,FALSE),"")</f>
        <v>Fargrave</v>
      </c>
      <c r="H867" s="17">
        <f>A867</f>
        <v>1284</v>
      </c>
      <c r="I867" s="17">
        <f>C867</f>
        <v>1282</v>
      </c>
      <c r="J867">
        <v>24</v>
      </c>
      <c r="K867" s="3" t="str">
        <f>VLOOKUP(J867,'LibSets constants'!$A$4:$B$1017,2,FALSE)</f>
        <v>DLC_DEADLANDS</v>
      </c>
      <c r="L867" s="3" t="str">
        <f>VLOOKUP(J867,'LibSets constants'!$A$4:$C$1017,3,FALSE)</f>
        <v>The Deadlands</v>
      </c>
    </row>
    <row r="868" spans="1:12" x14ac:dyDescent="0.25">
      <c r="A868">
        <v>1285</v>
      </c>
      <c r="B868">
        <v>858</v>
      </c>
      <c r="C868">
        <v>1286</v>
      </c>
      <c r="D868" t="s">
        <v>2684</v>
      </c>
      <c r="E868" t="str">
        <f>IF(NOT(ISERROR(VLOOKUP(D868,'ESO Dungeon constants'!$A$3:$A$9999,1,FALSE))),"X","")</f>
        <v/>
      </c>
      <c r="F868" s="3" t="str">
        <f>IF(EXACT(A868,C868),"X","")</f>
        <v/>
      </c>
      <c r="G868" s="3" t="str">
        <f>IF(A868&lt;&gt;C868,VLOOKUP(C868,$A$5:$D$9954,4,FALSE),"")</f>
        <v>The Deadlands</v>
      </c>
      <c r="H868" s="17">
        <f>A868</f>
        <v>1285</v>
      </c>
      <c r="I868" s="17">
        <f>C868</f>
        <v>1286</v>
      </c>
      <c r="J868">
        <v>24</v>
      </c>
      <c r="K868" s="3" t="str">
        <f>VLOOKUP(J868,'LibSets constants'!$A$4:$B$1017,2,FALSE)</f>
        <v>DLC_DEADLANDS</v>
      </c>
      <c r="L868" s="3" t="str">
        <f>VLOOKUP(J868,'LibSets constants'!$A$4:$C$1017,3,FALSE)</f>
        <v>The Deadlands</v>
      </c>
    </row>
    <row r="869" spans="1:12" x14ac:dyDescent="0.25">
      <c r="A869">
        <v>1286</v>
      </c>
      <c r="B869">
        <v>859</v>
      </c>
      <c r="C869">
        <v>1286</v>
      </c>
      <c r="D869" t="s">
        <v>2434</v>
      </c>
      <c r="E869" t="str">
        <f>IF(NOT(ISERROR(VLOOKUP(D869,'ESO Dungeon constants'!$A$3:$A$9999,1,FALSE))),"X","")</f>
        <v/>
      </c>
      <c r="F869" s="3" t="str">
        <f>IF(EXACT(A869,C869),"X","")</f>
        <v>X</v>
      </c>
      <c r="G869" s="3" t="str">
        <f>IF(A869&lt;&gt;C869,VLOOKUP(C869,$A$5:$D$9954,4,FALSE),"")</f>
        <v/>
      </c>
      <c r="H869" s="17">
        <f>A869</f>
        <v>1286</v>
      </c>
      <c r="I869" s="17">
        <f>C869</f>
        <v>1286</v>
      </c>
      <c r="J869">
        <v>0</v>
      </c>
      <c r="K869" s="3" t="str">
        <f>VLOOKUP(J869,'LibSets constants'!$A$4:$B$1017,2,FALSE)</f>
        <v>DLC_BASE_GAME</v>
      </c>
      <c r="L869" s="3" t="str">
        <f>VLOOKUP(J869,'LibSets constants'!$A$4:$C$1017,3,FALSE)</f>
        <v>Included in base game</v>
      </c>
    </row>
    <row r="870" spans="1:12" x14ac:dyDescent="0.25">
      <c r="A870">
        <v>1287</v>
      </c>
      <c r="B870">
        <v>860</v>
      </c>
      <c r="C870">
        <v>1286</v>
      </c>
      <c r="D870" t="s">
        <v>2683</v>
      </c>
      <c r="E870" t="str">
        <f>IF(NOT(ISERROR(VLOOKUP(D870,'ESO Dungeon constants'!$A$3:$A$9999,1,FALSE))),"X","")</f>
        <v/>
      </c>
      <c r="F870" s="3" t="str">
        <f>IF(EXACT(A870,C870),"X","")</f>
        <v/>
      </c>
      <c r="G870" s="3" t="str">
        <f>IF(A870&lt;&gt;C870,VLOOKUP(C870,$A$5:$D$9954,4,FALSE),"")</f>
        <v>The Deadlands</v>
      </c>
      <c r="H870" s="17">
        <f>A870</f>
        <v>1287</v>
      </c>
      <c r="I870" s="17">
        <f>C870</f>
        <v>1286</v>
      </c>
      <c r="J870">
        <v>24</v>
      </c>
      <c r="K870" s="3" t="str">
        <f>VLOOKUP(J870,'LibSets constants'!$A$4:$B$1017,2,FALSE)</f>
        <v>DLC_DEADLANDS</v>
      </c>
      <c r="L870" s="3" t="str">
        <f>VLOOKUP(J870,'LibSets constants'!$A$4:$C$1017,3,FALSE)</f>
        <v>The Deadlands</v>
      </c>
    </row>
    <row r="871" spans="1:12" x14ac:dyDescent="0.25">
      <c r="A871">
        <v>1289</v>
      </c>
      <c r="B871">
        <v>861</v>
      </c>
      <c r="C871">
        <v>1286</v>
      </c>
      <c r="D871" t="s">
        <v>2682</v>
      </c>
      <c r="E871" t="str">
        <f>IF(NOT(ISERROR(VLOOKUP(D871,'ESO Dungeon constants'!$A$3:$A$9999,1,FALSE))),"X","")</f>
        <v/>
      </c>
      <c r="F871" s="3" t="str">
        <f>IF(EXACT(A871,C871),"X","")</f>
        <v/>
      </c>
      <c r="G871" s="3" t="str">
        <f>IF(A871&lt;&gt;C871,VLOOKUP(C871,$A$5:$D$9954,4,FALSE),"")</f>
        <v>The Deadlands</v>
      </c>
      <c r="H871" s="17">
        <f>A871</f>
        <v>1289</v>
      </c>
      <c r="I871" s="17">
        <f>C871</f>
        <v>1286</v>
      </c>
      <c r="J871">
        <v>24</v>
      </c>
      <c r="K871" s="3" t="str">
        <f>VLOOKUP(J871,'LibSets constants'!$A$4:$B$1017,2,FALSE)</f>
        <v>DLC_DEADLANDS</v>
      </c>
      <c r="L871" s="3" t="str">
        <f>VLOOKUP(J871,'LibSets constants'!$A$4:$C$1017,3,FALSE)</f>
        <v>The Deadlands</v>
      </c>
    </row>
    <row r="872" spans="1:12" x14ac:dyDescent="0.25">
      <c r="A872">
        <v>1290</v>
      </c>
      <c r="B872">
        <v>862</v>
      </c>
      <c r="C872">
        <v>1286</v>
      </c>
      <c r="D872" t="s">
        <v>2681</v>
      </c>
      <c r="E872" t="str">
        <f>IF(NOT(ISERROR(VLOOKUP(D872,'ESO Dungeon constants'!$A$3:$A$9999,1,FALSE))),"X","")</f>
        <v/>
      </c>
      <c r="F872" s="3" t="str">
        <f>IF(EXACT(A872,C872),"X","")</f>
        <v/>
      </c>
      <c r="G872" s="3" t="str">
        <f>IF(A872&lt;&gt;C872,VLOOKUP(C872,$A$5:$D$9954,4,FALSE),"")</f>
        <v>The Deadlands</v>
      </c>
      <c r="H872" s="17">
        <f>A872</f>
        <v>1290</v>
      </c>
      <c r="I872" s="17">
        <f>C872</f>
        <v>1286</v>
      </c>
      <c r="J872">
        <v>24</v>
      </c>
      <c r="K872" s="3" t="str">
        <f>VLOOKUP(J872,'LibSets constants'!$A$4:$B$1017,2,FALSE)</f>
        <v>DLC_DEADLANDS</v>
      </c>
      <c r="L872" s="3" t="str">
        <f>VLOOKUP(J872,'LibSets constants'!$A$4:$C$1017,3,FALSE)</f>
        <v>The Deadlands</v>
      </c>
    </row>
    <row r="873" spans="1:12" x14ac:dyDescent="0.25">
      <c r="A873">
        <v>1291</v>
      </c>
      <c r="B873">
        <v>863</v>
      </c>
      <c r="C873">
        <v>1286</v>
      </c>
      <c r="D873" t="s">
        <v>2680</v>
      </c>
      <c r="E873" t="str">
        <f>IF(NOT(ISERROR(VLOOKUP(D873,'ESO Dungeon constants'!$A$3:$A$9999,1,FALSE))),"X","")</f>
        <v/>
      </c>
      <c r="F873" s="3" t="str">
        <f>IF(EXACT(A873,C873),"X","")</f>
        <v/>
      </c>
      <c r="G873" s="3" t="str">
        <f>IF(A873&lt;&gt;C873,VLOOKUP(C873,$A$5:$D$9954,4,FALSE),"")</f>
        <v>The Deadlands</v>
      </c>
      <c r="H873" s="17">
        <f>A873</f>
        <v>1291</v>
      </c>
      <c r="I873" s="17">
        <f>C873</f>
        <v>1286</v>
      </c>
      <c r="J873">
        <v>24</v>
      </c>
      <c r="K873" s="3" t="str">
        <f>VLOOKUP(J873,'LibSets constants'!$A$4:$B$1017,2,FALSE)</f>
        <v>DLC_DEADLANDS</v>
      </c>
      <c r="L873" s="3" t="str">
        <f>VLOOKUP(J873,'LibSets constants'!$A$4:$C$1017,3,FALSE)</f>
        <v>The Deadlands</v>
      </c>
    </row>
    <row r="874" spans="1:12" x14ac:dyDescent="0.25">
      <c r="A874">
        <v>1292</v>
      </c>
      <c r="B874">
        <v>864</v>
      </c>
      <c r="C874">
        <v>1286</v>
      </c>
      <c r="D874" t="s">
        <v>2679</v>
      </c>
      <c r="E874" t="str">
        <f>IF(NOT(ISERROR(VLOOKUP(D874,'ESO Dungeon constants'!$A$3:$A$9999,1,FALSE))),"X","")</f>
        <v/>
      </c>
      <c r="F874" s="3" t="str">
        <f>IF(EXACT(A874,C874),"X","")</f>
        <v/>
      </c>
      <c r="G874" s="3" t="str">
        <f>IF(A874&lt;&gt;C874,VLOOKUP(C874,$A$5:$D$9954,4,FALSE),"")</f>
        <v>The Deadlands</v>
      </c>
      <c r="H874" s="17">
        <f>A874</f>
        <v>1292</v>
      </c>
      <c r="I874" s="17">
        <f>C874</f>
        <v>1286</v>
      </c>
      <c r="J874">
        <v>24</v>
      </c>
      <c r="K874" s="3" t="str">
        <f>VLOOKUP(J874,'LibSets constants'!$A$4:$B$1017,2,FALSE)</f>
        <v>DLC_DEADLANDS</v>
      </c>
      <c r="L874" s="3" t="str">
        <f>VLOOKUP(J874,'LibSets constants'!$A$4:$C$1017,3,FALSE)</f>
        <v>The Deadlands</v>
      </c>
    </row>
    <row r="875" spans="1:12" x14ac:dyDescent="0.25">
      <c r="A875">
        <v>1293</v>
      </c>
      <c r="B875">
        <v>865</v>
      </c>
      <c r="C875">
        <v>1282</v>
      </c>
      <c r="D875" t="s">
        <v>2678</v>
      </c>
      <c r="E875" t="str">
        <f>IF(NOT(ISERROR(VLOOKUP(D875,'ESO Dungeon constants'!$A$3:$A$9999,1,FALSE))),"X","")</f>
        <v/>
      </c>
      <c r="F875" s="3" t="str">
        <f>IF(EXACT(A875,C875),"X","")</f>
        <v/>
      </c>
      <c r="G875" s="3" t="str">
        <f>IF(A875&lt;&gt;C875,VLOOKUP(C875,$A$5:$D$9954,4,FALSE),"")</f>
        <v>Fargrave</v>
      </c>
      <c r="H875" s="17">
        <f>A875</f>
        <v>1293</v>
      </c>
      <c r="I875" s="17">
        <f>C875</f>
        <v>1282</v>
      </c>
      <c r="J875">
        <v>24</v>
      </c>
      <c r="K875" s="3" t="str">
        <f>VLOOKUP(J875,'LibSets constants'!$A$4:$B$1017,2,FALSE)</f>
        <v>DLC_DEADLANDS</v>
      </c>
      <c r="L875" s="3" t="str">
        <f>VLOOKUP(J875,'LibSets constants'!$A$4:$C$1017,3,FALSE)</f>
        <v>The Deadlands</v>
      </c>
    </row>
    <row r="876" spans="1:12" x14ac:dyDescent="0.25">
      <c r="A876">
        <v>1294</v>
      </c>
      <c r="B876">
        <v>866</v>
      </c>
      <c r="C876">
        <v>1286</v>
      </c>
      <c r="D876" t="s">
        <v>2677</v>
      </c>
      <c r="E876" t="str">
        <f>IF(NOT(ISERROR(VLOOKUP(D876,'ESO Dungeon constants'!$A$3:$A$9999,1,FALSE))),"X","")</f>
        <v/>
      </c>
      <c r="F876" s="3" t="str">
        <f>IF(EXACT(A876,C876),"X","")</f>
        <v/>
      </c>
      <c r="G876" s="3" t="str">
        <f>IF(A876&lt;&gt;C876,VLOOKUP(C876,$A$5:$D$9954,4,FALSE),"")</f>
        <v>The Deadlands</v>
      </c>
      <c r="H876" s="17">
        <f>A876</f>
        <v>1294</v>
      </c>
      <c r="I876" s="17">
        <f>C876</f>
        <v>1286</v>
      </c>
      <c r="J876">
        <v>24</v>
      </c>
      <c r="K876" s="3" t="str">
        <f>VLOOKUP(J876,'LibSets constants'!$A$4:$B$1017,2,FALSE)</f>
        <v>DLC_DEADLANDS</v>
      </c>
      <c r="L876" s="3" t="str">
        <f>VLOOKUP(J876,'LibSets constants'!$A$4:$C$1017,3,FALSE)</f>
        <v>The Deadlands</v>
      </c>
    </row>
    <row r="877" spans="1:12" x14ac:dyDescent="0.25">
      <c r="A877">
        <v>1295</v>
      </c>
      <c r="B877">
        <v>867</v>
      </c>
      <c r="C877">
        <v>1286</v>
      </c>
      <c r="D877" t="s">
        <v>2676</v>
      </c>
      <c r="E877" t="str">
        <f>IF(NOT(ISERROR(VLOOKUP(D877,'ESO Dungeon constants'!$A$3:$A$9999,1,FALSE))),"X","")</f>
        <v/>
      </c>
      <c r="F877" s="3" t="str">
        <f>IF(EXACT(A877,C877),"X","")</f>
        <v/>
      </c>
      <c r="G877" s="3" t="str">
        <f>IF(A877&lt;&gt;C877,VLOOKUP(C877,$A$5:$D$9954,4,FALSE),"")</f>
        <v>The Deadlands</v>
      </c>
      <c r="H877" s="17">
        <f>A877</f>
        <v>1295</v>
      </c>
      <c r="I877" s="17">
        <f>C877</f>
        <v>1286</v>
      </c>
      <c r="J877">
        <v>24</v>
      </c>
      <c r="K877" s="3" t="str">
        <f>VLOOKUP(J877,'LibSets constants'!$A$4:$B$1017,2,FALSE)</f>
        <v>DLC_DEADLANDS</v>
      </c>
      <c r="L877" s="3" t="str">
        <f>VLOOKUP(J877,'LibSets constants'!$A$4:$C$1017,3,FALSE)</f>
        <v>The Deadlands</v>
      </c>
    </row>
    <row r="878" spans="1:12" x14ac:dyDescent="0.25">
      <c r="A878">
        <v>1296</v>
      </c>
      <c r="B878">
        <v>868</v>
      </c>
      <c r="C878">
        <v>1286</v>
      </c>
      <c r="D878" t="s">
        <v>2675</v>
      </c>
      <c r="E878" t="str">
        <f>IF(NOT(ISERROR(VLOOKUP(D878,'ESO Dungeon constants'!$A$3:$A$9999,1,FALSE))),"X","")</f>
        <v/>
      </c>
      <c r="F878" s="3" t="str">
        <f>IF(EXACT(A878,C878),"X","")</f>
        <v/>
      </c>
      <c r="G878" s="3" t="str">
        <f>IF(A878&lt;&gt;C878,VLOOKUP(C878,$A$5:$D$9954,4,FALSE),"")</f>
        <v>The Deadlands</v>
      </c>
      <c r="H878" s="17">
        <f>A878</f>
        <v>1296</v>
      </c>
      <c r="I878" s="17">
        <f>C878</f>
        <v>1286</v>
      </c>
      <c r="J878">
        <v>24</v>
      </c>
      <c r="K878" s="3" t="str">
        <f>VLOOKUP(J878,'LibSets constants'!$A$4:$B$1017,2,FALSE)</f>
        <v>DLC_DEADLANDS</v>
      </c>
      <c r="L878" s="3" t="str">
        <f>VLOOKUP(J878,'LibSets constants'!$A$4:$C$1017,3,FALSE)</f>
        <v>The Deadlands</v>
      </c>
    </row>
    <row r="879" spans="1:12" x14ac:dyDescent="0.25">
      <c r="A879">
        <v>1297</v>
      </c>
      <c r="B879">
        <v>869</v>
      </c>
      <c r="C879">
        <v>1286</v>
      </c>
      <c r="D879" t="s">
        <v>3900</v>
      </c>
      <c r="E879" t="str">
        <f>IF(NOT(ISERROR(VLOOKUP(D879,'ESO Dungeon constants'!$A$3:$A$9999,1,FALSE))),"X","")</f>
        <v/>
      </c>
      <c r="F879" s="3" t="str">
        <f>IF(EXACT(A879,C879),"X","")</f>
        <v/>
      </c>
      <c r="G879" s="3" t="str">
        <f>IF(A879&lt;&gt;C879,VLOOKUP(C879,$A$5:$D$9954,4,FALSE),"")</f>
        <v>The Deadlands</v>
      </c>
      <c r="H879" s="17">
        <f>A879</f>
        <v>1297</v>
      </c>
      <c r="I879" s="17">
        <f>C879</f>
        <v>1286</v>
      </c>
      <c r="J879">
        <v>24</v>
      </c>
      <c r="K879" s="3" t="str">
        <f>VLOOKUP(J879,'LibSets constants'!$A$4:$B$1017,2,FALSE)</f>
        <v>DLC_DEADLANDS</v>
      </c>
      <c r="L879" s="3" t="str">
        <f>VLOOKUP(J879,'LibSets constants'!$A$4:$C$1017,3,FALSE)</f>
        <v>The Deadlands</v>
      </c>
    </row>
    <row r="880" spans="1:12" x14ac:dyDescent="0.25">
      <c r="A880">
        <v>1298</v>
      </c>
      <c r="B880">
        <v>870</v>
      </c>
      <c r="C880">
        <v>1286</v>
      </c>
      <c r="D880" t="s">
        <v>2674</v>
      </c>
      <c r="E880" t="str">
        <f>IF(NOT(ISERROR(VLOOKUP(D880,'ESO Dungeon constants'!$A$3:$A$9999,1,FALSE))),"X","")</f>
        <v/>
      </c>
      <c r="F880" s="3" t="str">
        <f>IF(EXACT(A880,C880),"X","")</f>
        <v/>
      </c>
      <c r="G880" s="3" t="str">
        <f>IF(A880&lt;&gt;C880,VLOOKUP(C880,$A$5:$D$9954,4,FALSE),"")</f>
        <v>The Deadlands</v>
      </c>
      <c r="H880" s="17">
        <f>A880</f>
        <v>1298</v>
      </c>
      <c r="I880" s="17">
        <f>C880</f>
        <v>1286</v>
      </c>
      <c r="J880">
        <v>24</v>
      </c>
      <c r="K880" s="3" t="str">
        <f>VLOOKUP(J880,'LibSets constants'!$A$4:$B$1017,2,FALSE)</f>
        <v>DLC_DEADLANDS</v>
      </c>
      <c r="L880" s="3" t="str">
        <f>VLOOKUP(J880,'LibSets constants'!$A$4:$C$1017,3,FALSE)</f>
        <v>The Deadlands</v>
      </c>
    </row>
    <row r="881" spans="1:12" x14ac:dyDescent="0.25">
      <c r="A881">
        <v>1300</v>
      </c>
      <c r="B881">
        <v>871</v>
      </c>
      <c r="C881">
        <v>1286</v>
      </c>
      <c r="D881" t="s">
        <v>2673</v>
      </c>
      <c r="E881" t="str">
        <f>IF(NOT(ISERROR(VLOOKUP(D881,'ESO Dungeon constants'!$A$3:$A$9999,1,FALSE))),"X","")</f>
        <v/>
      </c>
      <c r="F881" s="3" t="str">
        <f>IF(EXACT(A881,C881),"X","")</f>
        <v/>
      </c>
      <c r="G881" s="3" t="str">
        <f>IF(A881&lt;&gt;C881,VLOOKUP(C881,$A$5:$D$9954,4,FALSE),"")</f>
        <v>The Deadlands</v>
      </c>
      <c r="H881" s="17">
        <f>A881</f>
        <v>1300</v>
      </c>
      <c r="I881" s="17">
        <f>C881</f>
        <v>1286</v>
      </c>
      <c r="J881">
        <v>24</v>
      </c>
      <c r="K881" s="3" t="str">
        <f>VLOOKUP(J881,'LibSets constants'!$A$4:$B$1017,2,FALSE)</f>
        <v>DLC_DEADLANDS</v>
      </c>
      <c r="L881" s="3" t="str">
        <f>VLOOKUP(J881,'LibSets constants'!$A$4:$C$1017,3,FALSE)</f>
        <v>The Deadlands</v>
      </c>
    </row>
    <row r="882" spans="1:12" x14ac:dyDescent="0.25">
      <c r="A882">
        <v>1304</v>
      </c>
      <c r="B882">
        <v>874</v>
      </c>
      <c r="C882">
        <v>1282</v>
      </c>
      <c r="D882" t="s">
        <v>2672</v>
      </c>
      <c r="E882" t="str">
        <f>IF(NOT(ISERROR(VLOOKUP(D882,'ESO Dungeon constants'!$A$3:$A$9999,1,FALSE))),"X","")</f>
        <v/>
      </c>
      <c r="F882" s="3" t="str">
        <f>IF(EXACT(A882,C882),"X","")</f>
        <v/>
      </c>
      <c r="G882" s="3" t="str">
        <f>IF(A882&lt;&gt;C882,VLOOKUP(C882,$A$5:$D$9954,4,FALSE),"")</f>
        <v>Fargrave</v>
      </c>
      <c r="H882" s="17">
        <f>A882</f>
        <v>1304</v>
      </c>
      <c r="I882" s="17">
        <f>C882</f>
        <v>1282</v>
      </c>
      <c r="J882">
        <v>24</v>
      </c>
      <c r="K882" s="3" t="str">
        <f>VLOOKUP(J882,'LibSets constants'!$A$4:$B$1017,2,FALSE)</f>
        <v>DLC_DEADLANDS</v>
      </c>
      <c r="L882" s="3" t="str">
        <f>VLOOKUP(J882,'LibSets constants'!$A$4:$C$1017,3,FALSE)</f>
        <v>The Deadlands</v>
      </c>
    </row>
    <row r="883" spans="1:12" x14ac:dyDescent="0.25">
      <c r="A883">
        <v>1306</v>
      </c>
      <c r="B883">
        <v>875</v>
      </c>
      <c r="C883">
        <v>58</v>
      </c>
      <c r="D883" t="s">
        <v>2492</v>
      </c>
      <c r="E883" t="str">
        <f>IF(NOT(ISERROR(VLOOKUP(D883,'ESO Dungeon constants'!$A$3:$A$9999,1,FALSE))),"X","")</f>
        <v/>
      </c>
      <c r="F883" s="3" t="str">
        <f>IF(EXACT(A883,C883),"X","")</f>
        <v/>
      </c>
      <c r="G883" s="3" t="str">
        <f>IF(A883&lt;&gt;C883,VLOOKUP(C883,$A$5:$D$9954,4,FALSE),"")</f>
        <v>Malabal Tor</v>
      </c>
      <c r="H883" s="17">
        <f>A883</f>
        <v>1306</v>
      </c>
      <c r="I883" s="17">
        <f>C883</f>
        <v>58</v>
      </c>
      <c r="J883">
        <v>0</v>
      </c>
      <c r="K883" s="3" t="str">
        <f>VLOOKUP(J883,'LibSets constants'!$A$4:$B$1017,2,FALSE)</f>
        <v>DLC_BASE_GAME</v>
      </c>
      <c r="L883" s="3" t="str">
        <f>VLOOKUP(J883,'LibSets constants'!$A$4:$C$1017,3,FALSE)</f>
        <v>Included in base game</v>
      </c>
    </row>
    <row r="884" spans="1:12" x14ac:dyDescent="0.25">
      <c r="A884">
        <v>1307</v>
      </c>
      <c r="B884">
        <v>876</v>
      </c>
      <c r="C884">
        <v>1261</v>
      </c>
      <c r="D884" t="s">
        <v>2497</v>
      </c>
      <c r="E884" t="str">
        <f>IF(NOT(ISERROR(VLOOKUP(D884,'ESO Dungeon constants'!$A$3:$A$9999,1,FALSE))),"X","")</f>
        <v/>
      </c>
      <c r="F884" s="3" t="str">
        <f>IF(EXACT(A884,C884),"X","")</f>
        <v/>
      </c>
      <c r="G884" s="3" t="str">
        <f>IF(A884&lt;&gt;C884,VLOOKUP(C884,$A$5:$D$9954,4,FALSE),"")</f>
        <v>Blackwood</v>
      </c>
      <c r="H884" s="17">
        <f>A884</f>
        <v>1307</v>
      </c>
      <c r="I884" s="17">
        <f>C884</f>
        <v>1261</v>
      </c>
      <c r="J884">
        <v>22</v>
      </c>
      <c r="K884" s="3" t="str">
        <f>VLOOKUP(J884,'LibSets constants'!$A$4:$B$1017,2,FALSE)</f>
        <v>DLC_BLACKWOOD</v>
      </c>
      <c r="L884" s="3" t="str">
        <f>VLOOKUP(J884,'LibSets constants'!$A$4:$C$1017,3,FALSE)</f>
        <v>Blackwood</v>
      </c>
    </row>
    <row r="885" spans="1:12" x14ac:dyDescent="0.25">
      <c r="A885">
        <v>1310</v>
      </c>
      <c r="B885">
        <v>877</v>
      </c>
      <c r="C885">
        <v>1286</v>
      </c>
      <c r="D885" t="s">
        <v>3893</v>
      </c>
      <c r="E885" t="str">
        <f>IF(NOT(ISERROR(VLOOKUP(D885,'ESO Dungeon constants'!$A$3:$A$9999,1,FALSE))),"X","")</f>
        <v/>
      </c>
      <c r="F885" s="3" t="str">
        <f>IF(EXACT(A885,C885),"X","")</f>
        <v/>
      </c>
      <c r="G885" s="3" t="str">
        <f>IF(A885&lt;&gt;C885,VLOOKUP(C885,$A$5:$D$9954,4,FALSE),"")</f>
        <v>The Deadlands</v>
      </c>
      <c r="H885" s="17">
        <f>A885</f>
        <v>1310</v>
      </c>
      <c r="I885" s="17">
        <f>C885</f>
        <v>1286</v>
      </c>
      <c r="J885">
        <v>24</v>
      </c>
      <c r="K885" s="3" t="str">
        <f>VLOOKUP(J885,'LibSets constants'!$A$4:$B$1017,2,FALSE)</f>
        <v>DLC_DEADLANDS</v>
      </c>
      <c r="L885" s="3" t="str">
        <f>VLOOKUP(J885,'LibSets constants'!$A$4:$C$1017,3,FALSE)</f>
        <v>The Deadlands</v>
      </c>
    </row>
    <row r="886" spans="1:12" x14ac:dyDescent="0.25">
      <c r="A886">
        <v>1311</v>
      </c>
      <c r="B886">
        <v>878</v>
      </c>
      <c r="C886">
        <v>849</v>
      </c>
      <c r="D886" t="s">
        <v>2717</v>
      </c>
      <c r="E886" t="str">
        <f>IF(NOT(ISERROR(VLOOKUP(D886,'ESO Dungeon constants'!$A$3:$A$9999,1,FALSE))),"X","")</f>
        <v/>
      </c>
      <c r="F886" s="3" t="str">
        <f>IF(EXACT(A886,C886),"X","")</f>
        <v/>
      </c>
      <c r="G886" s="3" t="str">
        <f>IF(A886&lt;&gt;C886,VLOOKUP(C886,$A$5:$D$9954,4,FALSE),"")</f>
        <v>Vvardenfell</v>
      </c>
      <c r="H886" s="17">
        <f>A886</f>
        <v>1311</v>
      </c>
      <c r="I886" s="17">
        <f>C886</f>
        <v>849</v>
      </c>
      <c r="J886">
        <v>6</v>
      </c>
      <c r="K886" s="3" t="str">
        <f>VLOOKUP(J886,'LibSets constants'!$A$4:$B$1017,2,FALSE)</f>
        <v>DLC_MORROWIND</v>
      </c>
      <c r="L886" s="3" t="str">
        <f>VLOOKUP(J886,'LibSets constants'!$A$4:$C$1017,3,FALSE)</f>
        <v>Morrowind</v>
      </c>
    </row>
    <row r="887" spans="1:12" x14ac:dyDescent="0.25">
      <c r="A887">
        <v>1312</v>
      </c>
      <c r="B887">
        <v>879</v>
      </c>
      <c r="C887">
        <v>849</v>
      </c>
      <c r="D887" t="s">
        <v>2720</v>
      </c>
      <c r="E887" t="str">
        <f>IF(NOT(ISERROR(VLOOKUP(D887,'ESO Dungeon constants'!$A$3:$A$9999,1,FALSE))),"X","")</f>
        <v/>
      </c>
      <c r="F887" s="3" t="str">
        <f>IF(EXACT(A887,C887),"X","")</f>
        <v/>
      </c>
      <c r="G887" s="3" t="str">
        <f>IF(A887&lt;&gt;C887,VLOOKUP(C887,$A$5:$D$9954,4,FALSE),"")</f>
        <v>Vvardenfell</v>
      </c>
      <c r="H887" s="17">
        <f>A887</f>
        <v>1312</v>
      </c>
      <c r="I887" s="17">
        <f>C887</f>
        <v>849</v>
      </c>
      <c r="J887">
        <v>6</v>
      </c>
      <c r="K887" s="3" t="str">
        <f>VLOOKUP(J887,'LibSets constants'!$A$4:$B$1017,2,FALSE)</f>
        <v>DLC_MORROWIND</v>
      </c>
      <c r="L887" s="3" t="str">
        <f>VLOOKUP(J887,'LibSets constants'!$A$4:$C$1017,3,FALSE)</f>
        <v>Morrowind</v>
      </c>
    </row>
    <row r="888" spans="1:12" x14ac:dyDescent="0.25">
      <c r="A888">
        <v>1313</v>
      </c>
      <c r="B888">
        <v>880</v>
      </c>
      <c r="C888">
        <v>1318</v>
      </c>
      <c r="D888" t="s">
        <v>3357</v>
      </c>
      <c r="E888" t="str">
        <f>IF(NOT(ISERROR(VLOOKUP(D888,'ESO Dungeon constants'!$A$3:$A$9999,1,FALSE))),"X","")</f>
        <v/>
      </c>
      <c r="F888" s="3" t="str">
        <f>IF(EXACT(A888,C888),"X","")</f>
        <v/>
      </c>
      <c r="G888" s="3" t="str">
        <f>IF(A888&lt;&gt;C888,VLOOKUP(C888,$A$5:$D$9954,4,FALSE),"")</f>
        <v>High Isle</v>
      </c>
      <c r="H888" s="17">
        <f>A888</f>
        <v>1313</v>
      </c>
      <c r="I888" s="17">
        <f>C888</f>
        <v>1318</v>
      </c>
      <c r="J888">
        <v>26</v>
      </c>
      <c r="K888" s="3" t="str">
        <f>VLOOKUP(J888,'LibSets constants'!$A$4:$B$1017,2,FALSE)</f>
        <v>DLC_HIGH_ISLE</v>
      </c>
      <c r="L888" s="3" t="str">
        <f>VLOOKUP(J888,'LibSets constants'!$A$4:$C$1017,3,FALSE)</f>
        <v>High Isle</v>
      </c>
    </row>
    <row r="889" spans="1:12" x14ac:dyDescent="0.25">
      <c r="A889">
        <v>1314</v>
      </c>
      <c r="B889">
        <v>881</v>
      </c>
      <c r="C889">
        <v>3</v>
      </c>
      <c r="D889" t="s">
        <v>2719</v>
      </c>
      <c r="E889" t="str">
        <f>IF(NOT(ISERROR(VLOOKUP(D889,'ESO Dungeon constants'!$A$3:$A$9999,1,FALSE))),"X","")</f>
        <v/>
      </c>
      <c r="F889" s="3" t="str">
        <f>IF(EXACT(A889,C889),"X","")</f>
        <v/>
      </c>
      <c r="G889" s="3" t="str">
        <f>IF(A889&lt;&gt;C889,VLOOKUP(C889,$A$5:$D$9954,4,FALSE),"")</f>
        <v>Glenumbra</v>
      </c>
      <c r="H889" s="17">
        <f>A889</f>
        <v>1314</v>
      </c>
      <c r="I889" s="17">
        <f>C889</f>
        <v>3</v>
      </c>
      <c r="J889">
        <v>0</v>
      </c>
      <c r="K889" s="3" t="str">
        <f>VLOOKUP(J889,'LibSets constants'!$A$4:$B$1017,2,FALSE)</f>
        <v>DLC_BASE_GAME</v>
      </c>
      <c r="L889" s="3" t="str">
        <f>VLOOKUP(J889,'LibSets constants'!$A$4:$C$1017,3,FALSE)</f>
        <v>Included in base game</v>
      </c>
    </row>
    <row r="890" spans="1:12" x14ac:dyDescent="0.25">
      <c r="A890">
        <v>1315</v>
      </c>
      <c r="B890">
        <v>882</v>
      </c>
      <c r="C890">
        <v>1318</v>
      </c>
      <c r="D890" t="s">
        <v>3356</v>
      </c>
      <c r="E890" t="str">
        <f>IF(NOT(ISERROR(VLOOKUP(D890,'ESO Dungeon constants'!$A$3:$A$9999,1,FALSE))),"X","")</f>
        <v/>
      </c>
      <c r="F890" s="3" t="str">
        <f>IF(EXACT(A890,C890),"X","")</f>
        <v/>
      </c>
      <c r="G890" s="3" t="str">
        <f>IF(A890&lt;&gt;C890,VLOOKUP(C890,$A$5:$D$9954,4,FALSE),"")</f>
        <v>High Isle</v>
      </c>
      <c r="H890" s="17">
        <f>A890</f>
        <v>1315</v>
      </c>
      <c r="I890" s="17">
        <f>C890</f>
        <v>1318</v>
      </c>
      <c r="J890">
        <v>26</v>
      </c>
      <c r="K890" s="3" t="str">
        <f>VLOOKUP(J890,'LibSets constants'!$A$4:$B$1017,2,FALSE)</f>
        <v>DLC_HIGH_ISLE</v>
      </c>
      <c r="L890" s="3" t="str">
        <f>VLOOKUP(J890,'LibSets constants'!$A$4:$C$1017,3,FALSE)</f>
        <v>High Isle</v>
      </c>
    </row>
    <row r="891" spans="1:12" x14ac:dyDescent="0.25">
      <c r="A891">
        <v>1316</v>
      </c>
      <c r="B891">
        <v>883</v>
      </c>
      <c r="C891">
        <v>1318</v>
      </c>
      <c r="D891" t="s">
        <v>3339</v>
      </c>
      <c r="E891" t="str">
        <f>IF(NOT(ISERROR(VLOOKUP(D891,'ESO Dungeon constants'!$A$3:$A$9999,1,FALSE))),"X","")</f>
        <v/>
      </c>
      <c r="F891" s="3" t="str">
        <f>IF(EXACT(A891,C891),"X","")</f>
        <v/>
      </c>
      <c r="G891" s="3" t="str">
        <f>IF(A891&lt;&gt;C891,VLOOKUP(C891,$A$5:$D$9954,4,FALSE),"")</f>
        <v>High Isle</v>
      </c>
      <c r="H891" s="17">
        <f>A891</f>
        <v>1316</v>
      </c>
      <c r="I891" s="17">
        <f>C891</f>
        <v>1318</v>
      </c>
      <c r="J891">
        <v>26</v>
      </c>
      <c r="K891" s="3" t="str">
        <f>VLOOKUP(J891,'LibSets constants'!$A$4:$B$1017,2,FALSE)</f>
        <v>DLC_HIGH_ISLE</v>
      </c>
      <c r="L891" s="3" t="str">
        <f>VLOOKUP(J891,'LibSets constants'!$A$4:$C$1017,3,FALSE)</f>
        <v>High Isle</v>
      </c>
    </row>
    <row r="892" spans="1:12" x14ac:dyDescent="0.25">
      <c r="A892">
        <v>1317</v>
      </c>
      <c r="B892">
        <v>884</v>
      </c>
      <c r="C892">
        <v>1318</v>
      </c>
      <c r="D892" t="s">
        <v>3332</v>
      </c>
      <c r="E892" t="str">
        <f>IF(NOT(ISERROR(VLOOKUP(D892,'ESO Dungeon constants'!$A$3:$A$9999,1,FALSE))),"X","")</f>
        <v/>
      </c>
      <c r="F892" s="3" t="str">
        <f>IF(EXACT(A892,C892),"X","")</f>
        <v/>
      </c>
      <c r="G892" s="3" t="str">
        <f>IF(A892&lt;&gt;C892,VLOOKUP(C892,$A$5:$D$9954,4,FALSE),"")</f>
        <v>High Isle</v>
      </c>
      <c r="H892" s="17">
        <f>A892</f>
        <v>1317</v>
      </c>
      <c r="I892" s="17">
        <f>C892</f>
        <v>1318</v>
      </c>
      <c r="J892">
        <v>26</v>
      </c>
      <c r="K892" s="3" t="str">
        <f>VLOOKUP(J892,'LibSets constants'!$A$4:$B$1017,2,FALSE)</f>
        <v>DLC_HIGH_ISLE</v>
      </c>
      <c r="L892" s="3" t="str">
        <f>VLOOKUP(J892,'LibSets constants'!$A$4:$C$1017,3,FALSE)</f>
        <v>High Isle</v>
      </c>
    </row>
    <row r="893" spans="1:12" x14ac:dyDescent="0.25">
      <c r="A893">
        <v>1318</v>
      </c>
      <c r="B893">
        <v>885</v>
      </c>
      <c r="C893">
        <v>1318</v>
      </c>
      <c r="D893" t="s">
        <v>3315</v>
      </c>
      <c r="E893" t="str">
        <f>IF(NOT(ISERROR(VLOOKUP(D893,'ESO Dungeon constants'!$A$3:$A$9999,1,FALSE))),"X","")</f>
        <v/>
      </c>
      <c r="F893" s="3" t="str">
        <f>IF(EXACT(A893,C893),"X","")</f>
        <v>X</v>
      </c>
      <c r="G893" s="3" t="str">
        <f>IF(A893&lt;&gt;C893,VLOOKUP(C893,$A$5:$D$9954,4,FALSE),"")</f>
        <v/>
      </c>
      <c r="H893" s="17">
        <f>A893</f>
        <v>1318</v>
      </c>
      <c r="I893" s="17">
        <f>C893</f>
        <v>1318</v>
      </c>
      <c r="J893">
        <v>0</v>
      </c>
      <c r="K893" s="3" t="str">
        <f>VLOOKUP(J893,'LibSets constants'!$A$4:$B$1017,2,FALSE)</f>
        <v>DLC_BASE_GAME</v>
      </c>
      <c r="L893" s="3" t="str">
        <f>VLOOKUP(J893,'LibSets constants'!$A$4:$C$1017,3,FALSE)</f>
        <v>Included in base game</v>
      </c>
    </row>
    <row r="894" spans="1:12" x14ac:dyDescent="0.25">
      <c r="A894">
        <v>1319</v>
      </c>
      <c r="B894">
        <v>886</v>
      </c>
      <c r="C894">
        <v>1318</v>
      </c>
      <c r="D894" t="s">
        <v>3340</v>
      </c>
      <c r="E894" t="str">
        <f>IF(NOT(ISERROR(VLOOKUP(D894,'ESO Dungeon constants'!$A$3:$A$9999,1,FALSE))),"X","")</f>
        <v/>
      </c>
      <c r="F894" s="3" t="str">
        <f>IF(EXACT(A894,C894),"X","")</f>
        <v/>
      </c>
      <c r="G894" s="3" t="str">
        <f>IF(A894&lt;&gt;C894,VLOOKUP(C894,$A$5:$D$9954,4,FALSE),"")</f>
        <v>High Isle</v>
      </c>
      <c r="H894" s="17">
        <f>A894</f>
        <v>1319</v>
      </c>
      <c r="I894" s="17">
        <f>C894</f>
        <v>1318</v>
      </c>
      <c r="J894">
        <v>26</v>
      </c>
      <c r="K894" s="3" t="str">
        <f>VLOOKUP(J894,'LibSets constants'!$A$4:$B$1017,2,FALSE)</f>
        <v>DLC_HIGH_ISLE</v>
      </c>
      <c r="L894" s="3" t="str">
        <f>VLOOKUP(J894,'LibSets constants'!$A$4:$C$1017,3,FALSE)</f>
        <v>High Isle</v>
      </c>
    </row>
    <row r="895" spans="1:12" x14ac:dyDescent="0.25">
      <c r="A895">
        <v>1320</v>
      </c>
      <c r="B895">
        <v>887</v>
      </c>
      <c r="C895">
        <v>1318</v>
      </c>
      <c r="D895" t="s">
        <v>3355</v>
      </c>
      <c r="E895" t="str">
        <f>IF(NOT(ISERROR(VLOOKUP(D895,'ESO Dungeon constants'!$A$3:$A$9999,1,FALSE))),"X","")</f>
        <v/>
      </c>
      <c r="F895" s="3" t="str">
        <f>IF(EXACT(A895,C895),"X","")</f>
        <v/>
      </c>
      <c r="G895" s="3" t="str">
        <f>IF(A895&lt;&gt;C895,VLOOKUP(C895,$A$5:$D$9954,4,FALSE),"")</f>
        <v>High Isle</v>
      </c>
      <c r="H895" s="17">
        <f>A895</f>
        <v>1320</v>
      </c>
      <c r="I895" s="17">
        <f>C895</f>
        <v>1318</v>
      </c>
      <c r="J895">
        <v>26</v>
      </c>
      <c r="K895" s="3" t="str">
        <f>VLOOKUP(J895,'LibSets constants'!$A$4:$B$1017,2,FALSE)</f>
        <v>DLC_HIGH_ISLE</v>
      </c>
      <c r="L895" s="3" t="str">
        <f>VLOOKUP(J895,'LibSets constants'!$A$4:$C$1017,3,FALSE)</f>
        <v>High Isle</v>
      </c>
    </row>
    <row r="896" spans="1:12" x14ac:dyDescent="0.25">
      <c r="A896">
        <v>1321</v>
      </c>
      <c r="B896">
        <v>888</v>
      </c>
      <c r="C896">
        <v>1318</v>
      </c>
      <c r="D896" t="s">
        <v>3341</v>
      </c>
      <c r="E896" t="str">
        <f>IF(NOT(ISERROR(VLOOKUP(D896,'ESO Dungeon constants'!$A$3:$A$9999,1,FALSE))),"X","")</f>
        <v/>
      </c>
      <c r="F896" s="3" t="str">
        <f>IF(EXACT(A896,C896),"X","")</f>
        <v/>
      </c>
      <c r="G896" s="3" t="str">
        <f>IF(A896&lt;&gt;C896,VLOOKUP(C896,$A$5:$D$9954,4,FALSE),"")</f>
        <v>High Isle</v>
      </c>
      <c r="H896" s="17">
        <f>A896</f>
        <v>1321</v>
      </c>
      <c r="I896" s="17">
        <f>C896</f>
        <v>1318</v>
      </c>
      <c r="J896">
        <v>26</v>
      </c>
      <c r="K896" s="3" t="str">
        <f>VLOOKUP(J896,'LibSets constants'!$A$4:$B$1017,2,FALSE)</f>
        <v>DLC_HIGH_ISLE</v>
      </c>
      <c r="L896" s="3" t="str">
        <f>VLOOKUP(J896,'LibSets constants'!$A$4:$C$1017,3,FALSE)</f>
        <v>High Isle</v>
      </c>
    </row>
    <row r="897" spans="1:12" x14ac:dyDescent="0.25">
      <c r="A897">
        <v>1322</v>
      </c>
      <c r="B897">
        <v>889</v>
      </c>
      <c r="C897">
        <v>1318</v>
      </c>
      <c r="D897" t="s">
        <v>3342</v>
      </c>
      <c r="E897" t="str">
        <f>IF(NOT(ISERROR(VLOOKUP(D897,'ESO Dungeon constants'!$A$3:$A$9999,1,FALSE))),"X","")</f>
        <v/>
      </c>
      <c r="F897" s="3" t="str">
        <f>IF(EXACT(A897,C897),"X","")</f>
        <v/>
      </c>
      <c r="G897" s="3" t="str">
        <f>IF(A897&lt;&gt;C897,VLOOKUP(C897,$A$5:$D$9954,4,FALSE),"")</f>
        <v>High Isle</v>
      </c>
      <c r="H897" s="17">
        <f>A897</f>
        <v>1322</v>
      </c>
      <c r="I897" s="17">
        <f>C897</f>
        <v>1318</v>
      </c>
      <c r="J897">
        <v>26</v>
      </c>
      <c r="K897" s="3" t="str">
        <f>VLOOKUP(J897,'LibSets constants'!$A$4:$B$1017,2,FALSE)</f>
        <v>DLC_HIGH_ISLE</v>
      </c>
      <c r="L897" s="3" t="str">
        <f>VLOOKUP(J897,'LibSets constants'!$A$4:$C$1017,3,FALSE)</f>
        <v>High Isle</v>
      </c>
    </row>
    <row r="898" spans="1:12" x14ac:dyDescent="0.25">
      <c r="A898">
        <v>1324</v>
      </c>
      <c r="B898">
        <v>890</v>
      </c>
      <c r="C898">
        <v>1318</v>
      </c>
      <c r="D898" t="s">
        <v>3343</v>
      </c>
      <c r="E898" t="str">
        <f>IF(NOT(ISERROR(VLOOKUP(D898,'ESO Dungeon constants'!$A$3:$A$9999,1,FALSE))),"X","")</f>
        <v/>
      </c>
      <c r="F898" s="3" t="str">
        <f>IF(EXACT(A898,C898),"X","")</f>
        <v/>
      </c>
      <c r="G898" s="3" t="str">
        <f>IF(A898&lt;&gt;C898,VLOOKUP(C898,$A$5:$D$9954,4,FALSE),"")</f>
        <v>High Isle</v>
      </c>
      <c r="H898" s="17">
        <f>A898</f>
        <v>1324</v>
      </c>
      <c r="I898" s="17">
        <f>C898</f>
        <v>1318</v>
      </c>
      <c r="J898">
        <v>26</v>
      </c>
      <c r="K898" s="3" t="str">
        <f>VLOOKUP(J898,'LibSets constants'!$A$4:$B$1017,2,FALSE)</f>
        <v>DLC_HIGH_ISLE</v>
      </c>
      <c r="L898" s="3" t="str">
        <f>VLOOKUP(J898,'LibSets constants'!$A$4:$C$1017,3,FALSE)</f>
        <v>High Isle</v>
      </c>
    </row>
    <row r="899" spans="1:12" x14ac:dyDescent="0.25">
      <c r="A899">
        <v>1325</v>
      </c>
      <c r="B899">
        <v>891</v>
      </c>
      <c r="C899">
        <v>1443</v>
      </c>
      <c r="D899" t="s">
        <v>3953</v>
      </c>
      <c r="E899" t="str">
        <f>IF(NOT(ISERROR(VLOOKUP(D899,'ESO Dungeon constants'!$A$3:$A$9999,1,FALSE))),"X","")</f>
        <v/>
      </c>
      <c r="F899" s="3" t="str">
        <f>IF(EXACT(A899,C899),"X","")</f>
        <v/>
      </c>
      <c r="G899" s="3" t="str">
        <f>IF(A899&lt;&gt;C899,VLOOKUP(C899,$A$5:$D$9954,4,FALSE),"")</f>
        <v>West Weald</v>
      </c>
      <c r="H899" s="17">
        <f>A899</f>
        <v>1325</v>
      </c>
      <c r="I899" s="17">
        <f>C899</f>
        <v>1443</v>
      </c>
      <c r="J899">
        <v>34</v>
      </c>
      <c r="K899" s="3" t="str">
        <f>VLOOKUP(J899,'LibSets constants'!$A$4:$B$1017,2,FALSE)</f>
        <v>DLC_GOLD_ROAD</v>
      </c>
      <c r="L899" s="3" t="str">
        <f>VLOOKUP(J899,'LibSets constants'!$A$4:$C$1017,3,FALSE)</f>
        <v>Gold Road</v>
      </c>
    </row>
    <row r="900" spans="1:12" x14ac:dyDescent="0.25">
      <c r="A900">
        <v>1326</v>
      </c>
      <c r="B900">
        <v>892</v>
      </c>
      <c r="C900">
        <v>1318</v>
      </c>
      <c r="D900" t="s">
        <v>3344</v>
      </c>
      <c r="E900" t="str">
        <f>IF(NOT(ISERROR(VLOOKUP(D900,'ESO Dungeon constants'!$A$3:$A$9999,1,FALSE))),"X","")</f>
        <v/>
      </c>
      <c r="F900" s="3" t="str">
        <f>IF(EXACT(A900,C900),"X","")</f>
        <v/>
      </c>
      <c r="G900" s="3" t="str">
        <f>IF(A900&lt;&gt;C900,VLOOKUP(C900,$A$5:$D$9954,4,FALSE),"")</f>
        <v>High Isle</v>
      </c>
      <c r="H900" s="17">
        <f>A900</f>
        <v>1326</v>
      </c>
      <c r="I900" s="17">
        <f>C900</f>
        <v>1318</v>
      </c>
      <c r="J900">
        <v>26</v>
      </c>
      <c r="K900" s="3" t="str">
        <f>VLOOKUP(J900,'LibSets constants'!$A$4:$B$1017,2,FALSE)</f>
        <v>DLC_HIGH_ISLE</v>
      </c>
      <c r="L900" s="3" t="str">
        <f>VLOOKUP(J900,'LibSets constants'!$A$4:$C$1017,3,FALSE)</f>
        <v>High Isle</v>
      </c>
    </row>
    <row r="901" spans="1:12" x14ac:dyDescent="0.25">
      <c r="A901">
        <v>1327</v>
      </c>
      <c r="B901">
        <v>893</v>
      </c>
      <c r="C901">
        <v>1318</v>
      </c>
      <c r="D901" t="s">
        <v>1695</v>
      </c>
      <c r="E901" t="str">
        <f>IF(NOT(ISERROR(VLOOKUP(D901,'ESO Dungeon constants'!$A$3:$A$9999,1,FALSE))),"X","")</f>
        <v/>
      </c>
      <c r="F901" s="3" t="str">
        <f>IF(EXACT(A901,C901),"X","")</f>
        <v/>
      </c>
      <c r="G901" s="3" t="str">
        <f>IF(A901&lt;&gt;C901,VLOOKUP(C901,$A$5:$D$9954,4,FALSE),"")</f>
        <v>High Isle</v>
      </c>
      <c r="H901" s="17">
        <f>A901</f>
        <v>1327</v>
      </c>
      <c r="I901" s="17">
        <f>C901</f>
        <v>1318</v>
      </c>
      <c r="J901">
        <v>26</v>
      </c>
      <c r="K901" s="3" t="str">
        <f>VLOOKUP(J901,'LibSets constants'!$A$4:$B$1017,2,FALSE)</f>
        <v>DLC_HIGH_ISLE</v>
      </c>
      <c r="L901" s="3" t="str">
        <f>VLOOKUP(J901,'LibSets constants'!$A$4:$C$1017,3,FALSE)</f>
        <v>High Isle</v>
      </c>
    </row>
    <row r="902" spans="1:12" x14ac:dyDescent="0.25">
      <c r="A902">
        <v>1328</v>
      </c>
      <c r="B902">
        <v>894</v>
      </c>
      <c r="C902">
        <v>1318</v>
      </c>
      <c r="D902" t="s">
        <v>3345</v>
      </c>
      <c r="E902" t="str">
        <f>IF(NOT(ISERROR(VLOOKUP(D902,'ESO Dungeon constants'!$A$3:$A$9999,1,FALSE))),"X","")</f>
        <v/>
      </c>
      <c r="F902" s="3" t="str">
        <f>IF(EXACT(A902,C902),"X","")</f>
        <v/>
      </c>
      <c r="G902" s="3" t="str">
        <f>IF(A902&lt;&gt;C902,VLOOKUP(C902,$A$5:$D$9954,4,FALSE),"")</f>
        <v>High Isle</v>
      </c>
      <c r="H902" s="17">
        <f>A902</f>
        <v>1328</v>
      </c>
      <c r="I902" s="17">
        <f>C902</f>
        <v>1318</v>
      </c>
      <c r="J902">
        <v>26</v>
      </c>
      <c r="K902" s="3" t="str">
        <f>VLOOKUP(J902,'LibSets constants'!$A$4:$B$1017,2,FALSE)</f>
        <v>DLC_HIGH_ISLE</v>
      </c>
      <c r="L902" s="3" t="str">
        <f>VLOOKUP(J902,'LibSets constants'!$A$4:$C$1017,3,FALSE)</f>
        <v>High Isle</v>
      </c>
    </row>
    <row r="903" spans="1:12" x14ac:dyDescent="0.25">
      <c r="A903">
        <v>1329</v>
      </c>
      <c r="B903">
        <v>895</v>
      </c>
      <c r="C903">
        <v>1318</v>
      </c>
      <c r="D903" t="s">
        <v>3344</v>
      </c>
      <c r="E903" t="str">
        <f>IF(NOT(ISERROR(VLOOKUP(D903,'ESO Dungeon constants'!$A$3:$A$9999,1,FALSE))),"X","")</f>
        <v/>
      </c>
      <c r="F903" s="3" t="str">
        <f>IF(EXACT(A903,C903),"X","")</f>
        <v/>
      </c>
      <c r="G903" s="3" t="str">
        <f>IF(A903&lt;&gt;C903,VLOOKUP(C903,$A$5:$D$9954,4,FALSE),"")</f>
        <v>High Isle</v>
      </c>
      <c r="H903" s="17">
        <f>A903</f>
        <v>1329</v>
      </c>
      <c r="I903" s="17">
        <f>C903</f>
        <v>1318</v>
      </c>
      <c r="J903">
        <v>26</v>
      </c>
      <c r="K903" s="3" t="str">
        <f>VLOOKUP(J903,'LibSets constants'!$A$4:$B$1017,2,FALSE)</f>
        <v>DLC_HIGH_ISLE</v>
      </c>
      <c r="L903" s="3" t="str">
        <f>VLOOKUP(J903,'LibSets constants'!$A$4:$C$1017,3,FALSE)</f>
        <v>High Isle</v>
      </c>
    </row>
    <row r="904" spans="1:12" x14ac:dyDescent="0.25">
      <c r="A904">
        <v>1330</v>
      </c>
      <c r="B904">
        <v>896</v>
      </c>
      <c r="C904">
        <v>1318</v>
      </c>
      <c r="D904" t="s">
        <v>3354</v>
      </c>
      <c r="E904" t="str">
        <f>IF(NOT(ISERROR(VLOOKUP(D904,'ESO Dungeon constants'!$A$3:$A$9999,1,FALSE))),"X","")</f>
        <v/>
      </c>
      <c r="F904" s="3" t="str">
        <f>IF(EXACT(A904,C904),"X","")</f>
        <v/>
      </c>
      <c r="G904" s="3" t="str">
        <f>IF(A904&lt;&gt;C904,VLOOKUP(C904,$A$5:$D$9954,4,FALSE),"")</f>
        <v>High Isle</v>
      </c>
      <c r="H904" s="17">
        <f>A904</f>
        <v>1330</v>
      </c>
      <c r="I904" s="17">
        <f>C904</f>
        <v>1318</v>
      </c>
      <c r="J904">
        <v>26</v>
      </c>
      <c r="K904" s="3" t="str">
        <f>VLOOKUP(J904,'LibSets constants'!$A$4:$B$1017,2,FALSE)</f>
        <v>DLC_HIGH_ISLE</v>
      </c>
      <c r="L904" s="3" t="str">
        <f>VLOOKUP(J904,'LibSets constants'!$A$4:$C$1017,3,FALSE)</f>
        <v>High Isle</v>
      </c>
    </row>
    <row r="905" spans="1:12" x14ac:dyDescent="0.25">
      <c r="A905">
        <v>1331</v>
      </c>
      <c r="B905">
        <v>897</v>
      </c>
      <c r="C905">
        <v>1318</v>
      </c>
      <c r="D905" t="s">
        <v>3346</v>
      </c>
      <c r="E905" t="str">
        <f>IF(NOT(ISERROR(VLOOKUP(D905,'ESO Dungeon constants'!$A$3:$A$9999,1,FALSE))),"X","")</f>
        <v/>
      </c>
      <c r="F905" s="3" t="str">
        <f>IF(EXACT(A905,C905),"X","")</f>
        <v/>
      </c>
      <c r="G905" s="3" t="str">
        <f>IF(A905&lt;&gt;C905,VLOOKUP(C905,$A$5:$D$9954,4,FALSE),"")</f>
        <v>High Isle</v>
      </c>
      <c r="H905" s="17">
        <f>A905</f>
        <v>1331</v>
      </c>
      <c r="I905" s="17">
        <f>C905</f>
        <v>1318</v>
      </c>
      <c r="J905">
        <v>26</v>
      </c>
      <c r="K905" s="3" t="str">
        <f>VLOOKUP(J905,'LibSets constants'!$A$4:$B$1017,2,FALSE)</f>
        <v>DLC_HIGH_ISLE</v>
      </c>
      <c r="L905" s="3" t="str">
        <f>VLOOKUP(J905,'LibSets constants'!$A$4:$C$1017,3,FALSE)</f>
        <v>High Isle</v>
      </c>
    </row>
    <row r="906" spans="1:12" x14ac:dyDescent="0.25">
      <c r="A906">
        <v>1332</v>
      </c>
      <c r="B906">
        <v>898</v>
      </c>
      <c r="C906">
        <v>1318</v>
      </c>
      <c r="D906" t="s">
        <v>3353</v>
      </c>
      <c r="E906" t="str">
        <f>IF(NOT(ISERROR(VLOOKUP(D906,'ESO Dungeon constants'!$A$3:$A$9999,1,FALSE))),"X","")</f>
        <v/>
      </c>
      <c r="F906" s="3" t="str">
        <f>IF(EXACT(A906,C906),"X","")</f>
        <v/>
      </c>
      <c r="G906" s="3" t="str">
        <f>IF(A906&lt;&gt;C906,VLOOKUP(C906,$A$5:$D$9954,4,FALSE),"")</f>
        <v>High Isle</v>
      </c>
      <c r="H906" s="17">
        <f>A906</f>
        <v>1332</v>
      </c>
      <c r="I906" s="17">
        <f>C906</f>
        <v>1318</v>
      </c>
      <c r="J906">
        <v>26</v>
      </c>
      <c r="K906" s="3" t="str">
        <f>VLOOKUP(J906,'LibSets constants'!$A$4:$B$1017,2,FALSE)</f>
        <v>DLC_HIGH_ISLE</v>
      </c>
      <c r="L906" s="3" t="str">
        <f>VLOOKUP(J906,'LibSets constants'!$A$4:$C$1017,3,FALSE)</f>
        <v>High Isle</v>
      </c>
    </row>
    <row r="907" spans="1:12" x14ac:dyDescent="0.25">
      <c r="A907">
        <v>1333</v>
      </c>
      <c r="B907">
        <v>899</v>
      </c>
      <c r="C907">
        <v>1318</v>
      </c>
      <c r="D907" t="s">
        <v>3352</v>
      </c>
      <c r="E907" t="str">
        <f>IF(NOT(ISERROR(VLOOKUP(D907,'ESO Dungeon constants'!$A$3:$A$9999,1,FALSE))),"X","")</f>
        <v/>
      </c>
      <c r="F907" s="3" t="str">
        <f>IF(EXACT(A907,C907),"X","")</f>
        <v/>
      </c>
      <c r="G907" s="3" t="str">
        <f>IF(A907&lt;&gt;C907,VLOOKUP(C907,$A$5:$D$9954,4,FALSE),"")</f>
        <v>High Isle</v>
      </c>
      <c r="H907" s="17">
        <f>A907</f>
        <v>1333</v>
      </c>
      <c r="I907" s="17">
        <f>C907</f>
        <v>1318</v>
      </c>
      <c r="J907">
        <v>26</v>
      </c>
      <c r="K907" s="3" t="str">
        <f>VLOOKUP(J907,'LibSets constants'!$A$4:$B$1017,2,FALSE)</f>
        <v>DLC_HIGH_ISLE</v>
      </c>
      <c r="L907" s="3" t="str">
        <f>VLOOKUP(J907,'LibSets constants'!$A$4:$C$1017,3,FALSE)</f>
        <v>High Isle</v>
      </c>
    </row>
    <row r="908" spans="1:12" x14ac:dyDescent="0.25">
      <c r="A908">
        <v>1334</v>
      </c>
      <c r="B908">
        <v>900</v>
      </c>
      <c r="C908">
        <v>1318</v>
      </c>
      <c r="D908" t="s">
        <v>3351</v>
      </c>
      <c r="E908" t="str">
        <f>IF(NOT(ISERROR(VLOOKUP(D908,'ESO Dungeon constants'!$A$3:$A$9999,1,FALSE))),"X","")</f>
        <v/>
      </c>
      <c r="F908" s="3" t="str">
        <f>IF(EXACT(A908,C908),"X","")</f>
        <v/>
      </c>
      <c r="G908" s="3" t="str">
        <f>IF(A908&lt;&gt;C908,VLOOKUP(C908,$A$5:$D$9954,4,FALSE),"")</f>
        <v>High Isle</v>
      </c>
      <c r="H908" s="17">
        <f>A908</f>
        <v>1334</v>
      </c>
      <c r="I908" s="17">
        <f>C908</f>
        <v>1318</v>
      </c>
      <c r="J908">
        <v>26</v>
      </c>
      <c r="K908" s="3" t="str">
        <f>VLOOKUP(J908,'LibSets constants'!$A$4:$B$1017,2,FALSE)</f>
        <v>DLC_HIGH_ISLE</v>
      </c>
      <c r="L908" s="3" t="str">
        <f>VLOOKUP(J908,'LibSets constants'!$A$4:$C$1017,3,FALSE)</f>
        <v>High Isle</v>
      </c>
    </row>
    <row r="909" spans="1:12" x14ac:dyDescent="0.25">
      <c r="A909">
        <v>1335</v>
      </c>
      <c r="B909">
        <v>901</v>
      </c>
      <c r="C909">
        <v>1318</v>
      </c>
      <c r="D909" t="s">
        <v>3350</v>
      </c>
      <c r="E909" t="str">
        <f>IF(NOT(ISERROR(VLOOKUP(D909,'ESO Dungeon constants'!$A$3:$A$9999,1,FALSE))),"X","")</f>
        <v/>
      </c>
      <c r="F909" s="3" t="str">
        <f>IF(EXACT(A909,C909),"X","")</f>
        <v/>
      </c>
      <c r="G909" s="3" t="str">
        <f>IF(A909&lt;&gt;C909,VLOOKUP(C909,$A$5:$D$9954,4,FALSE),"")</f>
        <v>High Isle</v>
      </c>
      <c r="H909" s="17">
        <f>A909</f>
        <v>1335</v>
      </c>
      <c r="I909" s="17">
        <f>C909</f>
        <v>1318</v>
      </c>
      <c r="J909">
        <v>26</v>
      </c>
      <c r="K909" s="3" t="str">
        <f>VLOOKUP(J909,'LibSets constants'!$A$4:$B$1017,2,FALSE)</f>
        <v>DLC_HIGH_ISLE</v>
      </c>
      <c r="L909" s="3" t="str">
        <f>VLOOKUP(J909,'LibSets constants'!$A$4:$C$1017,3,FALSE)</f>
        <v>High Isle</v>
      </c>
    </row>
    <row r="910" spans="1:12" x14ac:dyDescent="0.25">
      <c r="A910">
        <v>1336</v>
      </c>
      <c r="B910">
        <v>902</v>
      </c>
      <c r="C910">
        <v>1318</v>
      </c>
      <c r="D910" t="s">
        <v>3349</v>
      </c>
      <c r="E910" t="str">
        <f>IF(NOT(ISERROR(VLOOKUP(D910,'ESO Dungeon constants'!$A$3:$A$9999,1,FALSE))),"X","")</f>
        <v/>
      </c>
      <c r="F910" s="3" t="str">
        <f>IF(EXACT(A910,C910),"X","")</f>
        <v/>
      </c>
      <c r="G910" s="3" t="str">
        <f>IF(A910&lt;&gt;C910,VLOOKUP(C910,$A$5:$D$9954,4,FALSE),"")</f>
        <v>High Isle</v>
      </c>
      <c r="H910" s="17">
        <f>A910</f>
        <v>1336</v>
      </c>
      <c r="I910" s="17">
        <f>C910</f>
        <v>1318</v>
      </c>
      <c r="J910">
        <v>26</v>
      </c>
      <c r="K910" s="3" t="str">
        <f>VLOOKUP(J910,'LibSets constants'!$A$4:$B$1017,2,FALSE)</f>
        <v>DLC_HIGH_ISLE</v>
      </c>
      <c r="L910" s="3" t="str">
        <f>VLOOKUP(J910,'LibSets constants'!$A$4:$C$1017,3,FALSE)</f>
        <v>High Isle</v>
      </c>
    </row>
    <row r="911" spans="1:12" x14ac:dyDescent="0.25">
      <c r="A911">
        <v>1337</v>
      </c>
      <c r="B911">
        <v>903</v>
      </c>
      <c r="C911">
        <v>1318</v>
      </c>
      <c r="D911" t="s">
        <v>3348</v>
      </c>
      <c r="E911" t="str">
        <f>IF(NOT(ISERROR(VLOOKUP(D911,'ESO Dungeon constants'!$A$3:$A$9999,1,FALSE))),"X","")</f>
        <v/>
      </c>
      <c r="F911" s="3" t="str">
        <f>IF(EXACT(A911,C911),"X","")</f>
        <v/>
      </c>
      <c r="G911" s="3" t="str">
        <f>IF(A911&lt;&gt;C911,VLOOKUP(C911,$A$5:$D$9954,4,FALSE),"")</f>
        <v>High Isle</v>
      </c>
      <c r="H911" s="17">
        <f>A911</f>
        <v>1337</v>
      </c>
      <c r="I911" s="17">
        <f>C911</f>
        <v>1318</v>
      </c>
      <c r="J911">
        <v>26</v>
      </c>
      <c r="K911" s="3" t="str">
        <f>VLOOKUP(J911,'LibSets constants'!$A$4:$B$1017,2,FALSE)</f>
        <v>DLC_HIGH_ISLE</v>
      </c>
      <c r="L911" s="3" t="str">
        <f>VLOOKUP(J911,'LibSets constants'!$A$4:$C$1017,3,FALSE)</f>
        <v>High Isle</v>
      </c>
    </row>
    <row r="912" spans="1:12" x14ac:dyDescent="0.25">
      <c r="A912">
        <v>1338</v>
      </c>
      <c r="B912">
        <v>904</v>
      </c>
      <c r="C912">
        <v>1318</v>
      </c>
      <c r="D912" t="s">
        <v>3347</v>
      </c>
      <c r="E912" t="str">
        <f>IF(NOT(ISERROR(VLOOKUP(D912,'ESO Dungeon constants'!$A$3:$A$9999,1,FALSE))),"X","")</f>
        <v/>
      </c>
      <c r="F912" s="3" t="str">
        <f>IF(EXACT(A912,C912),"X","")</f>
        <v/>
      </c>
      <c r="G912" s="3" t="str">
        <f>IF(A912&lt;&gt;C912,VLOOKUP(C912,$A$5:$D$9954,4,FALSE),"")</f>
        <v>High Isle</v>
      </c>
      <c r="H912" s="17">
        <f>A912</f>
        <v>1338</v>
      </c>
      <c r="I912" s="17">
        <f>C912</f>
        <v>1318</v>
      </c>
      <c r="J912">
        <v>26</v>
      </c>
      <c r="K912" s="3" t="str">
        <f>VLOOKUP(J912,'LibSets constants'!$A$4:$B$1017,2,FALSE)</f>
        <v>DLC_HIGH_ISLE</v>
      </c>
      <c r="L912" s="3" t="str">
        <f>VLOOKUP(J912,'LibSets constants'!$A$4:$C$1017,3,FALSE)</f>
        <v>High Isle</v>
      </c>
    </row>
    <row r="913" spans="1:12" x14ac:dyDescent="0.25">
      <c r="A913">
        <v>1342</v>
      </c>
      <c r="B913">
        <v>905</v>
      </c>
      <c r="C913">
        <v>1282</v>
      </c>
      <c r="D913" t="s">
        <v>2668</v>
      </c>
      <c r="E913" t="str">
        <f>IF(NOT(ISERROR(VLOOKUP(D913,'ESO Dungeon constants'!$A$3:$A$9999,1,FALSE))),"X","")</f>
        <v/>
      </c>
      <c r="F913" s="3" t="str">
        <f>IF(EXACT(A913,C913),"X","")</f>
        <v/>
      </c>
      <c r="G913" s="3" t="str">
        <f>IF(A913&lt;&gt;C913,VLOOKUP(C913,$A$5:$D$9954,4,FALSE),"")</f>
        <v>Fargrave</v>
      </c>
      <c r="H913" s="17">
        <f>A913</f>
        <v>1342</v>
      </c>
      <c r="I913" s="17">
        <f>C913</f>
        <v>1282</v>
      </c>
      <c r="J913">
        <v>24</v>
      </c>
      <c r="K913" s="3" t="str">
        <f>VLOOKUP(J913,'LibSets constants'!$A$4:$B$1017,2,FALSE)</f>
        <v>DLC_DEADLANDS</v>
      </c>
      <c r="L913" s="3" t="str">
        <f>VLOOKUP(J913,'LibSets constants'!$A$4:$C$1017,3,FALSE)</f>
        <v>The Deadlands</v>
      </c>
    </row>
    <row r="914" spans="1:12" x14ac:dyDescent="0.25">
      <c r="A914">
        <v>1343</v>
      </c>
      <c r="B914">
        <v>906</v>
      </c>
      <c r="C914">
        <v>1286</v>
      </c>
      <c r="D914" t="s">
        <v>2669</v>
      </c>
      <c r="E914" t="str">
        <f>IF(NOT(ISERROR(VLOOKUP(D914,'ESO Dungeon constants'!$A$3:$A$9999,1,FALSE))),"X","")</f>
        <v/>
      </c>
      <c r="F914" s="3" t="str">
        <f>IF(EXACT(A914,C914),"X","")</f>
        <v/>
      </c>
      <c r="G914" s="3" t="str">
        <f>IF(A914&lt;&gt;C914,VLOOKUP(C914,$A$5:$D$9954,4,FALSE),"")</f>
        <v>The Deadlands</v>
      </c>
      <c r="H914" s="17">
        <f>A914</f>
        <v>1343</v>
      </c>
      <c r="I914" s="17">
        <f>C914</f>
        <v>1286</v>
      </c>
      <c r="J914">
        <v>24</v>
      </c>
      <c r="K914" s="3" t="str">
        <f>VLOOKUP(J914,'LibSets constants'!$A$4:$B$1017,2,FALSE)</f>
        <v>DLC_DEADLANDS</v>
      </c>
      <c r="L914" s="3" t="str">
        <f>VLOOKUP(J914,'LibSets constants'!$A$4:$C$1017,3,FALSE)</f>
        <v>The Deadlands</v>
      </c>
    </row>
    <row r="915" spans="1:12" x14ac:dyDescent="0.25">
      <c r="A915">
        <v>1345</v>
      </c>
      <c r="B915">
        <v>908</v>
      </c>
      <c r="C915">
        <v>535</v>
      </c>
      <c r="D915" t="s">
        <v>2718</v>
      </c>
      <c r="E915" t="str">
        <f>IF(NOT(ISERROR(VLOOKUP(D915,'ESO Dungeon constants'!$A$3:$A$9999,1,FALSE))),"X","")</f>
        <v/>
      </c>
      <c r="F915" s="3" t="str">
        <f>IF(EXACT(A915,C915),"X","")</f>
        <v/>
      </c>
      <c r="G915" s="3" t="str">
        <f>IF(A915&lt;&gt;C915,VLOOKUP(C915,$A$5:$D$9954,4,FALSE),"")</f>
        <v>Betnikh</v>
      </c>
      <c r="H915" s="17">
        <f>A915</f>
        <v>1345</v>
      </c>
      <c r="I915" s="17">
        <f>C915</f>
        <v>535</v>
      </c>
      <c r="J915">
        <v>0</v>
      </c>
      <c r="K915" s="3" t="str">
        <f>VLOOKUP(J915,'LibSets constants'!$A$4:$B$1017,2,FALSE)</f>
        <v>DLC_BASE_GAME</v>
      </c>
      <c r="L915" s="3" t="str">
        <f>VLOOKUP(J915,'LibSets constants'!$A$4:$C$1017,3,FALSE)</f>
        <v>Included in base game</v>
      </c>
    </row>
    <row r="916" spans="1:12" x14ac:dyDescent="0.25">
      <c r="A916">
        <v>1346</v>
      </c>
      <c r="B916">
        <v>909</v>
      </c>
      <c r="C916">
        <v>1443</v>
      </c>
      <c r="D916" t="s">
        <v>4061</v>
      </c>
      <c r="E916" t="str">
        <f>IF(NOT(ISERROR(VLOOKUP(D916,'ESO Dungeon constants'!$A$3:$A$9999,1,FALSE))),"X","")</f>
        <v/>
      </c>
      <c r="F916" s="3" t="str">
        <f>IF(EXACT(A916,C916),"X","")</f>
        <v/>
      </c>
      <c r="G916" s="3" t="str">
        <f>IF(A916&lt;&gt;C916,VLOOKUP(C916,$A$5:$D$9954,4,FALSE),"")</f>
        <v>West Weald</v>
      </c>
      <c r="H916" s="17">
        <f>A916</f>
        <v>1346</v>
      </c>
      <c r="I916" s="17">
        <f>C916</f>
        <v>1443</v>
      </c>
      <c r="J916">
        <v>34</v>
      </c>
      <c r="K916" s="3" t="str">
        <f>VLOOKUP(J916,'LibSets constants'!$A$4:$B$1017,2,FALSE)</f>
        <v>DLC_GOLD_ROAD</v>
      </c>
      <c r="L916" s="3" t="str">
        <f>VLOOKUP(J916,'LibSets constants'!$A$4:$C$1017,3,FALSE)</f>
        <v>Gold Road</v>
      </c>
    </row>
    <row r="917" spans="1:12" x14ac:dyDescent="0.25">
      <c r="A917">
        <v>1363</v>
      </c>
      <c r="B917">
        <v>912</v>
      </c>
      <c r="C917">
        <v>1318</v>
      </c>
      <c r="D917" t="s">
        <v>3336</v>
      </c>
      <c r="E917" t="str">
        <f>IF(NOT(ISERROR(VLOOKUP(D917,'ESO Dungeon constants'!$A$3:$A$9999,1,FALSE))),"X","")</f>
        <v/>
      </c>
      <c r="F917" s="3" t="str">
        <f>IF(EXACT(A917,C917),"X","")</f>
        <v/>
      </c>
      <c r="G917" s="3" t="str">
        <f>IF(A917&lt;&gt;C917,VLOOKUP(C917,$A$5:$D$9954,4,FALSE),"")</f>
        <v>High Isle</v>
      </c>
      <c r="H917" s="17">
        <f>A917</f>
        <v>1363</v>
      </c>
      <c r="I917" s="17">
        <f>C917</f>
        <v>1318</v>
      </c>
      <c r="J917">
        <v>26</v>
      </c>
      <c r="K917" s="3" t="str">
        <f>VLOOKUP(J917,'LibSets constants'!$A$4:$B$1017,2,FALSE)</f>
        <v>DLC_HIGH_ISLE</v>
      </c>
      <c r="L917" s="3" t="str">
        <f>VLOOKUP(J917,'LibSets constants'!$A$4:$C$1017,3,FALSE)</f>
        <v>High Isle</v>
      </c>
    </row>
    <row r="918" spans="1:12" x14ac:dyDescent="0.25">
      <c r="A918">
        <v>1364</v>
      </c>
      <c r="B918">
        <v>913</v>
      </c>
      <c r="C918">
        <v>1318</v>
      </c>
      <c r="D918" t="s">
        <v>3335</v>
      </c>
      <c r="E918" t="str">
        <f>IF(NOT(ISERROR(VLOOKUP(D918,'ESO Dungeon constants'!$A$3:$A$9999,1,FALSE))),"X","")</f>
        <v/>
      </c>
      <c r="F918" s="3" t="str">
        <f>IF(EXACT(A918,C918),"X","")</f>
        <v/>
      </c>
      <c r="G918" s="3" t="str">
        <f>IF(A918&lt;&gt;C918,VLOOKUP(C918,$A$5:$D$9954,4,FALSE),"")</f>
        <v>High Isle</v>
      </c>
      <c r="H918" s="17">
        <f>A918</f>
        <v>1364</v>
      </c>
      <c r="I918" s="17">
        <f>C918</f>
        <v>1318</v>
      </c>
      <c r="J918">
        <v>26</v>
      </c>
      <c r="K918" s="3" t="str">
        <f>VLOOKUP(J918,'LibSets constants'!$A$4:$B$1017,2,FALSE)</f>
        <v>DLC_HIGH_ISLE</v>
      </c>
      <c r="L918" s="3" t="str">
        <f>VLOOKUP(J918,'LibSets constants'!$A$4:$C$1017,3,FALSE)</f>
        <v>High Isle</v>
      </c>
    </row>
    <row r="919" spans="1:12" x14ac:dyDescent="0.25">
      <c r="A919">
        <v>1365</v>
      </c>
      <c r="B919">
        <v>914</v>
      </c>
      <c r="C919">
        <v>3</v>
      </c>
      <c r="D919" t="s">
        <v>3398</v>
      </c>
      <c r="E919" t="str">
        <f>IF(NOT(ISERROR(VLOOKUP(D919,'ESO Dungeon constants'!$A$3:$A$9999,1,FALSE))),"X","")</f>
        <v/>
      </c>
      <c r="F919" s="3" t="str">
        <f>IF(EXACT(A919,C919),"X","")</f>
        <v/>
      </c>
      <c r="G919" s="3" t="str">
        <f>IF(A919&lt;&gt;C919,VLOOKUP(C919,$A$5:$D$9954,4,FALSE),"")</f>
        <v>Glenumbra</v>
      </c>
      <c r="H919" s="17">
        <f>A919</f>
        <v>1365</v>
      </c>
      <c r="I919" s="17">
        <f>C919</f>
        <v>3</v>
      </c>
      <c r="J919">
        <v>0</v>
      </c>
      <c r="K919" s="3" t="str">
        <f>VLOOKUP(J919,'LibSets constants'!$A$4:$B$1017,2,FALSE)</f>
        <v>DLC_BASE_GAME</v>
      </c>
      <c r="L919" s="3" t="str">
        <f>VLOOKUP(J919,'LibSets constants'!$A$4:$C$1017,3,FALSE)</f>
        <v>Included in base game</v>
      </c>
    </row>
    <row r="920" spans="1:12" x14ac:dyDescent="0.25">
      <c r="A920">
        <v>1366</v>
      </c>
      <c r="B920">
        <v>915</v>
      </c>
      <c r="C920">
        <v>92</v>
      </c>
      <c r="D920" t="s">
        <v>3397</v>
      </c>
      <c r="E920" t="str">
        <f>IF(NOT(ISERROR(VLOOKUP(D920,'ESO Dungeon constants'!$A$3:$A$9999,1,FALSE))),"X","")</f>
        <v/>
      </c>
      <c r="F920" s="3" t="str">
        <f>IF(EXACT(A920,C920),"X","")</f>
        <v/>
      </c>
      <c r="G920" s="3" t="str">
        <f>IF(A920&lt;&gt;C920,VLOOKUP(C920,$A$5:$D$9954,4,FALSE),"")</f>
        <v>Bangkorai</v>
      </c>
      <c r="H920" s="17">
        <f>A920</f>
        <v>1366</v>
      </c>
      <c r="I920" s="17">
        <f>C920</f>
        <v>92</v>
      </c>
      <c r="J920">
        <v>0</v>
      </c>
      <c r="K920" s="3" t="str">
        <f>VLOOKUP(J920,'LibSets constants'!$A$4:$B$1017,2,FALSE)</f>
        <v>DLC_BASE_GAME</v>
      </c>
      <c r="L920" s="3" t="str">
        <f>VLOOKUP(J920,'LibSets constants'!$A$4:$C$1017,3,FALSE)</f>
        <v>Included in base game</v>
      </c>
    </row>
    <row r="921" spans="1:12" x14ac:dyDescent="0.25">
      <c r="A921">
        <v>1367</v>
      </c>
      <c r="B921">
        <v>916</v>
      </c>
      <c r="C921">
        <v>1383</v>
      </c>
      <c r="D921" t="s">
        <v>3443</v>
      </c>
      <c r="E921" t="str">
        <f>IF(NOT(ISERROR(VLOOKUP(D921,'ESO Dungeon constants'!$A$3:$A$9999,1,FALSE))),"X","")</f>
        <v/>
      </c>
      <c r="F921" s="3" t="str">
        <f>IF(EXACT(A921,C921),"X","")</f>
        <v/>
      </c>
      <c r="G921" s="3" t="str">
        <f>IF(A921&lt;&gt;C921,VLOOKUP(C921,$A$5:$D$9954,4,FALSE),"")</f>
        <v>Galen</v>
      </c>
      <c r="H921" s="17">
        <f>A921</f>
        <v>1367</v>
      </c>
      <c r="I921" s="17">
        <f>C921</f>
        <v>1383</v>
      </c>
      <c r="J921">
        <v>28</v>
      </c>
      <c r="K921" s="3" t="str">
        <f>VLOOKUP(J921,'LibSets constants'!$A$4:$B$1017,2,FALSE)</f>
        <v>DLC_FIRESONG</v>
      </c>
      <c r="L921" s="3" t="str">
        <f>VLOOKUP(J921,'LibSets constants'!$A$4:$C$1017,3,FALSE)</f>
        <v>Firesong</v>
      </c>
    </row>
    <row r="922" spans="1:12" x14ac:dyDescent="0.25">
      <c r="A922">
        <v>1368</v>
      </c>
      <c r="B922">
        <v>917</v>
      </c>
      <c r="C922">
        <v>1383</v>
      </c>
      <c r="D922" t="s">
        <v>3444</v>
      </c>
      <c r="E922" t="str">
        <f>IF(NOT(ISERROR(VLOOKUP(D922,'ESO Dungeon constants'!$A$3:$A$9999,1,FALSE))),"X","")</f>
        <v/>
      </c>
      <c r="F922" s="3" t="str">
        <f>IF(EXACT(A922,C922),"X","")</f>
        <v/>
      </c>
      <c r="G922" s="3" t="str">
        <f>IF(A922&lt;&gt;C922,VLOOKUP(C922,$A$5:$D$9954,4,FALSE),"")</f>
        <v>Galen</v>
      </c>
      <c r="H922" s="17">
        <f>A922</f>
        <v>1368</v>
      </c>
      <c r="I922" s="17">
        <f>C922</f>
        <v>1383</v>
      </c>
      <c r="J922">
        <v>28</v>
      </c>
      <c r="K922" s="3" t="str">
        <f>VLOOKUP(J922,'LibSets constants'!$A$4:$B$1017,2,FALSE)</f>
        <v>DLC_FIRESONG</v>
      </c>
      <c r="L922" s="3" t="str">
        <f>VLOOKUP(J922,'LibSets constants'!$A$4:$C$1017,3,FALSE)</f>
        <v>Firesong</v>
      </c>
    </row>
    <row r="923" spans="1:12" x14ac:dyDescent="0.25">
      <c r="A923">
        <v>1369</v>
      </c>
      <c r="B923">
        <v>918</v>
      </c>
      <c r="C923">
        <v>1383</v>
      </c>
      <c r="D923" t="s">
        <v>3445</v>
      </c>
      <c r="E923" t="str">
        <f>IF(NOT(ISERROR(VLOOKUP(D923,'ESO Dungeon constants'!$A$3:$A$9999,1,FALSE))),"X","")</f>
        <v/>
      </c>
      <c r="F923" s="3" t="str">
        <f>IF(EXACT(A923,C923),"X","")</f>
        <v/>
      </c>
      <c r="G923" s="3" t="str">
        <f>IF(A923&lt;&gt;C923,VLOOKUP(C923,$A$5:$D$9954,4,FALSE),"")</f>
        <v>Galen</v>
      </c>
      <c r="H923" s="17">
        <f>A923</f>
        <v>1369</v>
      </c>
      <c r="I923" s="17">
        <f>C923</f>
        <v>1383</v>
      </c>
      <c r="J923">
        <v>28</v>
      </c>
      <c r="K923" s="3" t="str">
        <f>VLOOKUP(J923,'LibSets constants'!$A$4:$B$1017,2,FALSE)</f>
        <v>DLC_FIRESONG</v>
      </c>
      <c r="L923" s="3" t="str">
        <f>VLOOKUP(J923,'LibSets constants'!$A$4:$C$1017,3,FALSE)</f>
        <v>Firesong</v>
      </c>
    </row>
    <row r="924" spans="1:12" x14ac:dyDescent="0.25">
      <c r="A924">
        <v>1370</v>
      </c>
      <c r="B924">
        <v>919</v>
      </c>
      <c r="C924">
        <v>1383</v>
      </c>
      <c r="D924" t="s">
        <v>3460</v>
      </c>
      <c r="E924" t="str">
        <f>IF(NOT(ISERROR(VLOOKUP(D924,'ESO Dungeon constants'!$A$3:$A$9999,1,FALSE))),"X","")</f>
        <v/>
      </c>
      <c r="F924" s="3" t="str">
        <f>IF(EXACT(A924,C924),"X","")</f>
        <v/>
      </c>
      <c r="G924" s="3" t="str">
        <f>IF(A924&lt;&gt;C924,VLOOKUP(C924,$A$5:$D$9954,4,FALSE),"")</f>
        <v>Galen</v>
      </c>
      <c r="H924" s="17">
        <f>A924</f>
        <v>1370</v>
      </c>
      <c r="I924" s="17">
        <f>C924</f>
        <v>1383</v>
      </c>
      <c r="J924">
        <v>28</v>
      </c>
      <c r="K924" s="3" t="str">
        <f>VLOOKUP(J924,'LibSets constants'!$A$4:$B$1017,2,FALSE)</f>
        <v>DLC_FIRESONG</v>
      </c>
      <c r="L924" s="3" t="str">
        <f>VLOOKUP(J924,'LibSets constants'!$A$4:$C$1017,3,FALSE)</f>
        <v>Firesong</v>
      </c>
    </row>
    <row r="925" spans="1:12" x14ac:dyDescent="0.25">
      <c r="A925">
        <v>1371</v>
      </c>
      <c r="B925">
        <v>920</v>
      </c>
      <c r="C925">
        <v>1383</v>
      </c>
      <c r="D925" t="s">
        <v>3459</v>
      </c>
      <c r="E925" t="str">
        <f>IF(NOT(ISERROR(VLOOKUP(D925,'ESO Dungeon constants'!$A$3:$A$9999,1,FALSE))),"X","")</f>
        <v/>
      </c>
      <c r="F925" s="3" t="str">
        <f>IF(EXACT(A925,C925),"X","")</f>
        <v/>
      </c>
      <c r="G925" s="3" t="str">
        <f>IF(A925&lt;&gt;C925,VLOOKUP(C925,$A$5:$D$9954,4,FALSE),"")</f>
        <v>Galen</v>
      </c>
      <c r="H925" s="17">
        <f>A925</f>
        <v>1371</v>
      </c>
      <c r="I925" s="17">
        <f>C925</f>
        <v>1383</v>
      </c>
      <c r="J925">
        <v>28</v>
      </c>
      <c r="K925" s="3" t="str">
        <f>VLOOKUP(J925,'LibSets constants'!$A$4:$B$1017,2,FALSE)</f>
        <v>DLC_FIRESONG</v>
      </c>
      <c r="L925" s="3" t="str">
        <f>VLOOKUP(J925,'LibSets constants'!$A$4:$C$1017,3,FALSE)</f>
        <v>Firesong</v>
      </c>
    </row>
    <row r="926" spans="1:12" x14ac:dyDescent="0.25">
      <c r="A926">
        <v>1372</v>
      </c>
      <c r="B926">
        <v>921</v>
      </c>
      <c r="C926">
        <v>1383</v>
      </c>
      <c r="D926" t="s">
        <v>3446</v>
      </c>
      <c r="E926" t="str">
        <f>IF(NOT(ISERROR(VLOOKUP(D926,'ESO Dungeon constants'!$A$3:$A$9999,1,FALSE))),"X","")</f>
        <v/>
      </c>
      <c r="F926" s="3" t="str">
        <f>IF(EXACT(A926,C926),"X","")</f>
        <v/>
      </c>
      <c r="G926" s="3" t="str">
        <f>IF(A926&lt;&gt;C926,VLOOKUP(C926,$A$5:$D$9954,4,FALSE),"")</f>
        <v>Galen</v>
      </c>
      <c r="H926" s="17">
        <f>A926</f>
        <v>1372</v>
      </c>
      <c r="I926" s="17">
        <f>C926</f>
        <v>1383</v>
      </c>
      <c r="J926">
        <v>28</v>
      </c>
      <c r="K926" s="3" t="str">
        <f>VLOOKUP(J926,'LibSets constants'!$A$4:$B$1017,2,FALSE)</f>
        <v>DLC_FIRESONG</v>
      </c>
      <c r="L926" s="3" t="str">
        <f>VLOOKUP(J926,'LibSets constants'!$A$4:$C$1017,3,FALSE)</f>
        <v>Firesong</v>
      </c>
    </row>
    <row r="927" spans="1:12" x14ac:dyDescent="0.25">
      <c r="A927">
        <v>1373</v>
      </c>
      <c r="B927">
        <v>922</v>
      </c>
      <c r="C927">
        <v>1383</v>
      </c>
      <c r="D927" t="s">
        <v>3447</v>
      </c>
      <c r="E927" t="str">
        <f>IF(NOT(ISERROR(VLOOKUP(D927,'ESO Dungeon constants'!$A$3:$A$9999,1,FALSE))),"X","")</f>
        <v/>
      </c>
      <c r="F927" s="3" t="str">
        <f>IF(EXACT(A927,C927),"X","")</f>
        <v/>
      </c>
      <c r="G927" s="3" t="str">
        <f>IF(A927&lt;&gt;C927,VLOOKUP(C927,$A$5:$D$9954,4,FALSE),"")</f>
        <v>Galen</v>
      </c>
      <c r="H927" s="17">
        <f>A927</f>
        <v>1373</v>
      </c>
      <c r="I927" s="17">
        <f>C927</f>
        <v>1383</v>
      </c>
      <c r="J927">
        <v>28</v>
      </c>
      <c r="K927" s="3" t="str">
        <f>VLOOKUP(J927,'LibSets constants'!$A$4:$B$1017,2,FALSE)</f>
        <v>DLC_FIRESONG</v>
      </c>
      <c r="L927" s="3" t="str">
        <f>VLOOKUP(J927,'LibSets constants'!$A$4:$C$1017,3,FALSE)</f>
        <v>Firesong</v>
      </c>
    </row>
    <row r="928" spans="1:12" x14ac:dyDescent="0.25">
      <c r="A928">
        <v>1374</v>
      </c>
      <c r="B928">
        <v>923</v>
      </c>
      <c r="C928">
        <v>1383</v>
      </c>
      <c r="D928" t="s">
        <v>3448</v>
      </c>
      <c r="E928" t="str">
        <f>IF(NOT(ISERROR(VLOOKUP(D928,'ESO Dungeon constants'!$A$3:$A$9999,1,FALSE))),"X","")</f>
        <v/>
      </c>
      <c r="F928" s="3" t="str">
        <f>IF(EXACT(A928,C928),"X","")</f>
        <v/>
      </c>
      <c r="G928" s="3" t="str">
        <f>IF(A928&lt;&gt;C928,VLOOKUP(C928,$A$5:$D$9954,4,FALSE),"")</f>
        <v>Galen</v>
      </c>
      <c r="H928" s="17">
        <f>A928</f>
        <v>1374</v>
      </c>
      <c r="I928" s="17">
        <f>C928</f>
        <v>1383</v>
      </c>
      <c r="J928">
        <v>28</v>
      </c>
      <c r="K928" s="3" t="str">
        <f>VLOOKUP(J928,'LibSets constants'!$A$4:$B$1017,2,FALSE)</f>
        <v>DLC_FIRESONG</v>
      </c>
      <c r="L928" s="3" t="str">
        <f>VLOOKUP(J928,'LibSets constants'!$A$4:$C$1017,3,FALSE)</f>
        <v>Firesong</v>
      </c>
    </row>
    <row r="929" spans="1:12" x14ac:dyDescent="0.25">
      <c r="A929">
        <v>1375</v>
      </c>
      <c r="B929">
        <v>924</v>
      </c>
      <c r="C929">
        <v>1383</v>
      </c>
      <c r="D929" t="s">
        <v>3449</v>
      </c>
      <c r="E929" t="str">
        <f>IF(NOT(ISERROR(VLOOKUP(D929,'ESO Dungeon constants'!$A$3:$A$9999,1,FALSE))),"X","")</f>
        <v/>
      </c>
      <c r="F929" s="3" t="str">
        <f>IF(EXACT(A929,C929),"X","")</f>
        <v/>
      </c>
      <c r="G929" s="3" t="str">
        <f>IF(A929&lt;&gt;C929,VLOOKUP(C929,$A$5:$D$9954,4,FALSE),"")</f>
        <v>Galen</v>
      </c>
      <c r="H929" s="17">
        <f>A929</f>
        <v>1375</v>
      </c>
      <c r="I929" s="17">
        <f>C929</f>
        <v>1383</v>
      </c>
      <c r="J929">
        <v>28</v>
      </c>
      <c r="K929" s="3" t="str">
        <f>VLOOKUP(J929,'LibSets constants'!$A$4:$B$1017,2,FALSE)</f>
        <v>DLC_FIRESONG</v>
      </c>
      <c r="L929" s="3" t="str">
        <f>VLOOKUP(J929,'LibSets constants'!$A$4:$C$1017,3,FALSE)</f>
        <v>Firesong</v>
      </c>
    </row>
    <row r="930" spans="1:12" x14ac:dyDescent="0.25">
      <c r="A930">
        <v>1376</v>
      </c>
      <c r="B930">
        <v>925</v>
      </c>
      <c r="C930">
        <v>1383</v>
      </c>
      <c r="D930" t="s">
        <v>3450</v>
      </c>
      <c r="E930" t="str">
        <f>IF(NOT(ISERROR(VLOOKUP(D930,'ESO Dungeon constants'!$A$3:$A$9999,1,FALSE))),"X","")</f>
        <v/>
      </c>
      <c r="F930" s="3" t="str">
        <f>IF(EXACT(A930,C930),"X","")</f>
        <v/>
      </c>
      <c r="G930" s="3" t="str">
        <f>IF(A930&lt;&gt;C930,VLOOKUP(C930,$A$5:$D$9954,4,FALSE),"")</f>
        <v>Galen</v>
      </c>
      <c r="H930" s="17">
        <f>A930</f>
        <v>1376</v>
      </c>
      <c r="I930" s="17">
        <f>C930</f>
        <v>1383</v>
      </c>
      <c r="J930">
        <v>28</v>
      </c>
      <c r="K930" s="3" t="str">
        <f>VLOOKUP(J930,'LibSets constants'!$A$4:$B$1017,2,FALSE)</f>
        <v>DLC_FIRESONG</v>
      </c>
      <c r="L930" s="3" t="str">
        <f>VLOOKUP(J930,'LibSets constants'!$A$4:$C$1017,3,FALSE)</f>
        <v>Firesong</v>
      </c>
    </row>
    <row r="931" spans="1:12" x14ac:dyDescent="0.25">
      <c r="A931">
        <v>1377</v>
      </c>
      <c r="B931">
        <v>926</v>
      </c>
      <c r="C931">
        <v>1383</v>
      </c>
      <c r="D931" t="s">
        <v>3458</v>
      </c>
      <c r="E931" t="str">
        <f>IF(NOT(ISERROR(VLOOKUP(D931,'ESO Dungeon constants'!$A$3:$A$9999,1,FALSE))),"X","")</f>
        <v/>
      </c>
      <c r="F931" s="3" t="str">
        <f>IF(EXACT(A931,C931),"X","")</f>
        <v/>
      </c>
      <c r="G931" s="3" t="str">
        <f>IF(A931&lt;&gt;C931,VLOOKUP(C931,$A$5:$D$9954,4,FALSE),"")</f>
        <v>Galen</v>
      </c>
      <c r="H931" s="17">
        <f>A931</f>
        <v>1377</v>
      </c>
      <c r="I931" s="17">
        <f>C931</f>
        <v>1383</v>
      </c>
      <c r="J931">
        <v>28</v>
      </c>
      <c r="K931" s="3" t="str">
        <f>VLOOKUP(J931,'LibSets constants'!$A$4:$B$1017,2,FALSE)</f>
        <v>DLC_FIRESONG</v>
      </c>
      <c r="L931" s="3" t="str">
        <f>VLOOKUP(J931,'LibSets constants'!$A$4:$C$1017,3,FALSE)</f>
        <v>Firesong</v>
      </c>
    </row>
    <row r="932" spans="1:12" x14ac:dyDescent="0.25">
      <c r="A932">
        <v>1378</v>
      </c>
      <c r="B932">
        <v>927</v>
      </c>
      <c r="C932">
        <v>1383</v>
      </c>
      <c r="D932" t="s">
        <v>3457</v>
      </c>
      <c r="E932" t="str">
        <f>IF(NOT(ISERROR(VLOOKUP(D932,'ESO Dungeon constants'!$A$3:$A$9999,1,FALSE))),"X","")</f>
        <v/>
      </c>
      <c r="F932" s="3" t="str">
        <f>IF(EXACT(A932,C932),"X","")</f>
        <v/>
      </c>
      <c r="G932" s="3" t="str">
        <f>IF(A932&lt;&gt;C932,VLOOKUP(C932,$A$5:$D$9954,4,FALSE),"")</f>
        <v>Galen</v>
      </c>
      <c r="H932" s="17">
        <f>A932</f>
        <v>1378</v>
      </c>
      <c r="I932" s="17">
        <f>C932</f>
        <v>1383</v>
      </c>
      <c r="J932">
        <v>28</v>
      </c>
      <c r="K932" s="3" t="str">
        <f>VLOOKUP(J932,'LibSets constants'!$A$4:$B$1017,2,FALSE)</f>
        <v>DLC_FIRESONG</v>
      </c>
      <c r="L932" s="3" t="str">
        <f>VLOOKUP(J932,'LibSets constants'!$A$4:$C$1017,3,FALSE)</f>
        <v>Firesong</v>
      </c>
    </row>
    <row r="933" spans="1:12" x14ac:dyDescent="0.25">
      <c r="A933">
        <v>1379</v>
      </c>
      <c r="B933">
        <v>928</v>
      </c>
      <c r="C933">
        <v>1383</v>
      </c>
      <c r="D933" t="s">
        <v>3451</v>
      </c>
      <c r="E933" t="str">
        <f>IF(NOT(ISERROR(VLOOKUP(D933,'ESO Dungeon constants'!$A$3:$A$9999,1,FALSE))),"X","")</f>
        <v/>
      </c>
      <c r="F933" s="3" t="str">
        <f>IF(EXACT(A933,C933),"X","")</f>
        <v/>
      </c>
      <c r="G933" s="3" t="str">
        <f>IF(A933&lt;&gt;C933,VLOOKUP(C933,$A$5:$D$9954,4,FALSE),"")</f>
        <v>Galen</v>
      </c>
      <c r="H933" s="17">
        <f>A933</f>
        <v>1379</v>
      </c>
      <c r="I933" s="17">
        <f>C933</f>
        <v>1383</v>
      </c>
      <c r="J933">
        <v>28</v>
      </c>
      <c r="K933" s="3" t="str">
        <f>VLOOKUP(J933,'LibSets constants'!$A$4:$B$1017,2,FALSE)</f>
        <v>DLC_FIRESONG</v>
      </c>
      <c r="L933" s="3" t="str">
        <f>VLOOKUP(J933,'LibSets constants'!$A$4:$C$1017,3,FALSE)</f>
        <v>Firesong</v>
      </c>
    </row>
    <row r="934" spans="1:12" x14ac:dyDescent="0.25">
      <c r="A934">
        <v>1380</v>
      </c>
      <c r="B934">
        <v>929</v>
      </c>
      <c r="C934">
        <v>1383</v>
      </c>
      <c r="D934" t="s">
        <v>3452</v>
      </c>
      <c r="E934" t="str">
        <f>IF(NOT(ISERROR(VLOOKUP(D934,'ESO Dungeon constants'!$A$3:$A$9999,1,FALSE))),"X","")</f>
        <v/>
      </c>
      <c r="F934" s="3" t="str">
        <f>IF(EXACT(A934,C934),"X","")</f>
        <v/>
      </c>
      <c r="G934" s="3" t="str">
        <f>IF(A934&lt;&gt;C934,VLOOKUP(C934,$A$5:$D$9954,4,FALSE),"")</f>
        <v>Galen</v>
      </c>
      <c r="H934" s="17">
        <f>A934</f>
        <v>1380</v>
      </c>
      <c r="I934" s="17">
        <f>C934</f>
        <v>1383</v>
      </c>
      <c r="J934">
        <v>28</v>
      </c>
      <c r="K934" s="3" t="str">
        <f>VLOOKUP(J934,'LibSets constants'!$A$4:$B$1017,2,FALSE)</f>
        <v>DLC_FIRESONG</v>
      </c>
      <c r="L934" s="3" t="str">
        <f>VLOOKUP(J934,'LibSets constants'!$A$4:$C$1017,3,FALSE)</f>
        <v>Firesong</v>
      </c>
    </row>
    <row r="935" spans="1:12" x14ac:dyDescent="0.25">
      <c r="A935">
        <v>1381</v>
      </c>
      <c r="B935">
        <v>930</v>
      </c>
      <c r="C935">
        <v>1383</v>
      </c>
      <c r="D935" t="s">
        <v>3453</v>
      </c>
      <c r="E935" t="str">
        <f>IF(NOT(ISERROR(VLOOKUP(D935,'ESO Dungeon constants'!$A$3:$A$9999,1,FALSE))),"X","")</f>
        <v/>
      </c>
      <c r="F935" s="3" t="str">
        <f>IF(EXACT(A935,C935),"X","")</f>
        <v/>
      </c>
      <c r="G935" s="3" t="str">
        <f>IF(A935&lt;&gt;C935,VLOOKUP(C935,$A$5:$D$9954,4,FALSE),"")</f>
        <v>Galen</v>
      </c>
      <c r="H935" s="17">
        <f>A935</f>
        <v>1381</v>
      </c>
      <c r="I935" s="17">
        <f>C935</f>
        <v>1383</v>
      </c>
      <c r="J935">
        <v>28</v>
      </c>
      <c r="K935" s="3" t="str">
        <f>VLOOKUP(J935,'LibSets constants'!$A$4:$B$1017,2,FALSE)</f>
        <v>DLC_FIRESONG</v>
      </c>
      <c r="L935" s="3" t="str">
        <f>VLOOKUP(J935,'LibSets constants'!$A$4:$C$1017,3,FALSE)</f>
        <v>Firesong</v>
      </c>
    </row>
    <row r="936" spans="1:12" x14ac:dyDescent="0.25">
      <c r="A936">
        <v>1382</v>
      </c>
      <c r="B936">
        <v>931</v>
      </c>
      <c r="C936">
        <v>1383</v>
      </c>
      <c r="D936" t="s">
        <v>3895</v>
      </c>
      <c r="E936" t="str">
        <f>IF(NOT(ISERROR(VLOOKUP(D936,'ESO Dungeon constants'!$A$3:$A$9999,1,FALSE))),"X","")</f>
        <v/>
      </c>
      <c r="F936" s="3" t="str">
        <f>IF(EXACT(A936,C936),"X","")</f>
        <v/>
      </c>
      <c r="G936" s="3" t="str">
        <f>IF(A936&lt;&gt;C936,VLOOKUP(C936,$A$5:$D$9954,4,FALSE),"")</f>
        <v>Galen</v>
      </c>
      <c r="H936" s="17">
        <f>A936</f>
        <v>1382</v>
      </c>
      <c r="I936" s="17">
        <f>C936</f>
        <v>1383</v>
      </c>
      <c r="J936">
        <v>28</v>
      </c>
      <c r="K936" s="3" t="str">
        <f>VLOOKUP(J936,'LibSets constants'!$A$4:$B$1017,2,FALSE)</f>
        <v>DLC_FIRESONG</v>
      </c>
      <c r="L936" s="3" t="str">
        <f>VLOOKUP(J936,'LibSets constants'!$A$4:$C$1017,3,FALSE)</f>
        <v>Firesong</v>
      </c>
    </row>
    <row r="937" spans="1:12" x14ac:dyDescent="0.25">
      <c r="A937">
        <v>1383</v>
      </c>
      <c r="B937">
        <v>932</v>
      </c>
      <c r="C937">
        <v>1383</v>
      </c>
      <c r="D937" t="s">
        <v>3456</v>
      </c>
      <c r="E937" t="str">
        <f>IF(NOT(ISERROR(VLOOKUP(D937,'ESO Dungeon constants'!$A$3:$A$9999,1,FALSE))),"X","")</f>
        <v/>
      </c>
      <c r="F937" s="3" t="str">
        <f>IF(EXACT(A937,C937),"X","")</f>
        <v>X</v>
      </c>
      <c r="G937" s="3" t="str">
        <f>IF(A937&lt;&gt;C937,VLOOKUP(C937,$A$5:$D$9954,4,FALSE),"")</f>
        <v/>
      </c>
      <c r="H937" s="17">
        <f>A937</f>
        <v>1383</v>
      </c>
      <c r="I937" s="17">
        <f>C937</f>
        <v>1383</v>
      </c>
      <c r="J937">
        <v>8</v>
      </c>
      <c r="K937" s="3" t="str">
        <f>VLOOKUP(J937,'LibSets constants'!$A$4:$B$1017,2,FALSE)</f>
        <v>DLC_CLOCKWORK_CITY</v>
      </c>
      <c r="L937" s="3" t="str">
        <f>VLOOKUP(J937,'LibSets constants'!$A$4:$C$1017,3,FALSE)</f>
        <v>Clockwork City</v>
      </c>
    </row>
    <row r="938" spans="1:12" x14ac:dyDescent="0.25">
      <c r="A938">
        <v>1385</v>
      </c>
      <c r="B938">
        <v>933</v>
      </c>
      <c r="C938">
        <v>1383</v>
      </c>
      <c r="D938" t="s">
        <v>3455</v>
      </c>
      <c r="E938" t="str">
        <f>IF(NOT(ISERROR(VLOOKUP(D938,'ESO Dungeon constants'!$A$3:$A$9999,1,FALSE))),"X","")</f>
        <v/>
      </c>
      <c r="F938" s="3" t="str">
        <f>IF(EXACT(A938,C938),"X","")</f>
        <v/>
      </c>
      <c r="G938" s="3" t="str">
        <f>IF(A938&lt;&gt;C938,VLOOKUP(C938,$A$5:$D$9954,4,FALSE),"")</f>
        <v>Galen</v>
      </c>
      <c r="H938" s="17">
        <f>A938</f>
        <v>1385</v>
      </c>
      <c r="I938" s="17">
        <f>C938</f>
        <v>1383</v>
      </c>
      <c r="J938">
        <v>28</v>
      </c>
      <c r="K938" s="3" t="str">
        <f>VLOOKUP(J938,'LibSets constants'!$A$4:$B$1017,2,FALSE)</f>
        <v>DLC_FIRESONG</v>
      </c>
      <c r="L938" s="3" t="str">
        <f>VLOOKUP(J938,'LibSets constants'!$A$4:$C$1017,3,FALSE)</f>
        <v>Firesong</v>
      </c>
    </row>
    <row r="939" spans="1:12" x14ac:dyDescent="0.25">
      <c r="A939">
        <v>1386</v>
      </c>
      <c r="B939">
        <v>934</v>
      </c>
      <c r="C939">
        <v>1383</v>
      </c>
      <c r="D939" t="s">
        <v>3446</v>
      </c>
      <c r="E939" t="str">
        <f>IF(NOT(ISERROR(VLOOKUP(D939,'ESO Dungeon constants'!$A$3:$A$9999,1,FALSE))),"X","")</f>
        <v/>
      </c>
      <c r="F939" s="3" t="str">
        <f>IF(EXACT(A939,C939),"X","")</f>
        <v/>
      </c>
      <c r="G939" s="3" t="str">
        <f>IF(A939&lt;&gt;C939,VLOOKUP(C939,$A$5:$D$9954,4,FALSE),"")</f>
        <v>Galen</v>
      </c>
      <c r="H939" s="17">
        <f>A939</f>
        <v>1386</v>
      </c>
      <c r="I939" s="17">
        <f>C939</f>
        <v>1383</v>
      </c>
      <c r="J939">
        <v>28</v>
      </c>
      <c r="K939" s="3" t="str">
        <f>VLOOKUP(J939,'LibSets constants'!$A$4:$B$1017,2,FALSE)</f>
        <v>DLC_FIRESONG</v>
      </c>
      <c r="L939" s="3" t="str">
        <f>VLOOKUP(J939,'LibSets constants'!$A$4:$C$1017,3,FALSE)</f>
        <v>Firesong</v>
      </c>
    </row>
    <row r="940" spans="1:12" x14ac:dyDescent="0.25">
      <c r="A940">
        <v>1387</v>
      </c>
      <c r="B940">
        <v>935</v>
      </c>
      <c r="C940">
        <v>1383</v>
      </c>
      <c r="D940" t="s">
        <v>3454</v>
      </c>
      <c r="E940" t="str">
        <f>IF(NOT(ISERROR(VLOOKUP(D940,'ESO Dungeon constants'!$A$3:$A$9999,1,FALSE))),"X","")</f>
        <v/>
      </c>
      <c r="F940" s="3" t="str">
        <f>IF(EXACT(A940,C940),"X","")</f>
        <v/>
      </c>
      <c r="G940" s="3" t="str">
        <f>IF(A940&lt;&gt;C940,VLOOKUP(C940,$A$5:$D$9954,4,FALSE),"")</f>
        <v>Galen</v>
      </c>
      <c r="H940" s="17">
        <f>A940</f>
        <v>1387</v>
      </c>
      <c r="I940" s="17">
        <f>C940</f>
        <v>1383</v>
      </c>
      <c r="J940">
        <v>28</v>
      </c>
      <c r="K940" s="3" t="str">
        <f>VLOOKUP(J940,'LibSets constants'!$A$4:$B$1017,2,FALSE)</f>
        <v>DLC_FIRESONG</v>
      </c>
      <c r="L940" s="3" t="str">
        <f>VLOOKUP(J940,'LibSets constants'!$A$4:$C$1017,3,FALSE)</f>
        <v>Firesong</v>
      </c>
    </row>
    <row r="941" spans="1:12" x14ac:dyDescent="0.25">
      <c r="A941">
        <v>1391</v>
      </c>
      <c r="B941">
        <v>938</v>
      </c>
      <c r="C941">
        <v>537</v>
      </c>
      <c r="D941" t="s">
        <v>3564</v>
      </c>
      <c r="E941" t="str">
        <f>IF(NOT(ISERROR(VLOOKUP(D941,'ESO Dungeon constants'!$A$3:$A$9999,1,FALSE))),"X","")</f>
        <v/>
      </c>
      <c r="F941" s="3" t="str">
        <f>IF(EXACT(A941,C941),"X","")</f>
        <v/>
      </c>
      <c r="G941" s="3" t="str">
        <f>IF(A941&lt;&gt;C941,VLOOKUP(C941,$A$5:$D$9954,4,FALSE),"")</f>
        <v>Khenarthi's Roost</v>
      </c>
      <c r="H941" s="17">
        <f>A941</f>
        <v>1391</v>
      </c>
      <c r="I941" s="17">
        <f>C941</f>
        <v>537</v>
      </c>
      <c r="J941">
        <v>0</v>
      </c>
      <c r="K941" s="3" t="str">
        <f>VLOOKUP(J941,'LibSets constants'!$A$4:$B$1017,2,FALSE)</f>
        <v>DLC_BASE_GAME</v>
      </c>
      <c r="L941" s="3" t="str">
        <f>VLOOKUP(J941,'LibSets constants'!$A$4:$C$1017,3,FALSE)</f>
        <v>Included in base game</v>
      </c>
    </row>
    <row r="942" spans="1:12" x14ac:dyDescent="0.25">
      <c r="A942">
        <v>1392</v>
      </c>
      <c r="B942">
        <v>939</v>
      </c>
      <c r="C942">
        <v>537</v>
      </c>
      <c r="D942" t="s">
        <v>3563</v>
      </c>
      <c r="E942" t="str">
        <f>IF(NOT(ISERROR(VLOOKUP(D942,'ESO Dungeon constants'!$A$3:$A$9999,1,FALSE))),"X","")</f>
        <v/>
      </c>
      <c r="F942" s="3" t="str">
        <f>IF(EXACT(A942,C942),"X","")</f>
        <v/>
      </c>
      <c r="G942" s="3" t="str">
        <f>IF(A942&lt;&gt;C942,VLOOKUP(C942,$A$5:$D$9954,4,FALSE),"")</f>
        <v>Khenarthi's Roost</v>
      </c>
      <c r="H942" s="17">
        <f>A942</f>
        <v>1392</v>
      </c>
      <c r="I942" s="17">
        <f>C942</f>
        <v>537</v>
      </c>
      <c r="J942">
        <v>0</v>
      </c>
      <c r="K942" s="3" t="str">
        <f>VLOOKUP(J942,'LibSets constants'!$A$4:$B$1017,2,FALSE)</f>
        <v>DLC_BASE_GAME</v>
      </c>
      <c r="L942" s="3" t="str">
        <f>VLOOKUP(J942,'LibSets constants'!$A$4:$C$1017,3,FALSE)</f>
        <v>Included in base game</v>
      </c>
    </row>
    <row r="943" spans="1:12" x14ac:dyDescent="0.25">
      <c r="A943">
        <v>1393</v>
      </c>
      <c r="B943">
        <v>940</v>
      </c>
      <c r="C943">
        <v>1414</v>
      </c>
      <c r="D943" t="s">
        <v>3695</v>
      </c>
      <c r="E943" t="str">
        <f>IF(NOT(ISERROR(VLOOKUP(D943,'ESO Dungeon constants'!$A$3:$A$9999,1,FALSE))),"X","")</f>
        <v/>
      </c>
      <c r="F943" s="3" t="str">
        <f>IF(EXACT(A943,C943),"X","")</f>
        <v/>
      </c>
      <c r="G943" s="3" t="str">
        <f>IF(A943&lt;&gt;C943,VLOOKUP(C943,$A$5:$D$9954,4,FALSE),"")</f>
        <v>Telvanni Peninsula</v>
      </c>
      <c r="H943" s="17">
        <f>A943</f>
        <v>1393</v>
      </c>
      <c r="I943" s="17">
        <f>C943</f>
        <v>1414</v>
      </c>
      <c r="J943">
        <v>30</v>
      </c>
      <c r="K943" s="3" t="str">
        <f>VLOOKUP(J943,'LibSets constants'!$A$4:$B$1017,2,FALSE)</f>
        <v>DLC_NECROM</v>
      </c>
      <c r="L943" s="3" t="str">
        <f>VLOOKUP(J943,'LibSets constants'!$A$4:$C$1017,3,FALSE)</f>
        <v>Necrom</v>
      </c>
    </row>
    <row r="944" spans="1:12" x14ac:dyDescent="0.25">
      <c r="A944">
        <v>1394</v>
      </c>
      <c r="B944">
        <v>941</v>
      </c>
      <c r="C944">
        <v>1414</v>
      </c>
      <c r="D944" t="s">
        <v>3694</v>
      </c>
      <c r="E944" t="str">
        <f>IF(NOT(ISERROR(VLOOKUP(D944,'ESO Dungeon constants'!$A$3:$A$9999,1,FALSE))),"X","")</f>
        <v/>
      </c>
      <c r="F944" s="3" t="str">
        <f>IF(EXACT(A944,C944),"X","")</f>
        <v/>
      </c>
      <c r="G944" s="3" t="str">
        <f>IF(A944&lt;&gt;C944,VLOOKUP(C944,$A$5:$D$9954,4,FALSE),"")</f>
        <v>Telvanni Peninsula</v>
      </c>
      <c r="H944" s="17">
        <f>A944</f>
        <v>1394</v>
      </c>
      <c r="I944" s="17">
        <f>C944</f>
        <v>1414</v>
      </c>
      <c r="J944">
        <v>30</v>
      </c>
      <c r="K944" s="3" t="str">
        <f>VLOOKUP(J944,'LibSets constants'!$A$4:$B$1017,2,FALSE)</f>
        <v>DLC_NECROM</v>
      </c>
      <c r="L944" s="3" t="str">
        <f>VLOOKUP(J944,'LibSets constants'!$A$4:$C$1017,3,FALSE)</f>
        <v>Necrom</v>
      </c>
    </row>
    <row r="945" spans="1:12" x14ac:dyDescent="0.25">
      <c r="A945">
        <v>1395</v>
      </c>
      <c r="B945">
        <v>942</v>
      </c>
      <c r="C945">
        <v>1414</v>
      </c>
      <c r="D945" t="s">
        <v>3694</v>
      </c>
      <c r="E945" t="str">
        <f>IF(NOT(ISERROR(VLOOKUP(D945,'ESO Dungeon constants'!$A$3:$A$9999,1,FALSE))),"X","")</f>
        <v/>
      </c>
      <c r="F945" s="3" t="str">
        <f>IF(EXACT(A945,C945),"X","")</f>
        <v/>
      </c>
      <c r="G945" s="3" t="str">
        <f>IF(A945&lt;&gt;C945,VLOOKUP(C945,$A$5:$D$9954,4,FALSE),"")</f>
        <v>Telvanni Peninsula</v>
      </c>
      <c r="H945" s="17">
        <f>A945</f>
        <v>1395</v>
      </c>
      <c r="I945" s="17">
        <f>C945</f>
        <v>1414</v>
      </c>
      <c r="J945">
        <v>30</v>
      </c>
      <c r="K945" s="3" t="str">
        <f>VLOOKUP(J945,'LibSets constants'!$A$4:$B$1017,2,FALSE)</f>
        <v>DLC_NECROM</v>
      </c>
      <c r="L945" s="3" t="str">
        <f>VLOOKUP(J945,'LibSets constants'!$A$4:$C$1017,3,FALSE)</f>
        <v>Necrom</v>
      </c>
    </row>
    <row r="946" spans="1:12" x14ac:dyDescent="0.25">
      <c r="A946">
        <v>1396</v>
      </c>
      <c r="B946">
        <v>943</v>
      </c>
      <c r="C946">
        <v>1414</v>
      </c>
      <c r="D946" t="s">
        <v>3693</v>
      </c>
      <c r="E946" t="str">
        <f>IF(NOT(ISERROR(VLOOKUP(D946,'ESO Dungeon constants'!$A$3:$A$9999,1,FALSE))),"X","")</f>
        <v/>
      </c>
      <c r="F946" s="3" t="str">
        <f>IF(EXACT(A946,C946),"X","")</f>
        <v/>
      </c>
      <c r="G946" s="3" t="str">
        <f>IF(A946&lt;&gt;C946,VLOOKUP(C946,$A$5:$D$9954,4,FALSE),"")</f>
        <v>Telvanni Peninsula</v>
      </c>
      <c r="H946" s="17">
        <f>A946</f>
        <v>1396</v>
      </c>
      <c r="I946" s="17">
        <f>C946</f>
        <v>1414</v>
      </c>
      <c r="J946">
        <v>30</v>
      </c>
      <c r="K946" s="3" t="str">
        <f>VLOOKUP(J946,'LibSets constants'!$A$4:$B$1017,2,FALSE)</f>
        <v>DLC_NECROM</v>
      </c>
      <c r="L946" s="3" t="str">
        <f>VLOOKUP(J946,'LibSets constants'!$A$4:$C$1017,3,FALSE)</f>
        <v>Necrom</v>
      </c>
    </row>
    <row r="947" spans="1:12" x14ac:dyDescent="0.25">
      <c r="A947">
        <v>1397</v>
      </c>
      <c r="B947">
        <v>944</v>
      </c>
      <c r="C947">
        <v>1414</v>
      </c>
      <c r="D947" t="s">
        <v>3669</v>
      </c>
      <c r="E947" t="str">
        <f>IF(NOT(ISERROR(VLOOKUP(D947,'ESO Dungeon constants'!$A$3:$A$9999,1,FALSE))),"X","")</f>
        <v/>
      </c>
      <c r="F947" s="3" t="str">
        <f>IF(EXACT(A947,C947),"X","")</f>
        <v/>
      </c>
      <c r="G947" s="3" t="str">
        <f>IF(A947&lt;&gt;C947,VLOOKUP(C947,$A$5:$D$9954,4,FALSE),"")</f>
        <v>Telvanni Peninsula</v>
      </c>
      <c r="H947" s="17">
        <f>A947</f>
        <v>1397</v>
      </c>
      <c r="I947" s="17">
        <f>C947</f>
        <v>1414</v>
      </c>
      <c r="J947">
        <v>30</v>
      </c>
      <c r="K947" s="3" t="str">
        <f>VLOOKUP(J947,'LibSets constants'!$A$4:$B$1017,2,FALSE)</f>
        <v>DLC_NECROM</v>
      </c>
      <c r="L947" s="3" t="str">
        <f>VLOOKUP(J947,'LibSets constants'!$A$4:$C$1017,3,FALSE)</f>
        <v>Necrom</v>
      </c>
    </row>
    <row r="948" spans="1:12" x14ac:dyDescent="0.25">
      <c r="A948">
        <v>1398</v>
      </c>
      <c r="B948">
        <v>945</v>
      </c>
      <c r="C948">
        <v>1414</v>
      </c>
      <c r="D948" t="s">
        <v>3692</v>
      </c>
      <c r="E948" t="str">
        <f>IF(NOT(ISERROR(VLOOKUP(D948,'ESO Dungeon constants'!$A$3:$A$9999,1,FALSE))),"X","")</f>
        <v/>
      </c>
      <c r="F948" s="3" t="str">
        <f>IF(EXACT(A948,C948),"X","")</f>
        <v/>
      </c>
      <c r="G948" s="3" t="str">
        <f>IF(A948&lt;&gt;C948,VLOOKUP(C948,$A$5:$D$9954,4,FALSE),"")</f>
        <v>Telvanni Peninsula</v>
      </c>
      <c r="H948" s="17">
        <f>A948</f>
        <v>1398</v>
      </c>
      <c r="I948" s="17">
        <f>C948</f>
        <v>1414</v>
      </c>
      <c r="J948">
        <v>30</v>
      </c>
      <c r="K948" s="3" t="str">
        <f>VLOOKUP(J948,'LibSets constants'!$A$4:$B$1017,2,FALSE)</f>
        <v>DLC_NECROM</v>
      </c>
      <c r="L948" s="3" t="str">
        <f>VLOOKUP(J948,'LibSets constants'!$A$4:$C$1017,3,FALSE)</f>
        <v>Necrom</v>
      </c>
    </row>
    <row r="949" spans="1:12" x14ac:dyDescent="0.25">
      <c r="A949">
        <v>1399</v>
      </c>
      <c r="B949">
        <v>946</v>
      </c>
      <c r="C949">
        <v>1414</v>
      </c>
      <c r="D949" t="s">
        <v>3691</v>
      </c>
      <c r="E949" t="str">
        <f>IF(NOT(ISERROR(VLOOKUP(D949,'ESO Dungeon constants'!$A$3:$A$9999,1,FALSE))),"X","")</f>
        <v/>
      </c>
      <c r="F949" s="3" t="str">
        <f>IF(EXACT(A949,C949),"X","")</f>
        <v/>
      </c>
      <c r="G949" s="3" t="str">
        <f>IF(A949&lt;&gt;C949,VLOOKUP(C949,$A$5:$D$9954,4,FALSE),"")</f>
        <v>Telvanni Peninsula</v>
      </c>
      <c r="H949" s="17">
        <f>A949</f>
        <v>1399</v>
      </c>
      <c r="I949" s="17">
        <f>C949</f>
        <v>1414</v>
      </c>
      <c r="J949">
        <v>30</v>
      </c>
      <c r="K949" s="3" t="str">
        <f>VLOOKUP(J949,'LibSets constants'!$A$4:$B$1017,2,FALSE)</f>
        <v>DLC_NECROM</v>
      </c>
      <c r="L949" s="3" t="str">
        <f>VLOOKUP(J949,'LibSets constants'!$A$4:$C$1017,3,FALSE)</f>
        <v>Necrom</v>
      </c>
    </row>
    <row r="950" spans="1:12" x14ac:dyDescent="0.25">
      <c r="A950">
        <v>1400</v>
      </c>
      <c r="B950">
        <v>947</v>
      </c>
      <c r="C950">
        <v>1414</v>
      </c>
      <c r="D950" t="s">
        <v>3690</v>
      </c>
      <c r="E950" t="str">
        <f>IF(NOT(ISERROR(VLOOKUP(D950,'ESO Dungeon constants'!$A$3:$A$9999,1,FALSE))),"X","")</f>
        <v/>
      </c>
      <c r="F950" s="3" t="str">
        <f>IF(EXACT(A950,C950),"X","")</f>
        <v/>
      </c>
      <c r="G950" s="3" t="str">
        <f>IF(A950&lt;&gt;C950,VLOOKUP(C950,$A$5:$D$9954,4,FALSE),"")</f>
        <v>Telvanni Peninsula</v>
      </c>
      <c r="H950" s="17">
        <f>A950</f>
        <v>1400</v>
      </c>
      <c r="I950" s="17">
        <f>C950</f>
        <v>1414</v>
      </c>
      <c r="J950">
        <v>30</v>
      </c>
      <c r="K950" s="3" t="str">
        <f>VLOOKUP(J950,'LibSets constants'!$A$4:$B$1017,2,FALSE)</f>
        <v>DLC_NECROM</v>
      </c>
      <c r="L950" s="3" t="str">
        <f>VLOOKUP(J950,'LibSets constants'!$A$4:$C$1017,3,FALSE)</f>
        <v>Necrom</v>
      </c>
    </row>
    <row r="951" spans="1:12" x14ac:dyDescent="0.25">
      <c r="A951">
        <v>1401</v>
      </c>
      <c r="B951">
        <v>948</v>
      </c>
      <c r="C951">
        <v>1414</v>
      </c>
      <c r="D951" t="s">
        <v>3689</v>
      </c>
      <c r="E951" t="str">
        <f>IF(NOT(ISERROR(VLOOKUP(D951,'ESO Dungeon constants'!$A$3:$A$9999,1,FALSE))),"X","")</f>
        <v/>
      </c>
      <c r="F951" s="3" t="str">
        <f>IF(EXACT(A951,C951),"X","")</f>
        <v/>
      </c>
      <c r="G951" s="3" t="str">
        <f>IF(A951&lt;&gt;C951,VLOOKUP(C951,$A$5:$D$9954,4,FALSE),"")</f>
        <v>Telvanni Peninsula</v>
      </c>
      <c r="H951" s="17">
        <f>A951</f>
        <v>1401</v>
      </c>
      <c r="I951" s="17">
        <f>C951</f>
        <v>1414</v>
      </c>
      <c r="J951">
        <v>30</v>
      </c>
      <c r="K951" s="3" t="str">
        <f>VLOOKUP(J951,'LibSets constants'!$A$4:$B$1017,2,FALSE)</f>
        <v>DLC_NECROM</v>
      </c>
      <c r="L951" s="3" t="str">
        <f>VLOOKUP(J951,'LibSets constants'!$A$4:$C$1017,3,FALSE)</f>
        <v>Necrom</v>
      </c>
    </row>
    <row r="952" spans="1:12" x14ac:dyDescent="0.25">
      <c r="A952">
        <v>1402</v>
      </c>
      <c r="B952">
        <v>949</v>
      </c>
      <c r="C952">
        <v>1414</v>
      </c>
      <c r="D952" t="s">
        <v>3688</v>
      </c>
      <c r="E952" t="str">
        <f>IF(NOT(ISERROR(VLOOKUP(D952,'ESO Dungeon constants'!$A$3:$A$9999,1,FALSE))),"X","")</f>
        <v/>
      </c>
      <c r="F952" s="3" t="str">
        <f>IF(EXACT(A952,C952),"X","")</f>
        <v/>
      </c>
      <c r="G952" s="3" t="str">
        <f>IF(A952&lt;&gt;C952,VLOOKUP(C952,$A$5:$D$9954,4,FALSE),"")</f>
        <v>Telvanni Peninsula</v>
      </c>
      <c r="H952" s="17">
        <f>A952</f>
        <v>1402</v>
      </c>
      <c r="I952" s="17">
        <f>C952</f>
        <v>1414</v>
      </c>
      <c r="J952">
        <v>30</v>
      </c>
      <c r="K952" s="3" t="str">
        <f>VLOOKUP(J952,'LibSets constants'!$A$4:$B$1017,2,FALSE)</f>
        <v>DLC_NECROM</v>
      </c>
      <c r="L952" s="3" t="str">
        <f>VLOOKUP(J952,'LibSets constants'!$A$4:$C$1017,3,FALSE)</f>
        <v>Necrom</v>
      </c>
    </row>
    <row r="953" spans="1:12" x14ac:dyDescent="0.25">
      <c r="A953">
        <v>1403</v>
      </c>
      <c r="B953">
        <v>950</v>
      </c>
      <c r="C953">
        <v>1414</v>
      </c>
      <c r="D953" t="s">
        <v>3687</v>
      </c>
      <c r="E953" t="str">
        <f>IF(NOT(ISERROR(VLOOKUP(D953,'ESO Dungeon constants'!$A$3:$A$9999,1,FALSE))),"X","")</f>
        <v/>
      </c>
      <c r="F953" s="3" t="str">
        <f>IF(EXACT(A953,C953),"X","")</f>
        <v/>
      </c>
      <c r="G953" s="3" t="str">
        <f>IF(A953&lt;&gt;C953,VLOOKUP(C953,$A$5:$D$9954,4,FALSE),"")</f>
        <v>Telvanni Peninsula</v>
      </c>
      <c r="H953" s="17">
        <f>A953</f>
        <v>1403</v>
      </c>
      <c r="I953" s="17">
        <f>C953</f>
        <v>1414</v>
      </c>
      <c r="J953">
        <v>30</v>
      </c>
      <c r="K953" s="3" t="str">
        <f>VLOOKUP(J953,'LibSets constants'!$A$4:$B$1017,2,FALSE)</f>
        <v>DLC_NECROM</v>
      </c>
      <c r="L953" s="3" t="str">
        <f>VLOOKUP(J953,'LibSets constants'!$A$4:$C$1017,3,FALSE)</f>
        <v>Necrom</v>
      </c>
    </row>
    <row r="954" spans="1:12" x14ac:dyDescent="0.25">
      <c r="A954">
        <v>1404</v>
      </c>
      <c r="B954">
        <v>951</v>
      </c>
      <c r="C954">
        <v>1414</v>
      </c>
      <c r="D954" t="s">
        <v>3696</v>
      </c>
      <c r="E954" t="str">
        <f>IF(NOT(ISERROR(VLOOKUP(D954,'ESO Dungeon constants'!$A$3:$A$9999,1,FALSE))),"X","")</f>
        <v/>
      </c>
      <c r="F954" s="3" t="str">
        <f>IF(EXACT(A954,C954),"X","")</f>
        <v/>
      </c>
      <c r="G954" s="3" t="str">
        <f>IF(A954&lt;&gt;C954,VLOOKUP(C954,$A$5:$D$9954,4,FALSE),"")</f>
        <v>Telvanni Peninsula</v>
      </c>
      <c r="H954" s="17">
        <f>A954</f>
        <v>1404</v>
      </c>
      <c r="I954" s="17">
        <f>C954</f>
        <v>1414</v>
      </c>
      <c r="J954">
        <v>30</v>
      </c>
      <c r="K954" s="3" t="str">
        <f>VLOOKUP(J954,'LibSets constants'!$A$4:$B$1017,2,FALSE)</f>
        <v>DLC_NECROM</v>
      </c>
      <c r="L954" s="3" t="str">
        <f>VLOOKUP(J954,'LibSets constants'!$A$4:$C$1017,3,FALSE)</f>
        <v>Necrom</v>
      </c>
    </row>
    <row r="955" spans="1:12" x14ac:dyDescent="0.25">
      <c r="A955">
        <v>1405</v>
      </c>
      <c r="B955">
        <v>952</v>
      </c>
      <c r="C955">
        <v>1414</v>
      </c>
      <c r="D955" t="s">
        <v>3697</v>
      </c>
      <c r="E955" t="str">
        <f>IF(NOT(ISERROR(VLOOKUP(D955,'ESO Dungeon constants'!$A$3:$A$9999,1,FALSE))),"X","")</f>
        <v/>
      </c>
      <c r="F955" s="3" t="str">
        <f>IF(EXACT(A955,C955),"X","")</f>
        <v/>
      </c>
      <c r="G955" s="3" t="str">
        <f>IF(A955&lt;&gt;C955,VLOOKUP(C955,$A$5:$D$9954,4,FALSE),"")</f>
        <v>Telvanni Peninsula</v>
      </c>
      <c r="H955" s="17">
        <f>A955</f>
        <v>1405</v>
      </c>
      <c r="I955" s="17">
        <f>C955</f>
        <v>1414</v>
      </c>
      <c r="J955">
        <v>30</v>
      </c>
      <c r="K955" s="3" t="str">
        <f>VLOOKUP(J955,'LibSets constants'!$A$4:$B$1017,2,FALSE)</f>
        <v>DLC_NECROM</v>
      </c>
      <c r="L955" s="3" t="str">
        <f>VLOOKUP(J955,'LibSets constants'!$A$4:$C$1017,3,FALSE)</f>
        <v>Necrom</v>
      </c>
    </row>
    <row r="956" spans="1:12" x14ac:dyDescent="0.25">
      <c r="A956">
        <v>1153</v>
      </c>
      <c r="B956">
        <v>742</v>
      </c>
      <c r="C956">
        <v>92</v>
      </c>
      <c r="D956" t="s">
        <v>1637</v>
      </c>
      <c r="E956" t="str">
        <f>IF(NOT(ISERROR(VLOOKUP(D956,'ESO Dungeon constants'!$A$3:$A$9999,1,FALSE))),"X","")</f>
        <v>X</v>
      </c>
      <c r="F956" s="3" t="str">
        <f>IF(EXACT(A956,C956),"X","")</f>
        <v/>
      </c>
      <c r="G956" s="3" t="str">
        <f>IF(A956&lt;&gt;C956,VLOOKUP(C956,$A$5:$D$9954,4,FALSE),"")</f>
        <v>Bangkorai</v>
      </c>
      <c r="H956" s="17">
        <f>A956</f>
        <v>1153</v>
      </c>
      <c r="I956" s="17">
        <f>C956</f>
        <v>92</v>
      </c>
      <c r="J956">
        <f>IF(E956="X",VLOOKUP(D956,'ESO Dungeon constants'!$A$3:$H$9999,8,FALSE),0)</f>
        <v>17</v>
      </c>
      <c r="K956" s="3" t="str">
        <f>VLOOKUP(J956,'LibSets constants'!$A$4:$B$1017,2,FALSE)</f>
        <v>DLC_HARROWSTORM</v>
      </c>
      <c r="L956" s="3" t="str">
        <f>VLOOKUP(J956,'LibSets constants'!$A$4:$C$1017,3,FALSE)</f>
        <v>Harrowstorm</v>
      </c>
    </row>
    <row r="957" spans="1:12" x14ac:dyDescent="0.25">
      <c r="A957">
        <v>1406</v>
      </c>
      <c r="B957">
        <v>953</v>
      </c>
      <c r="C957">
        <v>1414</v>
      </c>
      <c r="D957" t="s">
        <v>3698</v>
      </c>
      <c r="E957" t="str">
        <f>IF(NOT(ISERROR(VLOOKUP(D957,'ESO Dungeon constants'!$A$3:$A$9999,1,FALSE))),"X","")</f>
        <v/>
      </c>
      <c r="F957" s="3" t="str">
        <f>IF(EXACT(A957,C957),"X","")</f>
        <v/>
      </c>
      <c r="G957" s="3" t="str">
        <f>IF(A957&lt;&gt;C957,VLOOKUP(C957,$A$5:$D$9954,4,FALSE),"")</f>
        <v>Telvanni Peninsula</v>
      </c>
      <c r="H957" s="17">
        <f>A957</f>
        <v>1406</v>
      </c>
      <c r="I957" s="17">
        <f>C957</f>
        <v>1414</v>
      </c>
      <c r="J957">
        <v>30</v>
      </c>
      <c r="K957" s="3" t="str">
        <f>VLOOKUP(J957,'LibSets constants'!$A$4:$B$1017,2,FALSE)</f>
        <v>DLC_NECROM</v>
      </c>
      <c r="L957" s="3" t="str">
        <f>VLOOKUP(J957,'LibSets constants'!$A$4:$C$1017,3,FALSE)</f>
        <v>Necrom</v>
      </c>
    </row>
    <row r="958" spans="1:12" x14ac:dyDescent="0.25">
      <c r="A958">
        <v>1407</v>
      </c>
      <c r="B958">
        <v>954</v>
      </c>
      <c r="C958">
        <v>1414</v>
      </c>
      <c r="D958" t="s">
        <v>3686</v>
      </c>
      <c r="E958" t="str">
        <f>IF(NOT(ISERROR(VLOOKUP(D958,'ESO Dungeon constants'!$A$3:$A$9999,1,FALSE))),"X","")</f>
        <v/>
      </c>
      <c r="F958" s="3" t="str">
        <f>IF(EXACT(A958,C958),"X","")</f>
        <v/>
      </c>
      <c r="G958" s="3" t="str">
        <f>IF(A958&lt;&gt;C958,VLOOKUP(C958,$A$5:$D$9954,4,FALSE),"")</f>
        <v>Telvanni Peninsula</v>
      </c>
      <c r="H958" s="17">
        <f>A958</f>
        <v>1407</v>
      </c>
      <c r="I958" s="17">
        <f>C958</f>
        <v>1414</v>
      </c>
      <c r="J958">
        <v>30</v>
      </c>
      <c r="K958" s="3" t="str">
        <f>VLOOKUP(J958,'LibSets constants'!$A$4:$B$1017,2,FALSE)</f>
        <v>DLC_NECROM</v>
      </c>
      <c r="L958" s="3" t="str">
        <f>VLOOKUP(J958,'LibSets constants'!$A$4:$C$1017,3,FALSE)</f>
        <v>Necrom</v>
      </c>
    </row>
    <row r="959" spans="1:12" x14ac:dyDescent="0.25">
      <c r="A959">
        <v>1408</v>
      </c>
      <c r="B959">
        <v>955</v>
      </c>
      <c r="C959">
        <v>1414</v>
      </c>
      <c r="D959" t="s">
        <v>3670</v>
      </c>
      <c r="E959" t="str">
        <f>IF(NOT(ISERROR(VLOOKUP(D959,'ESO Dungeon constants'!$A$3:$A$9999,1,FALSE))),"X","")</f>
        <v/>
      </c>
      <c r="F959" s="3" t="str">
        <f>IF(EXACT(A959,C959),"X","")</f>
        <v/>
      </c>
      <c r="G959" s="3" t="str">
        <f>IF(A959&lt;&gt;C959,VLOOKUP(C959,$A$5:$D$9954,4,FALSE),"")</f>
        <v>Telvanni Peninsula</v>
      </c>
      <c r="H959" s="17">
        <f>A959</f>
        <v>1408</v>
      </c>
      <c r="I959" s="17">
        <f>C959</f>
        <v>1414</v>
      </c>
      <c r="J959">
        <v>30</v>
      </c>
      <c r="K959" s="3" t="str">
        <f>VLOOKUP(J959,'LibSets constants'!$A$4:$B$1017,2,FALSE)</f>
        <v>DLC_NECROM</v>
      </c>
      <c r="L959" s="3" t="str">
        <f>VLOOKUP(J959,'LibSets constants'!$A$4:$C$1017,3,FALSE)</f>
        <v>Necrom</v>
      </c>
    </row>
    <row r="960" spans="1:12" x14ac:dyDescent="0.25">
      <c r="A960">
        <v>1409</v>
      </c>
      <c r="B960">
        <v>956</v>
      </c>
      <c r="C960">
        <v>1414</v>
      </c>
      <c r="D960" t="s">
        <v>3685</v>
      </c>
      <c r="E960" t="str">
        <f>IF(NOT(ISERROR(VLOOKUP(D960,'ESO Dungeon constants'!$A$3:$A$9999,1,FALSE))),"X","")</f>
        <v/>
      </c>
      <c r="F960" s="3" t="str">
        <f>IF(EXACT(A960,C960),"X","")</f>
        <v/>
      </c>
      <c r="G960" s="3" t="str">
        <f>IF(A960&lt;&gt;C960,VLOOKUP(C960,$A$5:$D$9954,4,FALSE),"")</f>
        <v>Telvanni Peninsula</v>
      </c>
      <c r="H960" s="17">
        <f>A960</f>
        <v>1409</v>
      </c>
      <c r="I960" s="17">
        <f>C960</f>
        <v>1414</v>
      </c>
      <c r="J960">
        <v>30</v>
      </c>
      <c r="K960" s="3" t="str">
        <f>VLOOKUP(J960,'LibSets constants'!$A$4:$B$1017,2,FALSE)</f>
        <v>DLC_NECROM</v>
      </c>
      <c r="L960" s="3" t="str">
        <f>VLOOKUP(J960,'LibSets constants'!$A$4:$C$1017,3,FALSE)</f>
        <v>Necrom</v>
      </c>
    </row>
    <row r="961" spans="1:12" x14ac:dyDescent="0.25">
      <c r="A961">
        <v>1410</v>
      </c>
      <c r="B961">
        <v>957</v>
      </c>
      <c r="C961">
        <v>1414</v>
      </c>
      <c r="D961" t="s">
        <v>3684</v>
      </c>
      <c r="E961" t="str">
        <f>IF(NOT(ISERROR(VLOOKUP(D961,'ESO Dungeon constants'!$A$3:$A$9999,1,FALSE))),"X","")</f>
        <v/>
      </c>
      <c r="F961" s="3" t="str">
        <f>IF(EXACT(A961,C961),"X","")</f>
        <v/>
      </c>
      <c r="G961" s="3" t="str">
        <f>IF(A961&lt;&gt;C961,VLOOKUP(C961,$A$5:$D$9954,4,FALSE),"")</f>
        <v>Telvanni Peninsula</v>
      </c>
      <c r="H961" s="17">
        <f>A961</f>
        <v>1410</v>
      </c>
      <c r="I961" s="17">
        <f>C961</f>
        <v>1414</v>
      </c>
      <c r="J961">
        <v>30</v>
      </c>
      <c r="K961" s="3" t="str">
        <f>VLOOKUP(J961,'LibSets constants'!$A$4:$B$1017,2,FALSE)</f>
        <v>DLC_NECROM</v>
      </c>
      <c r="L961" s="3" t="str">
        <f>VLOOKUP(J961,'LibSets constants'!$A$4:$C$1017,3,FALSE)</f>
        <v>Necrom</v>
      </c>
    </row>
    <row r="962" spans="1:12" x14ac:dyDescent="0.25">
      <c r="A962">
        <v>1411</v>
      </c>
      <c r="B962">
        <v>958</v>
      </c>
      <c r="C962">
        <v>1414</v>
      </c>
      <c r="D962" t="s">
        <v>3683</v>
      </c>
      <c r="E962" t="str">
        <f>IF(NOT(ISERROR(VLOOKUP(D962,'ESO Dungeon constants'!$A$3:$A$9999,1,FALSE))),"X","")</f>
        <v/>
      </c>
      <c r="F962" s="3" t="str">
        <f>IF(EXACT(A962,C962),"X","")</f>
        <v/>
      </c>
      <c r="G962" s="3" t="str">
        <f>IF(A962&lt;&gt;C962,VLOOKUP(C962,$A$5:$D$9954,4,FALSE),"")</f>
        <v>Telvanni Peninsula</v>
      </c>
      <c r="H962" s="17">
        <f>A962</f>
        <v>1411</v>
      </c>
      <c r="I962" s="17">
        <f>C962</f>
        <v>1414</v>
      </c>
      <c r="J962">
        <v>30</v>
      </c>
      <c r="K962" s="3" t="str">
        <f>VLOOKUP(J962,'LibSets constants'!$A$4:$B$1017,2,FALSE)</f>
        <v>DLC_NECROM</v>
      </c>
      <c r="L962" s="3" t="str">
        <f>VLOOKUP(J962,'LibSets constants'!$A$4:$C$1017,3,FALSE)</f>
        <v>Necrom</v>
      </c>
    </row>
    <row r="963" spans="1:12" x14ac:dyDescent="0.25">
      <c r="A963">
        <v>1412</v>
      </c>
      <c r="B963">
        <v>959</v>
      </c>
      <c r="C963">
        <v>1414</v>
      </c>
      <c r="D963" t="s">
        <v>3682</v>
      </c>
      <c r="E963" t="str">
        <f>IF(NOT(ISERROR(VLOOKUP(D963,'ESO Dungeon constants'!$A$3:$A$9999,1,FALSE))),"X","")</f>
        <v/>
      </c>
      <c r="F963" s="3" t="str">
        <f>IF(EXACT(A963,C963),"X","")</f>
        <v/>
      </c>
      <c r="G963" s="3" t="str">
        <f>IF(A963&lt;&gt;C963,VLOOKUP(C963,$A$5:$D$9954,4,FALSE),"")</f>
        <v>Telvanni Peninsula</v>
      </c>
      <c r="H963" s="17">
        <f>A963</f>
        <v>1412</v>
      </c>
      <c r="I963" s="17">
        <f>C963</f>
        <v>1414</v>
      </c>
      <c r="J963">
        <v>30</v>
      </c>
      <c r="K963" s="3" t="str">
        <f>VLOOKUP(J963,'LibSets constants'!$A$4:$B$1017,2,FALSE)</f>
        <v>DLC_NECROM</v>
      </c>
      <c r="L963" s="3" t="str">
        <f>VLOOKUP(J963,'LibSets constants'!$A$4:$C$1017,3,FALSE)</f>
        <v>Necrom</v>
      </c>
    </row>
    <row r="964" spans="1:12" x14ac:dyDescent="0.25">
      <c r="A964">
        <v>1413</v>
      </c>
      <c r="B964">
        <v>960</v>
      </c>
      <c r="C964">
        <v>1414</v>
      </c>
      <c r="D964" t="s">
        <v>3609</v>
      </c>
      <c r="E964" t="str">
        <f>IF(NOT(ISERROR(VLOOKUP(D964,'ESO Dungeon constants'!$A$3:$A$9999,1,FALSE))),"X","")</f>
        <v/>
      </c>
      <c r="F964" s="3" t="str">
        <f>IF(EXACT(A964,C964),"X","")</f>
        <v/>
      </c>
      <c r="G964" s="3" t="str">
        <f>IF(A964&lt;&gt;C964,VLOOKUP(C964,$A$5:$D$9954,4,FALSE),"")</f>
        <v>Telvanni Peninsula</v>
      </c>
      <c r="H964" s="17">
        <f>A964</f>
        <v>1413</v>
      </c>
      <c r="I964" s="17">
        <f>C964</f>
        <v>1414</v>
      </c>
      <c r="J964">
        <v>30</v>
      </c>
      <c r="K964" s="3" t="str">
        <f>VLOOKUP(J964,'LibSets constants'!$A$4:$B$1017,2,FALSE)</f>
        <v>DLC_NECROM</v>
      </c>
      <c r="L964" s="3" t="str">
        <f>VLOOKUP(J964,'LibSets constants'!$A$4:$C$1017,3,FALSE)</f>
        <v>Necrom</v>
      </c>
    </row>
    <row r="965" spans="1:12" x14ac:dyDescent="0.25">
      <c r="A965">
        <v>1414</v>
      </c>
      <c r="B965">
        <v>961</v>
      </c>
      <c r="C965">
        <v>1414</v>
      </c>
      <c r="D965" t="s">
        <v>3681</v>
      </c>
      <c r="E965" t="str">
        <f>IF(NOT(ISERROR(VLOOKUP(D965,'ESO Dungeon constants'!$A$3:$A$9999,1,FALSE))),"X","")</f>
        <v/>
      </c>
      <c r="F965" s="3" t="str">
        <f>IF(EXACT(A965,C965),"X","")</f>
        <v>X</v>
      </c>
      <c r="G965" s="3" t="str">
        <f>IF(A965&lt;&gt;C965,VLOOKUP(C965,$A$5:$D$9954,4,FALSE),"")</f>
        <v/>
      </c>
      <c r="H965" s="17">
        <f>A965</f>
        <v>1414</v>
      </c>
      <c r="I965" s="17">
        <f>C965</f>
        <v>1414</v>
      </c>
      <c r="J965">
        <v>30</v>
      </c>
      <c r="K965" s="3" t="str">
        <f>VLOOKUP(J965,'LibSets constants'!$A$4:$B$1017,2,FALSE)</f>
        <v>DLC_NECROM</v>
      </c>
      <c r="L965" s="3" t="str">
        <f>VLOOKUP(J965,'LibSets constants'!$A$4:$C$1017,3,FALSE)</f>
        <v>Necrom</v>
      </c>
    </row>
    <row r="966" spans="1:12" x14ac:dyDescent="0.25">
      <c r="A966">
        <v>1415</v>
      </c>
      <c r="B966">
        <v>962</v>
      </c>
      <c r="C966">
        <v>1414</v>
      </c>
      <c r="D966" t="s">
        <v>3671</v>
      </c>
      <c r="E966" t="str">
        <f>IF(NOT(ISERROR(VLOOKUP(D966,'ESO Dungeon constants'!$A$3:$A$9999,1,FALSE))),"X","")</f>
        <v/>
      </c>
      <c r="F966" s="3" t="str">
        <f>IF(EXACT(A966,C966),"X","")</f>
        <v/>
      </c>
      <c r="G966" s="3" t="str">
        <f>IF(A966&lt;&gt;C966,VLOOKUP(C966,$A$5:$D$9954,4,FALSE),"")</f>
        <v>Telvanni Peninsula</v>
      </c>
      <c r="H966" s="17">
        <f>A966</f>
        <v>1415</v>
      </c>
      <c r="I966" s="17">
        <f>C966</f>
        <v>1414</v>
      </c>
      <c r="J966">
        <v>30</v>
      </c>
      <c r="K966" s="3" t="str">
        <f>VLOOKUP(J966,'LibSets constants'!$A$4:$B$1017,2,FALSE)</f>
        <v>DLC_NECROM</v>
      </c>
      <c r="L966" s="3" t="str">
        <f>VLOOKUP(J966,'LibSets constants'!$A$4:$C$1017,3,FALSE)</f>
        <v>Necrom</v>
      </c>
    </row>
    <row r="967" spans="1:12" x14ac:dyDescent="0.25">
      <c r="A967">
        <v>1416</v>
      </c>
      <c r="B967">
        <v>963</v>
      </c>
      <c r="C967">
        <v>1414</v>
      </c>
      <c r="D967" t="s">
        <v>3680</v>
      </c>
      <c r="E967" t="str">
        <f>IF(NOT(ISERROR(VLOOKUP(D967,'ESO Dungeon constants'!$A$3:$A$9999,1,FALSE))),"X","")</f>
        <v/>
      </c>
      <c r="F967" s="3" t="str">
        <f>IF(EXACT(A967,C967),"X","")</f>
        <v/>
      </c>
      <c r="G967" s="3" t="str">
        <f>IF(A967&lt;&gt;C967,VLOOKUP(C967,$A$5:$D$9954,4,FALSE),"")</f>
        <v>Telvanni Peninsula</v>
      </c>
      <c r="H967" s="17">
        <f>A967</f>
        <v>1416</v>
      </c>
      <c r="I967" s="17">
        <f>C967</f>
        <v>1414</v>
      </c>
      <c r="J967">
        <v>30</v>
      </c>
      <c r="K967" s="3" t="str">
        <f>VLOOKUP(J967,'LibSets constants'!$A$4:$B$1017,2,FALSE)</f>
        <v>DLC_NECROM</v>
      </c>
      <c r="L967" s="3" t="str">
        <f>VLOOKUP(J967,'LibSets constants'!$A$4:$C$1017,3,FALSE)</f>
        <v>Necrom</v>
      </c>
    </row>
    <row r="968" spans="1:12" x14ac:dyDescent="0.25">
      <c r="A968">
        <v>1417</v>
      </c>
      <c r="B968">
        <v>964</v>
      </c>
      <c r="C968">
        <v>1414</v>
      </c>
      <c r="D968" t="s">
        <v>3679</v>
      </c>
      <c r="E968" t="str">
        <f>IF(NOT(ISERROR(VLOOKUP(D968,'ESO Dungeon constants'!$A$3:$A$9999,1,FALSE))),"X","")</f>
        <v/>
      </c>
      <c r="F968" s="3" t="str">
        <f>IF(EXACT(A968,C968),"X","")</f>
        <v/>
      </c>
      <c r="G968" s="3" t="str">
        <f>IF(A968&lt;&gt;C968,VLOOKUP(C968,$A$5:$D$9954,4,FALSE),"")</f>
        <v>Telvanni Peninsula</v>
      </c>
      <c r="H968" s="17">
        <f>A968</f>
        <v>1417</v>
      </c>
      <c r="I968" s="17">
        <f>C968</f>
        <v>1414</v>
      </c>
      <c r="J968">
        <v>30</v>
      </c>
      <c r="K968" s="3" t="str">
        <f>VLOOKUP(J968,'LibSets constants'!$A$4:$B$1017,2,FALSE)</f>
        <v>DLC_NECROM</v>
      </c>
      <c r="L968" s="3" t="str">
        <f>VLOOKUP(J968,'LibSets constants'!$A$4:$C$1017,3,FALSE)</f>
        <v>Necrom</v>
      </c>
    </row>
    <row r="969" spans="1:12" x14ac:dyDescent="0.25">
      <c r="A969">
        <v>1420</v>
      </c>
      <c r="B969">
        <v>965</v>
      </c>
      <c r="C969">
        <v>1414</v>
      </c>
      <c r="D969" t="s">
        <v>3678</v>
      </c>
      <c r="E969" t="str">
        <f>IF(NOT(ISERROR(VLOOKUP(D969,'ESO Dungeon constants'!$A$3:$A$9999,1,FALSE))),"X","")</f>
        <v/>
      </c>
      <c r="F969" s="3" t="str">
        <f>IF(EXACT(A969,C969),"X","")</f>
        <v/>
      </c>
      <c r="G969" s="3" t="str">
        <f>IF(A969&lt;&gt;C969,VLOOKUP(C969,$A$5:$D$9954,4,FALSE),"")</f>
        <v>Telvanni Peninsula</v>
      </c>
      <c r="H969" s="17">
        <f>A969</f>
        <v>1420</v>
      </c>
      <c r="I969" s="17">
        <f>C969</f>
        <v>1414</v>
      </c>
      <c r="J969">
        <v>30</v>
      </c>
      <c r="K969" s="3" t="str">
        <f>VLOOKUP(J969,'LibSets constants'!$A$4:$B$1017,2,FALSE)</f>
        <v>DLC_NECROM</v>
      </c>
      <c r="L969" s="3" t="str">
        <f>VLOOKUP(J969,'LibSets constants'!$A$4:$C$1017,3,FALSE)</f>
        <v>Necrom</v>
      </c>
    </row>
    <row r="970" spans="1:12" x14ac:dyDescent="0.25">
      <c r="A970">
        <v>1421</v>
      </c>
      <c r="B970">
        <v>966</v>
      </c>
      <c r="C970">
        <v>1414</v>
      </c>
      <c r="D970" t="s">
        <v>3677</v>
      </c>
      <c r="E970" t="str">
        <f>IF(NOT(ISERROR(VLOOKUP(D970,'ESO Dungeon constants'!$A$3:$A$9999,1,FALSE))),"X","")</f>
        <v/>
      </c>
      <c r="F970" s="3" t="str">
        <f>IF(EXACT(A970,C970),"X","")</f>
        <v/>
      </c>
      <c r="G970" s="3" t="str">
        <f>IF(A970&lt;&gt;C970,VLOOKUP(C970,$A$5:$D$9954,4,FALSE),"")</f>
        <v>Telvanni Peninsula</v>
      </c>
      <c r="H970" s="17">
        <f>A970</f>
        <v>1421</v>
      </c>
      <c r="I970" s="17">
        <f>C970</f>
        <v>1414</v>
      </c>
      <c r="J970">
        <v>30</v>
      </c>
      <c r="K970" s="3" t="str">
        <f>VLOOKUP(J970,'LibSets constants'!$A$4:$B$1017,2,FALSE)</f>
        <v>DLC_NECROM</v>
      </c>
      <c r="L970" s="3" t="str">
        <f>VLOOKUP(J970,'LibSets constants'!$A$4:$C$1017,3,FALSE)</f>
        <v>Necrom</v>
      </c>
    </row>
    <row r="971" spans="1:12" x14ac:dyDescent="0.25">
      <c r="A971">
        <v>1422</v>
      </c>
      <c r="B971">
        <v>967</v>
      </c>
      <c r="C971">
        <v>1414</v>
      </c>
      <c r="D971" t="s">
        <v>3676</v>
      </c>
      <c r="E971" t="str">
        <f>IF(NOT(ISERROR(VLOOKUP(D971,'ESO Dungeon constants'!$A$3:$A$9999,1,FALSE))),"X","")</f>
        <v/>
      </c>
      <c r="F971" s="3" t="str">
        <f>IF(EXACT(A971,C971),"X","")</f>
        <v/>
      </c>
      <c r="G971" s="3" t="str">
        <f>IF(A971&lt;&gt;C971,VLOOKUP(C971,$A$5:$D$9954,4,FALSE),"")</f>
        <v>Telvanni Peninsula</v>
      </c>
      <c r="H971" s="17">
        <f>A971</f>
        <v>1422</v>
      </c>
      <c r="I971" s="17">
        <f>C971</f>
        <v>1414</v>
      </c>
      <c r="J971">
        <v>30</v>
      </c>
      <c r="K971" s="3" t="str">
        <f>VLOOKUP(J971,'LibSets constants'!$A$4:$B$1017,2,FALSE)</f>
        <v>DLC_NECROM</v>
      </c>
      <c r="L971" s="3" t="str">
        <f>VLOOKUP(J971,'LibSets constants'!$A$4:$C$1017,3,FALSE)</f>
        <v>Necrom</v>
      </c>
    </row>
    <row r="972" spans="1:12" x14ac:dyDescent="0.25">
      <c r="A972">
        <v>11</v>
      </c>
      <c r="B972">
        <v>3</v>
      </c>
      <c r="C972">
        <v>347</v>
      </c>
      <c r="D972" t="s">
        <v>47</v>
      </c>
      <c r="E972" t="str">
        <f>IF(NOT(ISERROR(VLOOKUP(D972,'ESO Dungeon constants'!$A$3:$A$9999,1,FALSE))),"X","")</f>
        <v>X</v>
      </c>
      <c r="F972" s="3" t="str">
        <f>IF(EXACT(A972,C972),"X","")</f>
        <v/>
      </c>
      <c r="G972" s="3" t="str">
        <f>IF(A972&lt;&gt;C972,VLOOKUP(C972,$A$5:$D$9954,4,FALSE),"")</f>
        <v>Coldharbour</v>
      </c>
      <c r="H972" s="17">
        <f>A972</f>
        <v>11</v>
      </c>
      <c r="I972" s="17">
        <f>C972</f>
        <v>347</v>
      </c>
      <c r="J972">
        <f>IF(E972="X",VLOOKUP(D972,'ESO Dungeon constants'!$A$3:$H$9999,8,FALSE),0)</f>
        <v>0</v>
      </c>
      <c r="K972" s="41" t="str">
        <f>VLOOKUP(J972,'LibSets constants'!$A$4:$B$1017,2,FALSE)</f>
        <v>DLC_BASE_GAME</v>
      </c>
      <c r="L972" s="41" t="str">
        <f>VLOOKUP(J972,'LibSets constants'!$A$4:$C$1017,3,FALSE)</f>
        <v>Included in base game</v>
      </c>
    </row>
    <row r="973" spans="1:12" x14ac:dyDescent="0.25">
      <c r="A973">
        <v>1423</v>
      </c>
      <c r="B973">
        <v>968</v>
      </c>
      <c r="C973">
        <v>1414</v>
      </c>
      <c r="D973" t="s">
        <v>3675</v>
      </c>
      <c r="E973" t="str">
        <f>IF(NOT(ISERROR(VLOOKUP(D973,'ESO Dungeon constants'!$A$3:$A$9999,1,FALSE))),"X","")</f>
        <v/>
      </c>
      <c r="F973" s="3" t="str">
        <f>IF(EXACT(A973,C973),"X","")</f>
        <v/>
      </c>
      <c r="G973" s="3" t="str">
        <f>IF(A973&lt;&gt;C973,VLOOKUP(C973,$A$5:$D$9954,4,FALSE),"")</f>
        <v>Telvanni Peninsula</v>
      </c>
      <c r="H973" s="17">
        <f>A973</f>
        <v>1423</v>
      </c>
      <c r="I973" s="17">
        <f>C973</f>
        <v>1414</v>
      </c>
      <c r="J973">
        <v>30</v>
      </c>
      <c r="K973" s="3" t="str">
        <f>VLOOKUP(J973,'LibSets constants'!$A$4:$B$1017,2,FALSE)</f>
        <v>DLC_NECROM</v>
      </c>
      <c r="L973" s="3" t="str">
        <f>VLOOKUP(J973,'LibSets constants'!$A$4:$C$1017,3,FALSE)</f>
        <v>Necrom</v>
      </c>
    </row>
    <row r="974" spans="1:12" x14ac:dyDescent="0.25">
      <c r="A974">
        <v>1424</v>
      </c>
      <c r="B974">
        <v>969</v>
      </c>
      <c r="C974">
        <v>1414</v>
      </c>
      <c r="D974" t="s">
        <v>3674</v>
      </c>
      <c r="E974" t="str">
        <f>IF(NOT(ISERROR(VLOOKUP(D974,'ESO Dungeon constants'!$A$3:$A$9999,1,FALSE))),"X","")</f>
        <v/>
      </c>
      <c r="F974" s="3" t="str">
        <f>IF(EXACT(A974,C974),"X","")</f>
        <v/>
      </c>
      <c r="G974" s="3" t="str">
        <f>IF(A974&lt;&gt;C974,VLOOKUP(C974,$A$5:$D$9954,4,FALSE),"")</f>
        <v>Telvanni Peninsula</v>
      </c>
      <c r="H974" s="17">
        <f>A974</f>
        <v>1424</v>
      </c>
      <c r="I974" s="17">
        <f>C974</f>
        <v>1414</v>
      </c>
      <c r="J974">
        <v>30</v>
      </c>
      <c r="K974" s="3" t="str">
        <f>VLOOKUP(J974,'LibSets constants'!$A$4:$B$1017,2,FALSE)</f>
        <v>DLC_NECROM</v>
      </c>
      <c r="L974" s="3" t="str">
        <f>VLOOKUP(J974,'LibSets constants'!$A$4:$C$1017,3,FALSE)</f>
        <v>Necrom</v>
      </c>
    </row>
    <row r="975" spans="1:12" x14ac:dyDescent="0.25">
      <c r="A975">
        <v>1425</v>
      </c>
      <c r="B975">
        <v>970</v>
      </c>
      <c r="C975">
        <v>1414</v>
      </c>
      <c r="D975" t="s">
        <v>3673</v>
      </c>
      <c r="E975" t="str">
        <f>IF(NOT(ISERROR(VLOOKUP(D975,'ESO Dungeon constants'!$A$3:$A$9999,1,FALSE))),"X","")</f>
        <v/>
      </c>
      <c r="F975" s="3" t="str">
        <f>IF(EXACT(A975,C975),"X","")</f>
        <v/>
      </c>
      <c r="G975" s="3" t="str">
        <f>IF(A975&lt;&gt;C975,VLOOKUP(C975,$A$5:$D$9954,4,FALSE),"")</f>
        <v>Telvanni Peninsula</v>
      </c>
      <c r="H975" s="17">
        <f>A975</f>
        <v>1425</v>
      </c>
      <c r="I975" s="17">
        <f>C975</f>
        <v>1414</v>
      </c>
      <c r="J975">
        <v>32</v>
      </c>
      <c r="K975" s="3" t="str">
        <f>VLOOKUP(J975,'LibSets constants'!$A$4:$B$1017,2,FALSE)</f>
        <v>NO_DLC_SECRET_OF_THE_TELVANNI</v>
      </c>
      <c r="L975" s="3" t="str">
        <f>VLOOKUP(J975,'LibSets constants'!$A$4:$C$1017,3,FALSE)</f>
        <v>Secret of the Telvanni</v>
      </c>
    </row>
    <row r="976" spans="1:12" x14ac:dyDescent="0.25">
      <c r="A976">
        <v>1432</v>
      </c>
      <c r="B976">
        <v>972</v>
      </c>
      <c r="C976">
        <v>1318</v>
      </c>
      <c r="D976" t="s">
        <v>3551</v>
      </c>
      <c r="E976" t="str">
        <f>IF(NOT(ISERROR(VLOOKUP(D976,'ESO Dungeon constants'!$A$3:$A$9999,1,FALSE))),"X","")</f>
        <v/>
      </c>
      <c r="F976" s="3" t="str">
        <f>IF(EXACT(A976,C976),"X","")</f>
        <v/>
      </c>
      <c r="G976" s="3" t="str">
        <f>IF(A976&lt;&gt;C976,VLOOKUP(C976,$A$5:$D$9954,4,FALSE),"")</f>
        <v>High Isle</v>
      </c>
      <c r="H976" s="17">
        <f>A976</f>
        <v>1432</v>
      </c>
      <c r="I976" s="17">
        <f>C976</f>
        <v>1318</v>
      </c>
      <c r="J976">
        <v>26</v>
      </c>
      <c r="K976" s="3" t="str">
        <f>VLOOKUP(J976,'LibSets constants'!$A$4:$B$1017,2,FALSE)</f>
        <v>DLC_HIGH_ISLE</v>
      </c>
      <c r="L976" s="3" t="str">
        <f>VLOOKUP(J976,'LibSets constants'!$A$4:$C$1017,3,FALSE)</f>
        <v>High Isle</v>
      </c>
    </row>
    <row r="977" spans="1:12" x14ac:dyDescent="0.25">
      <c r="A977">
        <v>1433</v>
      </c>
      <c r="B977">
        <v>973</v>
      </c>
      <c r="C977">
        <v>1414</v>
      </c>
      <c r="D977" t="s">
        <v>3666</v>
      </c>
      <c r="E977" t="str">
        <f>IF(NOT(ISERROR(VLOOKUP(D977,'ESO Dungeon constants'!$A$3:$A$9999,1,FALSE))),"X","")</f>
        <v/>
      </c>
      <c r="F977" s="3" t="str">
        <f>IF(EXACT(A977,C977),"X","")</f>
        <v/>
      </c>
      <c r="G977" s="3" t="str">
        <f>IF(A977&lt;&gt;C977,VLOOKUP(C977,$A$5:$D$9954,4,FALSE),"")</f>
        <v>Telvanni Peninsula</v>
      </c>
      <c r="H977" s="17">
        <f>A977</f>
        <v>1433</v>
      </c>
      <c r="I977" s="17">
        <f>C977</f>
        <v>1414</v>
      </c>
      <c r="J977">
        <v>32</v>
      </c>
      <c r="K977" s="3" t="str">
        <f>VLOOKUP(J977,'LibSets constants'!$A$4:$B$1017,2,FALSE)</f>
        <v>NO_DLC_SECRET_OF_THE_TELVANNI</v>
      </c>
      <c r="L977" s="3" t="str">
        <f>VLOOKUP(J977,'LibSets constants'!$A$4:$C$1017,3,FALSE)</f>
        <v>Secret of the Telvanni</v>
      </c>
    </row>
    <row r="978" spans="1:12" x14ac:dyDescent="0.25">
      <c r="A978">
        <v>1434</v>
      </c>
      <c r="B978">
        <v>974</v>
      </c>
      <c r="C978">
        <v>1414</v>
      </c>
      <c r="D978" t="s">
        <v>3667</v>
      </c>
      <c r="E978" t="str">
        <f>IF(NOT(ISERROR(VLOOKUP(D978,'ESO Dungeon constants'!$A$3:$A$9999,1,FALSE))),"X","")</f>
        <v/>
      </c>
      <c r="F978" s="3" t="str">
        <f>IF(EXACT(A978,C978),"X","")</f>
        <v/>
      </c>
      <c r="G978" s="3" t="str">
        <f>IF(A978&lt;&gt;C978,VLOOKUP(C978,$A$5:$D$9954,4,FALSE),"")</f>
        <v>Telvanni Peninsula</v>
      </c>
      <c r="H978" s="17">
        <f>A978</f>
        <v>1434</v>
      </c>
      <c r="I978" s="17">
        <f>C978</f>
        <v>1414</v>
      </c>
      <c r="J978">
        <v>32</v>
      </c>
      <c r="K978" s="3" t="str">
        <f>VLOOKUP(J978,'LibSets constants'!$A$4:$B$1017,2,FALSE)</f>
        <v>NO_DLC_SECRET_OF_THE_TELVANNI</v>
      </c>
      <c r="L978" s="3" t="str">
        <f>VLOOKUP(J978,'LibSets constants'!$A$4:$C$1017,3,FALSE)</f>
        <v>Secret of the Telvanni</v>
      </c>
    </row>
    <row r="979" spans="1:12" x14ac:dyDescent="0.25">
      <c r="A979">
        <v>1435</v>
      </c>
      <c r="B979">
        <v>975</v>
      </c>
      <c r="C979">
        <v>1383</v>
      </c>
      <c r="D979" t="s">
        <v>3665</v>
      </c>
      <c r="E979" t="str">
        <f>IF(NOT(ISERROR(VLOOKUP(D979,'ESO Dungeon constants'!$A$3:$A$9999,1,FALSE))),"X","")</f>
        <v/>
      </c>
      <c r="F979" s="3" t="str">
        <f>IF(EXACT(A979,C979),"X","")</f>
        <v/>
      </c>
      <c r="G979" s="3" t="str">
        <f>IF(A979&lt;&gt;C979,VLOOKUP(C979,$A$5:$D$9954,4,FALSE),"")</f>
        <v>Galen</v>
      </c>
      <c r="H979" s="17">
        <f>A979</f>
        <v>1435</v>
      </c>
      <c r="I979" s="17">
        <f>C979</f>
        <v>1383</v>
      </c>
      <c r="J979">
        <v>28</v>
      </c>
      <c r="K979" s="3" t="str">
        <f>VLOOKUP(J979,'LibSets constants'!$A$4:$B$1017,2,FALSE)</f>
        <v>DLC_FIRESONG</v>
      </c>
      <c r="L979" s="3" t="str">
        <f>VLOOKUP(J979,'LibSets constants'!$A$4:$C$1017,3,FALSE)</f>
        <v>Firesong</v>
      </c>
    </row>
    <row r="980" spans="1:12" x14ac:dyDescent="0.25">
      <c r="A980">
        <v>1436</v>
      </c>
      <c r="B980">
        <v>976</v>
      </c>
      <c r="C980">
        <v>1413</v>
      </c>
      <c r="D980" t="s">
        <v>3899</v>
      </c>
      <c r="E980" t="str">
        <f>IF(NOT(ISERROR(VLOOKUP(D980,'ESO Dungeon constants'!$A$3:$A$9999,1,FALSE))),"X","")</f>
        <v/>
      </c>
      <c r="F980" s="3" t="str">
        <f>IF(EXACT(A980,C980),"X","")</f>
        <v/>
      </c>
      <c r="G980" s="3" t="str">
        <f>IF(A980&lt;&gt;C980,VLOOKUP(C980,$A$5:$D$9954,4,FALSE),"")</f>
        <v>Apocrypha</v>
      </c>
      <c r="H980" s="17">
        <f>A980</f>
        <v>1436</v>
      </c>
      <c r="I980" s="17">
        <f>C980</f>
        <v>1413</v>
      </c>
      <c r="J980">
        <v>30</v>
      </c>
      <c r="K980" s="3" t="str">
        <f>VLOOKUP(J980,'LibSets constants'!$A$4:$B$1017,2,FALSE)</f>
        <v>DLC_NECROM</v>
      </c>
      <c r="L980" s="3" t="str">
        <f>VLOOKUP(J980,'LibSets constants'!$A$4:$C$1017,3,FALSE)</f>
        <v>Necrom</v>
      </c>
    </row>
    <row r="981" spans="1:12" x14ac:dyDescent="0.25">
      <c r="A981">
        <v>1437</v>
      </c>
      <c r="B981">
        <v>977</v>
      </c>
      <c r="C981">
        <v>981</v>
      </c>
      <c r="D981" t="s">
        <v>3761</v>
      </c>
      <c r="E981" t="str">
        <f>IF(NOT(ISERROR(VLOOKUP(D981,'ESO Dungeon constants'!$A$3:$A$9999,1,FALSE))),"X","")</f>
        <v/>
      </c>
      <c r="F981" s="3" t="str">
        <f>IF(EXACT(A981,C981),"X","")</f>
        <v/>
      </c>
      <c r="G981" s="3" t="str">
        <f>IF(A981&lt;&gt;C981,VLOOKUP(C981,$A$5:$D$9954,4,FALSE),"")</f>
        <v>The Brass Fortress</v>
      </c>
      <c r="H981" s="17">
        <f>A981</f>
        <v>1437</v>
      </c>
      <c r="I981" s="17">
        <f>C981</f>
        <v>981</v>
      </c>
      <c r="J981">
        <v>8</v>
      </c>
      <c r="K981" s="3" t="str">
        <f>VLOOKUP(J981,'LibSets constants'!$A$4:$B$1017,2,FALSE)</f>
        <v>DLC_CLOCKWORK_CITY</v>
      </c>
      <c r="L981" s="3" t="str">
        <f>VLOOKUP(J981,'LibSets constants'!$A$4:$C$1017,3,FALSE)</f>
        <v>Clockwork City</v>
      </c>
    </row>
    <row r="982" spans="1:12" x14ac:dyDescent="0.25">
      <c r="A982">
        <v>1438</v>
      </c>
      <c r="B982">
        <v>978</v>
      </c>
      <c r="C982">
        <v>104</v>
      </c>
      <c r="D982" t="s">
        <v>3898</v>
      </c>
      <c r="E982" t="str">
        <f>IF(NOT(ISERROR(VLOOKUP(D982,'ESO Dungeon constants'!$A$3:$A$9999,1,FALSE))),"X","")</f>
        <v/>
      </c>
      <c r="F982" s="3" t="str">
        <f>IF(EXACT(A982,C982),"X","")</f>
        <v/>
      </c>
      <c r="G982" s="3" t="str">
        <f>IF(A982&lt;&gt;C982,VLOOKUP(C982,$A$5:$D$9954,4,FALSE),"")</f>
        <v>Alik'r Desert</v>
      </c>
      <c r="H982" s="17">
        <f>A982</f>
        <v>1438</v>
      </c>
      <c r="I982" s="17">
        <f>C982</f>
        <v>104</v>
      </c>
      <c r="J982">
        <v>0</v>
      </c>
      <c r="K982" s="3" t="str">
        <f>VLOOKUP(J982,'LibSets constants'!$A$4:$B$1017,2,FALSE)</f>
        <v>DLC_BASE_GAME</v>
      </c>
      <c r="L982" s="3" t="str">
        <f>VLOOKUP(J982,'LibSets constants'!$A$4:$C$1017,3,FALSE)</f>
        <v>Included in base game</v>
      </c>
    </row>
    <row r="983" spans="1:12" x14ac:dyDescent="0.25">
      <c r="A983">
        <v>1439</v>
      </c>
      <c r="B983">
        <v>979</v>
      </c>
      <c r="C983">
        <v>849</v>
      </c>
      <c r="D983" t="s">
        <v>3897</v>
      </c>
      <c r="E983" t="str">
        <f>IF(NOT(ISERROR(VLOOKUP(D983,'ESO Dungeon constants'!$A$3:$A$9999,1,FALSE))),"X","")</f>
        <v/>
      </c>
      <c r="F983" s="3" t="str">
        <f>IF(EXACT(A983,C983),"X","")</f>
        <v/>
      </c>
      <c r="G983" s="3" t="str">
        <f>IF(A983&lt;&gt;C983,VLOOKUP(C983,$A$5:$D$9954,4,FALSE),"")</f>
        <v>Vvardenfell</v>
      </c>
      <c r="H983" s="17">
        <f>A983</f>
        <v>1439</v>
      </c>
      <c r="I983" s="17">
        <f>C983</f>
        <v>849</v>
      </c>
      <c r="J983">
        <v>6</v>
      </c>
      <c r="K983" s="3" t="str">
        <f>VLOOKUP(J983,'LibSets constants'!$A$4:$B$1017,2,FALSE)</f>
        <v>DLC_MORROWIND</v>
      </c>
      <c r="L983" s="3" t="str">
        <f>VLOOKUP(J983,'LibSets constants'!$A$4:$C$1017,3,FALSE)</f>
        <v>Morrowind</v>
      </c>
    </row>
    <row r="984" spans="1:12" x14ac:dyDescent="0.25">
      <c r="A984">
        <v>1440</v>
      </c>
      <c r="B984">
        <v>980</v>
      </c>
      <c r="C984">
        <v>1443</v>
      </c>
      <c r="D984" t="s">
        <v>3968</v>
      </c>
      <c r="E984" t="str">
        <f>IF(NOT(ISERROR(VLOOKUP(D984,'ESO Dungeon constants'!$A$3:$A$9999,1,FALSE))),"X","")</f>
        <v/>
      </c>
      <c r="F984" s="3" t="str">
        <f>IF(EXACT(A984,C984),"X","")</f>
        <v/>
      </c>
      <c r="G984" s="3" t="str">
        <f>IF(A984&lt;&gt;C984,VLOOKUP(C984,$A$5:$D$9954,4,FALSE),"")</f>
        <v>West Weald</v>
      </c>
      <c r="H984" s="17">
        <f>A984</f>
        <v>1440</v>
      </c>
      <c r="I984" s="17">
        <f>C984</f>
        <v>1443</v>
      </c>
      <c r="J984">
        <v>34</v>
      </c>
      <c r="K984" s="3" t="str">
        <f>VLOOKUP(J984,'LibSets constants'!$A$4:$B$1017,2,FALSE)</f>
        <v>DLC_GOLD_ROAD</v>
      </c>
      <c r="L984" s="3" t="str">
        <f>VLOOKUP(J984,'LibSets constants'!$A$4:$C$1017,3,FALSE)</f>
        <v>Gold Road</v>
      </c>
    </row>
    <row r="985" spans="1:12" x14ac:dyDescent="0.25">
      <c r="A985">
        <v>1441</v>
      </c>
      <c r="B985">
        <v>981</v>
      </c>
      <c r="C985">
        <v>1443</v>
      </c>
      <c r="D985" t="s">
        <v>3953</v>
      </c>
      <c r="E985" t="str">
        <f>IF(NOT(ISERROR(VLOOKUP(D985,'ESO Dungeon constants'!$A$3:$A$9999,1,FALSE))),"X","")</f>
        <v/>
      </c>
      <c r="F985" s="3" t="str">
        <f>IF(EXACT(A985,C985),"X","")</f>
        <v/>
      </c>
      <c r="G985" s="3" t="str">
        <f>IF(A985&lt;&gt;C985,VLOOKUP(C985,$A$5:$D$9954,4,FALSE),"")</f>
        <v>West Weald</v>
      </c>
      <c r="H985" s="17">
        <f>A985</f>
        <v>1441</v>
      </c>
      <c r="I985" s="17">
        <f>C985</f>
        <v>1443</v>
      </c>
      <c r="J985">
        <v>34</v>
      </c>
      <c r="K985" s="3" t="str">
        <f>VLOOKUP(J985,'LibSets constants'!$A$4:$B$1017,2,FALSE)</f>
        <v>DLC_GOLD_ROAD</v>
      </c>
      <c r="L985" s="3" t="str">
        <f>VLOOKUP(J985,'LibSets constants'!$A$4:$C$1017,3,FALSE)</f>
        <v>Gold Road</v>
      </c>
    </row>
    <row r="986" spans="1:12" x14ac:dyDescent="0.25">
      <c r="A986">
        <v>1442</v>
      </c>
      <c r="B986">
        <v>982</v>
      </c>
      <c r="C986">
        <v>1443</v>
      </c>
      <c r="D986" t="s">
        <v>3967</v>
      </c>
      <c r="E986" t="str">
        <f>IF(NOT(ISERROR(VLOOKUP(D986,'ESO Dungeon constants'!$A$3:$A$9999,1,FALSE))),"X","")</f>
        <v/>
      </c>
      <c r="F986" s="3" t="str">
        <f>IF(EXACT(A986,C986),"X","")</f>
        <v/>
      </c>
      <c r="G986" s="3" t="str">
        <f>IF(A986&lt;&gt;C986,VLOOKUP(C986,$A$5:$D$9954,4,FALSE),"")</f>
        <v>West Weald</v>
      </c>
      <c r="H986" s="17">
        <f>A986</f>
        <v>1442</v>
      </c>
      <c r="I986" s="17">
        <f>C986</f>
        <v>1443</v>
      </c>
      <c r="J986">
        <v>34</v>
      </c>
      <c r="K986" s="3" t="str">
        <f>VLOOKUP(J986,'LibSets constants'!$A$4:$B$1017,2,FALSE)</f>
        <v>DLC_GOLD_ROAD</v>
      </c>
      <c r="L986" s="3" t="str">
        <f>VLOOKUP(J986,'LibSets constants'!$A$4:$C$1017,3,FALSE)</f>
        <v>Gold Road</v>
      </c>
    </row>
    <row r="987" spans="1:12" x14ac:dyDescent="0.25">
      <c r="A987">
        <v>22</v>
      </c>
      <c r="B987">
        <v>6</v>
      </c>
      <c r="C987">
        <v>104</v>
      </c>
      <c r="D987" t="s">
        <v>68</v>
      </c>
      <c r="E987" t="str">
        <f>IF(NOT(ISERROR(VLOOKUP(D987,'ESO Dungeon constants'!$A$3:$A$9999,1,FALSE))),"X","")</f>
        <v>X</v>
      </c>
      <c r="F987" s="3" t="str">
        <f>IF(EXACT(A987,C987),"X","")</f>
        <v/>
      </c>
      <c r="G987" s="3" t="str">
        <f>IF(A987&lt;&gt;C987,VLOOKUP(C987,$A$5:$D$9954,4,FALSE),"")</f>
        <v>Alik'r Desert</v>
      </c>
      <c r="H987" s="17">
        <f>A987</f>
        <v>22</v>
      </c>
      <c r="I987" s="17">
        <f>C987</f>
        <v>104</v>
      </c>
      <c r="J987">
        <f>IF(E987="X",VLOOKUP(D987,'ESO Dungeon constants'!$A$3:$H$9999,8,FALSE),0)</f>
        <v>0</v>
      </c>
      <c r="K987" s="3" t="str">
        <f>VLOOKUP(J987,'LibSets constants'!$A$4:$B$1017,2,FALSE)</f>
        <v>DLC_BASE_GAME</v>
      </c>
      <c r="L987" s="3" t="str">
        <f>VLOOKUP(J987,'LibSets constants'!$A$4:$C$1017,3,FALSE)</f>
        <v>Included in base game</v>
      </c>
    </row>
    <row r="988" spans="1:12" x14ac:dyDescent="0.25">
      <c r="A988">
        <v>1443</v>
      </c>
      <c r="B988">
        <v>983</v>
      </c>
      <c r="C988">
        <v>1443</v>
      </c>
      <c r="D988" t="s">
        <v>3937</v>
      </c>
      <c r="E988" t="str">
        <f>IF(NOT(ISERROR(VLOOKUP(D988,'ESO Dungeon constants'!$A$3:$A$9999,1,FALSE))),"X","")</f>
        <v/>
      </c>
      <c r="F988" s="3" t="str">
        <f>IF(EXACT(A988,C988),"X","")</f>
        <v>X</v>
      </c>
      <c r="G988" s="3" t="str">
        <f>IF(A988&lt;&gt;C988,VLOOKUP(C988,$A$5:$D$9954,4,FALSE),"")</f>
        <v/>
      </c>
      <c r="H988" s="17">
        <f>A988</f>
        <v>1443</v>
      </c>
      <c r="I988" s="17">
        <f>C988</f>
        <v>1443</v>
      </c>
      <c r="J988">
        <v>34</v>
      </c>
      <c r="K988" s="3" t="str">
        <f>VLOOKUP(J988,'LibSets constants'!$A$4:$B$1017,2,FALSE)</f>
        <v>DLC_GOLD_ROAD</v>
      </c>
      <c r="L988" s="3" t="str">
        <f>VLOOKUP(J988,'LibSets constants'!$A$4:$C$1017,3,FALSE)</f>
        <v>Gold Road</v>
      </c>
    </row>
    <row r="989" spans="1:12" x14ac:dyDescent="0.25">
      <c r="A989">
        <v>1444</v>
      </c>
      <c r="B989">
        <v>984</v>
      </c>
      <c r="C989">
        <v>1443</v>
      </c>
      <c r="D989" t="s">
        <v>3966</v>
      </c>
      <c r="E989" t="str">
        <f>IF(NOT(ISERROR(VLOOKUP(D989,'ESO Dungeon constants'!$A$3:$A$9999,1,FALSE))),"X","")</f>
        <v/>
      </c>
      <c r="F989" s="3" t="str">
        <f>IF(EXACT(A989,C989),"X","")</f>
        <v/>
      </c>
      <c r="G989" s="3" t="str">
        <f>IF(A989&lt;&gt;C989,VLOOKUP(C989,$A$5:$D$9954,4,FALSE),"")</f>
        <v>West Weald</v>
      </c>
      <c r="H989" s="17">
        <f>A989</f>
        <v>1444</v>
      </c>
      <c r="I989" s="17">
        <f>C989</f>
        <v>1443</v>
      </c>
      <c r="J989">
        <v>34</v>
      </c>
      <c r="K989" s="3" t="str">
        <f>VLOOKUP(J989,'LibSets constants'!$A$4:$B$1017,2,FALSE)</f>
        <v>DLC_GOLD_ROAD</v>
      </c>
      <c r="L989" s="3" t="str">
        <f>VLOOKUP(J989,'LibSets constants'!$A$4:$C$1017,3,FALSE)</f>
        <v>Gold Road</v>
      </c>
    </row>
    <row r="990" spans="1:12" x14ac:dyDescent="0.25">
      <c r="A990">
        <v>1445</v>
      </c>
      <c r="B990">
        <v>985</v>
      </c>
      <c r="C990">
        <v>1443</v>
      </c>
      <c r="D990" t="s">
        <v>3965</v>
      </c>
      <c r="E990" t="str">
        <f>IF(NOT(ISERROR(VLOOKUP(D990,'ESO Dungeon constants'!$A$3:$A$9999,1,FALSE))),"X","")</f>
        <v/>
      </c>
      <c r="F990" s="3" t="str">
        <f>IF(EXACT(A990,C990),"X","")</f>
        <v/>
      </c>
      <c r="G990" s="3" t="str">
        <f>IF(A990&lt;&gt;C990,VLOOKUP(C990,$A$5:$D$9954,4,FALSE),"")</f>
        <v>West Weald</v>
      </c>
      <c r="H990" s="17">
        <f>A990</f>
        <v>1445</v>
      </c>
      <c r="I990" s="17">
        <f>C990</f>
        <v>1443</v>
      </c>
      <c r="J990">
        <v>34</v>
      </c>
      <c r="K990" s="3" t="str">
        <f>VLOOKUP(J990,'LibSets constants'!$A$4:$B$1017,2,FALSE)</f>
        <v>DLC_GOLD_ROAD</v>
      </c>
      <c r="L990" s="3" t="str">
        <f>VLOOKUP(J990,'LibSets constants'!$A$4:$C$1017,3,FALSE)</f>
        <v>Gold Road</v>
      </c>
    </row>
    <row r="991" spans="1:12" x14ac:dyDescent="0.25">
      <c r="A991">
        <v>1446</v>
      </c>
      <c r="B991">
        <v>986</v>
      </c>
      <c r="C991">
        <v>1443</v>
      </c>
      <c r="D991" t="s">
        <v>3964</v>
      </c>
      <c r="E991" t="str">
        <f>IF(NOT(ISERROR(VLOOKUP(D991,'ESO Dungeon constants'!$A$3:$A$9999,1,FALSE))),"X","")</f>
        <v/>
      </c>
      <c r="F991" s="3" t="str">
        <f>IF(EXACT(A991,C991),"X","")</f>
        <v/>
      </c>
      <c r="G991" s="3" t="str">
        <f>IF(A991&lt;&gt;C991,VLOOKUP(C991,$A$5:$D$9954,4,FALSE),"")</f>
        <v>West Weald</v>
      </c>
      <c r="H991" s="17">
        <f>A991</f>
        <v>1446</v>
      </c>
      <c r="I991" s="17">
        <f>C991</f>
        <v>1443</v>
      </c>
      <c r="J991">
        <v>34</v>
      </c>
      <c r="K991" s="3" t="str">
        <f>VLOOKUP(J991,'LibSets constants'!$A$4:$B$1017,2,FALSE)</f>
        <v>DLC_GOLD_ROAD</v>
      </c>
      <c r="L991" s="3" t="str">
        <f>VLOOKUP(J991,'LibSets constants'!$A$4:$C$1017,3,FALSE)</f>
        <v>Gold Road</v>
      </c>
    </row>
    <row r="992" spans="1:12" x14ac:dyDescent="0.25">
      <c r="A992">
        <v>1447</v>
      </c>
      <c r="B992">
        <v>987</v>
      </c>
      <c r="C992">
        <v>1443</v>
      </c>
      <c r="D992" t="s">
        <v>3954</v>
      </c>
      <c r="E992" t="str">
        <f>IF(NOT(ISERROR(VLOOKUP(D992,'ESO Dungeon constants'!$A$3:$A$9999,1,FALSE))),"X","")</f>
        <v/>
      </c>
      <c r="F992" s="3" t="str">
        <f>IF(EXACT(A992,C992),"X","")</f>
        <v/>
      </c>
      <c r="G992" s="3" t="str">
        <f>IF(A992&lt;&gt;C992,VLOOKUP(C992,$A$5:$D$9954,4,FALSE),"")</f>
        <v>West Weald</v>
      </c>
      <c r="H992" s="17">
        <f>A992</f>
        <v>1447</v>
      </c>
      <c r="I992" s="17">
        <f>C992</f>
        <v>1443</v>
      </c>
      <c r="J992">
        <v>34</v>
      </c>
      <c r="K992" s="3" t="str">
        <f>VLOOKUP(J992,'LibSets constants'!$A$4:$B$1017,2,FALSE)</f>
        <v>DLC_GOLD_ROAD</v>
      </c>
      <c r="L992" s="3" t="str">
        <f>VLOOKUP(J992,'LibSets constants'!$A$4:$C$1017,3,FALSE)</f>
        <v>Gold Road</v>
      </c>
    </row>
    <row r="993" spans="1:12" x14ac:dyDescent="0.25">
      <c r="A993">
        <v>1448</v>
      </c>
      <c r="B993">
        <v>988</v>
      </c>
      <c r="C993">
        <v>1443</v>
      </c>
      <c r="D993" t="s">
        <v>3963</v>
      </c>
      <c r="E993" t="str">
        <f>IF(NOT(ISERROR(VLOOKUP(D993,'ESO Dungeon constants'!$A$3:$A$9999,1,FALSE))),"X","")</f>
        <v/>
      </c>
      <c r="F993" s="3" t="str">
        <f>IF(EXACT(A993,C993),"X","")</f>
        <v/>
      </c>
      <c r="G993" s="3" t="str">
        <f>IF(A993&lt;&gt;C993,VLOOKUP(C993,$A$5:$D$9954,4,FALSE),"")</f>
        <v>West Weald</v>
      </c>
      <c r="H993" s="17">
        <f>A993</f>
        <v>1448</v>
      </c>
      <c r="I993" s="17">
        <f>C993</f>
        <v>1443</v>
      </c>
      <c r="J993">
        <v>34</v>
      </c>
      <c r="K993" s="3" t="str">
        <f>VLOOKUP(J993,'LibSets constants'!$A$4:$B$1017,2,FALSE)</f>
        <v>DLC_GOLD_ROAD</v>
      </c>
      <c r="L993" s="3" t="str">
        <f>VLOOKUP(J993,'LibSets constants'!$A$4:$C$1017,3,FALSE)</f>
        <v>Gold Road</v>
      </c>
    </row>
    <row r="994" spans="1:12" x14ac:dyDescent="0.25">
      <c r="A994">
        <v>1449</v>
      </c>
      <c r="B994">
        <v>989</v>
      </c>
      <c r="C994">
        <v>1443</v>
      </c>
      <c r="D994" t="s">
        <v>3962</v>
      </c>
      <c r="E994" t="str">
        <f>IF(NOT(ISERROR(VLOOKUP(D994,'ESO Dungeon constants'!$A$3:$A$9999,1,FALSE))),"X","")</f>
        <v/>
      </c>
      <c r="F994" s="3" t="str">
        <f>IF(EXACT(A994,C994),"X","")</f>
        <v/>
      </c>
      <c r="G994" s="3" t="str">
        <f>IF(A994&lt;&gt;C994,VLOOKUP(C994,$A$5:$D$9954,4,FALSE),"")</f>
        <v>West Weald</v>
      </c>
      <c r="H994" s="17">
        <f>A994</f>
        <v>1449</v>
      </c>
      <c r="I994" s="17">
        <f>C994</f>
        <v>1443</v>
      </c>
      <c r="J994">
        <v>34</v>
      </c>
      <c r="K994" s="3" t="str">
        <f>VLOOKUP(J994,'LibSets constants'!$A$4:$B$1017,2,FALSE)</f>
        <v>DLC_GOLD_ROAD</v>
      </c>
      <c r="L994" s="3" t="str">
        <f>VLOOKUP(J994,'LibSets constants'!$A$4:$C$1017,3,FALSE)</f>
        <v>Gold Road</v>
      </c>
    </row>
    <row r="995" spans="1:12" x14ac:dyDescent="0.25">
      <c r="A995">
        <v>1450</v>
      </c>
      <c r="B995">
        <v>990</v>
      </c>
      <c r="C995">
        <v>1443</v>
      </c>
      <c r="D995" t="s">
        <v>3961</v>
      </c>
      <c r="E995" t="str">
        <f>IF(NOT(ISERROR(VLOOKUP(D995,'ESO Dungeon constants'!$A$3:$A$9999,1,FALSE))),"X","")</f>
        <v/>
      </c>
      <c r="F995" s="3" t="str">
        <f>IF(EXACT(A995,C995),"X","")</f>
        <v/>
      </c>
      <c r="G995" s="3" t="str">
        <f>IF(A995&lt;&gt;C995,VLOOKUP(C995,$A$5:$D$9954,4,FALSE),"")</f>
        <v>West Weald</v>
      </c>
      <c r="H995" s="17">
        <f>A995</f>
        <v>1450</v>
      </c>
      <c r="I995" s="17">
        <f>C995</f>
        <v>1443</v>
      </c>
      <c r="J995">
        <v>34</v>
      </c>
      <c r="K995" s="3" t="str">
        <f>VLOOKUP(J995,'LibSets constants'!$A$4:$B$1017,2,FALSE)</f>
        <v>DLC_GOLD_ROAD</v>
      </c>
      <c r="L995" s="3" t="str">
        <f>VLOOKUP(J995,'LibSets constants'!$A$4:$C$1017,3,FALSE)</f>
        <v>Gold Road</v>
      </c>
    </row>
    <row r="996" spans="1:12" x14ac:dyDescent="0.25">
      <c r="A996">
        <v>1451</v>
      </c>
      <c r="B996">
        <v>991</v>
      </c>
      <c r="C996">
        <v>1443</v>
      </c>
      <c r="D996" t="s">
        <v>3955</v>
      </c>
      <c r="E996" t="str">
        <f>IF(NOT(ISERROR(VLOOKUP(D996,'ESO Dungeon constants'!$A$3:$A$9999,1,FALSE))),"X","")</f>
        <v/>
      </c>
      <c r="F996" s="3" t="str">
        <f>IF(EXACT(A996,C996),"X","")</f>
        <v/>
      </c>
      <c r="G996" s="3" t="str">
        <f>IF(A996&lt;&gt;C996,VLOOKUP(C996,$A$5:$D$9954,4,FALSE),"")</f>
        <v>West Weald</v>
      </c>
      <c r="H996" s="17">
        <f>A996</f>
        <v>1451</v>
      </c>
      <c r="I996" s="17">
        <f>C996</f>
        <v>1443</v>
      </c>
      <c r="J996">
        <v>34</v>
      </c>
      <c r="K996" s="3" t="str">
        <f>VLOOKUP(J996,'LibSets constants'!$A$4:$B$1017,2,FALSE)</f>
        <v>DLC_GOLD_ROAD</v>
      </c>
      <c r="L996" s="3" t="str">
        <f>VLOOKUP(J996,'LibSets constants'!$A$4:$C$1017,3,FALSE)</f>
        <v>Gold Road</v>
      </c>
    </row>
    <row r="997" spans="1:12" x14ac:dyDescent="0.25">
      <c r="A997">
        <v>1452</v>
      </c>
      <c r="B997">
        <v>992</v>
      </c>
      <c r="C997">
        <v>1443</v>
      </c>
      <c r="D997" t="s">
        <v>3956</v>
      </c>
      <c r="E997" t="str">
        <f>IF(NOT(ISERROR(VLOOKUP(D997,'ESO Dungeon constants'!$A$3:$A$9999,1,FALSE))),"X","")</f>
        <v/>
      </c>
      <c r="F997" s="3" t="str">
        <f>IF(EXACT(A997,C997),"X","")</f>
        <v/>
      </c>
      <c r="G997" s="3" t="str">
        <f>IF(A997&lt;&gt;C997,VLOOKUP(C997,$A$5:$D$9954,4,FALSE),"")</f>
        <v>West Weald</v>
      </c>
      <c r="H997" s="17">
        <f>A997</f>
        <v>1452</v>
      </c>
      <c r="I997" s="17">
        <f>C997</f>
        <v>1443</v>
      </c>
      <c r="J997">
        <v>34</v>
      </c>
      <c r="K997" s="3" t="str">
        <f>VLOOKUP(J997,'LibSets constants'!$A$4:$B$1017,2,FALSE)</f>
        <v>DLC_GOLD_ROAD</v>
      </c>
      <c r="L997" s="3" t="str">
        <f>VLOOKUP(J997,'LibSets constants'!$A$4:$C$1017,3,FALSE)</f>
        <v>Gold Road</v>
      </c>
    </row>
    <row r="998" spans="1:12" x14ac:dyDescent="0.25">
      <c r="A998">
        <v>1453</v>
      </c>
      <c r="B998">
        <v>993</v>
      </c>
      <c r="C998">
        <v>1443</v>
      </c>
      <c r="D998" t="s">
        <v>3960</v>
      </c>
      <c r="E998" t="str">
        <f>IF(NOT(ISERROR(VLOOKUP(D998,'ESO Dungeon constants'!$A$3:$A$9999,1,FALSE))),"X","")</f>
        <v/>
      </c>
      <c r="F998" s="3" t="str">
        <f>IF(EXACT(A998,C998),"X","")</f>
        <v/>
      </c>
      <c r="G998" s="3" t="str">
        <f>IF(A998&lt;&gt;C998,VLOOKUP(C998,$A$5:$D$9954,4,FALSE),"")</f>
        <v>West Weald</v>
      </c>
      <c r="H998" s="17">
        <f>A998</f>
        <v>1453</v>
      </c>
      <c r="I998" s="17">
        <f>C998</f>
        <v>1443</v>
      </c>
      <c r="J998">
        <v>34</v>
      </c>
      <c r="K998" s="3" t="str">
        <f>VLOOKUP(J998,'LibSets constants'!$A$4:$B$1017,2,FALSE)</f>
        <v>DLC_GOLD_ROAD</v>
      </c>
      <c r="L998" s="3" t="str">
        <f>VLOOKUP(J998,'LibSets constants'!$A$4:$C$1017,3,FALSE)</f>
        <v>Gold Road</v>
      </c>
    </row>
    <row r="999" spans="1:12" x14ac:dyDescent="0.25">
      <c r="A999">
        <v>1454</v>
      </c>
      <c r="B999">
        <v>994</v>
      </c>
      <c r="C999">
        <v>1443</v>
      </c>
      <c r="D999" t="s">
        <v>3944</v>
      </c>
      <c r="E999" t="str">
        <f>IF(NOT(ISERROR(VLOOKUP(D999,'ESO Dungeon constants'!$A$3:$A$9999,1,FALSE))),"X","")</f>
        <v/>
      </c>
      <c r="F999" s="3" t="str">
        <f>IF(EXACT(A999,C999),"X","")</f>
        <v/>
      </c>
      <c r="G999" s="3" t="str">
        <f>IF(A999&lt;&gt;C999,VLOOKUP(C999,$A$5:$D$9954,4,FALSE),"")</f>
        <v>West Weald</v>
      </c>
      <c r="H999" s="17">
        <f>A999</f>
        <v>1454</v>
      </c>
      <c r="I999" s="17">
        <f>C999</f>
        <v>1443</v>
      </c>
      <c r="J999">
        <v>34</v>
      </c>
      <c r="K999" s="3" t="str">
        <f>VLOOKUP(J999,'LibSets constants'!$A$4:$B$1017,2,FALSE)</f>
        <v>DLC_GOLD_ROAD</v>
      </c>
      <c r="L999" s="3" t="str">
        <f>VLOOKUP(J999,'LibSets constants'!$A$4:$C$1017,3,FALSE)</f>
        <v>Gold Road</v>
      </c>
    </row>
    <row r="1000" spans="1:12" x14ac:dyDescent="0.25">
      <c r="A1000">
        <v>1455</v>
      </c>
      <c r="B1000">
        <v>995</v>
      </c>
      <c r="C1000">
        <v>1443</v>
      </c>
      <c r="D1000" t="s">
        <v>3945</v>
      </c>
      <c r="E1000" t="str">
        <f>IF(NOT(ISERROR(VLOOKUP(D1000,'ESO Dungeon constants'!$A$3:$A$9999,1,FALSE))),"X","")</f>
        <v/>
      </c>
      <c r="F1000" s="3" t="str">
        <f>IF(EXACT(A1000,C1000),"X","")</f>
        <v/>
      </c>
      <c r="G1000" s="3" t="str">
        <f>IF(A1000&lt;&gt;C1000,VLOOKUP(C1000,$A$5:$D$9954,4,FALSE),"")</f>
        <v>West Weald</v>
      </c>
      <c r="H1000" s="17">
        <f>A1000</f>
        <v>1455</v>
      </c>
      <c r="I1000" s="17">
        <f>C1000</f>
        <v>1443</v>
      </c>
      <c r="J1000">
        <v>34</v>
      </c>
      <c r="K1000" s="3" t="str">
        <f>VLOOKUP(J1000,'LibSets constants'!$A$4:$B$1017,2,FALSE)</f>
        <v>DLC_GOLD_ROAD</v>
      </c>
      <c r="L1000" s="3" t="str">
        <f>VLOOKUP(J1000,'LibSets constants'!$A$4:$C$1017,3,FALSE)</f>
        <v>Gold Road</v>
      </c>
    </row>
    <row r="1001" spans="1:12" x14ac:dyDescent="0.25">
      <c r="A1001">
        <v>146</v>
      </c>
      <c r="B1001">
        <v>29</v>
      </c>
      <c r="C1001">
        <v>19</v>
      </c>
      <c r="D1001" t="s">
        <v>62</v>
      </c>
      <c r="E1001" t="str">
        <f>IF(NOT(ISERROR(VLOOKUP(D1001,'ESO Dungeon constants'!$A$3:$A$9999,1,FALSE))),"X","")</f>
        <v>X</v>
      </c>
      <c r="F1001" s="3" t="str">
        <f>IF(EXACT(A1001,C1001),"X","")</f>
        <v/>
      </c>
      <c r="G1001" s="3" t="str">
        <f>IF(A1001&lt;&gt;C1001,VLOOKUP(C1001,$A$5:$D$9954,4,FALSE),"")</f>
        <v>Stormhaven</v>
      </c>
      <c r="H1001" s="17">
        <f>A1001</f>
        <v>146</v>
      </c>
      <c r="I1001" s="17">
        <f>C1001</f>
        <v>19</v>
      </c>
      <c r="J1001">
        <f>IF(E1001="X",VLOOKUP(D1001,'ESO Dungeon constants'!$A$3:$H$9999,8,FALSE),0)</f>
        <v>0</v>
      </c>
      <c r="K1001" s="3" t="str">
        <f>VLOOKUP(J1001,'LibSets constants'!$A$4:$B$1017,2,FALSE)</f>
        <v>DLC_BASE_GAME</v>
      </c>
      <c r="L1001" s="3" t="str">
        <f>VLOOKUP(J1001,'LibSets constants'!$A$4:$C$1017,3,FALSE)</f>
        <v>Included in base game</v>
      </c>
    </row>
    <row r="1002" spans="1:12" x14ac:dyDescent="0.25">
      <c r="A1002">
        <v>933</v>
      </c>
      <c r="B1002">
        <v>546</v>
      </c>
      <c r="C1002">
        <v>19</v>
      </c>
      <c r="D1002" t="s">
        <v>58</v>
      </c>
      <c r="E1002" t="str">
        <f>IF(NOT(ISERROR(VLOOKUP(D1002,'ESO Dungeon constants'!$A$3:$A$9999,1,FALSE))),"X","")</f>
        <v>X</v>
      </c>
      <c r="F1002" s="3" t="str">
        <f>IF(EXACT(A1002,C1002),"X","")</f>
        <v/>
      </c>
      <c r="G1002" s="3" t="str">
        <f>IF(A1002&lt;&gt;C1002,VLOOKUP(C1002,$A$5:$D$9954,4,FALSE),"")</f>
        <v>Stormhaven</v>
      </c>
      <c r="H1002" s="17">
        <f>A1002</f>
        <v>933</v>
      </c>
      <c r="I1002" s="17">
        <f>C1002</f>
        <v>19</v>
      </c>
      <c r="J1002">
        <f>IF(E1002="X",VLOOKUP(D1002,'ESO Dungeon constants'!$A$3:$H$9999,8,FALSE),0)</f>
        <v>0</v>
      </c>
      <c r="K1002" s="3" t="str">
        <f>VLOOKUP(J1002,'LibSets constants'!$A$4:$B$1017,2,FALSE)</f>
        <v>DLC_BASE_GAME</v>
      </c>
      <c r="L1002" s="3" t="str">
        <f>VLOOKUP(J1002,'LibSets constants'!$A$4:$C$1017,3,FALSE)</f>
        <v>Included in base game</v>
      </c>
    </row>
    <row r="1003" spans="1:12" x14ac:dyDescent="0.25">
      <c r="A1003">
        <v>1456</v>
      </c>
      <c r="B1003">
        <v>996</v>
      </c>
      <c r="C1003">
        <v>1443</v>
      </c>
      <c r="D1003" t="s">
        <v>3957</v>
      </c>
      <c r="E1003" t="str">
        <f>IF(NOT(ISERROR(VLOOKUP(D1003,'ESO Dungeon constants'!$A$3:$A$9999,1,FALSE))),"X","")</f>
        <v/>
      </c>
      <c r="F1003" s="3" t="str">
        <f>IF(EXACT(A1003,C1003),"X","")</f>
        <v/>
      </c>
      <c r="G1003" s="3" t="str">
        <f>IF(A1003&lt;&gt;C1003,VLOOKUP(C1003,$A$5:$D$9954,4,FALSE),"")</f>
        <v>West Weald</v>
      </c>
      <c r="H1003" s="17">
        <f>A1003</f>
        <v>1456</v>
      </c>
      <c r="I1003" s="17">
        <f>C1003</f>
        <v>1443</v>
      </c>
      <c r="J1003">
        <v>34</v>
      </c>
      <c r="K1003" s="3" t="str">
        <f>VLOOKUP(J1003,'LibSets constants'!$A$4:$B$1017,2,FALSE)</f>
        <v>DLC_GOLD_ROAD</v>
      </c>
      <c r="L1003" s="3" t="str">
        <f>VLOOKUP(J1003,'LibSets constants'!$A$4:$C$1017,3,FALSE)</f>
        <v>Gold Road</v>
      </c>
    </row>
    <row r="1004" spans="1:12" x14ac:dyDescent="0.25">
      <c r="A1004">
        <v>1457</v>
      </c>
      <c r="B1004">
        <v>997</v>
      </c>
      <c r="C1004">
        <v>1463</v>
      </c>
      <c r="D1004" t="s">
        <v>3946</v>
      </c>
      <c r="E1004" t="str">
        <f>IF(NOT(ISERROR(VLOOKUP(D1004,'ESO Dungeon constants'!$A$3:$A$9999,1,FALSE))),"X","")</f>
        <v/>
      </c>
      <c r="F1004" s="3" t="str">
        <f>IF(EXACT(A1004,C1004),"X","")</f>
        <v/>
      </c>
      <c r="G1004" s="3" t="str">
        <f>IF(A1004&lt;&gt;C1004,VLOOKUP(C1004,$A$5:$D$9954,4,FALSE),"")</f>
        <v>The Scholarium</v>
      </c>
      <c r="H1004" s="17">
        <f>A1004</f>
        <v>1457</v>
      </c>
      <c r="I1004" s="17">
        <f>C1004</f>
        <v>1463</v>
      </c>
      <c r="J1004">
        <v>34</v>
      </c>
      <c r="K1004" s="3" t="str">
        <f>VLOOKUP(J1004,'LibSets constants'!$A$4:$B$1017,2,FALSE)</f>
        <v>DLC_GOLD_ROAD</v>
      </c>
      <c r="L1004" s="3" t="str">
        <f>VLOOKUP(J1004,'LibSets constants'!$A$4:$C$1017,3,FALSE)</f>
        <v>Gold Road</v>
      </c>
    </row>
    <row r="1005" spans="1:12" x14ac:dyDescent="0.25">
      <c r="A1005">
        <v>1458</v>
      </c>
      <c r="B1005">
        <v>998</v>
      </c>
      <c r="C1005">
        <v>1443</v>
      </c>
      <c r="D1005" t="s">
        <v>3679</v>
      </c>
      <c r="E1005" t="str">
        <f>IF(NOT(ISERROR(VLOOKUP(D1005,'ESO Dungeon constants'!$A$3:$A$9999,1,FALSE))),"X","")</f>
        <v/>
      </c>
      <c r="F1005" s="3" t="str">
        <f>IF(EXACT(A1005,C1005),"X","")</f>
        <v/>
      </c>
      <c r="G1005" s="3" t="str">
        <f>IF(A1005&lt;&gt;C1005,VLOOKUP(C1005,$A$5:$D$9954,4,FALSE),"")</f>
        <v>West Weald</v>
      </c>
      <c r="H1005" s="17">
        <f>A1005</f>
        <v>1458</v>
      </c>
      <c r="I1005" s="17">
        <f>C1005</f>
        <v>1443</v>
      </c>
      <c r="J1005">
        <v>34</v>
      </c>
      <c r="K1005" s="3" t="str">
        <f>VLOOKUP(J1005,'LibSets constants'!$A$4:$B$1017,2,FALSE)</f>
        <v>DLC_GOLD_ROAD</v>
      </c>
      <c r="L1005" s="3" t="str">
        <f>VLOOKUP(J1005,'LibSets constants'!$A$4:$C$1017,3,FALSE)</f>
        <v>Gold Road</v>
      </c>
    </row>
    <row r="1006" spans="1:12" x14ac:dyDescent="0.25">
      <c r="A1006">
        <v>1459</v>
      </c>
      <c r="B1006">
        <v>999</v>
      </c>
      <c r="C1006">
        <v>1443</v>
      </c>
      <c r="D1006" t="s">
        <v>3947</v>
      </c>
      <c r="E1006" t="str">
        <f>IF(NOT(ISERROR(VLOOKUP(D1006,'ESO Dungeon constants'!$A$3:$A$9999,1,FALSE))),"X","")</f>
        <v/>
      </c>
      <c r="F1006" s="3" t="str">
        <f>IF(EXACT(A1006,C1006),"X","")</f>
        <v/>
      </c>
      <c r="G1006" s="3" t="str">
        <f>IF(A1006&lt;&gt;C1006,VLOOKUP(C1006,$A$5:$D$9954,4,FALSE),"")</f>
        <v>West Weald</v>
      </c>
      <c r="H1006" s="17">
        <f>A1006</f>
        <v>1459</v>
      </c>
      <c r="I1006" s="17">
        <f>C1006</f>
        <v>1443</v>
      </c>
      <c r="J1006">
        <v>34</v>
      </c>
      <c r="K1006" s="3" t="str">
        <f>VLOOKUP(J1006,'LibSets constants'!$A$4:$B$1017,2,FALSE)</f>
        <v>DLC_GOLD_ROAD</v>
      </c>
      <c r="L1006" s="3" t="str">
        <f>VLOOKUP(J1006,'LibSets constants'!$A$4:$C$1017,3,FALSE)</f>
        <v>Gold Road</v>
      </c>
    </row>
    <row r="1007" spans="1:12" x14ac:dyDescent="0.25">
      <c r="A1007">
        <v>1460</v>
      </c>
      <c r="B1007">
        <v>1000</v>
      </c>
      <c r="C1007">
        <v>1460</v>
      </c>
      <c r="D1007" t="s">
        <v>3949</v>
      </c>
      <c r="E1007" t="str">
        <f>IF(NOT(ISERROR(VLOOKUP(D1007,'ESO Dungeon constants'!$A$3:$A$9999,1,FALSE))),"X","")</f>
        <v/>
      </c>
      <c r="F1007" s="3" t="str">
        <f>IF(EXACT(A1007,C1007),"X","")</f>
        <v>X</v>
      </c>
      <c r="G1007" s="3" t="str">
        <f>IF(A1007&lt;&gt;C1007,VLOOKUP(C1007,$A$5:$D$9954,4,FALSE),"")</f>
        <v/>
      </c>
      <c r="H1007" s="17">
        <f>A1007</f>
        <v>1460</v>
      </c>
      <c r="I1007" s="17">
        <f>C1007</f>
        <v>1460</v>
      </c>
      <c r="J1007">
        <v>34</v>
      </c>
      <c r="K1007" s="3" t="str">
        <f>VLOOKUP(J1007,'LibSets constants'!$A$4:$B$1017,2,FALSE)</f>
        <v>DLC_GOLD_ROAD</v>
      </c>
      <c r="L1007" s="3" t="str">
        <f>VLOOKUP(J1007,'LibSets constants'!$A$4:$C$1017,3,FALSE)</f>
        <v>Gold Road</v>
      </c>
    </row>
    <row r="1008" spans="1:12" x14ac:dyDescent="0.25">
      <c r="A1008">
        <v>1461</v>
      </c>
      <c r="B1008">
        <v>1001</v>
      </c>
      <c r="C1008">
        <v>1443</v>
      </c>
      <c r="D1008" t="s">
        <v>4034</v>
      </c>
      <c r="E1008" t="str">
        <f>IF(NOT(ISERROR(VLOOKUP(D1008,'ESO Dungeon constants'!$A$3:$A$9999,1,FALSE))),"X","")</f>
        <v/>
      </c>
      <c r="F1008" s="3" t="str">
        <f>IF(EXACT(A1008,C1008),"X","")</f>
        <v/>
      </c>
      <c r="G1008" s="3" t="str">
        <f>IF(A1008&lt;&gt;C1008,VLOOKUP(C1008,$A$5:$D$9954,4,FALSE),"")</f>
        <v>West Weald</v>
      </c>
      <c r="H1008" s="17">
        <f>A1008</f>
        <v>1461</v>
      </c>
      <c r="I1008" s="17">
        <f>C1008</f>
        <v>1443</v>
      </c>
      <c r="J1008">
        <v>34</v>
      </c>
      <c r="K1008" s="3" t="str">
        <f>VLOOKUP(J1008,'LibSets constants'!$A$4:$B$1017,2,FALSE)</f>
        <v>DLC_GOLD_ROAD</v>
      </c>
      <c r="L1008" s="3" t="str">
        <f>VLOOKUP(J1008,'LibSets constants'!$A$4:$C$1017,3,FALSE)</f>
        <v>Gold Road</v>
      </c>
    </row>
    <row r="1009" spans="1:12" x14ac:dyDescent="0.25">
      <c r="A1009">
        <v>1462</v>
      </c>
      <c r="B1009">
        <v>1002</v>
      </c>
      <c r="C1009">
        <v>1443</v>
      </c>
      <c r="D1009" t="s">
        <v>3952</v>
      </c>
      <c r="E1009" t="str">
        <f>IF(NOT(ISERROR(VLOOKUP(D1009,'ESO Dungeon constants'!$A$3:$A$9999,1,FALSE))),"X","")</f>
        <v/>
      </c>
      <c r="F1009" s="3" t="str">
        <f>IF(EXACT(A1009,C1009),"X","")</f>
        <v/>
      </c>
      <c r="G1009" s="3" t="str">
        <f>IF(A1009&lt;&gt;C1009,VLOOKUP(C1009,$A$5:$D$9954,4,FALSE),"")</f>
        <v>West Weald</v>
      </c>
      <c r="H1009" s="17">
        <f>A1009</f>
        <v>1462</v>
      </c>
      <c r="I1009" s="17">
        <f>C1009</f>
        <v>1443</v>
      </c>
      <c r="J1009">
        <v>34</v>
      </c>
      <c r="K1009" s="3" t="str">
        <f>VLOOKUP(J1009,'LibSets constants'!$A$4:$B$1017,2,FALSE)</f>
        <v>DLC_GOLD_ROAD</v>
      </c>
      <c r="L1009" s="3" t="str">
        <f>VLOOKUP(J1009,'LibSets constants'!$A$4:$C$1017,3,FALSE)</f>
        <v>Gold Road</v>
      </c>
    </row>
    <row r="1010" spans="1:12" x14ac:dyDescent="0.25">
      <c r="A1010">
        <v>1463</v>
      </c>
      <c r="B1010">
        <v>1003</v>
      </c>
      <c r="C1010">
        <v>1463</v>
      </c>
      <c r="D1010" t="s">
        <v>3951</v>
      </c>
      <c r="E1010" t="str">
        <f>IF(NOT(ISERROR(VLOOKUP(D1010,'ESO Dungeon constants'!$A$3:$A$9999,1,FALSE))),"X","")</f>
        <v/>
      </c>
      <c r="F1010" s="3" t="str">
        <f>IF(EXACT(A1010,C1010),"X","")</f>
        <v>X</v>
      </c>
      <c r="G1010" s="3" t="str">
        <f>IF(A1010&lt;&gt;C1010,VLOOKUP(C1010,$A$5:$D$9954,4,FALSE),"")</f>
        <v/>
      </c>
      <c r="H1010" s="17">
        <f>A1010</f>
        <v>1463</v>
      </c>
      <c r="I1010" s="17">
        <f>C1010</f>
        <v>1463</v>
      </c>
      <c r="J1010">
        <v>34</v>
      </c>
      <c r="K1010" s="3" t="str">
        <f>VLOOKUP(J1010,'LibSets constants'!$A$4:$B$1017,2,FALSE)</f>
        <v>DLC_GOLD_ROAD</v>
      </c>
      <c r="L1010" s="3" t="str">
        <f>VLOOKUP(J1010,'LibSets constants'!$A$4:$C$1017,3,FALSE)</f>
        <v>Gold Road</v>
      </c>
    </row>
    <row r="1011" spans="1:12" x14ac:dyDescent="0.25">
      <c r="A1011">
        <v>688</v>
      </c>
      <c r="B1011">
        <v>382</v>
      </c>
      <c r="C1011">
        <v>584</v>
      </c>
      <c r="D1011" t="s">
        <v>54</v>
      </c>
      <c r="E1011" t="str">
        <f>IF(NOT(ISERROR(VLOOKUP(D1011,'ESO Dungeon constants'!$A$3:$A$9999,1,FALSE))),"X","")</f>
        <v>X</v>
      </c>
      <c r="F1011" s="3" t="str">
        <f>IF(EXACT(A1011,C1011),"X","")</f>
        <v/>
      </c>
      <c r="G1011" s="3" t="str">
        <f>IF(A1011&lt;&gt;C1011,VLOOKUP(C1011,$A$5:$D$9954,4,FALSE),"")</f>
        <v>Imperial City</v>
      </c>
      <c r="H1011" s="17">
        <f>A1011</f>
        <v>688</v>
      </c>
      <c r="I1011" s="17">
        <f>C1011</f>
        <v>584</v>
      </c>
      <c r="J1011">
        <f>IF(E1011="X",VLOOKUP(D1011,'ESO Dungeon constants'!$A$3:$H$9999,8,FALSE),0)</f>
        <v>1</v>
      </c>
      <c r="K1011" s="3" t="str">
        <f>VLOOKUP(J1011,'LibSets constants'!$A$4:$B$1017,2,FALSE)</f>
        <v>DLC_IMPERIAL_CITY</v>
      </c>
      <c r="L1011" s="3" t="str">
        <f>VLOOKUP(J1011,'LibSets constants'!$A$4:$C$1017,3,FALSE)</f>
        <v>Imperial City</v>
      </c>
    </row>
    <row r="1012" spans="1:12" x14ac:dyDescent="0.25">
      <c r="A1012">
        <v>1464</v>
      </c>
      <c r="B1012">
        <v>1004</v>
      </c>
      <c r="C1012">
        <v>1443</v>
      </c>
      <c r="D1012" t="s">
        <v>3950</v>
      </c>
      <c r="E1012" t="str">
        <f>IF(NOT(ISERROR(VLOOKUP(D1012,'ESO Dungeon constants'!$A$3:$A$9999,1,FALSE))),"X","")</f>
        <v/>
      </c>
      <c r="F1012" s="3" t="str">
        <f>IF(EXACT(A1012,C1012),"X","")</f>
        <v/>
      </c>
      <c r="G1012" s="3" t="str">
        <f>IF(A1012&lt;&gt;C1012,VLOOKUP(C1012,$A$5:$D$9954,4,FALSE),"")</f>
        <v>West Weald</v>
      </c>
      <c r="H1012" s="17">
        <f>A1012</f>
        <v>1464</v>
      </c>
      <c r="I1012" s="17">
        <f>C1012</f>
        <v>1443</v>
      </c>
      <c r="J1012">
        <v>34</v>
      </c>
      <c r="K1012" s="3" t="str">
        <f>VLOOKUP(J1012,'LibSets constants'!$A$4:$B$1017,2,FALSE)</f>
        <v>DLC_GOLD_ROAD</v>
      </c>
      <c r="L1012" s="3" t="str">
        <f>VLOOKUP(J1012,'LibSets constants'!$A$4:$C$1017,3,FALSE)</f>
        <v>Gold Road</v>
      </c>
    </row>
    <row r="1013" spans="1:12" x14ac:dyDescent="0.25">
      <c r="A1013">
        <v>1465</v>
      </c>
      <c r="B1013">
        <v>1005</v>
      </c>
      <c r="C1013">
        <v>1443</v>
      </c>
      <c r="D1013" t="s">
        <v>3958</v>
      </c>
      <c r="E1013" t="str">
        <f>IF(NOT(ISERROR(VLOOKUP(D1013,'ESO Dungeon constants'!$A$3:$A$9999,1,FALSE))),"X","")</f>
        <v/>
      </c>
      <c r="F1013" s="3" t="str">
        <f>IF(EXACT(A1013,C1013),"X","")</f>
        <v/>
      </c>
      <c r="G1013" s="3" t="str">
        <f>IF(A1013&lt;&gt;C1013,VLOOKUP(C1013,$A$5:$D$9954,4,FALSE),"")</f>
        <v>West Weald</v>
      </c>
      <c r="H1013" s="17">
        <f>A1013</f>
        <v>1465</v>
      </c>
      <c r="I1013" s="17">
        <f>C1013</f>
        <v>1443</v>
      </c>
      <c r="J1013">
        <v>34</v>
      </c>
      <c r="K1013" s="3" t="str">
        <f>VLOOKUP(J1013,'LibSets constants'!$A$4:$B$1017,2,FALSE)</f>
        <v>DLC_GOLD_ROAD</v>
      </c>
      <c r="L1013" s="3" t="str">
        <f>VLOOKUP(J1013,'LibSets constants'!$A$4:$C$1017,3,FALSE)</f>
        <v>Gold Road</v>
      </c>
    </row>
    <row r="1014" spans="1:12" x14ac:dyDescent="0.25">
      <c r="A1014">
        <v>1466</v>
      </c>
      <c r="B1014">
        <v>1006</v>
      </c>
      <c r="C1014">
        <v>1443</v>
      </c>
      <c r="D1014" t="s">
        <v>3948</v>
      </c>
      <c r="E1014" t="str">
        <f>IF(NOT(ISERROR(VLOOKUP(D1014,'ESO Dungeon constants'!$A$3:$A$9999,1,FALSE))),"X","")</f>
        <v/>
      </c>
      <c r="F1014" s="3" t="str">
        <f>IF(EXACT(A1014,C1014),"X","")</f>
        <v/>
      </c>
      <c r="G1014" s="3" t="str">
        <f>IF(A1014&lt;&gt;C1014,VLOOKUP(C1014,$A$5:$D$9954,4,FALSE),"")</f>
        <v>West Weald</v>
      </c>
      <c r="H1014" s="17">
        <f>A1014</f>
        <v>1466</v>
      </c>
      <c r="I1014" s="17">
        <f>C1014</f>
        <v>1443</v>
      </c>
      <c r="J1014">
        <v>34</v>
      </c>
      <c r="K1014" s="3" t="str">
        <f>VLOOKUP(J1014,'LibSets constants'!$A$4:$B$1017,2,FALSE)</f>
        <v>DLC_GOLD_ROAD</v>
      </c>
      <c r="L1014" s="3" t="str">
        <f>VLOOKUP(J1014,'LibSets constants'!$A$4:$C$1017,3,FALSE)</f>
        <v>Gold Road</v>
      </c>
    </row>
    <row r="1015" spans="1:12" x14ac:dyDescent="0.25">
      <c r="A1015">
        <v>1467</v>
      </c>
      <c r="B1015">
        <v>1007</v>
      </c>
      <c r="C1015">
        <v>1443</v>
      </c>
      <c r="D1015" t="s">
        <v>3938</v>
      </c>
      <c r="E1015" t="str">
        <f>IF(NOT(ISERROR(VLOOKUP(D1015,'ESO Dungeon constants'!$A$3:$A$9999,1,FALSE))),"X","")</f>
        <v/>
      </c>
      <c r="F1015" s="3" t="str">
        <f>IF(EXACT(A1015,C1015),"X","")</f>
        <v/>
      </c>
      <c r="G1015" s="3" t="str">
        <f>IF(A1015&lt;&gt;C1015,VLOOKUP(C1015,$A$5:$D$9954,4,FALSE),"")</f>
        <v>West Weald</v>
      </c>
      <c r="H1015" s="17">
        <f>A1015</f>
        <v>1467</v>
      </c>
      <c r="I1015" s="17">
        <f>C1015</f>
        <v>1443</v>
      </c>
      <c r="J1015">
        <v>34</v>
      </c>
      <c r="K1015" s="3" t="str">
        <f>VLOOKUP(J1015,'LibSets constants'!$A$4:$B$1017,2,FALSE)</f>
        <v>DLC_GOLD_ROAD</v>
      </c>
      <c r="L1015" s="3" t="str">
        <f>VLOOKUP(J1015,'LibSets constants'!$A$4:$C$1017,3,FALSE)</f>
        <v>Gold Road</v>
      </c>
    </row>
    <row r="1016" spans="1:12" x14ac:dyDescent="0.25">
      <c r="A1016">
        <v>1468</v>
      </c>
      <c r="B1016">
        <v>1008</v>
      </c>
      <c r="C1016">
        <v>1414</v>
      </c>
      <c r="D1016" t="s">
        <v>3760</v>
      </c>
      <c r="E1016" t="str">
        <f>IF(NOT(ISERROR(VLOOKUP(D1016,'ESO Dungeon constants'!$A$3:$A$9999,1,FALSE))),"X","")</f>
        <v/>
      </c>
      <c r="F1016" s="3" t="str">
        <f>IF(EXACT(A1016,C1016),"X","")</f>
        <v/>
      </c>
      <c r="G1016" s="3" t="str">
        <f>IF(A1016&lt;&gt;C1016,VLOOKUP(C1016,$A$5:$D$9954,4,FALSE),"")</f>
        <v>Telvanni Peninsula</v>
      </c>
      <c r="H1016" s="17">
        <f>A1016</f>
        <v>1468</v>
      </c>
      <c r="I1016" s="17">
        <f>C1016</f>
        <v>1414</v>
      </c>
      <c r="J1016">
        <v>34</v>
      </c>
      <c r="K1016" s="3" t="str">
        <f>VLOOKUP(J1016,'LibSets constants'!$A$4:$B$1017,2,FALSE)</f>
        <v>DLC_GOLD_ROAD</v>
      </c>
      <c r="L1016" s="3" t="str">
        <f>VLOOKUP(J1016,'LibSets constants'!$A$4:$C$1017,3,FALSE)</f>
        <v>Gold Road</v>
      </c>
    </row>
    <row r="1017" spans="1:12" x14ac:dyDescent="0.25">
      <c r="A1017">
        <v>1472</v>
      </c>
      <c r="B1017">
        <v>1011</v>
      </c>
      <c r="C1017">
        <v>1383</v>
      </c>
      <c r="D1017" t="s">
        <v>3762</v>
      </c>
      <c r="E1017" t="str">
        <f>IF(NOT(ISERROR(VLOOKUP(D1017,'ESO Dungeon constants'!$A$3:$A$9999,1,FALSE))),"X","")</f>
        <v/>
      </c>
      <c r="F1017" s="3" t="str">
        <f>IF(EXACT(A1017,C1017),"X","")</f>
        <v/>
      </c>
      <c r="G1017" s="3" t="str">
        <f>IF(A1017&lt;&gt;C1017,VLOOKUP(C1017,$A$5:$D$9954,4,FALSE),"")</f>
        <v>Galen</v>
      </c>
      <c r="H1017" s="17">
        <f>A1017</f>
        <v>1472</v>
      </c>
      <c r="I1017" s="17">
        <f>C1017</f>
        <v>1383</v>
      </c>
      <c r="J1017">
        <v>28</v>
      </c>
      <c r="K1017" s="3" t="str">
        <f>VLOOKUP(J1017,'LibSets constants'!$A$4:$B$1017,2,FALSE)</f>
        <v>DLC_FIRESONG</v>
      </c>
      <c r="L1017" s="3" t="str">
        <f>VLOOKUP(J1017,'LibSets constants'!$A$4:$C$1017,3,FALSE)</f>
        <v>Firesong</v>
      </c>
    </row>
    <row r="1018" spans="1:12" x14ac:dyDescent="0.25">
      <c r="A1018">
        <v>1473</v>
      </c>
      <c r="B1018">
        <v>1012</v>
      </c>
      <c r="C1018">
        <v>1413</v>
      </c>
      <c r="D1018" t="s">
        <v>3763</v>
      </c>
      <c r="E1018" t="str">
        <f>IF(NOT(ISERROR(VLOOKUP(D1018,'ESO Dungeon constants'!$A$3:$A$9999,1,FALSE))),"X","")</f>
        <v/>
      </c>
      <c r="F1018" s="3" t="str">
        <f>IF(EXACT(A1018,C1018),"X","")</f>
        <v/>
      </c>
      <c r="G1018" s="3" t="str">
        <f>IF(A1018&lt;&gt;C1018,VLOOKUP(C1018,$A$5:$D$9954,4,FALSE),"")</f>
        <v>Apocrypha</v>
      </c>
      <c r="H1018" s="17">
        <f>A1018</f>
        <v>1473</v>
      </c>
      <c r="I1018" s="17">
        <f>C1018</f>
        <v>1413</v>
      </c>
      <c r="J1018">
        <v>30</v>
      </c>
      <c r="K1018" s="3" t="str">
        <f>VLOOKUP(J1018,'LibSets constants'!$A$4:$B$1017,2,FALSE)</f>
        <v>DLC_NECROM</v>
      </c>
      <c r="L1018" s="3" t="str">
        <f>VLOOKUP(J1018,'LibSets constants'!$A$4:$C$1017,3,FALSE)</f>
        <v>Necrom</v>
      </c>
    </row>
    <row r="1019" spans="1:12" x14ac:dyDescent="0.25">
      <c r="A1019">
        <v>1474</v>
      </c>
      <c r="B1019">
        <v>1013</v>
      </c>
      <c r="C1019">
        <v>1443</v>
      </c>
      <c r="D1019" t="s">
        <v>3679</v>
      </c>
      <c r="E1019" t="str">
        <f>IF(NOT(ISERROR(VLOOKUP(D1019,'ESO Dungeon constants'!$A$3:$A$9999,1,FALSE))),"X","")</f>
        <v/>
      </c>
      <c r="F1019" s="3" t="str">
        <f>IF(EXACT(A1019,C1019),"X","")</f>
        <v/>
      </c>
      <c r="G1019" s="3" t="str">
        <f>IF(A1019&lt;&gt;C1019,VLOOKUP(C1019,$A$5:$D$9954,4,FALSE),"")</f>
        <v>West Weald</v>
      </c>
      <c r="H1019" s="17">
        <f>A1019</f>
        <v>1474</v>
      </c>
      <c r="I1019" s="17">
        <f>C1019</f>
        <v>1443</v>
      </c>
      <c r="J1019">
        <v>34</v>
      </c>
      <c r="K1019" s="3" t="str">
        <f>VLOOKUP(J1019,'LibSets constants'!$A$4:$B$1017,2,FALSE)</f>
        <v>DLC_GOLD_ROAD</v>
      </c>
      <c r="L1019" s="3" t="str">
        <f>VLOOKUP(J1019,'LibSets constants'!$A$4:$C$1017,3,FALSE)</f>
        <v>Gold Road</v>
      </c>
    </row>
    <row r="1020" spans="1:12" x14ac:dyDescent="0.25">
      <c r="A1020">
        <v>1475</v>
      </c>
      <c r="B1020">
        <v>1014</v>
      </c>
      <c r="C1020">
        <v>1475</v>
      </c>
      <c r="D1020" t="s">
        <v>4035</v>
      </c>
      <c r="E1020" t="str">
        <f>IF(NOT(ISERROR(VLOOKUP(D1020,'ESO Dungeon constants'!$A$3:$A$9999,1,FALSE))),"X","")</f>
        <v/>
      </c>
      <c r="F1020" s="3" t="str">
        <f>IF(EXACT(A1020,C1020),"X","")</f>
        <v>X</v>
      </c>
      <c r="G1020" s="3" t="str">
        <f>IF(A1020&lt;&gt;C1020,VLOOKUP(C1020,$A$5:$D$9954,4,FALSE),"")</f>
        <v/>
      </c>
      <c r="H1020" s="17">
        <f>A1020</f>
        <v>1475</v>
      </c>
      <c r="I1020" s="17">
        <f>C1020</f>
        <v>1475</v>
      </c>
      <c r="J1020">
        <v>34</v>
      </c>
      <c r="K1020" s="3" t="str">
        <f>VLOOKUP(J1020,'LibSets constants'!$A$4:$B$1017,2,FALSE)</f>
        <v>DLC_GOLD_ROAD</v>
      </c>
      <c r="L1020" s="3" t="str">
        <f>VLOOKUP(J1020,'LibSets constants'!$A$4:$C$1017,3,FALSE)</f>
        <v>Gold Road</v>
      </c>
    </row>
    <row r="1021" spans="1:12" x14ac:dyDescent="0.25">
      <c r="A1021">
        <v>1479</v>
      </c>
      <c r="B1021">
        <v>1016</v>
      </c>
      <c r="C1021">
        <v>1261</v>
      </c>
      <c r="D1021" t="s">
        <v>3896</v>
      </c>
      <c r="E1021" t="str">
        <f>IF(NOT(ISERROR(VLOOKUP(D1021,'ESO Dungeon constants'!$A$3:$A$9999,1,FALSE))),"X","")</f>
        <v/>
      </c>
      <c r="F1021" s="3" t="str">
        <f>IF(EXACT(A1021,C1021),"X","")</f>
        <v/>
      </c>
      <c r="G1021" s="3" t="str">
        <f>IF(A1021&lt;&gt;C1021,VLOOKUP(C1021,$A$5:$D$9954,4,FALSE),"")</f>
        <v>Blackwood</v>
      </c>
      <c r="H1021" s="17">
        <f>A1021</f>
        <v>1479</v>
      </c>
      <c r="I1021" s="17">
        <f>C1021</f>
        <v>1261</v>
      </c>
      <c r="J1021">
        <v>34</v>
      </c>
      <c r="K1021" s="3" t="str">
        <f>VLOOKUP(J1021,'LibSets constants'!$A$4:$B$1017,2,FALSE)</f>
        <v>DLC_GOLD_ROAD</v>
      </c>
      <c r="L1021" s="3" t="str">
        <f>VLOOKUP(J1021,'LibSets constants'!$A$4:$C$1017,3,FALSE)</f>
        <v>Gold Road</v>
      </c>
    </row>
    <row r="1022" spans="1:12" x14ac:dyDescent="0.25">
      <c r="A1022">
        <v>1481</v>
      </c>
      <c r="B1022">
        <v>1017</v>
      </c>
      <c r="C1022">
        <v>1481</v>
      </c>
      <c r="D1022" t="s">
        <v>4062</v>
      </c>
      <c r="E1022" t="str">
        <f>IF(NOT(ISERROR(VLOOKUP(D1022,'ESO Dungeon constants'!$A$3:$A$9999,1,FALSE))),"X","")</f>
        <v/>
      </c>
      <c r="F1022" s="3" t="str">
        <f>IF(EXACT(A1022,C1022),"X","")</f>
        <v>X</v>
      </c>
      <c r="G1022" s="3" t="str">
        <f>IF(A1022&lt;&gt;C1022,VLOOKUP(C1022,$A$5:$D$9954,4,FALSE),"")</f>
        <v/>
      </c>
      <c r="H1022" s="17">
        <f>A1022</f>
        <v>1481</v>
      </c>
      <c r="I1022" s="17">
        <f>C1022</f>
        <v>1481</v>
      </c>
      <c r="J1022">
        <v>34</v>
      </c>
      <c r="K1022" s="3" t="str">
        <f>VLOOKUP(J1022,'LibSets constants'!$A$4:$B$1017,2,FALSE)</f>
        <v>DLC_GOLD_ROAD</v>
      </c>
      <c r="L1022" s="3" t="str">
        <f>VLOOKUP(J1022,'LibSets constants'!$A$4:$C$1017,3,FALSE)</f>
        <v>Gold Road</v>
      </c>
    </row>
    <row r="1023" spans="1:12" x14ac:dyDescent="0.25">
      <c r="A1023">
        <v>1482</v>
      </c>
      <c r="B1023">
        <v>1018</v>
      </c>
      <c r="C1023">
        <v>1482</v>
      </c>
      <c r="D1023" t="s">
        <v>4063</v>
      </c>
      <c r="E1023" t="str">
        <f>IF(NOT(ISERROR(VLOOKUP(D1023,'ESO Dungeon constants'!$A$3:$A$9999,1,FALSE))),"X","")</f>
        <v/>
      </c>
      <c r="F1023" s="3" t="str">
        <f>IF(EXACT(A1023,C1023),"X","")</f>
        <v>X</v>
      </c>
      <c r="G1023" s="3" t="str">
        <f>IF(A1023&lt;&gt;C1023,VLOOKUP(C1023,$A$5:$D$9954,4,FALSE),"")</f>
        <v/>
      </c>
      <c r="H1023" s="17">
        <f>A1023</f>
        <v>1482</v>
      </c>
      <c r="I1023" s="17">
        <f>C1023</f>
        <v>1482</v>
      </c>
      <c r="J1023">
        <v>34</v>
      </c>
      <c r="K1023" s="3" t="str">
        <f>VLOOKUP(J1023,'LibSets constants'!$A$4:$B$1017,2,FALSE)</f>
        <v>DLC_GOLD_ROAD</v>
      </c>
      <c r="L1023" s="3" t="str">
        <f>VLOOKUP(J1023,'LibSets constants'!$A$4:$C$1017,3,FALSE)</f>
        <v>Gold Road</v>
      </c>
    </row>
    <row r="1024" spans="1:12" x14ac:dyDescent="0.25">
      <c r="A1024">
        <v>1483</v>
      </c>
      <c r="B1024">
        <v>1019</v>
      </c>
      <c r="C1024">
        <v>1483</v>
      </c>
      <c r="D1024" t="s">
        <v>4064</v>
      </c>
      <c r="E1024" t="str">
        <f>IF(NOT(ISERROR(VLOOKUP(D1024,'ESO Dungeon constants'!$A$3:$A$9999,1,FALSE))),"X","")</f>
        <v/>
      </c>
      <c r="F1024" s="3" t="str">
        <f>IF(EXACT(A1024,C1024),"X","")</f>
        <v>X</v>
      </c>
      <c r="G1024" s="3" t="str">
        <f>IF(A1024&lt;&gt;C1024,VLOOKUP(C1024,$A$5:$D$9954,4,FALSE),"")</f>
        <v/>
      </c>
      <c r="H1024" s="17">
        <f>A1024</f>
        <v>1483</v>
      </c>
      <c r="I1024" s="17">
        <f>C1024</f>
        <v>1483</v>
      </c>
      <c r="J1024">
        <v>35</v>
      </c>
      <c r="K1024" s="3" t="str">
        <f>VLOOKUP(J1024,'LibSets constants'!$A$4:$B$1017,2,FALSE)</f>
        <v>NO_DLC_UPDATE43</v>
      </c>
      <c r="L1024" s="3" t="str">
        <f>VLOOKUP(J1024,'LibSets constants'!$A$4:$C$1017,3,FALSE)</f>
        <v>Patch 43, House tours, QOL and other</v>
      </c>
    </row>
    <row r="1025" spans="1:12" x14ac:dyDescent="0.25">
      <c r="A1025">
        <v>1484</v>
      </c>
      <c r="B1025">
        <v>1020</v>
      </c>
      <c r="C1025">
        <v>1484</v>
      </c>
      <c r="D1025" t="s">
        <v>4065</v>
      </c>
      <c r="E1025" t="str">
        <f>IF(NOT(ISERROR(VLOOKUP(D1025,'ESO Dungeon constants'!$A$3:$A$9999,1,FALSE))),"X","")</f>
        <v/>
      </c>
      <c r="F1025" s="3" t="str">
        <f>IF(EXACT(A1025,C1025),"X","")</f>
        <v>X</v>
      </c>
      <c r="G1025" s="3" t="str">
        <f>IF(A1025&lt;&gt;C1025,VLOOKUP(C1025,$A$5:$D$9954,4,FALSE),"")</f>
        <v/>
      </c>
      <c r="H1025" s="17">
        <f>A1025</f>
        <v>1484</v>
      </c>
      <c r="I1025" s="17">
        <f>C1025</f>
        <v>1484</v>
      </c>
      <c r="J1025">
        <v>35</v>
      </c>
      <c r="K1025" s="3" t="str">
        <f>VLOOKUP(J1025,'LibSets constants'!$A$4:$B$1017,2,FALSE)</f>
        <v>NO_DLC_UPDATE43</v>
      </c>
      <c r="L1025" s="3" t="str">
        <f>VLOOKUP(J1025,'LibSets constants'!$A$4:$C$1017,3,FALSE)</f>
        <v>Patch 43, House tours, QOL and other</v>
      </c>
    </row>
    <row r="1026" spans="1:12" x14ac:dyDescent="0.25">
      <c r="A1026">
        <v>1485</v>
      </c>
      <c r="B1026">
        <v>1021</v>
      </c>
      <c r="C1026">
        <v>1485</v>
      </c>
      <c r="D1026" t="s">
        <v>4066</v>
      </c>
      <c r="E1026" t="str">
        <f>IF(NOT(ISERROR(VLOOKUP(D1026,'ESO Dungeon constants'!$A$3:$A$9999,1,FALSE))),"X","")</f>
        <v/>
      </c>
      <c r="F1026" s="3" t="str">
        <f>IF(EXACT(A1026,C1026),"X","")</f>
        <v>X</v>
      </c>
      <c r="G1026" s="3" t="str">
        <f>IF(A1026&lt;&gt;C1026,VLOOKUP(C1026,$A$5:$D$9954,4,FALSE),"")</f>
        <v/>
      </c>
      <c r="H1026" s="17">
        <f>A1026</f>
        <v>1485</v>
      </c>
      <c r="I1026" s="17">
        <f>C1026</f>
        <v>1485</v>
      </c>
      <c r="J1026">
        <v>36</v>
      </c>
      <c r="K1026" s="3" t="str">
        <f>VLOOKUP(J1026,'LibSets constants'!$A$4:$B$1017,2,FALSE)</f>
        <v>NO_DLC_UPDATE44</v>
      </c>
      <c r="L1026" s="3" t="str">
        <f>VLOOKUP(J1026,'LibSets constants'!$A$4:$C$1017,3,FALSE)</f>
        <v>Patch 44, BG changes, QOL and other</v>
      </c>
    </row>
    <row r="1027" spans="1:12" x14ac:dyDescent="0.25">
      <c r="A1027">
        <v>1487</v>
      </c>
      <c r="B1027">
        <v>1022</v>
      </c>
      <c r="C1027">
        <v>1133</v>
      </c>
      <c r="D1027" t="s">
        <v>3942</v>
      </c>
      <c r="E1027" t="str">
        <f>IF(NOT(ISERROR(VLOOKUP(D1027,'ESO Dungeon constants'!$A$3:$A$9999,1,FALSE))),"X","")</f>
        <v/>
      </c>
      <c r="F1027" s="3" t="str">
        <f>IF(EXACT(A1027,C1027),"X","")</f>
        <v/>
      </c>
      <c r="G1027" s="3" t="str">
        <f>IF(A1027&lt;&gt;C1027,VLOOKUP(C1027,$A$5:$D$9954,4,FALSE),"")</f>
        <v>Southern Elsweyr</v>
      </c>
      <c r="H1027" s="17">
        <f>A1027</f>
        <v>1487</v>
      </c>
      <c r="I1027" s="17">
        <f>C1027</f>
        <v>1133</v>
      </c>
      <c r="J1027">
        <v>16</v>
      </c>
      <c r="K1027" s="3" t="str">
        <f>VLOOKUP(J1027,'LibSets constants'!$A$4:$B$1017,2,FALSE)</f>
        <v>DLC_DRAGONHOLD</v>
      </c>
      <c r="L1027" s="3" t="str">
        <f>VLOOKUP(J1027,'LibSets constants'!$A$4:$C$1017,3,FALSE)</f>
        <v>Dragonhold</v>
      </c>
    </row>
    <row r="1028" spans="1:12" x14ac:dyDescent="0.25">
      <c r="A1028">
        <v>1488</v>
      </c>
      <c r="B1028">
        <v>1023</v>
      </c>
      <c r="C1028">
        <v>1463</v>
      </c>
      <c r="D1028" t="s">
        <v>3941</v>
      </c>
      <c r="E1028" t="str">
        <f>IF(NOT(ISERROR(VLOOKUP(D1028,'ESO Dungeon constants'!$A$3:$A$9999,1,FALSE))),"X","")</f>
        <v/>
      </c>
      <c r="F1028" s="3" t="str">
        <f>IF(EXACT(A1028,C1028),"X","")</f>
        <v/>
      </c>
      <c r="G1028" s="3" t="str">
        <f>IF(A1028&lt;&gt;C1028,VLOOKUP(C1028,$A$5:$D$9954,4,FALSE),"")</f>
        <v>The Scholarium</v>
      </c>
      <c r="H1028" s="17">
        <f>A1028</f>
        <v>1488</v>
      </c>
      <c r="I1028" s="17">
        <f>C1028</f>
        <v>1463</v>
      </c>
      <c r="J1028">
        <v>34</v>
      </c>
      <c r="K1028" s="3" t="str">
        <f>VLOOKUP(J1028,'LibSets constants'!$A$4:$B$1017,2,FALSE)</f>
        <v>DLC_GOLD_ROAD</v>
      </c>
      <c r="L1028" s="3" t="str">
        <f>VLOOKUP(J1028,'LibSets constants'!$A$4:$C$1017,3,FALSE)</f>
        <v>Gold Road</v>
      </c>
    </row>
    <row r="1029" spans="1:12" x14ac:dyDescent="0.25">
      <c r="A1029">
        <v>1491</v>
      </c>
      <c r="B1029">
        <v>1024</v>
      </c>
      <c r="C1029">
        <v>1443</v>
      </c>
      <c r="D1029" t="s">
        <v>3940</v>
      </c>
      <c r="E1029" t="str">
        <f>IF(NOT(ISERROR(VLOOKUP(D1029,'ESO Dungeon constants'!$A$3:$A$9999,1,FALSE))),"X","")</f>
        <v/>
      </c>
      <c r="F1029" s="3" t="str">
        <f>IF(EXACT(A1029,C1029),"X","")</f>
        <v/>
      </c>
      <c r="G1029" s="3" t="str">
        <f>IF(A1029&lt;&gt;C1029,VLOOKUP(C1029,$A$5:$D$9954,4,FALSE),"")</f>
        <v>West Weald</v>
      </c>
      <c r="H1029" s="17">
        <f>A1029</f>
        <v>1491</v>
      </c>
      <c r="I1029" s="17">
        <f>C1029</f>
        <v>1443</v>
      </c>
      <c r="J1029">
        <v>34</v>
      </c>
      <c r="K1029" s="3" t="str">
        <f>VLOOKUP(J1029,'LibSets constants'!$A$4:$B$1017,2,FALSE)</f>
        <v>DLC_GOLD_ROAD</v>
      </c>
      <c r="L1029" s="3" t="str">
        <f>VLOOKUP(J1029,'LibSets constants'!$A$4:$C$1017,3,FALSE)</f>
        <v>Gold Road</v>
      </c>
    </row>
    <row r="1030" spans="1:12" x14ac:dyDescent="0.25">
      <c r="A1030">
        <v>1492</v>
      </c>
      <c r="B1030">
        <v>1025</v>
      </c>
      <c r="C1030">
        <v>1443</v>
      </c>
      <c r="D1030" t="s">
        <v>3939</v>
      </c>
      <c r="E1030" t="str">
        <f>IF(NOT(ISERROR(VLOOKUP(D1030,'ESO Dungeon constants'!$A$3:$A$9999,1,FALSE))),"X","")</f>
        <v/>
      </c>
      <c r="F1030" s="3" t="str">
        <f>IF(EXACT(A1030,C1030),"X","")</f>
        <v/>
      </c>
      <c r="G1030" s="3" t="str">
        <f>IF(A1030&lt;&gt;C1030,VLOOKUP(C1030,$A$5:$D$9954,4,FALSE),"")</f>
        <v>West Weald</v>
      </c>
      <c r="H1030" s="17">
        <f>A1030</f>
        <v>1492</v>
      </c>
      <c r="I1030" s="17">
        <f>C1030</f>
        <v>1443</v>
      </c>
      <c r="J1030">
        <v>34</v>
      </c>
      <c r="K1030" s="3" t="str">
        <f>VLOOKUP(J1030,'LibSets constants'!$A$4:$B$1017,2,FALSE)</f>
        <v>DLC_GOLD_ROAD</v>
      </c>
      <c r="L1030" s="3" t="str">
        <f>VLOOKUP(J1030,'LibSets constants'!$A$4:$C$1017,3,FALSE)</f>
        <v>Gold Road</v>
      </c>
    </row>
    <row r="1031" spans="1:12" x14ac:dyDescent="0.25">
      <c r="A1031">
        <v>1494</v>
      </c>
      <c r="B1031">
        <v>1026</v>
      </c>
      <c r="C1031">
        <v>381</v>
      </c>
      <c r="D1031" t="s">
        <v>4032</v>
      </c>
      <c r="E1031" t="str">
        <f>IF(NOT(ISERROR(VLOOKUP(D1031,'ESO Dungeon constants'!$A$3:$A$9999,1,FALSE))),"X","")</f>
        <v/>
      </c>
      <c r="F1031" s="3" t="str">
        <f>IF(EXACT(A1031,C1031),"X","")</f>
        <v/>
      </c>
      <c r="G1031" s="3" t="str">
        <f>IF(A1031&lt;&gt;C1031,VLOOKUP(C1031,$A$5:$D$9954,4,FALSE),"")</f>
        <v>Auridon</v>
      </c>
      <c r="H1031" s="17">
        <f>A1031</f>
        <v>1494</v>
      </c>
      <c r="I1031" s="17">
        <f>C1031</f>
        <v>381</v>
      </c>
      <c r="J1031">
        <v>0</v>
      </c>
      <c r="K1031" s="3" t="str">
        <f>VLOOKUP(J1031,'LibSets constants'!$A$4:$B$1017,2,FALSE)</f>
        <v>DLC_BASE_GAME</v>
      </c>
      <c r="L1031" s="3" t="str">
        <f>VLOOKUP(J1031,'LibSets constants'!$A$4:$C$1017,3,FALSE)</f>
        <v>Included in base game</v>
      </c>
    </row>
    <row r="1032" spans="1:12" x14ac:dyDescent="0.25">
      <c r="A1032">
        <v>1495</v>
      </c>
      <c r="B1032">
        <v>1027</v>
      </c>
      <c r="C1032">
        <v>1443</v>
      </c>
      <c r="D1032" t="s">
        <v>4033</v>
      </c>
      <c r="E1032" t="str">
        <f>IF(NOT(ISERROR(VLOOKUP(D1032,'ESO Dungeon constants'!$A$3:$A$9999,1,FALSE))),"X","")</f>
        <v/>
      </c>
      <c r="F1032" s="3" t="str">
        <f>IF(EXACT(A1032,C1032),"X","")</f>
        <v/>
      </c>
      <c r="G1032" s="3" t="str">
        <f>IF(A1032&lt;&gt;C1032,VLOOKUP(C1032,$A$5:$D$9954,4,FALSE),"")</f>
        <v>West Weald</v>
      </c>
      <c r="H1032" s="17">
        <f>A1032</f>
        <v>1495</v>
      </c>
      <c r="I1032" s="17">
        <f>C1032</f>
        <v>1443</v>
      </c>
      <c r="J1032">
        <v>34</v>
      </c>
      <c r="K1032" s="3" t="str">
        <f>VLOOKUP(J1032,'LibSets constants'!$A$4:$B$1017,2,FALSE)</f>
        <v>DLC_GOLD_ROAD</v>
      </c>
      <c r="L1032" s="3" t="str">
        <f>VLOOKUP(J1032,'LibSets constants'!$A$4:$C$1017,3,FALSE)</f>
        <v>Gold Road</v>
      </c>
    </row>
    <row r="1033" spans="1:12" x14ac:dyDescent="0.25">
      <c r="A1033">
        <v>1498</v>
      </c>
      <c r="B1033">
        <v>1028</v>
      </c>
      <c r="C1033">
        <v>1498</v>
      </c>
      <c r="D1033" t="s">
        <v>4067</v>
      </c>
      <c r="E1033" t="str">
        <f>IF(NOT(ISERROR(VLOOKUP(D1033,'ESO Dungeon constants'!$A$3:$A$9999,1,FALSE))),"X","")</f>
        <v/>
      </c>
      <c r="F1033" s="3" t="str">
        <f>IF(EXACT(A1033,C1033),"X","")</f>
        <v>X</v>
      </c>
      <c r="G1033" s="3" t="str">
        <f>IF(A1033&lt;&gt;C1033,VLOOKUP(C1033,$A$5:$D$9954,4,FALSE),"")</f>
        <v/>
      </c>
      <c r="H1033" s="17">
        <f>A1033</f>
        <v>1498</v>
      </c>
      <c r="I1033" s="17">
        <f>C1033</f>
        <v>1498</v>
      </c>
      <c r="J1033">
        <v>36</v>
      </c>
      <c r="K1033" s="3" t="str">
        <f>VLOOKUP(J1033,'LibSets constants'!$A$4:$B$1017,2,FALSE)</f>
        <v>NO_DLC_UPDATE44</v>
      </c>
      <c r="L1033" s="3" t="str">
        <f>VLOOKUP(J1033,'LibSets constants'!$A$4:$C$1017,3,FALSE)</f>
        <v>Patch 44, BG changes, QOL and other</v>
      </c>
    </row>
    <row r="1034" spans="1:12" x14ac:dyDescent="0.25">
      <c r="A1034">
        <v>1499</v>
      </c>
      <c r="B1034">
        <v>1029</v>
      </c>
      <c r="C1034">
        <v>1499</v>
      </c>
      <c r="D1034" t="s">
        <v>1399</v>
      </c>
      <c r="E1034" t="str">
        <f>IF(NOT(ISERROR(VLOOKUP(D1034,'ESO Dungeon constants'!$A$3:$A$9999,1,FALSE))),"X","")</f>
        <v/>
      </c>
      <c r="F1034" s="3" t="str">
        <f>IF(EXACT(A1034,C1034),"X","")</f>
        <v>X</v>
      </c>
      <c r="G1034" s="3" t="str">
        <f>IF(A1034&lt;&gt;C1034,VLOOKUP(C1034,$A$5:$D$9954,4,FALSE),"")</f>
        <v/>
      </c>
      <c r="H1034" s="17">
        <f>A1034</f>
        <v>1499</v>
      </c>
      <c r="I1034" s="17">
        <f>C1034</f>
        <v>1499</v>
      </c>
      <c r="J1034">
        <v>36</v>
      </c>
      <c r="K1034" s="3" t="str">
        <f>VLOOKUP(J1034,'LibSets constants'!$A$4:$B$1017,2,FALSE)</f>
        <v>NO_DLC_UPDATE44</v>
      </c>
      <c r="L1034" s="3" t="str">
        <f>VLOOKUP(J1034,'LibSets constants'!$A$4:$C$1017,3,FALSE)</f>
        <v>Patch 44, BG changes, QOL and other</v>
      </c>
    </row>
    <row r="1035" spans="1:12" x14ac:dyDescent="0.25">
      <c r="A1035">
        <v>1500</v>
      </c>
      <c r="B1035">
        <v>1030</v>
      </c>
      <c r="C1035">
        <v>1161</v>
      </c>
      <c r="D1035" s="40" t="s">
        <v>4051</v>
      </c>
      <c r="E1035" t="str">
        <f>IF(NOT(ISERROR(VLOOKUP(D1035,'ESO Dungeon constants'!$A$3:$A$9999,1,FALSE))),"X","")</f>
        <v/>
      </c>
      <c r="F1035" s="3" t="str">
        <f>IF(EXACT(A1035,C1035),"X","")</f>
        <v/>
      </c>
      <c r="G1035" s="3" t="str">
        <f>IF(A1035&lt;&gt;C1035,VLOOKUP(C1035,$A$5:$D$9954,4,FALSE),"")</f>
        <v>Blackreach: Greymoor Caverns</v>
      </c>
      <c r="H1035" s="17">
        <f>A1035</f>
        <v>1500</v>
      </c>
      <c r="I1035" s="17">
        <f>C1035</f>
        <v>1161</v>
      </c>
      <c r="J1035">
        <v>18</v>
      </c>
      <c r="K1035" s="3" t="str">
        <f>VLOOKUP(J1035,'LibSets constants'!$A$4:$B$1017,2,FALSE)</f>
        <v>DLC_GREYMOOR</v>
      </c>
      <c r="L1035" s="3" t="str">
        <f>VLOOKUP(J1035,'LibSets constants'!$A$4:$C$1017,3,FALSE)</f>
        <v>Greymoor</v>
      </c>
    </row>
    <row r="1036" spans="1:12" x14ac:dyDescent="0.25">
      <c r="A1036" s="40">
        <v>1501</v>
      </c>
      <c r="B1036" s="40">
        <v>1031</v>
      </c>
      <c r="C1036" s="40">
        <v>103</v>
      </c>
      <c r="D1036" s="40" t="s">
        <v>4052</v>
      </c>
      <c r="E1036" t="str">
        <f>IF(NOT(ISERROR(VLOOKUP(D1036,'ESO Dungeon constants'!$A$3:$A$9999,1,FALSE))),"X","")</f>
        <v/>
      </c>
      <c r="F1036" s="3" t="str">
        <f>IF(EXACT(A1036,C1036),"X","")</f>
        <v/>
      </c>
      <c r="G1036" s="3" t="str">
        <f>IF(A1036&lt;&gt;C1036,VLOOKUP(C1036,$A$5:$D$9954,4,FALSE),"")</f>
        <v>The Rift</v>
      </c>
      <c r="H1036" s="17">
        <f>A1036</f>
        <v>1501</v>
      </c>
      <c r="I1036" s="17">
        <f>C1036</f>
        <v>103</v>
      </c>
      <c r="J1036">
        <v>0</v>
      </c>
      <c r="K1036" s="3" t="str">
        <f>VLOOKUP(J1036,'LibSets constants'!$A$4:$B$1017,2,FALSE)</f>
        <v>DLC_BASE_GAME</v>
      </c>
      <c r="L1036" s="3" t="str">
        <f>VLOOKUP(J1036,'LibSets constants'!$A$4:$C$1017,3,FALSE)</f>
        <v>Included in base game</v>
      </c>
    </row>
    <row r="1037" spans="1:12" x14ac:dyDescent="0.25">
      <c r="A1037" s="40">
        <v>1504</v>
      </c>
      <c r="B1037" s="40">
        <v>1032</v>
      </c>
      <c r="C1037" s="40">
        <v>1504</v>
      </c>
      <c r="D1037" s="40" t="s">
        <v>4068</v>
      </c>
      <c r="E1037" t="str">
        <f>IF(NOT(ISERROR(VLOOKUP(D1037,'ESO Dungeon constants'!$A$3:$A$9999,1,FALSE))),"X","")</f>
        <v/>
      </c>
      <c r="F1037" s="3" t="str">
        <f>IF(EXACT(A1037,C1037),"X","")</f>
        <v>X</v>
      </c>
      <c r="G1037" s="3" t="str">
        <f>IF(A1037&lt;&gt;C1037,VLOOKUP(C1037,$A$5:$D$9954,4,FALSE),"")</f>
        <v/>
      </c>
      <c r="H1037" s="17">
        <f>A1037</f>
        <v>1504</v>
      </c>
      <c r="I1037" s="17">
        <f>C1037</f>
        <v>1504</v>
      </c>
      <c r="J1037">
        <v>36</v>
      </c>
      <c r="K1037" s="3" t="str">
        <f>VLOOKUP(J1037,'LibSets constants'!$A$4:$B$1017,2,FALSE)</f>
        <v>NO_DLC_UPDATE44</v>
      </c>
      <c r="L1037" s="3" t="str">
        <f>VLOOKUP(J1037,'LibSets constants'!$A$4:$C$1017,3,FALSE)</f>
        <v>Patch 44, BG changes, QOL and other</v>
      </c>
    </row>
  </sheetData>
  <autoFilter ref="A2:L1037" xr:uid="{00000000-0009-0000-0000-000005000000}">
    <sortState xmlns:xlrd2="http://schemas.microsoft.com/office/spreadsheetml/2017/richdata2" ref="A3:L1037">
      <sortCondition ref="A2:A1037"/>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4" t="s">
        <v>4036</v>
      </c>
      <c r="B1" s="114"/>
      <c r="C1" s="114"/>
      <c r="D1" s="114"/>
      <c r="E1" s="114"/>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3938</v>
      </c>
      <c r="E35" t="s">
        <v>3937</v>
      </c>
      <c r="F35" s="53">
        <v>1467</v>
      </c>
      <c r="G35" s="53">
        <v>1443</v>
      </c>
      <c r="H35">
        <v>34</v>
      </c>
      <c r="I35" t="s">
        <v>3918</v>
      </c>
      <c r="J35" t="s">
        <v>3919</v>
      </c>
      <c r="K35" s="21" t="str">
        <f t="shared" si="0"/>
        <v>[1467]={parentZoneId=1443, DLCID=DLC_GOLD_ROAD},   --Silorn</v>
      </c>
    </row>
    <row r="36" spans="1:11" x14ac:dyDescent="0.25">
      <c r="A36" s="53">
        <v>1466</v>
      </c>
      <c r="B36" s="53">
        <v>1005</v>
      </c>
      <c r="C36" s="53">
        <v>1443</v>
      </c>
      <c r="D36" s="53" t="s">
        <v>3948</v>
      </c>
      <c r="E36" t="s">
        <v>3937</v>
      </c>
      <c r="F36" s="53">
        <v>1466</v>
      </c>
      <c r="G36" s="53">
        <v>1443</v>
      </c>
      <c r="H36">
        <v>34</v>
      </c>
      <c r="I36" t="s">
        <v>3918</v>
      </c>
      <c r="J36" t="s">
        <v>3919</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3" sqref="C3"/>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1</v>
      </c>
      <c r="B3">
        <v>2</v>
      </c>
      <c r="C3" t="s">
        <v>103</v>
      </c>
      <c r="D3">
        <v>3</v>
      </c>
      <c r="E3" t="s">
        <v>103</v>
      </c>
      <c r="F3" s="3">
        <f>VLOOKUP(D3,'ESO zone constants'!$A$5:$B$10001,2,FALSE)</f>
        <v>2</v>
      </c>
      <c r="G3"/>
    </row>
    <row r="4" spans="1:17" x14ac:dyDescent="0.25">
      <c r="A4">
        <v>7</v>
      </c>
      <c r="B4">
        <v>11</v>
      </c>
      <c r="C4" t="s">
        <v>106</v>
      </c>
      <c r="D4">
        <v>41</v>
      </c>
      <c r="E4" t="s">
        <v>106</v>
      </c>
      <c r="F4" s="3">
        <f>VLOOKUP(D4,'ESO zone constants'!$A$5:$B$10001,2,FALSE)</f>
        <v>9</v>
      </c>
      <c r="G4"/>
    </row>
    <row r="5" spans="1:17" x14ac:dyDescent="0.25">
      <c r="A5">
        <v>9</v>
      </c>
      <c r="B5">
        <v>7</v>
      </c>
      <c r="C5" t="s">
        <v>264</v>
      </c>
      <c r="D5">
        <v>383</v>
      </c>
      <c r="E5" t="s">
        <v>264</v>
      </c>
      <c r="F5" s="3">
        <f>VLOOKUP(D5,'ESO zone constants'!$A$5:$B$10001,2,FALSE)</f>
        <v>181</v>
      </c>
      <c r="G5"/>
    </row>
    <row r="6" spans="1:17" x14ac:dyDescent="0.25">
      <c r="A6">
        <v>10</v>
      </c>
      <c r="B6">
        <v>3</v>
      </c>
      <c r="C6" t="s">
        <v>105</v>
      </c>
      <c r="D6">
        <v>20</v>
      </c>
      <c r="E6" t="s">
        <v>105</v>
      </c>
      <c r="F6" s="3">
        <f>VLOOKUP(D6,'ESO zone constants'!$A$5:$B$10001,2,FALSE)</f>
        <v>5</v>
      </c>
      <c r="G6"/>
    </row>
    <row r="7" spans="1:17" x14ac:dyDescent="0.25">
      <c r="A7">
        <v>12</v>
      </c>
      <c r="B7">
        <v>4</v>
      </c>
      <c r="C7" t="s">
        <v>104</v>
      </c>
      <c r="D7">
        <v>19</v>
      </c>
      <c r="E7" t="s">
        <v>104</v>
      </c>
      <c r="F7" s="3">
        <f>VLOOKUP(D7,'ESO zone constants'!$A$5:$B$10001,2,FALSE)</f>
        <v>4</v>
      </c>
      <c r="G7"/>
    </row>
    <row r="8" spans="1:17" x14ac:dyDescent="0.25">
      <c r="A8">
        <v>13</v>
      </c>
      <c r="B8">
        <v>10</v>
      </c>
      <c r="C8" t="s">
        <v>107</v>
      </c>
      <c r="D8">
        <v>57</v>
      </c>
      <c r="E8" t="s">
        <v>107</v>
      </c>
      <c r="F8" s="3">
        <f>VLOOKUP(D8,'ESO zone constants'!$A$5:$B$10001,2,FALSE)</f>
        <v>10</v>
      </c>
      <c r="G8"/>
    </row>
    <row r="9" spans="1:17" x14ac:dyDescent="0.25">
      <c r="A9">
        <v>16</v>
      </c>
      <c r="B9">
        <v>14</v>
      </c>
      <c r="C9" t="s">
        <v>125</v>
      </c>
      <c r="D9">
        <v>181</v>
      </c>
      <c r="E9" t="s">
        <v>125</v>
      </c>
      <c r="F9" s="3">
        <f>VLOOKUP(D9,'ESO zone constants'!$A$5:$B$10001,2,FALSE)</f>
        <v>38</v>
      </c>
      <c r="G9"/>
    </row>
    <row r="10" spans="1:17" x14ac:dyDescent="0.25">
      <c r="A10">
        <v>20</v>
      </c>
      <c r="B10">
        <v>6</v>
      </c>
      <c r="C10" t="s">
        <v>109</v>
      </c>
      <c r="D10">
        <v>92</v>
      </c>
      <c r="E10" t="s">
        <v>109</v>
      </c>
      <c r="F10" s="3">
        <f>VLOOKUP(D10,'ESO zone constants'!$A$5:$B$10001,2,FALSE)</f>
        <v>14</v>
      </c>
      <c r="G10"/>
    </row>
    <row r="11" spans="1:17" x14ac:dyDescent="0.25">
      <c r="A11">
        <v>22</v>
      </c>
      <c r="B11">
        <v>8</v>
      </c>
      <c r="C11" t="s">
        <v>108</v>
      </c>
      <c r="D11">
        <v>58</v>
      </c>
      <c r="E11" t="s">
        <v>108</v>
      </c>
      <c r="F11" s="3">
        <f>VLOOKUP(D11,'ESO zone constants'!$A$5:$B$10001,2,FALSE)</f>
        <v>11</v>
      </c>
      <c r="G11"/>
    </row>
    <row r="12" spans="1:17" x14ac:dyDescent="0.25">
      <c r="A12">
        <v>26</v>
      </c>
      <c r="B12">
        <v>9</v>
      </c>
      <c r="C12" t="s">
        <v>114</v>
      </c>
      <c r="D12">
        <v>117</v>
      </c>
      <c r="E12" t="s">
        <v>114</v>
      </c>
      <c r="F12" s="3">
        <f>VLOOKUP(D12,'ESO zone constants'!$A$5:$B$10001,2,FALSE)</f>
        <v>19</v>
      </c>
      <c r="G12"/>
    </row>
    <row r="13" spans="1:17" x14ac:dyDescent="0.25">
      <c r="A13">
        <v>30</v>
      </c>
      <c r="B13">
        <v>5</v>
      </c>
      <c r="C13" t="s">
        <v>112</v>
      </c>
      <c r="D13">
        <v>104</v>
      </c>
      <c r="E13" t="s">
        <v>112</v>
      </c>
      <c r="F13" s="3">
        <f>VLOOKUP(D13,'ESO zone constants'!$A$5:$B$10001,2,FALSE)</f>
        <v>17</v>
      </c>
      <c r="G13"/>
    </row>
    <row r="14" spans="1:17" x14ac:dyDescent="0.25">
      <c r="A14">
        <v>61</v>
      </c>
      <c r="B14">
        <v>13</v>
      </c>
      <c r="C14" t="s">
        <v>110</v>
      </c>
      <c r="D14">
        <v>101</v>
      </c>
      <c r="E14" t="s">
        <v>110</v>
      </c>
      <c r="F14" s="3">
        <f>VLOOKUP(D14,'ESO zone constants'!$A$5:$B$10001,2,FALSE)</f>
        <v>15</v>
      </c>
      <c r="G14"/>
    </row>
    <row r="15" spans="1:17" x14ac:dyDescent="0.25">
      <c r="A15">
        <v>74</v>
      </c>
      <c r="B15">
        <v>22</v>
      </c>
      <c r="C15" t="s">
        <v>196</v>
      </c>
      <c r="D15">
        <v>280</v>
      </c>
      <c r="E15" t="s">
        <v>196</v>
      </c>
      <c r="F15" s="3">
        <f>VLOOKUP(D15,'ESO zone constants'!$A$5:$B$10001,2,FALSE)</f>
        <v>110</v>
      </c>
      <c r="G15"/>
    </row>
    <row r="16" spans="1:17" x14ac:dyDescent="0.25">
      <c r="A16">
        <v>75</v>
      </c>
      <c r="B16">
        <v>18</v>
      </c>
      <c r="C16" t="s">
        <v>197</v>
      </c>
      <c r="D16">
        <v>281</v>
      </c>
      <c r="E16" t="s">
        <v>197</v>
      </c>
      <c r="F16" s="3">
        <f>VLOOKUP(D16,'ESO zone constants'!$A$5:$B$10001,2,FALSE)</f>
        <v>111</v>
      </c>
      <c r="G16"/>
    </row>
    <row r="17" spans="1:7" x14ac:dyDescent="0.25">
      <c r="A17">
        <v>108</v>
      </c>
      <c r="B17">
        <v>52</v>
      </c>
      <c r="C17" t="s">
        <v>186</v>
      </c>
      <c r="D17">
        <v>267</v>
      </c>
      <c r="E17" t="s">
        <v>186</v>
      </c>
      <c r="F17" s="3">
        <f>VLOOKUP(D17,'ESO zone constants'!$A$5:$B$10001,2,FALSE)</f>
        <v>100</v>
      </c>
      <c r="G17"/>
    </row>
    <row r="18" spans="1:7" x14ac:dyDescent="0.25">
      <c r="A18">
        <v>125</v>
      </c>
      <c r="B18">
        <v>12</v>
      </c>
      <c r="C18" t="s">
        <v>111</v>
      </c>
      <c r="D18">
        <v>103</v>
      </c>
      <c r="E18" t="s">
        <v>111</v>
      </c>
      <c r="F18" s="3">
        <f>VLOOKUP(D18,'ESO zone constants'!$A$5:$B$10001,2,FALSE)</f>
        <v>16</v>
      </c>
      <c r="G18"/>
    </row>
    <row r="19" spans="1:7" x14ac:dyDescent="0.25">
      <c r="A19">
        <v>143</v>
      </c>
      <c r="B19">
        <v>15</v>
      </c>
      <c r="C19" t="s">
        <v>262</v>
      </c>
      <c r="D19">
        <v>381</v>
      </c>
      <c r="E19" t="s">
        <v>262</v>
      </c>
      <c r="F19" s="3">
        <f>VLOOKUP(D19,'ESO zone constants'!$A$5:$B$10001,2,FALSE)</f>
        <v>179</v>
      </c>
      <c r="G19"/>
    </row>
    <row r="20" spans="1:7" x14ac:dyDescent="0.25">
      <c r="A20">
        <v>201</v>
      </c>
      <c r="B20">
        <v>19</v>
      </c>
      <c r="C20" t="s">
        <v>382</v>
      </c>
      <c r="D20">
        <v>534</v>
      </c>
      <c r="E20" t="s">
        <v>382</v>
      </c>
      <c r="F20" s="3">
        <f>VLOOKUP(D20,'ESO zone constants'!$A$5:$B$10001,2,FALSE)</f>
        <v>306</v>
      </c>
      <c r="G20"/>
    </row>
    <row r="21" spans="1:7" x14ac:dyDescent="0.25">
      <c r="A21">
        <v>227</v>
      </c>
      <c r="B21">
        <v>20</v>
      </c>
      <c r="C21" t="s">
        <v>383</v>
      </c>
      <c r="D21">
        <v>535</v>
      </c>
      <c r="E21" t="s">
        <v>383</v>
      </c>
      <c r="F21" s="3">
        <f>VLOOKUP(D21,'ESO zone constants'!$A$5:$B$10001,2,FALSE)</f>
        <v>307</v>
      </c>
      <c r="G21"/>
    </row>
    <row r="22" spans="1:7" x14ac:dyDescent="0.25">
      <c r="A22">
        <v>255</v>
      </c>
      <c r="B22">
        <v>23</v>
      </c>
      <c r="C22" t="s">
        <v>239</v>
      </c>
      <c r="D22">
        <v>347</v>
      </c>
      <c r="E22" t="s">
        <v>239</v>
      </c>
      <c r="F22" s="3">
        <f>VLOOKUP(D22,'ESO zone constants'!$A$5:$B$10001,2,FALSE)</f>
        <v>155</v>
      </c>
      <c r="G22"/>
    </row>
    <row r="23" spans="1:7" x14ac:dyDescent="0.25">
      <c r="A23">
        <v>256</v>
      </c>
      <c r="B23">
        <v>17</v>
      </c>
      <c r="C23" t="s">
        <v>263</v>
      </c>
      <c r="D23">
        <v>382</v>
      </c>
      <c r="E23" t="s">
        <v>263</v>
      </c>
      <c r="F23" s="3">
        <f>VLOOKUP(D23,'ESO zone constants'!$A$5:$B$10001,2,FALSE)</f>
        <v>180</v>
      </c>
      <c r="G23"/>
    </row>
    <row r="24" spans="1:7" x14ac:dyDescent="0.25">
      <c r="A24">
        <v>258</v>
      </c>
      <c r="B24">
        <v>21</v>
      </c>
      <c r="C24" t="s">
        <v>384</v>
      </c>
      <c r="D24">
        <v>537</v>
      </c>
      <c r="E24" t="s">
        <v>384</v>
      </c>
      <c r="F24" s="3">
        <f>VLOOKUP(D24,'ESO zone constants'!$A$5:$B$10001,2,FALSE)</f>
        <v>308</v>
      </c>
      <c r="G24"/>
    </row>
    <row r="25" spans="1:7" x14ac:dyDescent="0.25">
      <c r="A25">
        <v>300</v>
      </c>
      <c r="B25">
        <v>16</v>
      </c>
      <c r="C25" t="s">
        <v>113</v>
      </c>
      <c r="D25">
        <v>108</v>
      </c>
      <c r="E25" t="s">
        <v>113</v>
      </c>
      <c r="F25" s="3">
        <f>VLOOKUP(D25,'ESO zone constants'!$A$5:$B$10001,2,FALSE)</f>
        <v>18</v>
      </c>
      <c r="G25"/>
    </row>
    <row r="26" spans="1:7" x14ac:dyDescent="0.25">
      <c r="A26">
        <v>660</v>
      </c>
      <c r="B26">
        <v>26</v>
      </c>
      <c r="C26" t="s">
        <v>39</v>
      </c>
      <c r="D26">
        <v>584</v>
      </c>
      <c r="E26" t="s">
        <v>39</v>
      </c>
      <c r="F26" s="3">
        <f>VLOOKUP(D26,'ESO zone constants'!$A$5:$B$10001,2,FALSE)</f>
        <v>348</v>
      </c>
      <c r="G26"/>
    </row>
    <row r="27" spans="1:7" x14ac:dyDescent="0.25">
      <c r="A27">
        <v>667</v>
      </c>
      <c r="B27">
        <v>27</v>
      </c>
      <c r="C27" t="s">
        <v>449</v>
      </c>
      <c r="D27">
        <v>684</v>
      </c>
      <c r="E27" t="s">
        <v>449</v>
      </c>
      <c r="F27" s="3">
        <f>VLOOKUP(D27,'ESO zone constants'!$A$5:$B$10001,2,FALSE)</f>
        <v>381</v>
      </c>
      <c r="G27"/>
    </row>
    <row r="28" spans="1:7" x14ac:dyDescent="0.25">
      <c r="A28">
        <v>994</v>
      </c>
      <c r="B28">
        <v>28</v>
      </c>
      <c r="C28" t="s">
        <v>506</v>
      </c>
      <c r="D28">
        <v>816</v>
      </c>
      <c r="E28" t="s">
        <v>506</v>
      </c>
      <c r="F28" s="3">
        <f>VLOOKUP(D28,'ESO zone constants'!$A$5:$B$10001,2,FALSE)</f>
        <v>444</v>
      </c>
      <c r="G28"/>
    </row>
    <row r="29" spans="1:7" x14ac:dyDescent="0.25">
      <c r="A29">
        <v>1006</v>
      </c>
      <c r="B29">
        <v>29</v>
      </c>
      <c r="C29" t="s">
        <v>512</v>
      </c>
      <c r="D29">
        <v>823</v>
      </c>
      <c r="E29" t="s">
        <v>512</v>
      </c>
      <c r="F29" s="3">
        <f>VLOOKUP(D29,'ESO zone constants'!$A$5:$B$10001,2,FALSE)</f>
        <v>450</v>
      </c>
      <c r="G29"/>
    </row>
    <row r="30" spans="1:7" x14ac:dyDescent="0.25">
      <c r="A30">
        <v>1060</v>
      </c>
      <c r="B30">
        <v>30</v>
      </c>
      <c r="C30" t="s">
        <v>529</v>
      </c>
      <c r="D30">
        <v>849</v>
      </c>
      <c r="E30" t="s">
        <v>529</v>
      </c>
      <c r="F30" s="3">
        <f>VLOOKUP(D30,'ESO zone constants'!$A$5:$B$10001,2,FALSE)</f>
        <v>469</v>
      </c>
      <c r="G30"/>
    </row>
    <row r="31" spans="1:7" x14ac:dyDescent="0.25">
      <c r="A31">
        <v>1126</v>
      </c>
      <c r="B31">
        <v>25</v>
      </c>
      <c r="C31" t="s">
        <v>562</v>
      </c>
      <c r="D31">
        <v>888</v>
      </c>
      <c r="E31" t="s">
        <v>562</v>
      </c>
      <c r="F31" s="3">
        <f>VLOOKUP(D31,'ESO zone constants'!$A$5:$B$10001,2,FALSE)</f>
        <v>502</v>
      </c>
      <c r="G31"/>
    </row>
    <row r="32" spans="1:7" x14ac:dyDescent="0.25">
      <c r="A32">
        <v>1313</v>
      </c>
      <c r="B32">
        <v>31</v>
      </c>
      <c r="C32" t="s">
        <v>78</v>
      </c>
      <c r="D32">
        <v>980</v>
      </c>
      <c r="E32" t="s">
        <v>78</v>
      </c>
      <c r="F32" s="3">
        <f>VLOOKUP(D32,'ESO zone constants'!$A$5:$B$10001,2,FALSE)</f>
        <v>591</v>
      </c>
      <c r="G32"/>
    </row>
    <row r="33" spans="1:7" x14ac:dyDescent="0.25">
      <c r="A33">
        <v>1349</v>
      </c>
      <c r="B33">
        <v>32</v>
      </c>
      <c r="C33" t="s">
        <v>79</v>
      </c>
      <c r="D33">
        <v>1011</v>
      </c>
      <c r="E33" t="s">
        <v>79</v>
      </c>
      <c r="F33" s="3">
        <f>VLOOKUP(D33,'ESO zone constants'!$A$5:$B$10001,2,FALSE)</f>
        <v>618</v>
      </c>
      <c r="G33"/>
    </row>
    <row r="34" spans="1:7" x14ac:dyDescent="0.25">
      <c r="A34">
        <v>1429</v>
      </c>
      <c r="B34">
        <v>33</v>
      </c>
      <c r="C34" t="s">
        <v>678</v>
      </c>
      <c r="D34">
        <v>1027</v>
      </c>
      <c r="E34" t="s">
        <v>678</v>
      </c>
      <c r="F34" s="3">
        <f>VLOOKUP(D34,'ESO zone constants'!$A$5:$B$10001,2,FALSE)</f>
        <v>634</v>
      </c>
      <c r="G34"/>
    </row>
    <row r="35" spans="1:7" x14ac:dyDescent="0.25">
      <c r="A35">
        <v>1484</v>
      </c>
      <c r="B35">
        <v>34</v>
      </c>
      <c r="C35" t="s">
        <v>80</v>
      </c>
      <c r="D35">
        <v>726</v>
      </c>
      <c r="E35" t="s">
        <v>80</v>
      </c>
      <c r="F35" s="3">
        <f>VLOOKUP(D35,'ESO zone constants'!$A$5:$B$10001,2,FALSE)</f>
        <v>409</v>
      </c>
      <c r="G35"/>
    </row>
    <row r="36" spans="1:7" x14ac:dyDescent="0.25">
      <c r="A36">
        <v>1552</v>
      </c>
      <c r="B36">
        <v>35</v>
      </c>
      <c r="C36" t="s">
        <v>712</v>
      </c>
      <c r="D36">
        <v>1072</v>
      </c>
      <c r="E36" t="s">
        <v>712</v>
      </c>
      <c r="F36" s="3">
        <f>VLOOKUP(D36,'ESO zone constants'!$A$5:$B$10001,2,FALSE)</f>
        <v>670</v>
      </c>
      <c r="G36"/>
    </row>
    <row r="37" spans="1:7" x14ac:dyDescent="0.25">
      <c r="A37">
        <v>1555</v>
      </c>
      <c r="B37">
        <v>36</v>
      </c>
      <c r="C37" t="s">
        <v>1384</v>
      </c>
      <c r="D37">
        <v>1086</v>
      </c>
      <c r="E37" t="s">
        <v>1384</v>
      </c>
      <c r="F37" s="3">
        <f>VLOOKUP(D37,'ESO zone constants'!$A$5:$B$10001,2,FALSE)</f>
        <v>683</v>
      </c>
      <c r="G37"/>
    </row>
    <row r="38" spans="1:7" x14ac:dyDescent="0.25">
      <c r="A38">
        <v>1654</v>
      </c>
      <c r="B38">
        <v>37</v>
      </c>
      <c r="C38" t="s">
        <v>1577</v>
      </c>
      <c r="D38">
        <v>1133</v>
      </c>
      <c r="E38" t="s">
        <v>1577</v>
      </c>
      <c r="F38" s="3">
        <f>VLOOKUP(D38,'ESO zone constants'!$A$5:$B$10001,2,FALSE)</f>
        <v>722</v>
      </c>
      <c r="G38"/>
    </row>
    <row r="39" spans="1:7" x14ac:dyDescent="0.25">
      <c r="A39">
        <v>1719</v>
      </c>
      <c r="B39">
        <v>38</v>
      </c>
      <c r="C39" t="s">
        <v>1677</v>
      </c>
      <c r="D39">
        <v>1160</v>
      </c>
      <c r="E39" t="s">
        <v>1677</v>
      </c>
      <c r="F39" s="3">
        <f>VLOOKUP(D39,'ESO zone constants'!$A$5:$B$10001,2,FALSE)</f>
        <v>745</v>
      </c>
      <c r="G39"/>
    </row>
    <row r="40" spans="1:7" x14ac:dyDescent="0.25">
      <c r="A40">
        <v>1747</v>
      </c>
      <c r="B40">
        <v>39</v>
      </c>
      <c r="C40" t="s">
        <v>1707</v>
      </c>
      <c r="D40">
        <v>1161</v>
      </c>
      <c r="E40" t="s">
        <v>1707</v>
      </c>
      <c r="F40" s="3">
        <f>VLOOKUP(D40,'ESO zone constants'!$A$5:$B$10001,2,FALSE)</f>
        <v>746</v>
      </c>
      <c r="G40"/>
    </row>
    <row r="41" spans="1:7" x14ac:dyDescent="0.25">
      <c r="A41">
        <v>1814</v>
      </c>
      <c r="B41">
        <v>42</v>
      </c>
      <c r="C41" t="s">
        <v>2203</v>
      </c>
      <c r="D41">
        <v>1207</v>
      </c>
      <c r="E41" t="s">
        <v>2203</v>
      </c>
      <c r="F41" s="3">
        <f>VLOOKUP(D41,'ESO zone constants'!$A$5:$B$10001,2,FALSE)</f>
        <v>785</v>
      </c>
      <c r="G41"/>
    </row>
    <row r="42" spans="1:7" x14ac:dyDescent="0.25">
      <c r="A42">
        <v>1850</v>
      </c>
      <c r="B42">
        <v>41</v>
      </c>
      <c r="C42" t="s">
        <v>2204</v>
      </c>
      <c r="D42">
        <v>1208</v>
      </c>
      <c r="E42" t="s">
        <v>2204</v>
      </c>
      <c r="F42" s="3">
        <f>VLOOKUP(D42,'ESO zone constants'!$A$5:$B$10001,2,FALSE)</f>
        <v>786</v>
      </c>
      <c r="G42"/>
    </row>
    <row r="43" spans="1:7" x14ac:dyDescent="0.25">
      <c r="A43">
        <v>1887</v>
      </c>
      <c r="B43">
        <v>43</v>
      </c>
      <c r="C43" t="s">
        <v>2378</v>
      </c>
      <c r="D43">
        <v>1261</v>
      </c>
      <c r="E43" t="s">
        <v>2378</v>
      </c>
      <c r="F43" s="3">
        <f>VLOOKUP(D43,'ESO zone constants'!$A$5:$B$10001,2,FALSE)</f>
        <v>836</v>
      </c>
      <c r="G43"/>
    </row>
    <row r="44" spans="1:7" x14ac:dyDescent="0.25">
      <c r="A44">
        <v>2021</v>
      </c>
      <c r="B44">
        <v>45</v>
      </c>
      <c r="C44" t="s">
        <v>2434</v>
      </c>
      <c r="D44">
        <v>1286</v>
      </c>
      <c r="E44" t="s">
        <v>2434</v>
      </c>
      <c r="F44" s="3">
        <f>VLOOKUP(D44,'ESO zone constants'!$A$5:$B$10001,2,FALSE)</f>
        <v>859</v>
      </c>
      <c r="G44"/>
    </row>
    <row r="45" spans="1:7" x14ac:dyDescent="0.25">
      <c r="A45">
        <v>2035</v>
      </c>
      <c r="B45">
        <v>47</v>
      </c>
      <c r="C45" t="s">
        <v>3399</v>
      </c>
      <c r="D45">
        <v>1282</v>
      </c>
      <c r="E45" t="s">
        <v>2670</v>
      </c>
      <c r="F45" s="3">
        <f>VLOOKUP(D45,'ESO zone constants'!$A$5:$B$10001,2,FALSE)</f>
        <v>855</v>
      </c>
      <c r="G45"/>
    </row>
    <row r="46" spans="1:7" x14ac:dyDescent="0.25">
      <c r="A46">
        <v>2114</v>
      </c>
      <c r="B46">
        <v>46</v>
      </c>
      <c r="C46" t="s">
        <v>3338</v>
      </c>
      <c r="D46">
        <v>1318</v>
      </c>
      <c r="E46" t="s">
        <v>3315</v>
      </c>
      <c r="F46" s="3">
        <f>VLOOKUP(D46,'ESO zone constants'!$A$5:$B$10001,2,FALSE)</f>
        <v>885</v>
      </c>
    </row>
    <row r="47" spans="1:7" x14ac:dyDescent="0.25">
      <c r="A47">
        <v>2119</v>
      </c>
      <c r="B47">
        <v>44</v>
      </c>
      <c r="C47" t="s">
        <v>2670</v>
      </c>
      <c r="D47">
        <v>1283</v>
      </c>
      <c r="E47" t="s">
        <v>2671</v>
      </c>
      <c r="F47" s="3">
        <f>VLOOKUP(D47,'ESO zone constants'!$A$5:$B$10001,2,FALSE)</f>
        <v>856</v>
      </c>
    </row>
    <row r="48" spans="1:7" s="36" customFormat="1" x14ac:dyDescent="0.25">
      <c r="A48">
        <v>2212</v>
      </c>
      <c r="B48">
        <v>48</v>
      </c>
      <c r="C48" t="s">
        <v>3461</v>
      </c>
      <c r="D48">
        <v>1383</v>
      </c>
      <c r="E48" t="s">
        <v>3456</v>
      </c>
      <c r="F48" s="3">
        <f>VLOOKUP(D48,'ESO zone constants'!$A$5:$B$10001,2,FALSE)</f>
        <v>932</v>
      </c>
    </row>
    <row r="49" spans="1:6" x14ac:dyDescent="0.25">
      <c r="A49">
        <v>2274</v>
      </c>
      <c r="B49">
        <v>49</v>
      </c>
      <c r="C49" t="s">
        <v>3681</v>
      </c>
      <c r="D49">
        <v>1414</v>
      </c>
      <c r="E49" t="s">
        <v>3681</v>
      </c>
      <c r="F49" s="3">
        <f>VLOOKUP(D49,'ESO zone constants'!$A$5:$B$10001,2,FALSE)</f>
        <v>961</v>
      </c>
    </row>
    <row r="50" spans="1:6" x14ac:dyDescent="0.25">
      <c r="A50">
        <v>2275</v>
      </c>
      <c r="B50">
        <v>50</v>
      </c>
      <c r="C50" t="s">
        <v>3609</v>
      </c>
      <c r="D50">
        <v>1413</v>
      </c>
      <c r="E50" t="s">
        <v>3609</v>
      </c>
      <c r="F50" s="3">
        <f>VLOOKUP(D50,'ESO zone constants'!$A$5:$B$10001,2,FALSE)</f>
        <v>960</v>
      </c>
    </row>
    <row r="51" spans="1:6" x14ac:dyDescent="0.25">
      <c r="A51">
        <v>2427</v>
      </c>
      <c r="B51">
        <v>51</v>
      </c>
      <c r="C51" t="s">
        <v>3937</v>
      </c>
      <c r="D51">
        <v>1443</v>
      </c>
      <c r="E51" t="s">
        <v>3937</v>
      </c>
      <c r="F51" s="3">
        <f>VLOOKUP(D51,'ESO zone constants'!$A$5:$B$10001,2,FALSE)</f>
        <v>983</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9"/>
  <sheetViews>
    <sheetView zoomScale="85" zoomScaleNormal="85" workbookViewId="0">
      <pane ySplit="2" topLeftCell="A3"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4053</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 si="1">A3</f>
        <v>1</v>
      </c>
      <c r="L3" s="3">
        <f t="shared" ref="L3" si="2">F3</f>
        <v>3</v>
      </c>
      <c r="M3" s="8" t="str">
        <f>VLOOKUP(A3,'ESO wayshrine names'!$A$3:$B$967,2,)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ref="K4:K67" si="3">A4</f>
        <v>2</v>
      </c>
      <c r="L4" s="3">
        <f t="shared" ref="L4:L67" si="4">F4</f>
        <v>3</v>
      </c>
      <c r="M4" s="8" t="str">
        <f>VLOOKUP(A4,'ESO wayshrine names'!$A$3:$B$967,2,)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3"/>
        <v>3</v>
      </c>
      <c r="L5" s="3">
        <f t="shared" si="4"/>
        <v>3</v>
      </c>
      <c r="M5" s="8" t="str">
        <f>VLOOKUP(A5,'ESO wayshrine names'!$A$3:$B$967,2,)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3"/>
        <v>4</v>
      </c>
      <c r="L6" s="3">
        <f t="shared" si="4"/>
        <v>3</v>
      </c>
      <c r="M6" s="8" t="str">
        <f>VLOOKUP(A6,'ESO wayshrine names'!$A$3:$B$967,2,)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3"/>
        <v>5</v>
      </c>
      <c r="L7" s="3">
        <f t="shared" si="4"/>
        <v>3</v>
      </c>
      <c r="M7" s="8" t="str">
        <f>VLOOKUP(A7,'ESO wayshrine names'!$A$3:$B$967,2,)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3"/>
        <v>6</v>
      </c>
      <c r="L8" s="3">
        <f t="shared" si="4"/>
        <v>3</v>
      </c>
      <c r="M8" s="8" t="str">
        <f>VLOOKUP(A8,'ESO wayshrine names'!$A$3:$B$967,2,)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3"/>
        <v>7</v>
      </c>
      <c r="L9" s="3">
        <f t="shared" si="4"/>
        <v>3</v>
      </c>
      <c r="M9" s="8" t="str">
        <f>VLOOKUP(A9,'ESO wayshrine names'!$A$3:$B$967,2,)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3"/>
        <v>8</v>
      </c>
      <c r="L10" s="3">
        <f t="shared" si="4"/>
        <v>3</v>
      </c>
      <c r="M10" s="8" t="str">
        <f>VLOOKUP(A10,'ESO wayshrine names'!$A$3:$B$967,2,)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3"/>
        <v>9</v>
      </c>
      <c r="L11" s="3">
        <f t="shared" si="4"/>
        <v>20</v>
      </c>
      <c r="M11" s="8" t="str">
        <f>VLOOKUP(A11,'ESO wayshrine names'!$A$3:$B$967,2,)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3"/>
        <v>10</v>
      </c>
      <c r="L12" s="3">
        <f t="shared" si="4"/>
        <v>20</v>
      </c>
      <c r="M12" s="8" t="str">
        <f>VLOOKUP(A12,'ESO wayshrine names'!$A$3:$B$967,2,)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3"/>
        <v>11</v>
      </c>
      <c r="L13" s="3">
        <f t="shared" si="4"/>
        <v>20</v>
      </c>
      <c r="M13" s="8" t="str">
        <f>VLOOKUP(A13,'ESO wayshrine names'!$A$3:$B$967,2,)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3"/>
        <v>12</v>
      </c>
      <c r="L14" s="3">
        <f t="shared" si="4"/>
        <v>20</v>
      </c>
      <c r="M14" s="8" t="str">
        <f>VLOOKUP(A14,'ESO wayshrine names'!$A$3:$B$967,2,)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3"/>
        <v>13</v>
      </c>
      <c r="L15" s="3">
        <f t="shared" si="4"/>
        <v>20</v>
      </c>
      <c r="M15" s="8" t="str">
        <f>VLOOKUP(A15,'ESO wayshrine names'!$A$3:$B$967,2,)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3"/>
        <v>14</v>
      </c>
      <c r="L16" s="3">
        <f t="shared" si="4"/>
        <v>19</v>
      </c>
      <c r="M16" s="8" t="str">
        <f>VLOOKUP(A16,'ESO wayshrine names'!$A$3:$B$967,2,)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3"/>
        <v>15</v>
      </c>
      <c r="L17" s="3">
        <f t="shared" si="4"/>
        <v>19</v>
      </c>
      <c r="M17" s="8" t="str">
        <f>VLOOKUP(A17,'ESO wayshrine names'!$A$3:$B$967,2,)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3"/>
        <v>16</v>
      </c>
      <c r="L18" s="3">
        <f t="shared" si="4"/>
        <v>19</v>
      </c>
      <c r="M18" s="8" t="str">
        <f>VLOOKUP(A18,'ESO wayshrine names'!$A$3:$B$967,2,)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3"/>
        <v>17</v>
      </c>
      <c r="L19" s="3">
        <f t="shared" si="4"/>
        <v>19</v>
      </c>
      <c r="M19" s="8" t="str">
        <f>VLOOKUP(A19,'ESO wayshrine names'!$A$3:$B$967,2,)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3"/>
        <v>18</v>
      </c>
      <c r="L20" s="3">
        <f t="shared" si="4"/>
        <v>19</v>
      </c>
      <c r="M20" s="8" t="str">
        <f>VLOOKUP(A20,'ESO wayshrine names'!$A$3:$B$967,2,)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3"/>
        <v>19</v>
      </c>
      <c r="L21" s="3">
        <f t="shared" si="4"/>
        <v>19</v>
      </c>
      <c r="M21" s="8" t="str">
        <f>VLOOKUP(A21,'ESO wayshrine names'!$A$3:$B$967,2,)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3"/>
        <v>20</v>
      </c>
      <c r="L22" s="3">
        <f t="shared" si="4"/>
        <v>3</v>
      </c>
      <c r="M22" s="8" t="str">
        <f>VLOOKUP(A22,'ESO wayshrine names'!$A$3:$B$967,2,)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3"/>
        <v>21</v>
      </c>
      <c r="L23" s="3">
        <f t="shared" si="4"/>
        <v>383</v>
      </c>
      <c r="M23" s="8" t="str">
        <f>VLOOKUP(A23,'ESO wayshrine names'!$A$3:$B$967,2,)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3"/>
        <v>22</v>
      </c>
      <c r="L24" s="3">
        <f t="shared" si="4"/>
        <v>19</v>
      </c>
      <c r="M24" s="8" t="str">
        <f>VLOOKUP(A24,'ESO wayshrine names'!$A$3:$B$967,2,)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3"/>
        <v>23</v>
      </c>
      <c r="L25" s="3">
        <f t="shared" si="4"/>
        <v>19</v>
      </c>
      <c r="M25" s="8" t="str">
        <f>VLOOKUP(A25,'ESO wayshrine names'!$A$3:$B$967,2,)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3"/>
        <v>24</v>
      </c>
      <c r="L26" s="3">
        <f t="shared" si="4"/>
        <v>57</v>
      </c>
      <c r="M26" s="8" t="str">
        <f>VLOOKUP(A26,'ESO wayshrine names'!$A$3:$B$967,2,)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3"/>
        <v>25</v>
      </c>
      <c r="L27" s="3">
        <f t="shared" si="4"/>
        <v>57</v>
      </c>
      <c r="M27" s="8" t="str">
        <f>VLOOKUP(A27,'ESO wayshrine names'!$A$3:$B$967,2,)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3"/>
        <v>26</v>
      </c>
      <c r="L28" s="3">
        <f t="shared" si="4"/>
        <v>57</v>
      </c>
      <c r="M28" s="8" t="str">
        <f>VLOOKUP(A28,'ESO wayshrine names'!$A$3:$B$967,2,)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3"/>
        <v>27</v>
      </c>
      <c r="L29" s="3">
        <f t="shared" si="4"/>
        <v>57</v>
      </c>
      <c r="M29" s="8" t="str">
        <f>VLOOKUP(A29,'ESO wayshrine names'!$A$3:$B$967,2,)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3"/>
        <v>28</v>
      </c>
      <c r="L30" s="3">
        <f t="shared" si="4"/>
        <v>57</v>
      </c>
      <c r="M30" s="8" t="str">
        <f>VLOOKUP(A30,'ESO wayshrine names'!$A$3:$B$967,2,)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3"/>
        <v>29</v>
      </c>
      <c r="L31" s="3">
        <f t="shared" si="4"/>
        <v>57</v>
      </c>
      <c r="M31" s="8" t="str">
        <f>VLOOKUP(A31,'ESO wayshrine names'!$A$3:$B$967,2,)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3"/>
        <v>30</v>
      </c>
      <c r="L32" s="3">
        <f t="shared" si="4"/>
        <v>57</v>
      </c>
      <c r="M32" s="8" t="str">
        <f>VLOOKUP(A32,'ESO wayshrine names'!$A$3:$B$967,2,)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3"/>
        <v>31</v>
      </c>
      <c r="L33" s="3">
        <f t="shared" si="4"/>
        <v>19</v>
      </c>
      <c r="M33" s="8" t="str">
        <f>VLOOKUP(A33,'ESO wayshrine names'!$A$3:$B$967,2,)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3"/>
        <v>32</v>
      </c>
      <c r="L34" s="3">
        <f t="shared" si="4"/>
        <v>57</v>
      </c>
      <c r="M34" s="8" t="str">
        <f>VLOOKUP(A34,'ESO wayshrine names'!$A$3:$B$967,2,)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3"/>
        <v>33</v>
      </c>
      <c r="L35" s="3">
        <f t="shared" si="4"/>
        <v>92</v>
      </c>
      <c r="M35" s="8" t="str">
        <f>VLOOKUP(A35,'ESO wayshrine names'!$A$3:$B$967,2,)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3"/>
        <v>34</v>
      </c>
      <c r="L36" s="3">
        <f t="shared" si="4"/>
        <v>92</v>
      </c>
      <c r="M36" s="8" t="str">
        <f>VLOOKUP(A36,'ESO wayshrine names'!$A$3:$B$967,2,)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3"/>
        <v>35</v>
      </c>
      <c r="L37" s="3">
        <f t="shared" si="4"/>
        <v>92</v>
      </c>
      <c r="M37" s="8" t="str">
        <f>VLOOKUP(A37,'ESO wayshrine names'!$A$3:$B$967,2,)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3"/>
        <v>36</v>
      </c>
      <c r="L38" s="3">
        <f t="shared" si="4"/>
        <v>92</v>
      </c>
      <c r="M38" s="8" t="str">
        <f>VLOOKUP(A38,'ESO wayshrine names'!$A$3:$B$967,2,)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3"/>
        <v>37</v>
      </c>
      <c r="L39" s="3">
        <f t="shared" si="4"/>
        <v>92</v>
      </c>
      <c r="M39" s="8" t="str">
        <f>VLOOKUP(A39,'ESO wayshrine names'!$A$3:$B$967,2,)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3"/>
        <v>38</v>
      </c>
      <c r="L40" s="3">
        <f t="shared" si="4"/>
        <v>92</v>
      </c>
      <c r="M40" s="8" t="str">
        <f>VLOOKUP(A40,'ESO wayshrine names'!$A$3:$B$967,2,)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3"/>
        <v>39</v>
      </c>
      <c r="L41" s="3">
        <f t="shared" si="4"/>
        <v>92</v>
      </c>
      <c r="M41" s="8" t="str">
        <f>VLOOKUP(A41,'ESO wayshrine names'!$A$3:$B$967,2,)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3"/>
        <v>40</v>
      </c>
      <c r="L42" s="3">
        <f t="shared" si="4"/>
        <v>92</v>
      </c>
      <c r="M42" s="8" t="str">
        <f>VLOOKUP(A42,'ESO wayshrine names'!$A$3:$B$967,2,)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3"/>
        <v>41</v>
      </c>
      <c r="L43" s="3">
        <f t="shared" si="4"/>
        <v>41</v>
      </c>
      <c r="M43" s="8" t="str">
        <f>VLOOKUP(A43,'ESO wayshrine names'!$A$3:$B$967,2,)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3"/>
        <v>42</v>
      </c>
      <c r="L44" s="3">
        <f t="shared" si="4"/>
        <v>104</v>
      </c>
      <c r="M44" s="8" t="str">
        <f>VLOOKUP(A44,'ESO wayshrine names'!$A$3:$B$967,2,)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3"/>
        <v>43</v>
      </c>
      <c r="L45" s="3">
        <f t="shared" si="4"/>
        <v>104</v>
      </c>
      <c r="M45" s="8" t="str">
        <f>VLOOKUP(A45,'ESO wayshrine names'!$A$3:$B$967,2,)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3"/>
        <v>44</v>
      </c>
      <c r="L46" s="3">
        <f t="shared" si="4"/>
        <v>104</v>
      </c>
      <c r="M46" s="8" t="str">
        <f>VLOOKUP(A46,'ESO wayshrine names'!$A$3:$B$967,2,)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3"/>
        <v>45</v>
      </c>
      <c r="L47" s="3">
        <f t="shared" si="4"/>
        <v>104</v>
      </c>
      <c r="M47" s="8" t="str">
        <f>VLOOKUP(A47,'ESO wayshrine names'!$A$3:$B$967,2,)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3"/>
        <v>46</v>
      </c>
      <c r="L48" s="3">
        <f t="shared" si="4"/>
        <v>104</v>
      </c>
      <c r="M48" s="8" t="str">
        <f>VLOOKUP(A48,'ESO wayshrine names'!$A$3:$B$967,2,)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3"/>
        <v>47</v>
      </c>
      <c r="L49" s="3">
        <f t="shared" si="4"/>
        <v>117</v>
      </c>
      <c r="M49" s="8" t="str">
        <f>VLOOKUP(A49,'ESO wayshrine names'!$A$3:$B$967,2,)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3"/>
        <v>48</v>
      </c>
      <c r="L50" s="3">
        <f t="shared" si="4"/>
        <v>117</v>
      </c>
      <c r="M50" s="8" t="str">
        <f>VLOOKUP(A50,'ESO wayshrine names'!$A$3:$B$967,2,)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3"/>
        <v>49</v>
      </c>
      <c r="L51" s="3">
        <f t="shared" si="4"/>
        <v>117</v>
      </c>
      <c r="M51" s="8" t="str">
        <f>VLOOKUP(A51,'ESO wayshrine names'!$A$3:$B$967,2,)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3"/>
        <v>50</v>
      </c>
      <c r="L52" s="3">
        <f t="shared" si="4"/>
        <v>117</v>
      </c>
      <c r="M52" s="8" t="str">
        <f>VLOOKUP(A52,'ESO wayshrine names'!$A$3:$B$967,2,)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3"/>
        <v>51</v>
      </c>
      <c r="L53" s="3">
        <f t="shared" si="4"/>
        <v>117</v>
      </c>
      <c r="M53" s="8" t="str">
        <f>VLOOKUP(A53,'ESO wayshrine names'!$A$3:$B$967,2,)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3"/>
        <v>52</v>
      </c>
      <c r="L54" s="3">
        <f t="shared" si="4"/>
        <v>117</v>
      </c>
      <c r="M54" s="8" t="str">
        <f>VLOOKUP(A54,'ESO wayshrine names'!$A$3:$B$967,2,)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3"/>
        <v>53</v>
      </c>
      <c r="L55" s="3">
        <f t="shared" si="4"/>
        <v>117</v>
      </c>
      <c r="M55" s="8" t="str">
        <f>VLOOKUP(A55,'ESO wayshrine names'!$A$3:$B$967,2,)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3"/>
        <v>55</v>
      </c>
      <c r="L56" s="3">
        <f t="shared" si="4"/>
        <v>20</v>
      </c>
      <c r="M56" s="8" t="str">
        <f>VLOOKUP(A56,'ESO wayshrine names'!$A$3:$B$967,2,)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3"/>
        <v>56</v>
      </c>
      <c r="L57" s="3">
        <f t="shared" si="4"/>
        <v>19</v>
      </c>
      <c r="M57" s="8" t="str">
        <f>VLOOKUP(A57,'ESO wayshrine names'!$A$3:$B$967,2,)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3"/>
        <v>57</v>
      </c>
      <c r="L58" s="3">
        <f t="shared" si="4"/>
        <v>104</v>
      </c>
      <c r="M58" s="8" t="str">
        <f>VLOOKUP(A58,'ESO wayshrine names'!$A$3:$B$967,2,)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3"/>
        <v>58</v>
      </c>
      <c r="L59" s="3">
        <f t="shared" si="4"/>
        <v>104</v>
      </c>
      <c r="M59" s="8" t="str">
        <f>VLOOKUP(A59,'ESO wayshrine names'!$A$3:$B$967,2,)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3"/>
        <v>59</v>
      </c>
      <c r="L60" s="3">
        <f t="shared" si="4"/>
        <v>104</v>
      </c>
      <c r="M60" s="8" t="str">
        <f>VLOOKUP(A60,'ESO wayshrine names'!$A$3:$B$967,2,)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3"/>
        <v>60</v>
      </c>
      <c r="L61" s="3">
        <f t="shared" si="4"/>
        <v>104</v>
      </c>
      <c r="M61" s="8" t="str">
        <f>VLOOKUP(A61,'ESO wayshrine names'!$A$3:$B$967,2,)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3"/>
        <v>61</v>
      </c>
      <c r="L62" s="3">
        <f t="shared" si="4"/>
        <v>104</v>
      </c>
      <c r="M62" s="8" t="str">
        <f>VLOOKUP(A62,'ESO wayshrine names'!$A$3:$B$967,2,)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3"/>
        <v>62</v>
      </c>
      <c r="L63" s="3">
        <f t="shared" si="4"/>
        <v>3</v>
      </c>
      <c r="M63" s="8" t="str">
        <f>VLOOKUP(A63,'ESO wayshrine names'!$A$3:$B$967,2,)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3"/>
        <v>63</v>
      </c>
      <c r="L64" s="3">
        <f t="shared" si="4"/>
        <v>92</v>
      </c>
      <c r="M64" s="8" t="str">
        <f>VLOOKUP(A64,'ESO wayshrine names'!$A$3:$B$967,2,)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3"/>
        <v>64</v>
      </c>
      <c r="L65" s="3">
        <f t="shared" si="4"/>
        <v>3</v>
      </c>
      <c r="M65" s="8" t="str">
        <f>VLOOKUP(A65,'ESO wayshrine names'!$A$3:$B$967,2,)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3"/>
        <v>65</v>
      </c>
      <c r="L66" s="3">
        <f t="shared" si="4"/>
        <v>41</v>
      </c>
      <c r="M66" s="8" t="str">
        <f>VLOOKUP(A66,'ESO wayshrine names'!$A$3:$B$967,2,)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5">IF(A67&lt;&gt;"",IF(F67&lt;&gt;"",IF(OR(ISNA(A67),ISNA(F67)),"","["&amp;A67&amp;"]="&amp;F67&amp;","),""),"")</f>
        <v>[66]=41,</v>
      </c>
      <c r="K67" s="3">
        <f t="shared" si="3"/>
        <v>66</v>
      </c>
      <c r="L67" s="3">
        <f t="shared" si="4"/>
        <v>41</v>
      </c>
      <c r="M67" s="8" t="str">
        <f>VLOOKUP(A67,'ESO wayshrine names'!$A$3:$B$967,2,)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5"/>
        <v>[67]=41,</v>
      </c>
      <c r="K68" s="3">
        <f t="shared" ref="K68:K131" si="6">A68</f>
        <v>67</v>
      </c>
      <c r="L68" s="3">
        <f t="shared" ref="L68:L131" si="7">F68</f>
        <v>41</v>
      </c>
      <c r="M68" s="8" t="str">
        <f>VLOOKUP(A68,'ESO wayshrine names'!$A$3:$B$967,2,)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5"/>
        <v>[68]=41,</v>
      </c>
      <c r="K69" s="3">
        <f t="shared" si="6"/>
        <v>68</v>
      </c>
      <c r="L69" s="3">
        <f t="shared" si="7"/>
        <v>41</v>
      </c>
      <c r="M69" s="8" t="str">
        <f>VLOOKUP(A69,'ESO wayshrine names'!$A$3:$B$967,2,)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5"/>
        <v>[69]=41,</v>
      </c>
      <c r="K70" s="3">
        <f t="shared" si="6"/>
        <v>69</v>
      </c>
      <c r="L70" s="3">
        <f t="shared" si="7"/>
        <v>41</v>
      </c>
      <c r="M70" s="8" t="str">
        <f>VLOOKUP(A70,'ESO wayshrine names'!$A$3:$B$967,2,)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5"/>
        <v>[71]=41,</v>
      </c>
      <c r="K71" s="3">
        <f t="shared" si="6"/>
        <v>71</v>
      </c>
      <c r="L71" s="3">
        <f t="shared" si="7"/>
        <v>41</v>
      </c>
      <c r="M71" s="8" t="str">
        <f>VLOOKUP(A71,'ESO wayshrine names'!$A$3:$B$967,2,)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5"/>
        <v>[72]=41,</v>
      </c>
      <c r="K72" s="3">
        <f t="shared" si="6"/>
        <v>72</v>
      </c>
      <c r="L72" s="3">
        <f t="shared" si="7"/>
        <v>41</v>
      </c>
      <c r="M72" s="8" t="str">
        <f>VLOOKUP(A72,'ESO wayshrine names'!$A$3:$B$967,2,)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5"/>
        <v>[73]=41,</v>
      </c>
      <c r="K73" s="3">
        <f t="shared" si="6"/>
        <v>73</v>
      </c>
      <c r="L73" s="3">
        <f t="shared" si="7"/>
        <v>41</v>
      </c>
      <c r="M73" s="8" t="str">
        <f>VLOOKUP(A73,'ESO wayshrine names'!$A$3:$B$967,2,)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5"/>
        <v>[74]=41,</v>
      </c>
      <c r="K74" s="3">
        <f t="shared" si="6"/>
        <v>74</v>
      </c>
      <c r="L74" s="3">
        <f t="shared" si="7"/>
        <v>41</v>
      </c>
      <c r="M74" s="8" t="str">
        <f>VLOOKUP(A74,'ESO wayshrine names'!$A$3:$B$967,2,)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5"/>
        <v>[75]=41,</v>
      </c>
      <c r="K75" s="3">
        <f t="shared" si="6"/>
        <v>75</v>
      </c>
      <c r="L75" s="3">
        <f t="shared" si="7"/>
        <v>41</v>
      </c>
      <c r="M75" s="8" t="str">
        <f>VLOOKUP(A75,'ESO wayshrine names'!$A$3:$B$967,2,)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5"/>
        <v>[76]=41,</v>
      </c>
      <c r="K76" s="3">
        <f t="shared" si="6"/>
        <v>76</v>
      </c>
      <c r="L76" s="3">
        <f t="shared" si="7"/>
        <v>41</v>
      </c>
      <c r="M76" s="8" t="str">
        <f>VLOOKUP(A76,'ESO wayshrine names'!$A$3:$B$967,2,)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5"/>
        <v>[77]=41,</v>
      </c>
      <c r="K77" s="3">
        <f t="shared" si="6"/>
        <v>77</v>
      </c>
      <c r="L77" s="3">
        <f t="shared" si="7"/>
        <v>41</v>
      </c>
      <c r="M77" s="8" t="str">
        <f>VLOOKUP(A77,'ESO wayshrine names'!$A$3:$B$967,2,)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5"/>
        <v>[78]=117,</v>
      </c>
      <c r="K78" s="3">
        <f t="shared" si="6"/>
        <v>78</v>
      </c>
      <c r="L78" s="3">
        <f t="shared" si="7"/>
        <v>117</v>
      </c>
      <c r="M78" s="8" t="str">
        <f>VLOOKUP(A78,'ESO wayshrine names'!$A$3:$B$967,2,)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5"/>
        <v>[79]=57,</v>
      </c>
      <c r="K79" s="3">
        <f t="shared" si="6"/>
        <v>79</v>
      </c>
      <c r="L79" s="3">
        <f t="shared" si="7"/>
        <v>57</v>
      </c>
      <c r="M79" s="8" t="str">
        <f>VLOOKUP(A79,'ESO wayshrine names'!$A$3:$B$967,2,)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5"/>
        <v>[80]=57,</v>
      </c>
      <c r="K80" s="3">
        <f t="shared" si="6"/>
        <v>80</v>
      </c>
      <c r="L80" s="3">
        <f t="shared" si="7"/>
        <v>57</v>
      </c>
      <c r="M80" s="8" t="str">
        <f>VLOOKUP(A80,'ESO wayshrine names'!$A$3:$B$967,2,)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5"/>
        <v>[81]=57,</v>
      </c>
      <c r="K81" s="3">
        <f t="shared" si="6"/>
        <v>81</v>
      </c>
      <c r="L81" s="3">
        <f t="shared" si="7"/>
        <v>57</v>
      </c>
      <c r="M81" s="8" t="str">
        <f>VLOOKUP(A81,'ESO wayshrine names'!$A$3:$B$967,2,)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5"/>
        <v>[82]=20,</v>
      </c>
      <c r="K82" s="3">
        <f t="shared" si="6"/>
        <v>82</v>
      </c>
      <c r="L82" s="3">
        <f t="shared" si="7"/>
        <v>20</v>
      </c>
      <c r="M82" s="8" t="str">
        <f>VLOOKUP(A82,'ESO wayshrine names'!$A$3:$B$967,2,)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5"/>
        <v>[83]=20,</v>
      </c>
      <c r="K83" s="3">
        <f t="shared" si="6"/>
        <v>83</v>
      </c>
      <c r="L83" s="3">
        <f t="shared" si="7"/>
        <v>20</v>
      </c>
      <c r="M83" s="8" t="str">
        <f>VLOOKUP(A83,'ESO wayshrine names'!$A$3:$B$967,2,)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5"/>
        <v>[84]=20,</v>
      </c>
      <c r="K84" s="3">
        <f t="shared" si="6"/>
        <v>84</v>
      </c>
      <c r="L84" s="3">
        <f t="shared" si="7"/>
        <v>20</v>
      </c>
      <c r="M84" s="8" t="str">
        <f>VLOOKUP(A84,'ESO wayshrine names'!$A$3:$B$967,2,)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5"/>
        <v>[85]=117,</v>
      </c>
      <c r="K85" s="3">
        <f t="shared" si="6"/>
        <v>85</v>
      </c>
      <c r="L85" s="3">
        <f t="shared" si="7"/>
        <v>117</v>
      </c>
      <c r="M85" s="8" t="str">
        <f>VLOOKUP(A85,'ESO wayshrine names'!$A$3:$B$967,2,)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5"/>
        <v>[86]=20,</v>
      </c>
      <c r="K86" s="3">
        <f t="shared" si="6"/>
        <v>86</v>
      </c>
      <c r="L86" s="3">
        <f t="shared" si="7"/>
        <v>20</v>
      </c>
      <c r="M86" s="8" t="str">
        <f>VLOOKUP(A86,'ESO wayshrine names'!$A$3:$B$967,2,)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5"/>
        <v>[87]=101,</v>
      </c>
      <c r="K87" s="3">
        <f t="shared" si="6"/>
        <v>87</v>
      </c>
      <c r="L87" s="3">
        <f t="shared" si="7"/>
        <v>101</v>
      </c>
      <c r="M87" s="8" t="str">
        <f>VLOOKUP(A87,'ESO wayshrine names'!$A$3:$B$967,2,)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5"/>
        <v>[88]=101,</v>
      </c>
      <c r="K88" s="3">
        <f t="shared" si="6"/>
        <v>88</v>
      </c>
      <c r="L88" s="3">
        <f t="shared" si="7"/>
        <v>101</v>
      </c>
      <c r="M88" s="8" t="str">
        <f>VLOOKUP(A88,'ESO wayshrine names'!$A$3:$B$967,2,)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5"/>
        <v>[89]=101,</v>
      </c>
      <c r="K89" s="3">
        <f t="shared" si="6"/>
        <v>89</v>
      </c>
      <c r="L89" s="3">
        <f t="shared" si="7"/>
        <v>101</v>
      </c>
      <c r="M89" s="8" t="str">
        <f>VLOOKUP(A89,'ESO wayshrine names'!$A$3:$B$967,2,)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5"/>
        <v>[90]=101,</v>
      </c>
      <c r="K90" s="3">
        <f t="shared" si="6"/>
        <v>90</v>
      </c>
      <c r="L90" s="3">
        <f t="shared" si="7"/>
        <v>101</v>
      </c>
      <c r="M90" s="8" t="str">
        <f>VLOOKUP(A90,'ESO wayshrine names'!$A$3:$B$967,2,)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5"/>
        <v>[91]=101,</v>
      </c>
      <c r="K91" s="3">
        <f t="shared" si="6"/>
        <v>91</v>
      </c>
      <c r="L91" s="3">
        <f t="shared" si="7"/>
        <v>101</v>
      </c>
      <c r="M91" s="8" t="str">
        <f>VLOOKUP(A91,'ESO wayshrine names'!$A$3:$B$967,2,)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5"/>
        <v>[92]=101,</v>
      </c>
      <c r="K92" s="3">
        <f t="shared" si="6"/>
        <v>92</v>
      </c>
      <c r="L92" s="3">
        <f t="shared" si="7"/>
        <v>101</v>
      </c>
      <c r="M92" s="8" t="str">
        <f>VLOOKUP(A92,'ESO wayshrine names'!$A$3:$B$967,2,)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5"/>
        <v>[93]=101,</v>
      </c>
      <c r="K93" s="3">
        <f t="shared" si="6"/>
        <v>93</v>
      </c>
      <c r="L93" s="3">
        <f t="shared" si="7"/>
        <v>101</v>
      </c>
      <c r="M93" s="8" t="str">
        <f>VLOOKUP(A93,'ESO wayshrine names'!$A$3:$B$967,2,)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5"/>
        <v>[94]=101,</v>
      </c>
      <c r="K94" s="3">
        <f t="shared" si="6"/>
        <v>94</v>
      </c>
      <c r="L94" s="3">
        <f t="shared" si="7"/>
        <v>101</v>
      </c>
      <c r="M94" s="8" t="str">
        <f>VLOOKUP(A94,'ESO wayshrine names'!$A$3:$B$967,2,)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5"/>
        <v>[95]=101,</v>
      </c>
      <c r="K95" s="3">
        <f t="shared" si="6"/>
        <v>95</v>
      </c>
      <c r="L95" s="3">
        <f t="shared" si="7"/>
        <v>101</v>
      </c>
      <c r="M95" s="8" t="str">
        <f>VLOOKUP(A95,'ESO wayshrine names'!$A$3:$B$967,2,)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5"/>
        <v>[96]=101,</v>
      </c>
      <c r="K96" s="3">
        <f t="shared" si="6"/>
        <v>96</v>
      </c>
      <c r="L96" s="3">
        <f t="shared" si="7"/>
        <v>101</v>
      </c>
      <c r="M96" s="8" t="str">
        <f>VLOOKUP(A96,'ESO wayshrine names'!$A$3:$B$967,2,)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5"/>
        <v>[97]=101,</v>
      </c>
      <c r="K97" s="3">
        <f t="shared" si="6"/>
        <v>97</v>
      </c>
      <c r="L97" s="3">
        <f t="shared" si="7"/>
        <v>101</v>
      </c>
      <c r="M97" s="8" t="str">
        <f>VLOOKUP(A97,'ESO wayshrine names'!$A$3:$B$967,2,)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5"/>
        <v>[98]=41,</v>
      </c>
      <c r="K98" s="3">
        <f t="shared" si="6"/>
        <v>98</v>
      </c>
      <c r="L98" s="3">
        <f t="shared" si="7"/>
        <v>41</v>
      </c>
      <c r="M98" s="8" t="str">
        <f>VLOOKUP(A98,'ESO wayshrine names'!$A$3:$B$967,2,)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5"/>
        <v>[99]=58,</v>
      </c>
      <c r="K99" s="3">
        <f t="shared" si="6"/>
        <v>99</v>
      </c>
      <c r="L99" s="3">
        <f t="shared" si="7"/>
        <v>58</v>
      </c>
      <c r="M99" s="8" t="str">
        <f>VLOOKUP(A99,'ESO wayshrine names'!$A$3:$B$967,2,)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5"/>
        <v>[100]=58,</v>
      </c>
      <c r="K100" s="3">
        <f t="shared" si="6"/>
        <v>100</v>
      </c>
      <c r="L100" s="3">
        <f t="shared" si="7"/>
        <v>58</v>
      </c>
      <c r="M100" s="8" t="str">
        <f>VLOOKUP(A100,'ESO wayshrine names'!$A$3:$B$967,2,)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5"/>
        <v>[101]=58,</v>
      </c>
      <c r="K101" s="3">
        <f t="shared" si="6"/>
        <v>101</v>
      </c>
      <c r="L101" s="3">
        <f t="shared" si="7"/>
        <v>58</v>
      </c>
      <c r="M101" s="8" t="str">
        <f>VLOOKUP(A101,'ESO wayshrine names'!$A$3:$B$967,2,)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5"/>
        <v>[102]=58,</v>
      </c>
      <c r="K102" s="3">
        <f t="shared" si="6"/>
        <v>102</v>
      </c>
      <c r="L102" s="3">
        <f t="shared" si="7"/>
        <v>58</v>
      </c>
      <c r="M102" s="8" t="str">
        <f>VLOOKUP(A102,'ESO wayshrine names'!$A$3:$B$967,2,)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5"/>
        <v>[103]=58,</v>
      </c>
      <c r="K103" s="3">
        <f t="shared" si="6"/>
        <v>103</v>
      </c>
      <c r="L103" s="3">
        <f t="shared" si="7"/>
        <v>58</v>
      </c>
      <c r="M103" s="8" t="str">
        <f>VLOOKUP(A103,'ESO wayshrine names'!$A$3:$B$967,2,)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5"/>
        <v>[104]=58,</v>
      </c>
      <c r="K104" s="3">
        <f t="shared" si="6"/>
        <v>104</v>
      </c>
      <c r="L104" s="3">
        <f t="shared" si="7"/>
        <v>58</v>
      </c>
      <c r="M104" s="8" t="str">
        <f>VLOOKUP(A104,'ESO wayshrine names'!$A$3:$B$967,2,)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5"/>
        <v>[105]=58,</v>
      </c>
      <c r="K105" s="3">
        <f t="shared" si="6"/>
        <v>105</v>
      </c>
      <c r="L105" s="3">
        <f t="shared" si="7"/>
        <v>58</v>
      </c>
      <c r="M105" s="8" t="str">
        <f>VLOOKUP(A105,'ESO wayshrine names'!$A$3:$B$967,2,)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5"/>
        <v>[106]=58,</v>
      </c>
      <c r="K106" s="3">
        <f t="shared" si="6"/>
        <v>106</v>
      </c>
      <c r="L106" s="3">
        <f t="shared" si="7"/>
        <v>58</v>
      </c>
      <c r="M106" s="8" t="str">
        <f>VLOOKUP(A106,'ESO wayshrine names'!$A$3:$B$967,2,)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5"/>
        <v>[107]=58,</v>
      </c>
      <c r="K107" s="3">
        <f t="shared" si="6"/>
        <v>107</v>
      </c>
      <c r="L107" s="3">
        <f t="shared" si="7"/>
        <v>58</v>
      </c>
      <c r="M107" s="8" t="str">
        <f>VLOOKUP(A107,'ESO wayshrine names'!$A$3:$B$967,2,)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5"/>
        <v>[108]=41,</v>
      </c>
      <c r="K108" s="3">
        <f t="shared" si="6"/>
        <v>108</v>
      </c>
      <c r="L108" s="3">
        <f t="shared" si="7"/>
        <v>41</v>
      </c>
      <c r="M108" s="8" t="str">
        <f>VLOOKUP(A108,'ESO wayshrine names'!$A$3:$B$967,2,)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5"/>
        <v>[109]=103,</v>
      </c>
      <c r="K109" s="3">
        <f t="shared" si="6"/>
        <v>109</v>
      </c>
      <c r="L109" s="3">
        <f t="shared" si="7"/>
        <v>103</v>
      </c>
      <c r="M109" s="8" t="str">
        <f>VLOOKUP(A109,'ESO wayshrine names'!$A$3:$B$967,2,)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5"/>
        <v>[110]=103,</v>
      </c>
      <c r="K110" s="3">
        <f t="shared" si="6"/>
        <v>110</v>
      </c>
      <c r="L110" s="3">
        <f t="shared" si="7"/>
        <v>103</v>
      </c>
      <c r="M110" s="8" t="str">
        <f>VLOOKUP(A110,'ESO wayshrine names'!$A$3:$B$967,2,)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5"/>
        <v>[111]=103,</v>
      </c>
      <c r="K111" s="3">
        <f t="shared" si="6"/>
        <v>111</v>
      </c>
      <c r="L111" s="3">
        <f t="shared" si="7"/>
        <v>103</v>
      </c>
      <c r="M111" s="8" t="str">
        <f>VLOOKUP(A111,'ESO wayshrine names'!$A$3:$B$967,2,)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5"/>
        <v>[112]=103,</v>
      </c>
      <c r="K112" s="3">
        <f t="shared" si="6"/>
        <v>112</v>
      </c>
      <c r="L112" s="3">
        <f t="shared" si="7"/>
        <v>103</v>
      </c>
      <c r="M112" s="8" t="str">
        <f>VLOOKUP(A112,'ESO wayshrine names'!$A$3:$B$967,2,)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5"/>
        <v>[113]=103,</v>
      </c>
      <c r="K113" s="3">
        <f t="shared" si="6"/>
        <v>113</v>
      </c>
      <c r="L113" s="3">
        <f t="shared" si="7"/>
        <v>103</v>
      </c>
      <c r="M113" s="8" t="str">
        <f>VLOOKUP(A113,'ESO wayshrine names'!$A$3:$B$967,2,)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5"/>
        <v>[114]=103,</v>
      </c>
      <c r="K114" s="3">
        <f t="shared" si="6"/>
        <v>114</v>
      </c>
      <c r="L114" s="3">
        <f t="shared" si="7"/>
        <v>103</v>
      </c>
      <c r="M114" s="8" t="str">
        <f>VLOOKUP(A114,'ESO wayshrine names'!$A$3:$B$967,2,)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5"/>
        <v>[115]=103,</v>
      </c>
      <c r="K115" s="3">
        <f t="shared" si="6"/>
        <v>115</v>
      </c>
      <c r="L115" s="3">
        <f t="shared" si="7"/>
        <v>103</v>
      </c>
      <c r="M115" s="8" t="str">
        <f>VLOOKUP(A115,'ESO wayshrine names'!$A$3:$B$967,2,)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5"/>
        <v>[116]=103,</v>
      </c>
      <c r="K116" s="3">
        <f t="shared" si="6"/>
        <v>116</v>
      </c>
      <c r="L116" s="3">
        <f t="shared" si="7"/>
        <v>103</v>
      </c>
      <c r="M116" s="8" t="str">
        <f>VLOOKUP(A116,'ESO wayshrine names'!$A$3:$B$967,2,)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5"/>
        <v>[117]=103,</v>
      </c>
      <c r="K117" s="3">
        <f t="shared" si="6"/>
        <v>117</v>
      </c>
      <c r="L117" s="3">
        <f t="shared" si="7"/>
        <v>103</v>
      </c>
      <c r="M117" s="8" t="str">
        <f>VLOOKUP(A117,'ESO wayshrine names'!$A$3:$B$967,2,)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5"/>
        <v>[118]=103,</v>
      </c>
      <c r="K118" s="3">
        <f t="shared" si="6"/>
        <v>118</v>
      </c>
      <c r="L118" s="3">
        <f t="shared" si="7"/>
        <v>103</v>
      </c>
      <c r="M118" s="8" t="str">
        <f>VLOOKUP(A118,'ESO wayshrine names'!$A$3:$B$967,2,)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5"/>
        <v>[119]=103,</v>
      </c>
      <c r="K119" s="3">
        <f t="shared" si="6"/>
        <v>119</v>
      </c>
      <c r="L119" s="3">
        <f t="shared" si="7"/>
        <v>103</v>
      </c>
      <c r="M119" s="8" t="str">
        <f>VLOOKUP(A119,'ESO wayshrine names'!$A$3:$B$967,2,)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5"/>
        <v>[120]=103,</v>
      </c>
      <c r="K120" s="3">
        <f t="shared" si="6"/>
        <v>120</v>
      </c>
      <c r="L120" s="3">
        <f t="shared" si="7"/>
        <v>103</v>
      </c>
      <c r="M120" s="8" t="str">
        <f>VLOOKUP(A120,'ESO wayshrine names'!$A$3:$B$967,2,)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5"/>
        <v>[121]=381,</v>
      </c>
      <c r="K121" s="3">
        <f t="shared" si="6"/>
        <v>121</v>
      </c>
      <c r="L121" s="3">
        <f t="shared" si="7"/>
        <v>381</v>
      </c>
      <c r="M121" s="8" t="str">
        <f>VLOOKUP(A121,'ESO wayshrine names'!$A$3:$B$967,2,)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5"/>
        <v>[122]=381,</v>
      </c>
      <c r="K122" s="3">
        <f t="shared" si="6"/>
        <v>122</v>
      </c>
      <c r="L122" s="3">
        <f t="shared" si="7"/>
        <v>381</v>
      </c>
      <c r="M122" s="8" t="str">
        <f>VLOOKUP(A122,'ESO wayshrine names'!$A$3:$B$967,2,)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5"/>
        <v>[123]=381,</v>
      </c>
      <c r="K123" s="3">
        <f t="shared" si="6"/>
        <v>123</v>
      </c>
      <c r="L123" s="3">
        <f t="shared" si="7"/>
        <v>381</v>
      </c>
      <c r="M123" s="8" t="str">
        <f>VLOOKUP(A123,'ESO wayshrine names'!$A$3:$B$967,2,)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5"/>
        <v>[124]=381,</v>
      </c>
      <c r="K124" s="3">
        <f t="shared" si="6"/>
        <v>124</v>
      </c>
      <c r="L124" s="3">
        <f t="shared" si="7"/>
        <v>381</v>
      </c>
      <c r="M124" s="8" t="str">
        <f>VLOOKUP(A124,'ESO wayshrine names'!$A$3:$B$967,2,)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5"/>
        <v>[125]=281,</v>
      </c>
      <c r="K125" s="3">
        <f t="shared" si="6"/>
        <v>125</v>
      </c>
      <c r="L125" s="3">
        <f t="shared" si="7"/>
        <v>281</v>
      </c>
      <c r="M125" s="8" t="str">
        <f>VLOOKUP(A125,'ESO wayshrine names'!$A$3:$B$967,2,)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5"/>
        <v>[126]=281,</v>
      </c>
      <c r="K126" s="3">
        <f t="shared" si="6"/>
        <v>126</v>
      </c>
      <c r="L126" s="3">
        <f t="shared" si="7"/>
        <v>281</v>
      </c>
      <c r="M126" s="8" t="str">
        <f>VLOOKUP(A126,'ESO wayshrine names'!$A$3:$B$967,2,)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5"/>
        <v>[127]=381,</v>
      </c>
      <c r="K127" s="3">
        <f t="shared" si="6"/>
        <v>127</v>
      </c>
      <c r="L127" s="3">
        <f t="shared" si="7"/>
        <v>381</v>
      </c>
      <c r="M127" s="8" t="str">
        <f>VLOOKUP(A127,'ESO wayshrine names'!$A$3:$B$967,2,)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5"/>
        <v>[128]=347,</v>
      </c>
      <c r="K128" s="3">
        <f t="shared" si="6"/>
        <v>128</v>
      </c>
      <c r="L128" s="3">
        <f t="shared" si="7"/>
        <v>347</v>
      </c>
      <c r="M128" s="8" t="str">
        <f>VLOOKUP(A128,'ESO wayshrine names'!$A$3:$B$967,2,)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5"/>
        <v>[129]=347,</v>
      </c>
      <c r="K129" s="3">
        <f t="shared" si="6"/>
        <v>129</v>
      </c>
      <c r="L129" s="3">
        <f t="shared" si="7"/>
        <v>347</v>
      </c>
      <c r="M129" s="8" t="str">
        <f>VLOOKUP(A129,'ESO wayshrine names'!$A$3:$B$967,2,)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5"/>
        <v>[130]=347,</v>
      </c>
      <c r="K130" s="3">
        <f t="shared" si="6"/>
        <v>130</v>
      </c>
      <c r="L130" s="3">
        <f t="shared" si="7"/>
        <v>347</v>
      </c>
      <c r="M130" s="8" t="str">
        <f>VLOOKUP(A130,'ESO wayshrine names'!$A$3:$B$967,2,)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8">IF(A131&lt;&gt;"",IF(F131&lt;&gt;"",IF(OR(ISNA(A131),ISNA(F131)),"","["&amp;A131&amp;"]="&amp;F131&amp;","),""),"")</f>
        <v>[131]=347,</v>
      </c>
      <c r="K131" s="3">
        <f t="shared" si="6"/>
        <v>131</v>
      </c>
      <c r="L131" s="3">
        <f t="shared" si="7"/>
        <v>347</v>
      </c>
      <c r="M131" s="8" t="str">
        <f>VLOOKUP(A131,'ESO wayshrine names'!$A$3:$B$967,2,)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8"/>
        <v>[132]=347,</v>
      </c>
      <c r="K132" s="3">
        <f t="shared" ref="K132:K195" si="9">A132</f>
        <v>132</v>
      </c>
      <c r="L132" s="3">
        <f t="shared" ref="L132:L195" si="10">F132</f>
        <v>347</v>
      </c>
      <c r="M132" s="8" t="str">
        <f>VLOOKUP(A132,'ESO wayshrine names'!$A$3:$B$967,2,)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8"/>
        <v>[133]=347,</v>
      </c>
      <c r="K133" s="3">
        <f t="shared" si="9"/>
        <v>133</v>
      </c>
      <c r="L133" s="3">
        <f t="shared" si="10"/>
        <v>347</v>
      </c>
      <c r="M133" s="8" t="str">
        <f>VLOOKUP(A133,'ESO wayshrine names'!$A$3:$B$967,2,)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8"/>
        <v>[134]=347,</v>
      </c>
      <c r="K134" s="3">
        <f t="shared" si="9"/>
        <v>134</v>
      </c>
      <c r="L134" s="3">
        <f t="shared" si="10"/>
        <v>347</v>
      </c>
      <c r="M134" s="8" t="str">
        <f>VLOOKUP(A134,'ESO wayshrine names'!$A$3:$B$967,2,)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8"/>
        <v>[135]=347,</v>
      </c>
      <c r="K135" s="3">
        <f t="shared" si="9"/>
        <v>135</v>
      </c>
      <c r="L135" s="3">
        <f t="shared" si="10"/>
        <v>347</v>
      </c>
      <c r="M135" s="8" t="str">
        <f>VLOOKUP(A135,'ESO wayshrine names'!$A$3:$B$967,2,)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8"/>
        <v>[136]=347,</v>
      </c>
      <c r="K136" s="3">
        <f t="shared" si="9"/>
        <v>136</v>
      </c>
      <c r="L136" s="3">
        <f t="shared" si="10"/>
        <v>347</v>
      </c>
      <c r="M136" s="8" t="str">
        <f>VLOOKUP(A136,'ESO wayshrine names'!$A$3:$B$967,2,)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8"/>
        <v>[137]=104,</v>
      </c>
      <c r="K137" s="3">
        <f t="shared" si="9"/>
        <v>137</v>
      </c>
      <c r="L137" s="3">
        <f t="shared" si="10"/>
        <v>104</v>
      </c>
      <c r="M137" s="8" t="str">
        <f>VLOOKUP(A137,'ESO wayshrine names'!$A$3:$B$967,2,)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8"/>
        <v>[138]=534,</v>
      </c>
      <c r="K138" s="3">
        <f t="shared" si="9"/>
        <v>138</v>
      </c>
      <c r="L138" s="3">
        <f t="shared" si="10"/>
        <v>534</v>
      </c>
      <c r="M138" s="8" t="str">
        <f>VLOOKUP(A138,'ESO wayshrine names'!$A$3:$B$967,2,)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8"/>
        <v>[139]=347,</v>
      </c>
      <c r="K139" s="3">
        <f t="shared" si="9"/>
        <v>139</v>
      </c>
      <c r="L139" s="3">
        <f t="shared" si="10"/>
        <v>347</v>
      </c>
      <c r="M139" s="8" t="str">
        <f>VLOOKUP(A139,'ESO wayshrine names'!$A$3:$B$967,2,)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8"/>
        <v>[140]=347,</v>
      </c>
      <c r="K140" s="3">
        <f t="shared" si="9"/>
        <v>140</v>
      </c>
      <c r="L140" s="3">
        <f t="shared" si="10"/>
        <v>347</v>
      </c>
      <c r="M140" s="8" t="str">
        <f>VLOOKUP(A140,'ESO wayshrine names'!$A$3:$B$967,2,)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8"/>
        <v>[141]=537,</v>
      </c>
      <c r="K141" s="3">
        <f t="shared" si="9"/>
        <v>141</v>
      </c>
      <c r="L141" s="3">
        <f t="shared" si="10"/>
        <v>537</v>
      </c>
      <c r="M141" s="8" t="str">
        <f>VLOOKUP(A141,'ESO wayshrine names'!$A$3:$B$967,2,)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8"/>
        <v>[142]=537,</v>
      </c>
      <c r="K142" s="3">
        <f t="shared" si="9"/>
        <v>142</v>
      </c>
      <c r="L142" s="3">
        <f t="shared" si="10"/>
        <v>537</v>
      </c>
      <c r="M142" s="8" t="str">
        <f>VLOOKUP(A142,'ESO wayshrine names'!$A$3:$B$967,2,)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8"/>
        <v>[143]=108,</v>
      </c>
      <c r="K143" s="3">
        <f t="shared" si="9"/>
        <v>143</v>
      </c>
      <c r="L143" s="3">
        <f t="shared" si="10"/>
        <v>108</v>
      </c>
      <c r="M143" s="8" t="str">
        <f>VLOOKUP(A143,'ESO wayshrine names'!$A$3:$B$967,2,)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8"/>
        <v>[144]=382,</v>
      </c>
      <c r="K144" s="3">
        <f t="shared" si="9"/>
        <v>144</v>
      </c>
      <c r="L144" s="3">
        <f t="shared" si="10"/>
        <v>382</v>
      </c>
      <c r="M144" s="8" t="str">
        <f>VLOOKUP(A144,'ESO wayshrine names'!$A$3:$B$967,2,)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8"/>
        <v>[145]=347,</v>
      </c>
      <c r="K145" s="3">
        <f t="shared" si="9"/>
        <v>145</v>
      </c>
      <c r="L145" s="3">
        <f t="shared" si="10"/>
        <v>347</v>
      </c>
      <c r="M145" s="8" t="str">
        <f>VLOOKUP(A145,'ESO wayshrine names'!$A$3:$B$967,2,)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8"/>
        <v>[146]=347,</v>
      </c>
      <c r="K146" s="3">
        <f t="shared" si="9"/>
        <v>146</v>
      </c>
      <c r="L146" s="3">
        <f t="shared" si="10"/>
        <v>347</v>
      </c>
      <c r="M146" s="8" t="str">
        <f>VLOOKUP(A146,'ESO wayshrine names'!$A$3:$B$967,2,)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8"/>
        <v>[147]=108,</v>
      </c>
      <c r="K147" s="3">
        <f t="shared" si="9"/>
        <v>147</v>
      </c>
      <c r="L147" s="3">
        <f t="shared" si="10"/>
        <v>108</v>
      </c>
      <c r="M147" s="8" t="str">
        <f>VLOOKUP(A147,'ESO wayshrine names'!$A$3:$B$967,2,)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8"/>
        <v>[148]=108,</v>
      </c>
      <c r="K148" s="3">
        <f t="shared" si="9"/>
        <v>148</v>
      </c>
      <c r="L148" s="3">
        <f t="shared" si="10"/>
        <v>108</v>
      </c>
      <c r="M148" s="8" t="str">
        <f>VLOOKUP(A148,'ESO wayshrine names'!$A$3:$B$967,2,)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8"/>
        <v>[149]=108,</v>
      </c>
      <c r="K149" s="3">
        <f t="shared" si="9"/>
        <v>149</v>
      </c>
      <c r="L149" s="3">
        <f t="shared" si="10"/>
        <v>108</v>
      </c>
      <c r="M149" s="8" t="str">
        <f>VLOOKUP(A149,'ESO wayshrine names'!$A$3:$B$967,2,)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8"/>
        <v>[150]=108,</v>
      </c>
      <c r="K150" s="3">
        <f t="shared" si="9"/>
        <v>150</v>
      </c>
      <c r="L150" s="3">
        <f t="shared" si="10"/>
        <v>108</v>
      </c>
      <c r="M150" s="8" t="str">
        <f>VLOOKUP(A150,'ESO wayshrine names'!$A$3:$B$967,2,)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8"/>
        <v>[151]=108,</v>
      </c>
      <c r="K151" s="3">
        <f t="shared" si="9"/>
        <v>151</v>
      </c>
      <c r="L151" s="3">
        <f t="shared" si="10"/>
        <v>108</v>
      </c>
      <c r="M151" s="8" t="str">
        <f>VLOOKUP(A151,'ESO wayshrine names'!$A$3:$B$967,2,)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8"/>
        <v>[152]=108,</v>
      </c>
      <c r="K152" s="3">
        <f t="shared" si="9"/>
        <v>152</v>
      </c>
      <c r="L152" s="3">
        <f t="shared" si="10"/>
        <v>108</v>
      </c>
      <c r="M152" s="8" t="str">
        <f>VLOOKUP(A152,'ESO wayshrine names'!$A$3:$B$967,2,)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8"/>
        <v>[153]=108,</v>
      </c>
      <c r="K153" s="3">
        <f t="shared" si="9"/>
        <v>153</v>
      </c>
      <c r="L153" s="3">
        <f t="shared" si="10"/>
        <v>108</v>
      </c>
      <c r="M153" s="8" t="str">
        <f>VLOOKUP(A153,'ESO wayshrine names'!$A$3:$B$967,2,)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8"/>
        <v>[154]=108,</v>
      </c>
      <c r="K154" s="3">
        <f t="shared" si="9"/>
        <v>154</v>
      </c>
      <c r="L154" s="3">
        <f t="shared" si="10"/>
        <v>108</v>
      </c>
      <c r="M154" s="8" t="str">
        <f>VLOOKUP(A154,'ESO wayshrine names'!$A$3:$B$967,2,)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8"/>
        <v>[155]=104,</v>
      </c>
      <c r="K155" s="3">
        <f t="shared" si="9"/>
        <v>155</v>
      </c>
      <c r="L155" s="3">
        <f t="shared" si="10"/>
        <v>104</v>
      </c>
      <c r="M155" s="8" t="str">
        <f>VLOOKUP(A155,'ESO wayshrine names'!$A$3:$B$967,2,)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8"/>
        <v>[156]=382,</v>
      </c>
      <c r="K156" s="3">
        <f t="shared" si="9"/>
        <v>156</v>
      </c>
      <c r="L156" s="3">
        <f t="shared" si="10"/>
        <v>382</v>
      </c>
      <c r="M156" s="8" t="str">
        <f>VLOOKUP(A156,'ESO wayshrine names'!$A$3:$B$967,2,)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8"/>
        <v>[157]=382,</v>
      </c>
      <c r="K157" s="3">
        <f t="shared" si="9"/>
        <v>157</v>
      </c>
      <c r="L157" s="3">
        <f t="shared" si="10"/>
        <v>382</v>
      </c>
      <c r="M157" s="8" t="str">
        <f>VLOOKUP(A157,'ESO wayshrine names'!$A$3:$B$967,2,)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8"/>
        <v>[158]=382,</v>
      </c>
      <c r="K158" s="3">
        <f t="shared" si="9"/>
        <v>158</v>
      </c>
      <c r="L158" s="3">
        <f t="shared" si="10"/>
        <v>382</v>
      </c>
      <c r="M158" s="8" t="str">
        <f>VLOOKUP(A158,'ESO wayshrine names'!$A$3:$B$967,2,)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8"/>
        <v>[159]=382,</v>
      </c>
      <c r="K159" s="3">
        <f t="shared" si="9"/>
        <v>159</v>
      </c>
      <c r="L159" s="3">
        <f t="shared" si="10"/>
        <v>382</v>
      </c>
      <c r="M159" s="8" t="str">
        <f>VLOOKUP(A159,'ESO wayshrine names'!$A$3:$B$967,2,)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8"/>
        <v>[160]=382,</v>
      </c>
      <c r="K160" s="3">
        <f t="shared" si="9"/>
        <v>160</v>
      </c>
      <c r="L160" s="3">
        <f t="shared" si="10"/>
        <v>382</v>
      </c>
      <c r="M160" s="8" t="str">
        <f>VLOOKUP(A160,'ESO wayshrine names'!$A$3:$B$967,2,)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8"/>
        <v>[161]=382,</v>
      </c>
      <c r="K161" s="3">
        <f t="shared" si="9"/>
        <v>161</v>
      </c>
      <c r="L161" s="3">
        <f t="shared" si="10"/>
        <v>382</v>
      </c>
      <c r="M161" s="8" t="str">
        <f>VLOOKUP(A161,'ESO wayshrine names'!$A$3:$B$967,2,)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8"/>
        <v>[162]=382,</v>
      </c>
      <c r="K162" s="3">
        <f t="shared" si="9"/>
        <v>162</v>
      </c>
      <c r="L162" s="3">
        <f t="shared" si="10"/>
        <v>382</v>
      </c>
      <c r="M162" s="8" t="str">
        <f>VLOOKUP(A162,'ESO wayshrine names'!$A$3:$B$967,2,)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8"/>
        <v>[163]=382,</v>
      </c>
      <c r="K163" s="3">
        <f t="shared" si="9"/>
        <v>163</v>
      </c>
      <c r="L163" s="3">
        <f t="shared" si="10"/>
        <v>382</v>
      </c>
      <c r="M163" s="8" t="str">
        <f>VLOOKUP(A163,'ESO wayshrine names'!$A$3:$B$967,2,)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8"/>
        <v>[164]=383,</v>
      </c>
      <c r="K164" s="3">
        <f t="shared" si="9"/>
        <v>164</v>
      </c>
      <c r="L164" s="3">
        <f t="shared" si="10"/>
        <v>383</v>
      </c>
      <c r="M164" s="8" t="str">
        <f>VLOOKUP(A164,'ESO wayshrine names'!$A$3:$B$967,2,)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8"/>
        <v>[165]=383,</v>
      </c>
      <c r="K165" s="3">
        <f t="shared" si="9"/>
        <v>165</v>
      </c>
      <c r="L165" s="3">
        <f t="shared" si="10"/>
        <v>383</v>
      </c>
      <c r="M165" s="8" t="str">
        <f>VLOOKUP(A165,'ESO wayshrine names'!$A$3:$B$967,2,)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8"/>
        <v>[166]=383,</v>
      </c>
      <c r="K166" s="3">
        <f t="shared" si="9"/>
        <v>166</v>
      </c>
      <c r="L166" s="3">
        <f t="shared" si="10"/>
        <v>383</v>
      </c>
      <c r="M166" s="8" t="str">
        <f>VLOOKUP(A166,'ESO wayshrine names'!$A$3:$B$967,2,)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8"/>
        <v>[167]=383,</v>
      </c>
      <c r="K167" s="3">
        <f t="shared" si="9"/>
        <v>167</v>
      </c>
      <c r="L167" s="3">
        <f t="shared" si="10"/>
        <v>383</v>
      </c>
      <c r="M167" s="8" t="str">
        <f>VLOOKUP(A167,'ESO wayshrine names'!$A$3:$B$967,2,)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8"/>
        <v>[168]=383,</v>
      </c>
      <c r="K168" s="3">
        <f t="shared" si="9"/>
        <v>168</v>
      </c>
      <c r="L168" s="3">
        <f t="shared" si="10"/>
        <v>383</v>
      </c>
      <c r="M168" s="8" t="str">
        <f>VLOOKUP(A168,'ESO wayshrine names'!$A$3:$B$967,2,)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8"/>
        <v>[169]=383,</v>
      </c>
      <c r="K169" s="3">
        <f t="shared" si="9"/>
        <v>169</v>
      </c>
      <c r="L169" s="3">
        <f t="shared" si="10"/>
        <v>383</v>
      </c>
      <c r="M169" s="8" t="str">
        <f>VLOOKUP(A169,'ESO wayshrine names'!$A$3:$B$967,2,)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8"/>
        <v>[170]=181,</v>
      </c>
      <c r="K170" s="3">
        <f t="shared" si="9"/>
        <v>170</v>
      </c>
      <c r="L170" s="3">
        <f t="shared" si="10"/>
        <v>181</v>
      </c>
      <c r="M170" s="8" t="str">
        <f>VLOOKUP(A170,'ESO wayshrine names'!$A$3:$B$967,2,)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8"/>
        <v>[171]=117,</v>
      </c>
      <c r="K171" s="3">
        <f t="shared" si="9"/>
        <v>171</v>
      </c>
      <c r="L171" s="3">
        <f t="shared" si="10"/>
        <v>117</v>
      </c>
      <c r="M171" s="8" t="str">
        <f>VLOOKUP(A171,'ESO wayshrine names'!$A$3:$B$967,2,)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8"/>
        <v>[172]=280,</v>
      </c>
      <c r="K172" s="3">
        <f t="shared" si="9"/>
        <v>172</v>
      </c>
      <c r="L172" s="3">
        <f t="shared" si="10"/>
        <v>280</v>
      </c>
      <c r="M172" s="8" t="str">
        <f>VLOOKUP(A172,'ESO wayshrine names'!$A$3:$B$967,2,)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8"/>
        <v>[173]=281,</v>
      </c>
      <c r="K173" s="3">
        <f t="shared" si="9"/>
        <v>173</v>
      </c>
      <c r="L173" s="3">
        <f t="shared" si="10"/>
        <v>281</v>
      </c>
      <c r="M173" s="8" t="str">
        <f>VLOOKUP(A173,'ESO wayshrine names'!$A$3:$B$967,2,)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8"/>
        <v>[174]=381,</v>
      </c>
      <c r="K174" s="3">
        <f t="shared" si="9"/>
        <v>174</v>
      </c>
      <c r="L174" s="3">
        <f t="shared" si="10"/>
        <v>381</v>
      </c>
      <c r="M174" s="8" t="str">
        <f>VLOOKUP(A174,'ESO wayshrine names'!$A$3:$B$967,2,)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8"/>
        <v>[175]=381,</v>
      </c>
      <c r="K175" s="3">
        <f t="shared" si="9"/>
        <v>175</v>
      </c>
      <c r="L175" s="3">
        <f t="shared" si="10"/>
        <v>381</v>
      </c>
      <c r="M175" s="8" t="str">
        <f>VLOOKUP(A175,'ESO wayshrine names'!$A$3:$B$967,2,)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8"/>
        <v>[176]=381,</v>
      </c>
      <c r="K176" s="3">
        <f t="shared" si="9"/>
        <v>176</v>
      </c>
      <c r="L176" s="3">
        <f t="shared" si="10"/>
        <v>381</v>
      </c>
      <c r="M176" s="8" t="str">
        <f>VLOOKUP(A176,'ESO wayshrine names'!$A$3:$B$967,2,)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8"/>
        <v>[177]=381,</v>
      </c>
      <c r="K177" s="3">
        <f t="shared" si="9"/>
        <v>177</v>
      </c>
      <c r="L177" s="3">
        <f t="shared" si="10"/>
        <v>381</v>
      </c>
      <c r="M177" s="8" t="str">
        <f>VLOOKUP(A177,'ESO wayshrine names'!$A$3:$B$967,2,)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8"/>
        <v>[178]=381,</v>
      </c>
      <c r="K178" s="3">
        <f t="shared" si="9"/>
        <v>178</v>
      </c>
      <c r="L178" s="3">
        <f t="shared" si="10"/>
        <v>381</v>
      </c>
      <c r="M178" s="8" t="str">
        <f>VLOOKUP(A178,'ESO wayshrine names'!$A$3:$B$967,2,)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8"/>
        <v>[179]=534,</v>
      </c>
      <c r="K179" s="3">
        <f t="shared" si="9"/>
        <v>179</v>
      </c>
      <c r="L179" s="3">
        <f t="shared" si="10"/>
        <v>534</v>
      </c>
      <c r="M179" s="8" t="str">
        <f>VLOOKUP(A179,'ESO wayshrine names'!$A$3:$B$967,2,)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8"/>
        <v>[180]=534,</v>
      </c>
      <c r="K180" s="3">
        <f t="shared" si="9"/>
        <v>180</v>
      </c>
      <c r="L180" s="3">
        <f t="shared" si="10"/>
        <v>534</v>
      </c>
      <c r="M180" s="8" t="str">
        <f>VLOOKUP(A180,'ESO wayshrine names'!$A$3:$B$967,2,)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8"/>
        <v>[181]=535,</v>
      </c>
      <c r="K181" s="3">
        <f t="shared" si="9"/>
        <v>181</v>
      </c>
      <c r="L181" s="3">
        <f t="shared" si="10"/>
        <v>535</v>
      </c>
      <c r="M181" s="8" t="str">
        <f>VLOOKUP(A181,'ESO wayshrine names'!$A$3:$B$967,2,)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8"/>
        <v>[182]=535,</v>
      </c>
      <c r="K182" s="3">
        <f t="shared" si="9"/>
        <v>182</v>
      </c>
      <c r="L182" s="3">
        <f t="shared" si="10"/>
        <v>535</v>
      </c>
      <c r="M182" s="8" t="str">
        <f>VLOOKUP(A182,'ESO wayshrine names'!$A$3:$B$967,2,)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8"/>
        <v>[183]=535,</v>
      </c>
      <c r="K183" s="3">
        <f t="shared" si="9"/>
        <v>183</v>
      </c>
      <c r="L183" s="3">
        <f t="shared" si="10"/>
        <v>535</v>
      </c>
      <c r="M183" s="8" t="str">
        <f>VLOOKUP(A183,'ESO wayshrine names'!$A$3:$B$967,2,)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8"/>
        <v>[184]=347,</v>
      </c>
      <c r="K184" s="3">
        <f t="shared" si="9"/>
        <v>184</v>
      </c>
      <c r="L184" s="3">
        <f t="shared" si="10"/>
        <v>347</v>
      </c>
      <c r="M184" s="8" t="str">
        <f>VLOOKUP(A184,'ESO wayshrine names'!$A$3:$B$967,2,)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8"/>
        <v>[185]=382,</v>
      </c>
      <c r="K185" s="3">
        <f t="shared" si="9"/>
        <v>185</v>
      </c>
      <c r="L185" s="3">
        <f t="shared" si="10"/>
        <v>382</v>
      </c>
      <c r="M185" s="8" t="str">
        <f>VLOOKUP(A185,'ESO wayshrine names'!$A$3:$B$967,2,)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8"/>
        <v>[186]=92,</v>
      </c>
      <c r="K186" s="3">
        <f t="shared" si="9"/>
        <v>186</v>
      </c>
      <c r="L186" s="3">
        <f t="shared" si="10"/>
        <v>92</v>
      </c>
      <c r="M186" s="8" t="str">
        <f>VLOOKUP(A186,'ESO wayshrine names'!$A$3:$B$967,2,)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8"/>
        <v>[187]=103,</v>
      </c>
      <c r="K187" s="3">
        <f t="shared" si="9"/>
        <v>187</v>
      </c>
      <c r="L187" s="3">
        <f t="shared" si="10"/>
        <v>103</v>
      </c>
      <c r="M187" s="8" t="str">
        <f>VLOOKUP(A187,'ESO wayshrine names'!$A$3:$B$967,2,)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8"/>
        <v>[188]=58,</v>
      </c>
      <c r="K188" s="3">
        <f t="shared" si="9"/>
        <v>188</v>
      </c>
      <c r="L188" s="3">
        <f t="shared" si="10"/>
        <v>58</v>
      </c>
      <c r="M188" s="8" t="str">
        <f>VLOOKUP(A188,'ESO wayshrine names'!$A$3:$B$967,2,)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8"/>
        <v>[189]=19,</v>
      </c>
      <c r="K189" s="3">
        <f t="shared" si="9"/>
        <v>189</v>
      </c>
      <c r="L189" s="3">
        <f t="shared" si="10"/>
        <v>19</v>
      </c>
      <c r="M189" s="8" t="str">
        <f>VLOOKUP(A189,'ESO wayshrine names'!$A$3:$B$967,2,)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8"/>
        <v>[190]=20,</v>
      </c>
      <c r="K190" s="3">
        <f t="shared" si="9"/>
        <v>190</v>
      </c>
      <c r="L190" s="3">
        <f t="shared" si="10"/>
        <v>20</v>
      </c>
      <c r="M190" s="8" t="str">
        <f>VLOOKUP(A190,'ESO wayshrine names'!$A$3:$B$967,2,)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8"/>
        <v>[191]=383,</v>
      </c>
      <c r="K191" s="3">
        <f t="shared" si="9"/>
        <v>191</v>
      </c>
      <c r="L191" s="3">
        <f t="shared" si="10"/>
        <v>383</v>
      </c>
      <c r="M191" s="8" t="str">
        <f>VLOOKUP(A191,'ESO wayshrine names'!$A$3:$B$967,2,)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8"/>
        <v>[192]=117,</v>
      </c>
      <c r="K192" s="3">
        <f t="shared" si="9"/>
        <v>192</v>
      </c>
      <c r="L192" s="3">
        <f t="shared" si="10"/>
        <v>117</v>
      </c>
      <c r="M192" s="8" t="str">
        <f>VLOOKUP(A192,'ESO wayshrine names'!$A$3:$B$967,2,)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8"/>
        <v>[193]=3,</v>
      </c>
      <c r="K193" s="3">
        <f t="shared" si="9"/>
        <v>193</v>
      </c>
      <c r="L193" s="3">
        <f t="shared" si="10"/>
        <v>3</v>
      </c>
      <c r="M193" s="8" t="str">
        <f>VLOOKUP(A193,'ESO wayshrine names'!$A$3:$B$967,2,)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8"/>
        <v>[194]=381,</v>
      </c>
      <c r="K194" s="3">
        <f t="shared" si="9"/>
        <v>194</v>
      </c>
      <c r="L194" s="3">
        <f t="shared" si="10"/>
        <v>381</v>
      </c>
      <c r="M194" s="8" t="str">
        <f>VLOOKUP(A194,'ESO wayshrine names'!$A$3:$B$967,2,)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11">IF(A195&lt;&gt;"",IF(F195&lt;&gt;"",IF(OR(ISNA(A195),ISNA(F195)),"","["&amp;A195&amp;"]="&amp;F195&amp;","),""),"")</f>
        <v>[195]=101,</v>
      </c>
      <c r="K195" s="3">
        <f t="shared" si="9"/>
        <v>195</v>
      </c>
      <c r="L195" s="3">
        <f t="shared" si="10"/>
        <v>101</v>
      </c>
      <c r="M195" s="8" t="str">
        <f>VLOOKUP(A195,'ESO wayshrine names'!$A$3:$B$967,2,)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11"/>
        <v>[196]=104,</v>
      </c>
      <c r="K196" s="3">
        <f t="shared" ref="K196:K259" si="12">A196</f>
        <v>196</v>
      </c>
      <c r="L196" s="3">
        <f t="shared" ref="L196:L259" si="13">F196</f>
        <v>104</v>
      </c>
      <c r="M196" s="8" t="str">
        <f>VLOOKUP(A196,'ESO wayshrine names'!$A$3:$B$967,2,)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11"/>
        <v>[197]=108,</v>
      </c>
      <c r="K197" s="3">
        <f t="shared" si="12"/>
        <v>197</v>
      </c>
      <c r="L197" s="3">
        <f t="shared" si="13"/>
        <v>108</v>
      </c>
      <c r="M197" s="8" t="str">
        <f>VLOOKUP(A197,'ESO wayshrine names'!$A$3:$B$967,2,)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11"/>
        <v>[198]=57,</v>
      </c>
      <c r="K198" s="3">
        <f t="shared" si="12"/>
        <v>198</v>
      </c>
      <c r="L198" s="3">
        <f t="shared" si="13"/>
        <v>57</v>
      </c>
      <c r="M198" s="8" t="str">
        <f>VLOOKUP(A198,'ESO wayshrine names'!$A$3:$B$967,2,)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11"/>
        <v>[199]=181,</v>
      </c>
      <c r="K199" s="3">
        <f t="shared" si="12"/>
        <v>199</v>
      </c>
      <c r="L199" s="3">
        <f t="shared" si="13"/>
        <v>181</v>
      </c>
      <c r="M199" s="8" t="str">
        <f>VLOOKUP(A199,'ESO wayshrine names'!$A$3:$B$967,2,)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11"/>
        <v>[200]=181,</v>
      </c>
      <c r="K200" s="3">
        <f t="shared" si="12"/>
        <v>200</v>
      </c>
      <c r="L200" s="3">
        <f t="shared" si="13"/>
        <v>181</v>
      </c>
      <c r="M200" s="8" t="str">
        <f>VLOOKUP(A200,'ESO wayshrine names'!$A$3:$B$967,2,)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11"/>
        <v>[201]=181,</v>
      </c>
      <c r="K201" s="3">
        <f t="shared" si="12"/>
        <v>201</v>
      </c>
      <c r="L201" s="3">
        <f t="shared" si="13"/>
        <v>181</v>
      </c>
      <c r="M201" s="8" t="str">
        <f>VLOOKUP(A201,'ESO wayshrine names'!$A$3:$B$967,2,)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11"/>
        <v>[202]=181,</v>
      </c>
      <c r="K202" s="3">
        <f t="shared" si="12"/>
        <v>202</v>
      </c>
      <c r="L202" s="3">
        <f t="shared" si="13"/>
        <v>181</v>
      </c>
      <c r="M202" s="8" t="str">
        <f>VLOOKUP(A202,'ESO wayshrine names'!$A$3:$B$967,2,)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11"/>
        <v>[203]=181,</v>
      </c>
      <c r="K203" s="3">
        <f t="shared" si="12"/>
        <v>203</v>
      </c>
      <c r="L203" s="3">
        <f t="shared" si="13"/>
        <v>181</v>
      </c>
      <c r="M203" s="8" t="str">
        <f>VLOOKUP(A203,'ESO wayshrine names'!$A$3:$B$967,2,)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11"/>
        <v>[204]=92,</v>
      </c>
      <c r="K204" s="3">
        <f t="shared" si="12"/>
        <v>204</v>
      </c>
      <c r="L204" s="3">
        <f t="shared" si="13"/>
        <v>92</v>
      </c>
      <c r="M204" s="8" t="str">
        <f>VLOOKUP(A204,'ESO wayshrine names'!$A$3:$B$967,2,)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11"/>
        <v>[205]=57,</v>
      </c>
      <c r="K205" s="3">
        <f t="shared" si="12"/>
        <v>205</v>
      </c>
      <c r="L205" s="3">
        <f t="shared" si="13"/>
        <v>57</v>
      </c>
      <c r="M205" s="8" t="str">
        <f>VLOOKUP(A205,'ESO wayshrine names'!$A$3:$B$967,2,)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11"/>
        <v>[206]=92,</v>
      </c>
      <c r="K206" s="3">
        <f t="shared" si="12"/>
        <v>206</v>
      </c>
      <c r="L206" s="3">
        <f t="shared" si="13"/>
        <v>92</v>
      </c>
      <c r="M206" s="8" t="str">
        <f>VLOOKUP(A206,'ESO wayshrine names'!$A$3:$B$967,2,)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11"/>
        <v>[207]=383,</v>
      </c>
      <c r="K207" s="3">
        <f t="shared" si="12"/>
        <v>207</v>
      </c>
      <c r="L207" s="3">
        <f t="shared" si="13"/>
        <v>383</v>
      </c>
      <c r="M207" s="8" t="str">
        <f>VLOOKUP(A207,'ESO wayshrine names'!$A$3:$B$967,2,)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11"/>
        <v>[208]=20,</v>
      </c>
      <c r="K208" s="3">
        <f t="shared" si="12"/>
        <v>208</v>
      </c>
      <c r="L208" s="3">
        <f t="shared" si="13"/>
        <v>20</v>
      </c>
      <c r="M208" s="8" t="str">
        <f>VLOOKUP(A208,'ESO wayshrine names'!$A$3:$B$967,2,)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11"/>
        <v>[210]=3,</v>
      </c>
      <c r="K209" s="3">
        <f t="shared" si="12"/>
        <v>210</v>
      </c>
      <c r="L209" s="3">
        <f t="shared" si="13"/>
        <v>3</v>
      </c>
      <c r="M209" s="8" t="str">
        <f>VLOOKUP(A209,'ESO wayshrine names'!$A$3:$B$967,2,)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11"/>
        <v>[211]=381,</v>
      </c>
      <c r="K210" s="3">
        <f t="shared" si="12"/>
        <v>211</v>
      </c>
      <c r="L210" s="3">
        <f t="shared" si="13"/>
        <v>381</v>
      </c>
      <c r="M210" s="8" t="str">
        <f>VLOOKUP(A210,'ESO wayshrine names'!$A$3:$B$967,2,)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11"/>
        <v>[212]=41,</v>
      </c>
      <c r="K211" s="3">
        <f t="shared" si="12"/>
        <v>212</v>
      </c>
      <c r="L211" s="3">
        <f t="shared" si="13"/>
        <v>41</v>
      </c>
      <c r="M211" s="8" t="str">
        <f>VLOOKUP(A211,'ESO wayshrine names'!$A$3:$B$967,2,)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11"/>
        <v>[213]=383,</v>
      </c>
      <c r="K212" s="3">
        <f t="shared" si="12"/>
        <v>213</v>
      </c>
      <c r="L212" s="3">
        <f t="shared" si="13"/>
        <v>383</v>
      </c>
      <c r="M212" s="8" t="str">
        <f>VLOOKUP(A212,'ESO wayshrine names'!$A$3:$B$967,2,)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11"/>
        <v>[214]=383,</v>
      </c>
      <c r="K213" s="3">
        <f t="shared" si="12"/>
        <v>214</v>
      </c>
      <c r="L213" s="3">
        <f t="shared" si="13"/>
        <v>383</v>
      </c>
      <c r="M213" s="8" t="str">
        <f>VLOOKUP(A213,'ESO wayshrine names'!$A$3:$B$967,2,)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11"/>
        <v>[216]=3,</v>
      </c>
      <c r="K214" s="3">
        <f t="shared" si="12"/>
        <v>216</v>
      </c>
      <c r="L214" s="3">
        <f t="shared" si="13"/>
        <v>3</v>
      </c>
      <c r="M214" s="8" t="str">
        <f>VLOOKUP(A214,'ESO wayshrine names'!$A$3:$B$967,2,)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11"/>
        <v>[217]=888,</v>
      </c>
      <c r="K215" s="3">
        <f t="shared" si="12"/>
        <v>217</v>
      </c>
      <c r="L215" s="3">
        <f t="shared" si="13"/>
        <v>888</v>
      </c>
      <c r="M215" s="8" t="str">
        <f>VLOOKUP(A215,'ESO wayshrine names'!$A$3:$B$967,2,)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11"/>
        <v>[218]=888,</v>
      </c>
      <c r="K216" s="3">
        <f t="shared" si="12"/>
        <v>218</v>
      </c>
      <c r="L216" s="3">
        <f t="shared" si="13"/>
        <v>888</v>
      </c>
      <c r="M216" s="8" t="str">
        <f>VLOOKUP(A216,'ESO wayshrine names'!$A$3:$B$967,2,)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11"/>
        <v>[219]=888,</v>
      </c>
      <c r="K217" s="3">
        <f t="shared" si="12"/>
        <v>219</v>
      </c>
      <c r="L217" s="3">
        <f t="shared" si="13"/>
        <v>888</v>
      </c>
      <c r="M217" s="8" t="str">
        <f>VLOOKUP(A217,'ESO wayshrine names'!$A$3:$B$967,2,)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11"/>
        <v>[220]=888,</v>
      </c>
      <c r="K218" s="3">
        <f t="shared" si="12"/>
        <v>220</v>
      </c>
      <c r="L218" s="3">
        <f t="shared" si="13"/>
        <v>888</v>
      </c>
      <c r="M218" s="8" t="str">
        <f>VLOOKUP(A218,'ESO wayshrine names'!$A$3:$B$967,2,)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11"/>
        <v>[225]=888,</v>
      </c>
      <c r="K219" s="3">
        <f t="shared" si="12"/>
        <v>225</v>
      </c>
      <c r="L219" s="3">
        <f t="shared" si="13"/>
        <v>888</v>
      </c>
      <c r="M219" s="8" t="str">
        <f>VLOOKUP(A219,'ESO wayshrine names'!$A$3:$B$967,2,)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11"/>
        <v>[226]=888,</v>
      </c>
      <c r="K220" s="3">
        <f t="shared" si="12"/>
        <v>226</v>
      </c>
      <c r="L220" s="3">
        <f t="shared" si="13"/>
        <v>888</v>
      </c>
      <c r="M220" s="8" t="str">
        <f>VLOOKUP(A220,'ESO wayshrine names'!$A$3:$B$967,2,)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11"/>
        <v>[227]=888,</v>
      </c>
      <c r="K221" s="3">
        <f t="shared" si="12"/>
        <v>227</v>
      </c>
      <c r="L221" s="3">
        <f t="shared" si="13"/>
        <v>888</v>
      </c>
      <c r="M221" s="8" t="str">
        <f>VLOOKUP(A221,'ESO wayshrine names'!$A$3:$B$967,2,)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11"/>
        <v>[229]=888,</v>
      </c>
      <c r="K222" s="3">
        <f t="shared" si="12"/>
        <v>229</v>
      </c>
      <c r="L222" s="3">
        <f t="shared" si="13"/>
        <v>888</v>
      </c>
      <c r="M222" s="8" t="str">
        <f>VLOOKUP(A222,'ESO wayshrine names'!$A$3:$B$967,2,)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11"/>
        <v>[230]=888,</v>
      </c>
      <c r="K223" s="3">
        <f t="shared" si="12"/>
        <v>230</v>
      </c>
      <c r="L223" s="3">
        <f t="shared" si="13"/>
        <v>888</v>
      </c>
      <c r="M223" s="8" t="str">
        <f>VLOOKUP(A223,'ESO wayshrine names'!$A$3:$B$967,2,)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11"/>
        <v>[231]=888,</v>
      </c>
      <c r="K224" s="3">
        <f t="shared" si="12"/>
        <v>231</v>
      </c>
      <c r="L224" s="3">
        <f t="shared" si="13"/>
        <v>888</v>
      </c>
      <c r="M224" s="8" t="str">
        <f>VLOOKUP(A224,'ESO wayshrine names'!$A$3:$B$967,2,)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11"/>
        <v>[232]=888,</v>
      </c>
      <c r="K225" s="3">
        <f t="shared" si="12"/>
        <v>232</v>
      </c>
      <c r="L225" s="3">
        <f t="shared" si="13"/>
        <v>888</v>
      </c>
      <c r="M225" s="8" t="str">
        <f>VLOOKUP(A225,'ESO wayshrine names'!$A$3:$B$967,2,)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11"/>
        <v>[233]=888,</v>
      </c>
      <c r="K226" s="3">
        <f t="shared" si="12"/>
        <v>233</v>
      </c>
      <c r="L226" s="3">
        <f t="shared" si="13"/>
        <v>888</v>
      </c>
      <c r="M226" s="8" t="str">
        <f>VLOOKUP(A226,'ESO wayshrine names'!$A$3:$B$967,2,)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11"/>
        <v>[234]=888,</v>
      </c>
      <c r="K227" s="3">
        <f t="shared" si="12"/>
        <v>234</v>
      </c>
      <c r="L227" s="3">
        <f t="shared" si="13"/>
        <v>888</v>
      </c>
      <c r="M227" s="8" t="str">
        <f>VLOOKUP(A227,'ESO wayshrine names'!$A$3:$B$967,2,)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11"/>
        <v>[235]=888,</v>
      </c>
      <c r="K228" s="3">
        <f t="shared" si="12"/>
        <v>235</v>
      </c>
      <c r="L228" s="3">
        <f t="shared" si="13"/>
        <v>888</v>
      </c>
      <c r="M228" s="8" t="str">
        <f>VLOOKUP(A228,'ESO wayshrine names'!$A$3:$B$967,2,)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11"/>
        <v>[236]=181,</v>
      </c>
      <c r="K229" s="3">
        <f t="shared" si="12"/>
        <v>236</v>
      </c>
      <c r="L229" s="3">
        <f t="shared" si="13"/>
        <v>181</v>
      </c>
      <c r="M229" s="8" t="str">
        <f>VLOOKUP(A229,'ESO wayshrine names'!$A$3:$B$967,2,)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11"/>
        <v>[237]=684,</v>
      </c>
      <c r="K230" s="3">
        <f t="shared" si="12"/>
        <v>237</v>
      </c>
      <c r="L230" s="3">
        <f t="shared" si="13"/>
        <v>684</v>
      </c>
      <c r="M230" s="8" t="str">
        <f>VLOOKUP(A230,'ESO wayshrine names'!$A$3:$B$967,2,)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11"/>
        <v>[238]=684,</v>
      </c>
      <c r="K231" s="3">
        <f t="shared" si="12"/>
        <v>238</v>
      </c>
      <c r="L231" s="3">
        <f t="shared" si="13"/>
        <v>684</v>
      </c>
      <c r="M231" s="8" t="str">
        <f>VLOOKUP(A231,'ESO wayshrine names'!$A$3:$B$967,2,)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11"/>
        <v>[239]=684,</v>
      </c>
      <c r="K232" s="3">
        <f t="shared" si="12"/>
        <v>239</v>
      </c>
      <c r="L232" s="3">
        <f t="shared" si="13"/>
        <v>684</v>
      </c>
      <c r="M232" s="8" t="str">
        <f>VLOOKUP(A232,'ESO wayshrine names'!$A$3:$B$967,2,)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11"/>
        <v>[240]=684,</v>
      </c>
      <c r="K233" s="3">
        <f t="shared" si="12"/>
        <v>240</v>
      </c>
      <c r="L233" s="3">
        <f t="shared" si="13"/>
        <v>684</v>
      </c>
      <c r="M233" s="8" t="str">
        <f>VLOOKUP(A233,'ESO wayshrine names'!$A$3:$B$967,2,)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11"/>
        <v>[241]=684,</v>
      </c>
      <c r="K234" s="3">
        <f t="shared" si="12"/>
        <v>241</v>
      </c>
      <c r="L234" s="3">
        <f t="shared" si="13"/>
        <v>684</v>
      </c>
      <c r="M234" s="8" t="str">
        <f>VLOOKUP(A234,'ESO wayshrine names'!$A$3:$B$967,2,)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11"/>
        <v>[242]=684,</v>
      </c>
      <c r="K235" s="3">
        <f t="shared" si="12"/>
        <v>242</v>
      </c>
      <c r="L235" s="3">
        <f t="shared" si="13"/>
        <v>684</v>
      </c>
      <c r="M235" s="8" t="str">
        <f>VLOOKUP(A235,'ESO wayshrine names'!$A$3:$B$967,2,)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11"/>
        <v>[243]=684,</v>
      </c>
      <c r="K236" s="3">
        <f t="shared" si="12"/>
        <v>243</v>
      </c>
      <c r="L236" s="3">
        <f t="shared" si="13"/>
        <v>684</v>
      </c>
      <c r="M236" s="8" t="str">
        <f>VLOOKUP(A236,'ESO wayshrine names'!$A$3:$B$967,2,)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11"/>
        <v>[244]=684,</v>
      </c>
      <c r="K237" s="3">
        <f t="shared" si="12"/>
        <v>244</v>
      </c>
      <c r="L237" s="3">
        <f t="shared" si="13"/>
        <v>684</v>
      </c>
      <c r="M237" s="8" t="str">
        <f>VLOOKUP(A237,'ESO wayshrine names'!$A$3:$B$967,2,)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11"/>
        <v>[245]=684,</v>
      </c>
      <c r="K238" s="3">
        <f t="shared" si="12"/>
        <v>245</v>
      </c>
      <c r="L238" s="3">
        <f t="shared" si="13"/>
        <v>684</v>
      </c>
      <c r="M238" s="8" t="str">
        <f>VLOOKUP(A238,'ESO wayshrine names'!$A$3:$B$967,2,)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11"/>
        <v>[246]=684,</v>
      </c>
      <c r="K239" s="3">
        <f t="shared" si="12"/>
        <v>246</v>
      </c>
      <c r="L239" s="3">
        <f t="shared" si="13"/>
        <v>684</v>
      </c>
      <c r="M239" s="8" t="str">
        <f>VLOOKUP(A239,'ESO wayshrine names'!$A$3:$B$967,2,)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11"/>
        <v>[247]=181,</v>
      </c>
      <c r="K240" s="3">
        <f t="shared" si="12"/>
        <v>247</v>
      </c>
      <c r="L240" s="3">
        <f t="shared" si="13"/>
        <v>181</v>
      </c>
      <c r="M240" s="8" t="str">
        <f>VLOOKUP(A240,'ESO wayshrine names'!$A$3:$B$967,2,)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11"/>
        <v>[249]=684,</v>
      </c>
      <c r="K241" s="3">
        <f t="shared" si="12"/>
        <v>249</v>
      </c>
      <c r="L241" s="3">
        <f t="shared" si="13"/>
        <v>684</v>
      </c>
      <c r="M241" s="8" t="str">
        <f>VLOOKUP(A241,'ESO wayshrine names'!$A$3:$B$967,2,)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11"/>
        <v>[250]=684,</v>
      </c>
      <c r="K242" s="3">
        <f t="shared" si="12"/>
        <v>250</v>
      </c>
      <c r="L242" s="3">
        <f t="shared" si="13"/>
        <v>684</v>
      </c>
      <c r="M242" s="8" t="str">
        <f>VLOOKUP(A242,'ESO wayshrine names'!$A$3:$B$967,2,)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11"/>
        <v>[251]=823,</v>
      </c>
      <c r="K243" s="3">
        <f t="shared" si="12"/>
        <v>251</v>
      </c>
      <c r="L243" s="3">
        <f t="shared" si="13"/>
        <v>823</v>
      </c>
      <c r="M243" s="8" t="str">
        <f>VLOOKUP(A243,'ESO wayshrine names'!$A$3:$B$967,2,)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11"/>
        <v>[252]=823,</v>
      </c>
      <c r="K244" s="3">
        <f t="shared" si="12"/>
        <v>252</v>
      </c>
      <c r="L244" s="3">
        <f t="shared" si="13"/>
        <v>823</v>
      </c>
      <c r="M244" s="8" t="str">
        <f>VLOOKUP(A244,'ESO wayshrine names'!$A$3:$B$967,2,)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11"/>
        <v>[253]=823,</v>
      </c>
      <c r="K245" s="3">
        <f t="shared" si="12"/>
        <v>253</v>
      </c>
      <c r="L245" s="3">
        <f t="shared" si="13"/>
        <v>823</v>
      </c>
      <c r="M245" s="8" t="str">
        <f>VLOOKUP(A245,'ESO wayshrine names'!$A$3:$B$967,2,)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11"/>
        <v>[254]=823,</v>
      </c>
      <c r="K246" s="3">
        <f t="shared" si="12"/>
        <v>254</v>
      </c>
      <c r="L246" s="3">
        <f t="shared" si="13"/>
        <v>823</v>
      </c>
      <c r="M246" s="8" t="str">
        <f>VLOOKUP(A246,'ESO wayshrine names'!$A$3:$B$967,2,)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11"/>
        <v>[255]=816,</v>
      </c>
      <c r="K247" s="3">
        <f t="shared" si="12"/>
        <v>255</v>
      </c>
      <c r="L247" s="3">
        <f t="shared" si="13"/>
        <v>816</v>
      </c>
      <c r="M247" s="8" t="str">
        <f>VLOOKUP(A247,'ESO wayshrine names'!$A$3:$B$967,2,)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11"/>
        <v>[256]=816,</v>
      </c>
      <c r="K248" s="3">
        <f t="shared" si="12"/>
        <v>256</v>
      </c>
      <c r="L248" s="3">
        <f t="shared" si="13"/>
        <v>816</v>
      </c>
      <c r="M248" s="8" t="str">
        <f>VLOOKUP(A248,'ESO wayshrine names'!$A$3:$B$967,2,)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11"/>
        <v>[257]=816,</v>
      </c>
      <c r="K249" s="3">
        <f t="shared" si="12"/>
        <v>257</v>
      </c>
      <c r="L249" s="3">
        <f t="shared" si="13"/>
        <v>816</v>
      </c>
      <c r="M249" s="8" t="str">
        <f>VLOOKUP(A249,'ESO wayshrine names'!$A$3:$B$967,2,)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11"/>
        <v>[258]=382,</v>
      </c>
      <c r="K250" s="3">
        <f t="shared" si="12"/>
        <v>258</v>
      </c>
      <c r="L250" s="3">
        <f t="shared" si="13"/>
        <v>382</v>
      </c>
      <c r="M250" s="8" t="str">
        <f>VLOOKUP(A250,'ESO wayshrine names'!$A$3:$B$967,2,)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11"/>
        <v>[260]=117,</v>
      </c>
      <c r="K251" s="3">
        <f t="shared" si="12"/>
        <v>260</v>
      </c>
      <c r="L251" s="3">
        <f t="shared" si="13"/>
        <v>117</v>
      </c>
      <c r="M251" s="8" t="str">
        <f>VLOOKUP(A251,'ESO wayshrine names'!$A$3:$B$967,2,)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11"/>
        <v>[261]=117,</v>
      </c>
      <c r="K252" s="3">
        <f t="shared" si="12"/>
        <v>261</v>
      </c>
      <c r="L252" s="3">
        <f t="shared" si="13"/>
        <v>117</v>
      </c>
      <c r="M252" s="8" t="str">
        <f>VLOOKUP(A252,'ESO wayshrine names'!$A$3:$B$967,2,)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11"/>
        <v>[262]=381,</v>
      </c>
      <c r="K253" s="3">
        <f t="shared" si="12"/>
        <v>262</v>
      </c>
      <c r="L253" s="3">
        <f t="shared" si="13"/>
        <v>381</v>
      </c>
      <c r="M253" s="8" t="str">
        <f>VLOOKUP(A253,'ESO wayshrine names'!$A$3:$B$967,2,)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11"/>
        <v>[263]=19,</v>
      </c>
      <c r="K254" s="3">
        <f t="shared" si="12"/>
        <v>263</v>
      </c>
      <c r="L254" s="3">
        <f t="shared" si="13"/>
        <v>19</v>
      </c>
      <c r="M254" s="8" t="str">
        <f>VLOOKUP(A254,'ESO wayshrine names'!$A$3:$B$967,2,)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11"/>
        <v>[264]=57,</v>
      </c>
      <c r="K255" s="3">
        <f t="shared" si="12"/>
        <v>264</v>
      </c>
      <c r="L255" s="3">
        <f t="shared" si="13"/>
        <v>57</v>
      </c>
      <c r="M255" s="8" t="str">
        <f>VLOOKUP(A255,'ESO wayshrine names'!$A$3:$B$967,2,)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11"/>
        <v>[265]=383,</v>
      </c>
      <c r="K256" s="3">
        <f t="shared" si="12"/>
        <v>265</v>
      </c>
      <c r="L256" s="3">
        <f t="shared" si="13"/>
        <v>383</v>
      </c>
      <c r="M256" s="8" t="str">
        <f>VLOOKUP(A256,'ESO wayshrine names'!$A$3:$B$967,2,)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11"/>
        <v>[266]=41,</v>
      </c>
      <c r="K257" s="3">
        <f t="shared" si="12"/>
        <v>266</v>
      </c>
      <c r="L257" s="3">
        <f t="shared" si="13"/>
        <v>41</v>
      </c>
      <c r="M257" s="8" t="str">
        <f>VLOOKUP(A257,'ESO wayshrine names'!$A$3:$B$967,2,)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11"/>
        <v>[267]=3,</v>
      </c>
      <c r="K258" s="3">
        <f t="shared" si="12"/>
        <v>267</v>
      </c>
      <c r="L258" s="3">
        <f t="shared" si="13"/>
        <v>3</v>
      </c>
      <c r="M258" s="8" t="str">
        <f>VLOOKUP(A258,'ESO wayshrine names'!$A$3:$B$967,2,)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4">IF(A259&lt;&gt;"",IF(F259&lt;&gt;"",IF(OR(ISNA(A259),ISNA(F259)),"","["&amp;A259&amp;"]="&amp;F259&amp;","),""),"")</f>
        <v>[268]=108,</v>
      </c>
      <c r="K259" s="3">
        <f t="shared" si="12"/>
        <v>268</v>
      </c>
      <c r="L259" s="3">
        <f t="shared" si="13"/>
        <v>108</v>
      </c>
      <c r="M259" s="8" t="str">
        <f>VLOOKUP(A259,'ESO wayshrine names'!$A$3:$B$967,2,)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4"/>
        <v>[269]=20,</v>
      </c>
      <c r="K260" s="3">
        <f t="shared" ref="K260:K323" si="15">A260</f>
        <v>269</v>
      </c>
      <c r="L260" s="3">
        <f t="shared" ref="L260:L323" si="16">F260</f>
        <v>20</v>
      </c>
      <c r="M260" s="8" t="str">
        <f>VLOOKUP(A260,'ESO wayshrine names'!$A$3:$B$967,2,)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4"/>
        <v>[270]=888,</v>
      </c>
      <c r="K261" s="3">
        <f t="shared" si="15"/>
        <v>270</v>
      </c>
      <c r="L261" s="3">
        <f t="shared" si="16"/>
        <v>888</v>
      </c>
      <c r="M261" s="8" t="str">
        <f>VLOOKUP(A261,'ESO wayshrine names'!$A$3:$B$967,2,)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4"/>
        <v>[272]=849,</v>
      </c>
      <c r="K262" s="3">
        <f t="shared" si="15"/>
        <v>272</v>
      </c>
      <c r="L262" s="3">
        <f t="shared" si="16"/>
        <v>849</v>
      </c>
      <c r="M262" s="8" t="str">
        <f>VLOOKUP(A262,'ESO wayshrine names'!$A$3:$B$967,2,)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4"/>
        <v>[273]=849,</v>
      </c>
      <c r="K263" s="3">
        <f t="shared" si="15"/>
        <v>273</v>
      </c>
      <c r="L263" s="3">
        <f t="shared" si="16"/>
        <v>849</v>
      </c>
      <c r="M263" s="8" t="str">
        <f>VLOOKUP(A263,'ESO wayshrine names'!$A$3:$B$967,2,)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4"/>
        <v>[274]=849,</v>
      </c>
      <c r="K264" s="3">
        <f t="shared" si="15"/>
        <v>274</v>
      </c>
      <c r="L264" s="3">
        <f t="shared" si="16"/>
        <v>849</v>
      </c>
      <c r="M264" s="8" t="str">
        <f>VLOOKUP(A264,'ESO wayshrine names'!$A$3:$B$967,2,)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4"/>
        <v>[275]=849,</v>
      </c>
      <c r="K265" s="3">
        <f t="shared" si="15"/>
        <v>275</v>
      </c>
      <c r="L265" s="3">
        <f t="shared" si="16"/>
        <v>849</v>
      </c>
      <c r="M265" s="8" t="str">
        <f>VLOOKUP(A265,'ESO wayshrine names'!$A$3:$B$967,2,)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4"/>
        <v>[276]=849,</v>
      </c>
      <c r="K266" s="3">
        <f t="shared" si="15"/>
        <v>276</v>
      </c>
      <c r="L266" s="3">
        <f t="shared" si="16"/>
        <v>849</v>
      </c>
      <c r="M266" s="8" t="str">
        <f>VLOOKUP(A266,'ESO wayshrine names'!$A$3:$B$967,2,)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4"/>
        <v>[277]=849,</v>
      </c>
      <c r="K267" s="3">
        <f t="shared" si="15"/>
        <v>277</v>
      </c>
      <c r="L267" s="3">
        <f t="shared" si="16"/>
        <v>849</v>
      </c>
      <c r="M267" s="8" t="str">
        <f>VLOOKUP(A267,'ESO wayshrine names'!$A$3:$B$967,2,)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4"/>
        <v>[278]=849,</v>
      </c>
      <c r="K268" s="3">
        <f t="shared" si="15"/>
        <v>278</v>
      </c>
      <c r="L268" s="3">
        <f t="shared" si="16"/>
        <v>849</v>
      </c>
      <c r="M268" s="8" t="str">
        <f>VLOOKUP(A268,'ESO wayshrine names'!$A$3:$B$967,2,)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4"/>
        <v>[279]=849,</v>
      </c>
      <c r="K269" s="3">
        <f t="shared" si="15"/>
        <v>279</v>
      </c>
      <c r="L269" s="3">
        <f t="shared" si="16"/>
        <v>849</v>
      </c>
      <c r="M269" s="8" t="str">
        <f>VLOOKUP(A269,'ESO wayshrine names'!$A$3:$B$967,2,)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4"/>
        <v>[280]=849,</v>
      </c>
      <c r="K270" s="3">
        <f t="shared" si="15"/>
        <v>280</v>
      </c>
      <c r="L270" s="3">
        <f t="shared" si="16"/>
        <v>849</v>
      </c>
      <c r="M270" s="8" t="str">
        <f>VLOOKUP(A270,'ESO wayshrine names'!$A$3:$B$967,2,)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4"/>
        <v>[281]=849,</v>
      </c>
      <c r="K271" s="3">
        <f t="shared" si="15"/>
        <v>281</v>
      </c>
      <c r="L271" s="3">
        <f t="shared" si="16"/>
        <v>849</v>
      </c>
      <c r="M271" s="8" t="str">
        <f>VLOOKUP(A271,'ESO wayshrine names'!$A$3:$B$967,2,)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4"/>
        <v>[282]=849,</v>
      </c>
      <c r="K272" s="3">
        <f t="shared" si="15"/>
        <v>282</v>
      </c>
      <c r="L272" s="3">
        <f t="shared" si="16"/>
        <v>849</v>
      </c>
      <c r="M272" s="8" t="str">
        <f>VLOOKUP(A272,'ESO wayshrine names'!$A$3:$B$967,2,)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4"/>
        <v>[284]=849,</v>
      </c>
      <c r="K273" s="3">
        <f t="shared" si="15"/>
        <v>284</v>
      </c>
      <c r="L273" s="3">
        <f t="shared" si="16"/>
        <v>849</v>
      </c>
      <c r="M273" s="8" t="str">
        <f>VLOOKUP(A273,'ESO wayshrine names'!$A$3:$B$967,2,)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4"/>
        <v>[285]=381,</v>
      </c>
      <c r="K274" s="3">
        <f t="shared" si="15"/>
        <v>285</v>
      </c>
      <c r="L274" s="3">
        <f t="shared" si="16"/>
        <v>381</v>
      </c>
      <c r="M274" s="8" t="str">
        <f>VLOOKUP(A274,'ESO wayshrine names'!$A$3:$B$967,2,)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4"/>
        <v>[286]=104,</v>
      </c>
      <c r="K275" s="3">
        <f t="shared" si="15"/>
        <v>286</v>
      </c>
      <c r="L275" s="3">
        <f t="shared" si="16"/>
        <v>104</v>
      </c>
      <c r="M275" s="8" t="str">
        <f>VLOOKUP(A275,'ESO wayshrine names'!$A$3:$B$967,2,)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4"/>
        <v>[287]=57,</v>
      </c>
      <c r="K276" s="3">
        <f t="shared" si="15"/>
        <v>287</v>
      </c>
      <c r="L276" s="3">
        <f t="shared" si="16"/>
        <v>57</v>
      </c>
      <c r="M276" s="8" t="str">
        <f>VLOOKUP(A276,'ESO wayshrine names'!$A$3:$B$967,2,)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4"/>
        <v>[288]=381,</v>
      </c>
      <c r="K277" s="3">
        <f t="shared" si="15"/>
        <v>288</v>
      </c>
      <c r="L277" s="3">
        <f t="shared" si="16"/>
        <v>381</v>
      </c>
      <c r="M277" s="8" t="str">
        <f>VLOOKUP(A277,'ESO wayshrine names'!$A$3:$B$967,2,)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4"/>
        <v>[289]=3,</v>
      </c>
      <c r="K278" s="3">
        <f t="shared" si="15"/>
        <v>289</v>
      </c>
      <c r="L278" s="3">
        <f t="shared" si="16"/>
        <v>3</v>
      </c>
      <c r="M278" s="8" t="str">
        <f>VLOOKUP(A278,'ESO wayshrine names'!$A$3:$B$967,2,)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4"/>
        <v>[290]=41,</v>
      </c>
      <c r="K279" s="3">
        <f t="shared" si="15"/>
        <v>290</v>
      </c>
      <c r="L279" s="3">
        <f t="shared" si="16"/>
        <v>41</v>
      </c>
      <c r="M279" s="8" t="str">
        <f>VLOOKUP(A279,'ESO wayshrine names'!$A$3:$B$967,2,)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4"/>
        <v>[291]=382,</v>
      </c>
      <c r="K280" s="3">
        <f t="shared" si="15"/>
        <v>291</v>
      </c>
      <c r="L280" s="3">
        <f t="shared" si="16"/>
        <v>382</v>
      </c>
      <c r="M280" s="8" t="str">
        <f>VLOOKUP(A280,'ESO wayshrine names'!$A$3:$B$967,2,)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4"/>
        <v>[292]=3,</v>
      </c>
      <c r="K281" s="3">
        <f t="shared" si="15"/>
        <v>292</v>
      </c>
      <c r="L281" s="3">
        <f t="shared" si="16"/>
        <v>3</v>
      </c>
      <c r="M281" s="8" t="str">
        <f>VLOOKUP(A281,'ESO wayshrine names'!$A$3:$B$967,2,)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4"/>
        <v>[293]=41,</v>
      </c>
      <c r="K282" s="3">
        <f t="shared" si="15"/>
        <v>293</v>
      </c>
      <c r="L282" s="3">
        <f t="shared" si="16"/>
        <v>41</v>
      </c>
      <c r="M282" s="8" t="str">
        <f>VLOOKUP(A282,'ESO wayshrine names'!$A$3:$B$967,2,)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4"/>
        <v>[294]=58,</v>
      </c>
      <c r="K283" s="3">
        <f t="shared" si="15"/>
        <v>294</v>
      </c>
      <c r="L283" s="3">
        <f t="shared" si="16"/>
        <v>58</v>
      </c>
      <c r="M283" s="8" t="str">
        <f>VLOOKUP(A283,'ESO wayshrine names'!$A$3:$B$967,2,)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4"/>
        <v>[295]=281,</v>
      </c>
      <c r="K284" s="3">
        <f t="shared" si="15"/>
        <v>295</v>
      </c>
      <c r="L284" s="3">
        <f t="shared" si="16"/>
        <v>281</v>
      </c>
      <c r="M284" s="8" t="str">
        <f>VLOOKUP(A284,'ESO wayshrine names'!$A$3:$B$967,2,)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4"/>
        <v>[296]=383,</v>
      </c>
      <c r="K285" s="3">
        <f t="shared" si="15"/>
        <v>296</v>
      </c>
      <c r="L285" s="3">
        <f t="shared" si="16"/>
        <v>383</v>
      </c>
      <c r="M285" s="8" t="str">
        <f>VLOOKUP(A285,'ESO wayshrine names'!$A$3:$B$967,2,)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4"/>
        <v>[297]=3,</v>
      </c>
      <c r="K286" s="3">
        <f t="shared" si="15"/>
        <v>297</v>
      </c>
      <c r="L286" s="3">
        <f t="shared" si="16"/>
        <v>3</v>
      </c>
      <c r="M286" s="8" t="str">
        <f>VLOOKUP(A286,'ESO wayshrine names'!$A$3:$B$967,2,)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4"/>
        <v>[298]=41,</v>
      </c>
      <c r="K287" s="3">
        <f t="shared" si="15"/>
        <v>298</v>
      </c>
      <c r="L287" s="3">
        <f t="shared" si="16"/>
        <v>41</v>
      </c>
      <c r="M287" s="8" t="str">
        <f>VLOOKUP(A287,'ESO wayshrine names'!$A$3:$B$967,2,)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4"/>
        <v>[299]=58,</v>
      </c>
      <c r="K288" s="3">
        <f t="shared" si="15"/>
        <v>299</v>
      </c>
      <c r="L288" s="3">
        <f t="shared" si="16"/>
        <v>58</v>
      </c>
      <c r="M288" s="8" t="str">
        <f>VLOOKUP(A288,'ESO wayshrine names'!$A$3:$B$967,2,)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4"/>
        <v>[300]=537,</v>
      </c>
      <c r="K289" s="3">
        <f t="shared" si="15"/>
        <v>300</v>
      </c>
      <c r="L289" s="3">
        <f t="shared" si="16"/>
        <v>537</v>
      </c>
      <c r="M289" s="8" t="str">
        <f>VLOOKUP(A289,'ESO wayshrine names'!$A$3:$B$967,2,)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4"/>
        <v>[301]=103,</v>
      </c>
      <c r="K290" s="3">
        <f t="shared" si="15"/>
        <v>301</v>
      </c>
      <c r="L290" s="3">
        <f t="shared" si="16"/>
        <v>103</v>
      </c>
      <c r="M290" s="8" t="str">
        <f>VLOOKUP(A290,'ESO wayshrine names'!$A$3:$B$967,2,)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4"/>
        <v>[302]=19,</v>
      </c>
      <c r="K291" s="3">
        <f t="shared" si="15"/>
        <v>302</v>
      </c>
      <c r="L291" s="3">
        <f t="shared" si="16"/>
        <v>19</v>
      </c>
      <c r="M291" s="8" t="str">
        <f>VLOOKUP(A291,'ESO wayshrine names'!$A$3:$B$967,2,)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4"/>
        <v>[303]=92,</v>
      </c>
      <c r="K292" s="3">
        <f t="shared" si="15"/>
        <v>303</v>
      </c>
      <c r="L292" s="3">
        <f t="shared" si="16"/>
        <v>92</v>
      </c>
      <c r="M292" s="8" t="str">
        <f>VLOOKUP(A292,'ESO wayshrine names'!$A$3:$B$967,2,)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4"/>
        <v>[304]=108,</v>
      </c>
      <c r="K293" s="3">
        <f t="shared" si="15"/>
        <v>304</v>
      </c>
      <c r="L293" s="3">
        <f t="shared" si="16"/>
        <v>108</v>
      </c>
      <c r="M293" s="8" t="str">
        <f>VLOOKUP(A293,'ESO wayshrine names'!$A$3:$B$967,2,)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4"/>
        <v>[305]=117,</v>
      </c>
      <c r="K294" s="3">
        <f t="shared" si="15"/>
        <v>305</v>
      </c>
      <c r="L294" s="3">
        <f t="shared" si="16"/>
        <v>117</v>
      </c>
      <c r="M294" s="8" t="str">
        <f>VLOOKUP(A294,'ESO wayshrine names'!$A$3:$B$967,2,)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4"/>
        <v>[306]=108,</v>
      </c>
      <c r="K295" s="3">
        <f t="shared" si="15"/>
        <v>306</v>
      </c>
      <c r="L295" s="3">
        <f t="shared" si="16"/>
        <v>108</v>
      </c>
      <c r="M295" s="8" t="str">
        <f>VLOOKUP(A295,'ESO wayshrine names'!$A$3:$B$967,2,)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4"/>
        <v>[307]=20,</v>
      </c>
      <c r="K296" s="3">
        <f t="shared" si="15"/>
        <v>307</v>
      </c>
      <c r="L296" s="3">
        <f t="shared" si="16"/>
        <v>20</v>
      </c>
      <c r="M296" s="8" t="str">
        <f>VLOOKUP(A296,'ESO wayshrine names'!$A$3:$B$967,2,)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4"/>
        <v>[309]=57,</v>
      </c>
      <c r="K297" s="3">
        <f t="shared" si="15"/>
        <v>309</v>
      </c>
      <c r="L297" s="3">
        <f t="shared" si="16"/>
        <v>57</v>
      </c>
      <c r="M297" s="8" t="str">
        <f>VLOOKUP(A297,'ESO wayshrine names'!$A$3:$B$967,2,)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4"/>
        <v>[310]=888,</v>
      </c>
      <c r="K298" s="3">
        <f t="shared" si="15"/>
        <v>310</v>
      </c>
      <c r="L298" s="3">
        <f t="shared" si="16"/>
        <v>888</v>
      </c>
      <c r="M298" s="8" t="str">
        <f>VLOOKUP(A298,'ESO wayshrine names'!$A$3:$B$967,2,)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4"/>
        <v>[311]=382,</v>
      </c>
      <c r="K299" s="3">
        <f t="shared" si="15"/>
        <v>311</v>
      </c>
      <c r="L299" s="3">
        <f t="shared" si="16"/>
        <v>382</v>
      </c>
      <c r="M299" s="8" t="str">
        <f>VLOOKUP(A299,'ESO wayshrine names'!$A$3:$B$967,2,)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4"/>
        <v>[312]=101,</v>
      </c>
      <c r="K300" s="3">
        <f t="shared" si="15"/>
        <v>312</v>
      </c>
      <c r="L300" s="3">
        <f t="shared" si="16"/>
        <v>101</v>
      </c>
      <c r="M300" s="8" t="str">
        <f>VLOOKUP(A300,'ESO wayshrine names'!$A$3:$B$967,2,)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4"/>
        <v>[313]=92,</v>
      </c>
      <c r="K301" s="3">
        <f t="shared" si="15"/>
        <v>313</v>
      </c>
      <c r="L301" s="3">
        <f t="shared" si="16"/>
        <v>92</v>
      </c>
      <c r="M301" s="8" t="str">
        <f>VLOOKUP(A301,'ESO wayshrine names'!$A$3:$B$967,2,)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4"/>
        <v>[314]=104,</v>
      </c>
      <c r="K302" s="3">
        <f t="shared" si="15"/>
        <v>314</v>
      </c>
      <c r="L302" s="3">
        <f t="shared" si="16"/>
        <v>104</v>
      </c>
      <c r="M302" s="8" t="str">
        <f>VLOOKUP(A302,'ESO wayshrine names'!$A$3:$B$967,2,)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4"/>
        <v>[315]=381,</v>
      </c>
      <c r="K303" s="3">
        <f t="shared" si="15"/>
        <v>315</v>
      </c>
      <c r="L303" s="3">
        <f t="shared" si="16"/>
        <v>381</v>
      </c>
      <c r="M303" s="8" t="str">
        <f>VLOOKUP(A303,'ESO wayshrine names'!$A$3:$B$967,2,)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4"/>
        <v>[316]=117,</v>
      </c>
      <c r="K304" s="3">
        <f t="shared" si="15"/>
        <v>316</v>
      </c>
      <c r="L304" s="3">
        <f t="shared" si="16"/>
        <v>117</v>
      </c>
      <c r="M304" s="8" t="str">
        <f>VLOOKUP(A304,'ESO wayshrine names'!$A$3:$B$967,2,)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4"/>
        <v>[317]=383,</v>
      </c>
      <c r="K305" s="3">
        <f t="shared" si="15"/>
        <v>317</v>
      </c>
      <c r="L305" s="3">
        <f t="shared" si="16"/>
        <v>383</v>
      </c>
      <c r="M305" s="8" t="str">
        <f>VLOOKUP(A305,'ESO wayshrine names'!$A$3:$B$967,2,)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4"/>
        <v>[318]=19,</v>
      </c>
      <c r="K306" s="3">
        <f t="shared" si="15"/>
        <v>318</v>
      </c>
      <c r="L306" s="3">
        <f t="shared" si="16"/>
        <v>19</v>
      </c>
      <c r="M306" s="8" t="str">
        <f>VLOOKUP(A306,'ESO wayshrine names'!$A$3:$B$967,2,)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4"/>
        <v>[319]=57,</v>
      </c>
      <c r="K307" s="3">
        <f t="shared" si="15"/>
        <v>319</v>
      </c>
      <c r="L307" s="3">
        <f t="shared" si="16"/>
        <v>57</v>
      </c>
      <c r="M307" s="8" t="str">
        <f>VLOOKUP(A307,'ESO wayshrine names'!$A$3:$B$967,2,)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4"/>
        <v>[320]=382,</v>
      </c>
      <c r="K308" s="3">
        <f t="shared" si="15"/>
        <v>320</v>
      </c>
      <c r="L308" s="3">
        <f t="shared" si="16"/>
        <v>382</v>
      </c>
      <c r="M308" s="8" t="str">
        <f>VLOOKUP(A308,'ESO wayshrine names'!$A$3:$B$967,2,)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4"/>
        <v>[321]=382,</v>
      </c>
      <c r="K309" s="3">
        <f t="shared" si="15"/>
        <v>321</v>
      </c>
      <c r="L309" s="3">
        <f t="shared" si="16"/>
        <v>382</v>
      </c>
      <c r="M309" s="8" t="str">
        <f>VLOOKUP(A309,'ESO wayshrine names'!$A$3:$B$967,2,)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4"/>
        <v>[322]=103,</v>
      </c>
      <c r="K310" s="3">
        <f t="shared" si="15"/>
        <v>322</v>
      </c>
      <c r="L310" s="3">
        <f t="shared" si="16"/>
        <v>103</v>
      </c>
      <c r="M310" s="8" t="str">
        <f>VLOOKUP(A310,'ESO wayshrine names'!$A$3:$B$967,2,)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4"/>
        <v>[323]=92,</v>
      </c>
      <c r="K311" s="3">
        <f t="shared" si="15"/>
        <v>323</v>
      </c>
      <c r="L311" s="3">
        <f t="shared" si="16"/>
        <v>92</v>
      </c>
      <c r="M311" s="8" t="str">
        <f>VLOOKUP(A311,'ESO wayshrine names'!$A$3:$B$967,2,)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4"/>
        <v>[324]=534,</v>
      </c>
      <c r="K312" s="3">
        <f t="shared" si="15"/>
        <v>324</v>
      </c>
      <c r="L312" s="3">
        <f t="shared" si="16"/>
        <v>534</v>
      </c>
      <c r="M312" s="8" t="str">
        <f>VLOOKUP(A312,'ESO wayshrine names'!$A$3:$B$967,2,)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4"/>
        <v>[325]=383,</v>
      </c>
      <c r="K313" s="3">
        <f t="shared" si="15"/>
        <v>325</v>
      </c>
      <c r="L313" s="3">
        <f t="shared" si="16"/>
        <v>383</v>
      </c>
      <c r="M313" s="8" t="str">
        <f>VLOOKUP(A313,'ESO wayshrine names'!$A$3:$B$967,2,)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4"/>
        <v>[326]=888,</v>
      </c>
      <c r="K314" s="3">
        <f t="shared" si="15"/>
        <v>326</v>
      </c>
      <c r="L314" s="3">
        <f t="shared" si="16"/>
        <v>888</v>
      </c>
      <c r="M314" s="8" t="str">
        <f>VLOOKUP(A314,'ESO wayshrine names'!$A$3:$B$967,2,)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4"/>
        <v>[327]=888,</v>
      </c>
      <c r="K315" s="3">
        <f t="shared" si="15"/>
        <v>327</v>
      </c>
      <c r="L315" s="3">
        <f t="shared" si="16"/>
        <v>888</v>
      </c>
      <c r="M315" s="8" t="str">
        <f>VLOOKUP(A315,'ESO wayshrine names'!$A$3:$B$967,2,)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4"/>
        <v>[328]=849,</v>
      </c>
      <c r="K316" s="3">
        <f t="shared" si="15"/>
        <v>328</v>
      </c>
      <c r="L316" s="3">
        <f t="shared" si="16"/>
        <v>849</v>
      </c>
      <c r="M316" s="8" t="str">
        <f>VLOOKUP(A316,'ESO wayshrine names'!$A$3:$B$967,2,)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4"/>
        <v>[329]=849,</v>
      </c>
      <c r="K317" s="3">
        <f t="shared" si="15"/>
        <v>329</v>
      </c>
      <c r="L317" s="3">
        <f t="shared" si="16"/>
        <v>849</v>
      </c>
      <c r="M317" s="8" t="str">
        <f>VLOOKUP(A317,'ESO wayshrine names'!$A$3:$B$967,2,)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4"/>
        <v>[330]=849,</v>
      </c>
      <c r="K318" s="3">
        <f t="shared" si="15"/>
        <v>330</v>
      </c>
      <c r="L318" s="3">
        <f t="shared" si="16"/>
        <v>849</v>
      </c>
      <c r="M318" s="8" t="str">
        <f>VLOOKUP(A318,'ESO wayshrine names'!$A$3:$B$967,2,)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4"/>
        <v>[331]=849,</v>
      </c>
      <c r="K319" s="3">
        <f t="shared" si="15"/>
        <v>331</v>
      </c>
      <c r="L319" s="3">
        <f t="shared" si="16"/>
        <v>849</v>
      </c>
      <c r="M319" s="8" t="str">
        <f>VLOOKUP(A319,'ESO wayshrine names'!$A$3:$B$967,2,)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4"/>
        <v>[332]=888,</v>
      </c>
      <c r="K320" s="3">
        <f t="shared" si="15"/>
        <v>332</v>
      </c>
      <c r="L320" s="3">
        <f t="shared" si="16"/>
        <v>888</v>
      </c>
      <c r="M320" s="8" t="str">
        <f>VLOOKUP(A320,'ESO wayshrine names'!$A$3:$B$967,2,)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4"/>
        <v>[333]=849,</v>
      </c>
      <c r="K321" s="3">
        <f t="shared" si="15"/>
        <v>333</v>
      </c>
      <c r="L321" s="3">
        <f t="shared" si="16"/>
        <v>849</v>
      </c>
      <c r="M321" s="8" t="str">
        <f>VLOOKUP(A321,'ESO wayshrine names'!$A$3:$B$967,2,)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4"/>
        <v>[334]=849,</v>
      </c>
      <c r="K322" s="3">
        <f t="shared" si="15"/>
        <v>334</v>
      </c>
      <c r="L322" s="3">
        <f t="shared" si="16"/>
        <v>849</v>
      </c>
      <c r="M322" s="8" t="str">
        <f>VLOOKUP(A322,'ESO wayshrine names'!$A$3:$B$967,2,)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7">IF(A323&lt;&gt;"",IF(F323&lt;&gt;"",IF(OR(ISNA(A323),ISNA(F323)),"","["&amp;A323&amp;"]="&amp;F323&amp;","),""),"")</f>
        <v>[335]=849,</v>
      </c>
      <c r="K323" s="3">
        <f t="shared" si="15"/>
        <v>335</v>
      </c>
      <c r="L323" s="3">
        <f t="shared" si="16"/>
        <v>849</v>
      </c>
      <c r="M323" s="8" t="str">
        <f>VLOOKUP(A323,'ESO wayshrine names'!$A$3:$B$967,2,)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7"/>
        <v>[336]=849,</v>
      </c>
      <c r="K324" s="3">
        <f t="shared" ref="K324:K387" si="18">A324</f>
        <v>336</v>
      </c>
      <c r="L324" s="3">
        <f t="shared" ref="L324:L387" si="19">F324</f>
        <v>849</v>
      </c>
      <c r="M324" s="8" t="str">
        <f>VLOOKUP(A324,'ESO wayshrine names'!$A$3:$B$967,2,)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7"/>
        <v>[337]=980,</v>
      </c>
      <c r="K325" s="3">
        <f t="shared" si="18"/>
        <v>337</v>
      </c>
      <c r="L325" s="3">
        <f t="shared" si="19"/>
        <v>980</v>
      </c>
      <c r="M325" s="8" t="str">
        <f>VLOOKUP(A325,'ESO wayshrine names'!$A$3:$B$967,2,)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7"/>
        <v>[338]=980,</v>
      </c>
      <c r="K326" s="3">
        <f t="shared" si="18"/>
        <v>338</v>
      </c>
      <c r="L326" s="3">
        <f t="shared" si="19"/>
        <v>980</v>
      </c>
      <c r="M326" s="8" t="str">
        <f>VLOOKUP(A326,'ESO wayshrine names'!$A$3:$B$967,2,)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7"/>
        <v>[339]=980,</v>
      </c>
      <c r="K327" s="3">
        <f t="shared" si="18"/>
        <v>339</v>
      </c>
      <c r="L327" s="3">
        <f t="shared" si="19"/>
        <v>980</v>
      </c>
      <c r="M327" s="8" t="str">
        <f>VLOOKUP(A327,'ESO wayshrine names'!$A$3:$B$967,2,)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7"/>
        <v>[340]=980,</v>
      </c>
      <c r="K328" s="3">
        <f t="shared" si="18"/>
        <v>340</v>
      </c>
      <c r="L328" s="3">
        <f t="shared" si="19"/>
        <v>980</v>
      </c>
      <c r="M328" s="8" t="str">
        <f>VLOOKUP(A328,'ESO wayshrine names'!$A$3:$B$967,2,)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7"/>
        <v>[341]=92,</v>
      </c>
      <c r="K329" s="3">
        <f t="shared" si="18"/>
        <v>341</v>
      </c>
      <c r="L329" s="3">
        <f t="shared" si="19"/>
        <v>92</v>
      </c>
      <c r="M329" s="8" t="str">
        <f>VLOOKUP(A329,'ESO wayshrine names'!$A$3:$B$967,2,)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7"/>
        <v>[342]=3,</v>
      </c>
      <c r="K330" s="3">
        <f t="shared" si="18"/>
        <v>342</v>
      </c>
      <c r="L330" s="3">
        <f t="shared" si="19"/>
        <v>3</v>
      </c>
      <c r="M330" s="8" t="str">
        <f>VLOOKUP(A330,'ESO wayshrine names'!$A$3:$B$967,2,)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7"/>
        <v>[343]=823,</v>
      </c>
      <c r="K331" s="3">
        <f t="shared" si="18"/>
        <v>343</v>
      </c>
      <c r="L331" s="3">
        <f t="shared" si="19"/>
        <v>823</v>
      </c>
      <c r="M331" s="8" t="str">
        <f>VLOOKUP(A331,'ESO wayshrine names'!$A$3:$B$967,2,)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7"/>
        <v>[344]=347,</v>
      </c>
      <c r="K332" s="3">
        <f t="shared" si="18"/>
        <v>344</v>
      </c>
      <c r="L332" s="3">
        <f t="shared" si="19"/>
        <v>347</v>
      </c>
      <c r="M332" s="8" t="str">
        <f>VLOOKUP(A332,'ESO wayshrine names'!$A$3:$B$967,2,)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7"/>
        <v>[345]=888,</v>
      </c>
      <c r="K333" s="3">
        <f t="shared" si="18"/>
        <v>345</v>
      </c>
      <c r="L333" s="3">
        <f t="shared" si="19"/>
        <v>888</v>
      </c>
      <c r="M333" s="8" t="str">
        <f>VLOOKUP(A333,'ESO wayshrine names'!$A$3:$B$967,2,)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7"/>
        <v>[346]=980,</v>
      </c>
      <c r="K334" s="3">
        <f t="shared" si="18"/>
        <v>346</v>
      </c>
      <c r="L334" s="3">
        <f t="shared" si="19"/>
        <v>980</v>
      </c>
      <c r="M334" s="8" t="str">
        <f>VLOOKUP(A334,'ESO wayshrine names'!$A$3:$B$967,2,)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7"/>
        <v>[347]=980,</v>
      </c>
      <c r="K335" s="3">
        <f t="shared" si="18"/>
        <v>347</v>
      </c>
      <c r="L335" s="3">
        <f t="shared" si="19"/>
        <v>980</v>
      </c>
      <c r="M335" s="8" t="str">
        <f>VLOOKUP(A335,'ESO wayshrine names'!$A$3:$B$967,2,)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7"/>
        <v>[348]=684,</v>
      </c>
      <c r="K336" s="3">
        <f t="shared" si="18"/>
        <v>348</v>
      </c>
      <c r="L336" s="3">
        <f t="shared" si="19"/>
        <v>684</v>
      </c>
      <c r="M336" s="8" t="str">
        <f>VLOOKUP(A336,'ESO wayshrine names'!$A$3:$B$967,2,)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7"/>
        <v>[349]=1011,</v>
      </c>
      <c r="K337" s="3">
        <f t="shared" si="18"/>
        <v>349</v>
      </c>
      <c r="L337" s="3">
        <f t="shared" si="19"/>
        <v>1011</v>
      </c>
      <c r="M337" s="8" t="str">
        <f>VLOOKUP(A337,'ESO wayshrine names'!$A$3:$B$967,2,)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7"/>
        <v>[350]=1011,</v>
      </c>
      <c r="K338" s="3">
        <f t="shared" si="18"/>
        <v>350</v>
      </c>
      <c r="L338" s="3">
        <f t="shared" si="19"/>
        <v>1011</v>
      </c>
      <c r="M338" s="8" t="str">
        <f>VLOOKUP(A338,'ESO wayshrine names'!$A$3:$B$967,2,)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7"/>
        <v>[351]=1011,</v>
      </c>
      <c r="K339" s="3">
        <f t="shared" si="18"/>
        <v>351</v>
      </c>
      <c r="L339" s="3">
        <f t="shared" si="19"/>
        <v>1011</v>
      </c>
      <c r="M339" s="8" t="str">
        <f>VLOOKUP(A339,'ESO wayshrine names'!$A$3:$B$967,2,)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7"/>
        <v>[352]=1011,</v>
      </c>
      <c r="K340" s="3">
        <f t="shared" si="18"/>
        <v>352</v>
      </c>
      <c r="L340" s="3">
        <f t="shared" si="19"/>
        <v>1011</v>
      </c>
      <c r="M340" s="8" t="str">
        <f>VLOOKUP(A340,'ESO wayshrine names'!$A$3:$B$967,2,)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7"/>
        <v>[353]=1011,</v>
      </c>
      <c r="K341" s="3">
        <f t="shared" si="18"/>
        <v>353</v>
      </c>
      <c r="L341" s="3">
        <f t="shared" si="19"/>
        <v>1011</v>
      </c>
      <c r="M341" s="8" t="str">
        <f>VLOOKUP(A341,'ESO wayshrine names'!$A$3:$B$967,2,)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7"/>
        <v>[354]=1011,</v>
      </c>
      <c r="K342" s="3">
        <f t="shared" si="18"/>
        <v>354</v>
      </c>
      <c r="L342" s="3">
        <f t="shared" si="19"/>
        <v>1011</v>
      </c>
      <c r="M342" s="8" t="str">
        <f>VLOOKUP(A342,'ESO wayshrine names'!$A$3:$B$967,2,)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7"/>
        <v>[355]=1011,</v>
      </c>
      <c r="K343" s="3">
        <f t="shared" si="18"/>
        <v>355</v>
      </c>
      <c r="L343" s="3">
        <f t="shared" si="19"/>
        <v>1011</v>
      </c>
      <c r="M343" s="8" t="str">
        <f>VLOOKUP(A343,'ESO wayshrine names'!$A$3:$B$967,2,)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7"/>
        <v>[356]=1011,</v>
      </c>
      <c r="K344" s="3">
        <f t="shared" si="18"/>
        <v>356</v>
      </c>
      <c r="L344" s="3">
        <f t="shared" si="19"/>
        <v>1011</v>
      </c>
      <c r="M344" s="8" t="str">
        <f>VLOOKUP(A344,'ESO wayshrine names'!$A$3:$B$967,2,)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7"/>
        <v>[357]=1011,</v>
      </c>
      <c r="K345" s="3">
        <f t="shared" si="18"/>
        <v>357</v>
      </c>
      <c r="L345" s="3">
        <f t="shared" si="19"/>
        <v>1011</v>
      </c>
      <c r="M345" s="8" t="str">
        <f>VLOOKUP(A345,'ESO wayshrine names'!$A$3:$B$967,2,)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7"/>
        <v>[358]=1011,</v>
      </c>
      <c r="K346" s="3">
        <f t="shared" si="18"/>
        <v>358</v>
      </c>
      <c r="L346" s="3">
        <f t="shared" si="19"/>
        <v>1011</v>
      </c>
      <c r="M346" s="8" t="str">
        <f>VLOOKUP(A346,'ESO wayshrine names'!$A$3:$B$967,2,)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7"/>
        <v>[359]=1011,</v>
      </c>
      <c r="K347" s="3">
        <f t="shared" si="18"/>
        <v>359</v>
      </c>
      <c r="L347" s="3">
        <f t="shared" si="19"/>
        <v>1011</v>
      </c>
      <c r="M347" s="8" t="str">
        <f>VLOOKUP(A347,'ESO wayshrine names'!$A$3:$B$967,2,)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7"/>
        <v>[360]=1027,</v>
      </c>
      <c r="K348" s="3">
        <f t="shared" si="18"/>
        <v>360</v>
      </c>
      <c r="L348" s="3">
        <f t="shared" si="19"/>
        <v>1027</v>
      </c>
      <c r="M348" s="8" t="str">
        <f>VLOOKUP(A348,'ESO wayshrine names'!$A$3:$B$967,2,)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7"/>
        <v>[361]=816,</v>
      </c>
      <c r="K349" s="3">
        <f t="shared" si="18"/>
        <v>361</v>
      </c>
      <c r="L349" s="3">
        <f t="shared" si="19"/>
        <v>816</v>
      </c>
      <c r="M349" s="8" t="str">
        <f>VLOOKUP(A349,'ESO wayshrine names'!$A$3:$B$967,2,)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7"/>
        <v>[362]=823,</v>
      </c>
      <c r="K350" s="3">
        <f t="shared" si="18"/>
        <v>362</v>
      </c>
      <c r="L350" s="3">
        <f t="shared" si="19"/>
        <v>823</v>
      </c>
      <c r="M350" s="8" t="str">
        <f>VLOOKUP(A350,'ESO wayshrine names'!$A$3:$B$967,2,)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7"/>
        <v>[363]=19,</v>
      </c>
      <c r="K351" s="3">
        <f t="shared" si="18"/>
        <v>363</v>
      </c>
      <c r="L351" s="3">
        <f t="shared" si="19"/>
        <v>19</v>
      </c>
      <c r="M351" s="8" t="str">
        <f>VLOOKUP(A351,'ESO wayshrine names'!$A$3:$B$967,2,)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7"/>
        <v>[364]=1011,</v>
      </c>
      <c r="K352" s="3">
        <f t="shared" si="18"/>
        <v>364</v>
      </c>
      <c r="L352" s="3">
        <f t="shared" si="19"/>
        <v>1011</v>
      </c>
      <c r="M352" s="8" t="str">
        <f>VLOOKUP(A352,'ESO wayshrine names'!$A$3:$B$967,2,)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7"/>
        <v>[365]=1011,</v>
      </c>
      <c r="K353" s="3">
        <f t="shared" si="18"/>
        <v>365</v>
      </c>
      <c r="L353" s="3">
        <f t="shared" si="19"/>
        <v>1011</v>
      </c>
      <c r="M353" s="8" t="str">
        <f>VLOOKUP(A353,'ESO wayshrine names'!$A$3:$B$967,2,)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7"/>
        <v>[366]=1011,</v>
      </c>
      <c r="K354" s="3">
        <f t="shared" si="18"/>
        <v>366</v>
      </c>
      <c r="L354" s="3">
        <f t="shared" si="19"/>
        <v>1011</v>
      </c>
      <c r="M354" s="8" t="str">
        <f>VLOOKUP(A354,'ESO wayshrine names'!$A$3:$B$967,2,)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7"/>
        <v>[367]=1011,</v>
      </c>
      <c r="K355" s="3">
        <f t="shared" si="18"/>
        <v>367</v>
      </c>
      <c r="L355" s="3">
        <f t="shared" si="19"/>
        <v>1011</v>
      </c>
      <c r="M355" s="8" t="str">
        <f>VLOOKUP(A355,'ESO wayshrine names'!$A$3:$B$967,2,)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7"/>
        <v>[368]=1011,</v>
      </c>
      <c r="K356" s="3">
        <f t="shared" si="18"/>
        <v>368</v>
      </c>
      <c r="L356" s="3">
        <f t="shared" si="19"/>
        <v>1011</v>
      </c>
      <c r="M356" s="8" t="str">
        <f>VLOOKUP(A356,'ESO wayshrine names'!$A$3:$B$967,2,)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7"/>
        <v>[369]=1011,</v>
      </c>
      <c r="K357" s="3">
        <f t="shared" si="18"/>
        <v>369</v>
      </c>
      <c r="L357" s="3">
        <f t="shared" si="19"/>
        <v>1011</v>
      </c>
      <c r="M357" s="8" t="str">
        <f>VLOOKUP(A357,'ESO wayshrine names'!$A$3:$B$967,2,)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7"/>
        <v>[370]=108,</v>
      </c>
      <c r="K358" s="3">
        <f t="shared" si="18"/>
        <v>370</v>
      </c>
      <c r="L358" s="3">
        <f t="shared" si="19"/>
        <v>108</v>
      </c>
      <c r="M358" s="8" t="str">
        <f>VLOOKUP(A358,'ESO wayshrine names'!$A$3:$B$967,2,)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7"/>
        <v>[371]=382,</v>
      </c>
      <c r="K359" s="3">
        <f t="shared" si="18"/>
        <v>371</v>
      </c>
      <c r="L359" s="3">
        <f t="shared" si="19"/>
        <v>382</v>
      </c>
      <c r="M359" s="8" t="str">
        <f>VLOOKUP(A359,'ESO wayshrine names'!$A$3:$B$967,2,)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7"/>
        <v>[372]=103,</v>
      </c>
      <c r="K360" s="3">
        <f t="shared" si="18"/>
        <v>372</v>
      </c>
      <c r="L360" s="3">
        <f t="shared" si="19"/>
        <v>103</v>
      </c>
      <c r="M360" s="8" t="str">
        <f>VLOOKUP(A360,'ESO wayshrine names'!$A$3:$B$967,2,)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7"/>
        <v>[373]=1027,</v>
      </c>
      <c r="K361" s="3">
        <f t="shared" si="18"/>
        <v>373</v>
      </c>
      <c r="L361" s="3">
        <f t="shared" si="19"/>
        <v>1027</v>
      </c>
      <c r="M361" s="8" t="str">
        <f>VLOOKUP(A361,'ESO wayshrine names'!$A$3:$B$967,2,)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7"/>
        <v>[374]=726,</v>
      </c>
      <c r="K362" s="3">
        <f t="shared" si="18"/>
        <v>374</v>
      </c>
      <c r="L362" s="3">
        <f t="shared" si="19"/>
        <v>726</v>
      </c>
      <c r="M362" s="8" t="str">
        <f>VLOOKUP(A362,'ESO wayshrine names'!$A$3:$B$967,2,)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7"/>
        <v>[375]=726,</v>
      </c>
      <c r="K363" s="3">
        <f t="shared" si="18"/>
        <v>375</v>
      </c>
      <c r="L363" s="3">
        <f t="shared" si="19"/>
        <v>726</v>
      </c>
      <c r="M363" s="8" t="str">
        <f>VLOOKUP(A363,'ESO wayshrine names'!$A$3:$B$967,2,)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7"/>
        <v>[376]=726,</v>
      </c>
      <c r="K364" s="3">
        <f t="shared" si="18"/>
        <v>376</v>
      </c>
      <c r="L364" s="3">
        <f t="shared" si="19"/>
        <v>726</v>
      </c>
      <c r="M364" s="8" t="str">
        <f>VLOOKUP(A364,'ESO wayshrine names'!$A$3:$B$967,2,)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7"/>
        <v>[377]=726,</v>
      </c>
      <c r="K365" s="3">
        <f t="shared" si="18"/>
        <v>377</v>
      </c>
      <c r="L365" s="3">
        <f t="shared" si="19"/>
        <v>726</v>
      </c>
      <c r="M365" s="8" t="str">
        <f>VLOOKUP(A365,'ESO wayshrine names'!$A$3:$B$967,2,)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7"/>
        <v>[378]=726,</v>
      </c>
      <c r="K366" s="3">
        <f t="shared" si="18"/>
        <v>378</v>
      </c>
      <c r="L366" s="3">
        <f t="shared" si="19"/>
        <v>726</v>
      </c>
      <c r="M366" s="8" t="str">
        <f>VLOOKUP(A366,'ESO wayshrine names'!$A$3:$B$967,2,)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7"/>
        <v>[379]=726,</v>
      </c>
      <c r="K367" s="3">
        <f t="shared" si="18"/>
        <v>379</v>
      </c>
      <c r="L367" s="3">
        <f t="shared" si="19"/>
        <v>726</v>
      </c>
      <c r="M367" s="8" t="str">
        <f>VLOOKUP(A367,'ESO wayshrine names'!$A$3:$B$967,2,)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7"/>
        <v>[380]=101,</v>
      </c>
      <c r="K368" s="3">
        <f t="shared" si="18"/>
        <v>380</v>
      </c>
      <c r="L368" s="3">
        <f t="shared" si="19"/>
        <v>101</v>
      </c>
      <c r="M368" s="8" t="str">
        <f>VLOOKUP(A368,'ESO wayshrine names'!$A$3:$B$967,2,)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7"/>
        <v>[381]=1086,</v>
      </c>
      <c r="K369" s="3">
        <f t="shared" si="18"/>
        <v>381</v>
      </c>
      <c r="L369" s="3">
        <f t="shared" si="19"/>
        <v>1086</v>
      </c>
      <c r="M369" s="8" t="str">
        <f>VLOOKUP(A369,'ESO wayshrine names'!$A$3:$B$967,2,)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7"/>
        <v>[382]=1086,</v>
      </c>
      <c r="K370" s="3">
        <f t="shared" si="18"/>
        <v>382</v>
      </c>
      <c r="L370" s="3">
        <f t="shared" si="19"/>
        <v>1086</v>
      </c>
      <c r="M370" s="8" t="str">
        <f>VLOOKUP(A370,'ESO wayshrine names'!$A$3:$B$967,2,)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7"/>
        <v>[383]=1086,</v>
      </c>
      <c r="K371" s="3">
        <f t="shared" si="18"/>
        <v>383</v>
      </c>
      <c r="L371" s="3">
        <f t="shared" si="19"/>
        <v>1086</v>
      </c>
      <c r="M371" s="8" t="str">
        <f>VLOOKUP(A371,'ESO wayshrine names'!$A$3:$B$967,2,)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7"/>
        <v>[384]=1086,</v>
      </c>
      <c r="K372" s="3">
        <f t="shared" si="18"/>
        <v>384</v>
      </c>
      <c r="L372" s="3">
        <f t="shared" si="19"/>
        <v>1086</v>
      </c>
      <c r="M372" s="8" t="str">
        <f>VLOOKUP(A372,'ESO wayshrine names'!$A$3:$B$967,2,)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7"/>
        <v>[386]=1086,</v>
      </c>
      <c r="K373" s="3">
        <f t="shared" si="18"/>
        <v>386</v>
      </c>
      <c r="L373" s="3">
        <f t="shared" si="19"/>
        <v>1086</v>
      </c>
      <c r="M373" s="8" t="str">
        <f>VLOOKUP(A373,'ESO wayshrine names'!$A$3:$B$967,2,)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7"/>
        <v>[387]=1086,</v>
      </c>
      <c r="K374" s="3">
        <f t="shared" si="18"/>
        <v>387</v>
      </c>
      <c r="L374" s="3">
        <f t="shared" si="19"/>
        <v>1086</v>
      </c>
      <c r="M374" s="8" t="str">
        <f>VLOOKUP(A374,'ESO wayshrine names'!$A$3:$B$967,2,)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7"/>
        <v>[388]=726,</v>
      </c>
      <c r="K375" s="3">
        <f t="shared" si="18"/>
        <v>388</v>
      </c>
      <c r="L375" s="3">
        <f t="shared" si="19"/>
        <v>726</v>
      </c>
      <c r="M375" s="8" t="str">
        <f>VLOOKUP(A375,'ESO wayshrine names'!$A$3:$B$967,2,)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7"/>
        <v>[389]=101,</v>
      </c>
      <c r="K376" s="3">
        <f t="shared" si="18"/>
        <v>389</v>
      </c>
      <c r="L376" s="3">
        <f t="shared" si="19"/>
        <v>101</v>
      </c>
      <c r="M376" s="8" t="str">
        <f>VLOOKUP(A376,'ESO wayshrine names'!$A$3:$B$967,2,)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7"/>
        <v>[390]=823,</v>
      </c>
      <c r="K377" s="3">
        <f t="shared" si="18"/>
        <v>390</v>
      </c>
      <c r="L377" s="3">
        <f t="shared" si="19"/>
        <v>823</v>
      </c>
      <c r="M377" s="8" t="str">
        <f>VLOOKUP(A377,'ESO wayshrine names'!$A$3:$B$967,2,)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7"/>
        <v>[391]=1086,</v>
      </c>
      <c r="K378" s="3">
        <f t="shared" si="18"/>
        <v>391</v>
      </c>
      <c r="L378" s="3">
        <f t="shared" si="19"/>
        <v>1086</v>
      </c>
      <c r="M378" s="8" t="str">
        <f>VLOOKUP(A378,'ESO wayshrine names'!$A$3:$B$967,2,)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7"/>
        <v>[392]=101,</v>
      </c>
      <c r="K379" s="3">
        <f t="shared" si="18"/>
        <v>392</v>
      </c>
      <c r="L379" s="3">
        <f t="shared" si="19"/>
        <v>101</v>
      </c>
      <c r="M379" s="8" t="str">
        <f>VLOOKUP(A379,'ESO wayshrine names'!$A$3:$B$967,2,)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7"/>
        <v>[395]=888,</v>
      </c>
      <c r="K380" s="3">
        <f t="shared" si="18"/>
        <v>395</v>
      </c>
      <c r="L380" s="3">
        <f t="shared" si="19"/>
        <v>888</v>
      </c>
      <c r="M380" s="8" t="str">
        <f>VLOOKUP(A380,'ESO wayshrine names'!$A$3:$B$967,2,)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7"/>
        <v>[396]=1086,</v>
      </c>
      <c r="K381" s="3">
        <f t="shared" si="18"/>
        <v>396</v>
      </c>
      <c r="L381" s="3">
        <f t="shared" si="19"/>
        <v>1086</v>
      </c>
      <c r="M381" s="8" t="str">
        <f>VLOOKUP(A381,'ESO wayshrine names'!$A$3:$B$967,2,)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7"/>
        <v>[397]=1086,</v>
      </c>
      <c r="K382" s="3">
        <f t="shared" si="18"/>
        <v>397</v>
      </c>
      <c r="L382" s="3">
        <f t="shared" si="19"/>
        <v>1086</v>
      </c>
      <c r="M382" s="8" t="str">
        <f>VLOOKUP(A382,'ESO wayshrine names'!$A$3:$B$967,2,)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7"/>
        <v>[398]=383,</v>
      </c>
      <c r="K383" s="3">
        <f t="shared" si="18"/>
        <v>398</v>
      </c>
      <c r="L383" s="3">
        <f t="shared" si="19"/>
        <v>383</v>
      </c>
      <c r="M383" s="8" t="str">
        <f>VLOOKUP(A383,'ESO wayshrine names'!$A$3:$B$967,2,)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7"/>
        <v>[399]=1086,</v>
      </c>
      <c r="K384" s="3">
        <f t="shared" si="18"/>
        <v>399</v>
      </c>
      <c r="L384" s="3">
        <f t="shared" si="19"/>
        <v>1086</v>
      </c>
      <c r="M384" s="8" t="str">
        <f>VLOOKUP(A384,'ESO wayshrine names'!$A$3:$B$967,2,)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7"/>
        <v>[400]=1086,</v>
      </c>
      <c r="K385" s="3">
        <f t="shared" si="18"/>
        <v>400</v>
      </c>
      <c r="L385" s="3">
        <f t="shared" si="19"/>
        <v>1086</v>
      </c>
      <c r="M385" s="8" t="str">
        <f>VLOOKUP(A385,'ESO wayshrine names'!$A$3:$B$967,2,)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7"/>
        <v>[401]=1086,</v>
      </c>
      <c r="K386" s="3">
        <f t="shared" si="18"/>
        <v>401</v>
      </c>
      <c r="L386" s="3">
        <f t="shared" si="19"/>
        <v>1086</v>
      </c>
      <c r="M386" s="8" t="str">
        <f>VLOOKUP(A386,'ESO wayshrine names'!$A$3:$B$967,2,)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20">IF(A387&lt;&gt;"",IF(F387&lt;&gt;"",IF(OR(ISNA(A387),ISNA(F387)),"","["&amp;A387&amp;"]="&amp;F387&amp;","),""),"")</f>
        <v>[402]=1133,</v>
      </c>
      <c r="K387" s="3">
        <f t="shared" si="18"/>
        <v>402</v>
      </c>
      <c r="L387" s="3">
        <f t="shared" si="19"/>
        <v>1133</v>
      </c>
      <c r="M387" s="8" t="str">
        <f>VLOOKUP(A387,'ESO wayshrine names'!$A$3:$B$967,2,)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20"/>
        <v>[403]=1133,</v>
      </c>
      <c r="K388" s="3">
        <f t="shared" ref="K388:K451" si="21">A388</f>
        <v>403</v>
      </c>
      <c r="L388" s="3">
        <f t="shared" ref="L388:L451" si="22">F388</f>
        <v>1133</v>
      </c>
      <c r="M388" s="8" t="str">
        <f>VLOOKUP(A388,'ESO wayshrine names'!$A$3:$B$967,2,)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20"/>
        <v>[404]=1133,</v>
      </c>
      <c r="K389" s="3">
        <f t="shared" si="21"/>
        <v>404</v>
      </c>
      <c r="L389" s="3">
        <f t="shared" si="22"/>
        <v>1133</v>
      </c>
      <c r="M389" s="8" t="str">
        <f>VLOOKUP(A389,'ESO wayshrine names'!$A$3:$B$967,2,)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20"/>
        <v>[405]=1133,</v>
      </c>
      <c r="K390" s="3">
        <f t="shared" si="21"/>
        <v>405</v>
      </c>
      <c r="L390" s="3">
        <f t="shared" si="22"/>
        <v>1133</v>
      </c>
      <c r="M390" s="8" t="str">
        <f>VLOOKUP(A390,'ESO wayshrine names'!$A$3:$B$967,2,)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20"/>
        <v>[406]=1133,</v>
      </c>
      <c r="K391" s="3">
        <f t="shared" si="21"/>
        <v>406</v>
      </c>
      <c r="L391" s="3">
        <f t="shared" si="22"/>
        <v>1133</v>
      </c>
      <c r="M391" s="8" t="str">
        <f>VLOOKUP(A391,'ESO wayshrine names'!$A$3:$B$967,2,)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20"/>
        <v>[407]=1133,</v>
      </c>
      <c r="K392" s="3">
        <f t="shared" si="21"/>
        <v>407</v>
      </c>
      <c r="L392" s="3">
        <f t="shared" si="22"/>
        <v>1133</v>
      </c>
      <c r="M392" s="8" t="str">
        <f>VLOOKUP(A392,'ESO wayshrine names'!$A$3:$B$967,2,)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20"/>
        <v>[409]=20,</v>
      </c>
      <c r="K393" s="3">
        <f t="shared" si="21"/>
        <v>409</v>
      </c>
      <c r="L393" s="3">
        <f t="shared" si="22"/>
        <v>20</v>
      </c>
      <c r="M393" s="8" t="str">
        <f>VLOOKUP(A393,'ESO wayshrine names'!$A$3:$B$967,2,)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20"/>
        <v>[410]=1086,</v>
      </c>
      <c r="K394" s="3">
        <f t="shared" si="21"/>
        <v>410</v>
      </c>
      <c r="L394" s="3">
        <f t="shared" si="22"/>
        <v>1086</v>
      </c>
      <c r="M394" s="8" t="str">
        <f>VLOOKUP(A394,'ESO wayshrine names'!$A$3:$B$967,2,)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20"/>
        <v>[411]=0,</v>
      </c>
      <c r="K395" s="3">
        <f t="shared" si="21"/>
        <v>411</v>
      </c>
      <c r="L395" s="3">
        <f t="shared" si="22"/>
        <v>0</v>
      </c>
      <c r="M395" s="8" t="str">
        <f>VLOOKUP(A395,'ESO wayshrine names'!$A$3:$B$967,2,)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20"/>
        <v>[412]=0,</v>
      </c>
      <c r="K396" s="3">
        <f t="shared" si="21"/>
        <v>412</v>
      </c>
      <c r="L396" s="3">
        <f t="shared" si="22"/>
        <v>0</v>
      </c>
      <c r="M396" s="8" t="str">
        <f>VLOOKUP(A396,'ESO wayshrine names'!$A$3:$B$967,2,)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20"/>
        <v>[413]=0,</v>
      </c>
      <c r="K397" s="3">
        <f t="shared" si="21"/>
        <v>413</v>
      </c>
      <c r="L397" s="3">
        <f t="shared" si="22"/>
        <v>0</v>
      </c>
      <c r="M397" s="8" t="str">
        <f>VLOOKUP(A397,'ESO wayshrine names'!$A$3:$B$967,2,)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20"/>
        <v>[414]=0,</v>
      </c>
      <c r="K398" s="3">
        <f t="shared" si="21"/>
        <v>414</v>
      </c>
      <c r="L398" s="3">
        <f t="shared" si="22"/>
        <v>0</v>
      </c>
      <c r="M398" s="8" t="str">
        <f>VLOOKUP(A398,'ESO wayshrine names'!$A$3:$B$967,2,)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20"/>
        <v>[415]=1160,</v>
      </c>
      <c r="K399" s="3">
        <f t="shared" si="21"/>
        <v>415</v>
      </c>
      <c r="L399" s="3">
        <f t="shared" si="22"/>
        <v>1160</v>
      </c>
      <c r="M399" s="8" t="str">
        <f>VLOOKUP(A399,'ESO wayshrine names'!$A$3:$B$967,2,)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20"/>
        <v>[416]=1160,</v>
      </c>
      <c r="K400" s="3">
        <f t="shared" si="21"/>
        <v>416</v>
      </c>
      <c r="L400" s="3">
        <f t="shared" si="22"/>
        <v>1160</v>
      </c>
      <c r="M400" s="8" t="str">
        <f>VLOOKUP(A400,'ESO wayshrine names'!$A$3:$B$967,2,)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20"/>
        <v>[417]=1160,</v>
      </c>
      <c r="K401" s="3">
        <f t="shared" si="21"/>
        <v>417</v>
      </c>
      <c r="L401" s="3">
        <f t="shared" si="22"/>
        <v>1160</v>
      </c>
      <c r="M401" s="8" t="str">
        <f>VLOOKUP(A401,'ESO wayshrine names'!$A$3:$B$967,2,)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20"/>
        <v>[418]=1160,</v>
      </c>
      <c r="K402" s="3">
        <f t="shared" si="21"/>
        <v>418</v>
      </c>
      <c r="L402" s="3">
        <f t="shared" si="22"/>
        <v>1160</v>
      </c>
      <c r="M402" s="8" t="str">
        <f>VLOOKUP(A402,'ESO wayshrine names'!$A$3:$B$967,2,)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20"/>
        <v>[419]=1160,</v>
      </c>
      <c r="K403" s="3">
        <f t="shared" si="21"/>
        <v>419</v>
      </c>
      <c r="L403" s="3">
        <f t="shared" si="22"/>
        <v>1160</v>
      </c>
      <c r="M403" s="8" t="str">
        <f>VLOOKUP(A403,'ESO wayshrine names'!$A$3:$B$967,2,)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20"/>
        <v>[420]=1160,</v>
      </c>
      <c r="K404" s="3">
        <f t="shared" si="21"/>
        <v>420</v>
      </c>
      <c r="L404" s="3">
        <f t="shared" si="22"/>
        <v>1160</v>
      </c>
      <c r="M404" s="8" t="str">
        <f>VLOOKUP(A404,'ESO wayshrine names'!$A$3:$B$967,2,)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20"/>
        <v>[421]=1160,</v>
      </c>
      <c r="K405" s="3">
        <f t="shared" si="21"/>
        <v>421</v>
      </c>
      <c r="L405" s="3">
        <f t="shared" si="22"/>
        <v>1160</v>
      </c>
      <c r="M405" s="8" t="str">
        <f>VLOOKUP(A405,'ESO wayshrine names'!$A$3:$B$967,2,)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20"/>
        <v>[422]=1133,</v>
      </c>
      <c r="K406" s="3">
        <f t="shared" si="21"/>
        <v>422</v>
      </c>
      <c r="L406" s="3">
        <f t="shared" si="22"/>
        <v>1133</v>
      </c>
      <c r="M406" s="8" t="str">
        <f>VLOOKUP(A406,'ESO wayshrine names'!$A$3:$B$967,2,)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20"/>
        <v>[423]=1133,</v>
      </c>
      <c r="K407" s="3">
        <f t="shared" si="21"/>
        <v>423</v>
      </c>
      <c r="L407" s="3">
        <f t="shared" si="22"/>
        <v>1133</v>
      </c>
      <c r="M407" s="8" t="str">
        <f>VLOOKUP(A407,'ESO wayshrine names'!$A$3:$B$967,2,)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20"/>
        <v>[424]=684,</v>
      </c>
      <c r="K408" s="3">
        <f t="shared" si="21"/>
        <v>424</v>
      </c>
      <c r="L408" s="3">
        <f t="shared" si="22"/>
        <v>684</v>
      </c>
      <c r="M408" s="8" t="str">
        <f>VLOOKUP(A408,'ESO wayshrine names'!$A$3:$B$967,2,)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20"/>
        <v>[425]=92,</v>
      </c>
      <c r="K409" s="3">
        <f t="shared" si="21"/>
        <v>425</v>
      </c>
      <c r="L409" s="3">
        <f t="shared" si="22"/>
        <v>92</v>
      </c>
      <c r="M409" s="8" t="str">
        <f>VLOOKUP(A409,'ESO wayshrine names'!$A$3:$B$967,2,)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20"/>
        <v>[426]=1160,</v>
      </c>
      <c r="K410" s="3">
        <f t="shared" si="21"/>
        <v>426</v>
      </c>
      <c r="L410" s="3">
        <f t="shared" si="22"/>
        <v>1160</v>
      </c>
      <c r="M410" s="8" t="str">
        <f>VLOOKUP(A410,'ESO wayshrine names'!$A$3:$B$967,2,)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20"/>
        <v>[427]=92,</v>
      </c>
      <c r="K411" s="3">
        <f t="shared" si="21"/>
        <v>427</v>
      </c>
      <c r="L411" s="3">
        <f t="shared" si="22"/>
        <v>92</v>
      </c>
      <c r="M411" s="8" t="str">
        <f>VLOOKUP(A411,'ESO wayshrine names'!$A$3:$B$967,2,)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20"/>
        <v>[428]=684,</v>
      </c>
      <c r="K412" s="3">
        <f t="shared" si="21"/>
        <v>428</v>
      </c>
      <c r="L412" s="3">
        <f t="shared" si="22"/>
        <v>684</v>
      </c>
      <c r="M412" s="8" t="str">
        <f>VLOOKUP(A412,'ESO wayshrine names'!$A$3:$B$967,2,)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20"/>
        <v>[429]=1160,</v>
      </c>
      <c r="K413" s="3">
        <f t="shared" si="21"/>
        <v>429</v>
      </c>
      <c r="L413" s="3">
        <f t="shared" si="22"/>
        <v>1160</v>
      </c>
      <c r="M413" s="8" t="str">
        <f>VLOOKUP(A413,'ESO wayshrine names'!$A$3:$B$967,2,)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20"/>
        <v>[430]=0,</v>
      </c>
      <c r="K414" s="3">
        <f t="shared" si="21"/>
        <v>430</v>
      </c>
      <c r="L414" s="3">
        <f t="shared" si="22"/>
        <v>0</v>
      </c>
      <c r="M414" s="8" t="str">
        <f>VLOOKUP(A414,'ESO wayshrine names'!$A$3:$B$967,2,)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20"/>
        <v>[431]=0,</v>
      </c>
      <c r="K415" s="3">
        <f t="shared" si="21"/>
        <v>431</v>
      </c>
      <c r="L415" s="3">
        <f t="shared" si="22"/>
        <v>0</v>
      </c>
      <c r="M415" s="8" t="str">
        <f>VLOOKUP(A415,'ESO wayshrine names'!$A$3:$B$967,2,)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20"/>
        <v>[432]=0,</v>
      </c>
      <c r="K416" s="3">
        <f t="shared" si="21"/>
        <v>432</v>
      </c>
      <c r="L416" s="3">
        <f t="shared" si="22"/>
        <v>0</v>
      </c>
      <c r="M416" s="8" t="str">
        <f>VLOOKUP(A416,'ESO wayshrine names'!$A$3:$B$967,2,)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20"/>
        <v>[433]=0,</v>
      </c>
      <c r="K417" s="3">
        <f t="shared" si="21"/>
        <v>433</v>
      </c>
      <c r="L417" s="3">
        <f t="shared" si="22"/>
        <v>0</v>
      </c>
      <c r="M417" s="8" t="str">
        <f>VLOOKUP(A417,'ESO wayshrine names'!$A$3:$B$967,2,)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20"/>
        <v>[434]=1160,</v>
      </c>
      <c r="K418" s="3">
        <f t="shared" si="21"/>
        <v>434</v>
      </c>
      <c r="L418" s="3">
        <f t="shared" si="22"/>
        <v>1160</v>
      </c>
      <c r="M418" s="8" t="str">
        <f>VLOOKUP(A418,'ESO wayshrine names'!$A$3:$B$967,2,)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20"/>
        <v>[435]=0,</v>
      </c>
      <c r="K419" s="3">
        <f t="shared" si="21"/>
        <v>435</v>
      </c>
      <c r="L419" s="3">
        <f t="shared" si="22"/>
        <v>0</v>
      </c>
      <c r="M419" s="8" t="str">
        <f>VLOOKUP(A419,'ESO wayshrine names'!$A$3:$B$967,2,)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20"/>
        <v>[436]=1160,</v>
      </c>
      <c r="K420" s="3">
        <f t="shared" si="21"/>
        <v>436</v>
      </c>
      <c r="L420" s="3">
        <f t="shared" si="22"/>
        <v>1160</v>
      </c>
      <c r="M420" s="8" t="str">
        <f>VLOOKUP(A420,'ESO wayshrine names'!$A$3:$B$967,2,)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20"/>
        <v>[437]=823,</v>
      </c>
      <c r="K421" s="3">
        <f t="shared" si="21"/>
        <v>437</v>
      </c>
      <c r="L421" s="3">
        <f t="shared" si="22"/>
        <v>823</v>
      </c>
      <c r="M421" s="8" t="str">
        <f>VLOOKUP(A421,'ESO wayshrine names'!$A$3:$B$967,2,)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20"/>
        <v>[438]=1160,</v>
      </c>
      <c r="K422" s="3">
        <f t="shared" si="21"/>
        <v>438</v>
      </c>
      <c r="L422" s="3">
        <f t="shared" si="22"/>
        <v>1160</v>
      </c>
      <c r="M422" s="8" t="str">
        <f>VLOOKUP(A422,'ESO wayshrine names'!$A$3:$B$967,2,)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20"/>
        <v>[439]=1160,</v>
      </c>
      <c r="K423" s="3">
        <f t="shared" si="21"/>
        <v>439</v>
      </c>
      <c r="L423" s="3">
        <f t="shared" si="22"/>
        <v>1160</v>
      </c>
      <c r="M423" s="8" t="str">
        <f>VLOOKUP(A423,'ESO wayshrine names'!$A$3:$B$967,2,)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20"/>
        <v>[440]=0,</v>
      </c>
      <c r="K424" s="3">
        <f t="shared" si="21"/>
        <v>440</v>
      </c>
      <c r="L424" s="3">
        <f t="shared" si="22"/>
        <v>0</v>
      </c>
      <c r="M424" s="8" t="str">
        <f>VLOOKUP(A424,'ESO wayshrine names'!$A$3:$B$967,2,)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20"/>
        <v>[441]=1207,</v>
      </c>
      <c r="K425" s="3">
        <f t="shared" si="21"/>
        <v>441</v>
      </c>
      <c r="L425" s="3">
        <f t="shared" si="22"/>
        <v>1207</v>
      </c>
      <c r="M425" s="8" t="str">
        <f>VLOOKUP(A425,'ESO wayshrine names'!$A$3:$B$967,2,)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20"/>
        <v>[442]=1207,</v>
      </c>
      <c r="K426" s="3">
        <f t="shared" si="21"/>
        <v>442</v>
      </c>
      <c r="L426" s="3">
        <f t="shared" si="22"/>
        <v>1207</v>
      </c>
      <c r="M426" s="8" t="str">
        <f>VLOOKUP(A426,'ESO wayshrine names'!$A$3:$B$967,2,)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20"/>
        <v>[443]=1207,</v>
      </c>
      <c r="K427" s="3">
        <f t="shared" si="21"/>
        <v>443</v>
      </c>
      <c r="L427" s="3">
        <f t="shared" si="22"/>
        <v>1207</v>
      </c>
      <c r="M427" s="8" t="str">
        <f>VLOOKUP(A427,'ESO wayshrine names'!$A$3:$B$967,2,)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20"/>
        <v>[444]=1207,</v>
      </c>
      <c r="K428" s="3">
        <f t="shared" si="21"/>
        <v>444</v>
      </c>
      <c r="L428" s="3">
        <f t="shared" si="22"/>
        <v>1207</v>
      </c>
      <c r="M428" s="8" t="str">
        <f>VLOOKUP(A428,'ESO wayshrine names'!$A$3:$B$967,2,)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20"/>
        <v>[445]=1207,</v>
      </c>
      <c r="K429" s="3">
        <f t="shared" si="21"/>
        <v>445</v>
      </c>
      <c r="L429" s="3">
        <f t="shared" si="22"/>
        <v>1207</v>
      </c>
      <c r="M429" s="8" t="str">
        <f>VLOOKUP(A429,'ESO wayshrine names'!$A$3:$B$967,2,)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20"/>
        <v>[446]=0,</v>
      </c>
      <c r="K430" s="3">
        <f t="shared" si="21"/>
        <v>446</v>
      </c>
      <c r="L430" s="3">
        <f t="shared" si="22"/>
        <v>0</v>
      </c>
      <c r="M430" s="8" t="str">
        <f>VLOOKUP(A430,'ESO wayshrine names'!$A$3:$B$967,2,)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20"/>
        <v>[447]=1207,</v>
      </c>
      <c r="K431" s="3">
        <f t="shared" si="21"/>
        <v>447</v>
      </c>
      <c r="L431" s="3">
        <f t="shared" si="22"/>
        <v>1207</v>
      </c>
      <c r="M431" s="8" t="str">
        <f>VLOOKUP(A431,'ESO wayshrine names'!$A$3:$B$967,2,)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20"/>
        <v>[448]=0,</v>
      </c>
      <c r="K432" s="3">
        <f t="shared" si="21"/>
        <v>448</v>
      </c>
      <c r="L432" s="3">
        <f t="shared" si="22"/>
        <v>0</v>
      </c>
      <c r="M432" s="8" t="str">
        <f>VLOOKUP(A432,'ESO wayshrine names'!$A$3:$B$967,2,)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20"/>
        <v>[449]=1207,</v>
      </c>
      <c r="K433" s="3">
        <f t="shared" si="21"/>
        <v>449</v>
      </c>
      <c r="L433" s="3">
        <f t="shared" si="22"/>
        <v>1207</v>
      </c>
      <c r="M433" s="8" t="str">
        <f>VLOOKUP(A433,'ESO wayshrine names'!$A$3:$B$967,2,)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20"/>
        <v>[450]=1160,</v>
      </c>
      <c r="K434" s="3">
        <f t="shared" si="21"/>
        <v>450</v>
      </c>
      <c r="L434" s="3">
        <f t="shared" si="22"/>
        <v>1160</v>
      </c>
      <c r="M434" s="8" t="str">
        <f>VLOOKUP(A434,'ESO wayshrine names'!$A$3:$B$967,2,)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20"/>
        <v>[451]=1160,</v>
      </c>
      <c r="K435" s="3">
        <f t="shared" si="21"/>
        <v>451</v>
      </c>
      <c r="L435" s="3">
        <f t="shared" si="22"/>
        <v>1160</v>
      </c>
      <c r="M435" s="8" t="str">
        <f>VLOOKUP(A435,'ESO wayshrine names'!$A$3:$B$967,2,)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20"/>
        <v>[452]=1160,</v>
      </c>
      <c r="K436" s="3">
        <f t="shared" si="21"/>
        <v>452</v>
      </c>
      <c r="L436" s="3">
        <f t="shared" si="22"/>
        <v>1160</v>
      </c>
      <c r="M436" s="8" t="str">
        <f>VLOOKUP(A436,'ESO wayshrine names'!$A$3:$B$967,2,)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20"/>
        <v>[453]=1160,</v>
      </c>
      <c r="K437" s="3">
        <f t="shared" si="21"/>
        <v>453</v>
      </c>
      <c r="L437" s="3">
        <f t="shared" si="22"/>
        <v>1160</v>
      </c>
      <c r="M437" s="8" t="str">
        <f>VLOOKUP(A437,'ESO wayshrine names'!$A$3:$B$967,2,)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20"/>
        <v>[454]=57,</v>
      </c>
      <c r="K438" s="3">
        <f t="shared" si="21"/>
        <v>454</v>
      </c>
      <c r="L438" s="3">
        <f t="shared" si="22"/>
        <v>57</v>
      </c>
      <c r="M438" s="8" t="str">
        <f>VLOOKUP(A438,'ESO wayshrine names'!$A$3:$B$967,2,)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20"/>
        <v>[455]=1160,</v>
      </c>
      <c r="K439" s="3">
        <f t="shared" si="21"/>
        <v>455</v>
      </c>
      <c r="L439" s="3">
        <f t="shared" si="22"/>
        <v>1160</v>
      </c>
      <c r="M439" s="8" t="str">
        <f>VLOOKUP(A439,'ESO wayshrine names'!$A$3:$B$967,2,)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20"/>
        <v>[456]=1207,</v>
      </c>
      <c r="K440" s="3">
        <f t="shared" si="21"/>
        <v>456</v>
      </c>
      <c r="L440" s="3">
        <f t="shared" si="22"/>
        <v>1207</v>
      </c>
      <c r="M440" s="8" t="str">
        <f>VLOOKUP(A440,'ESO wayshrine names'!$A$3:$B$967,2,)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20"/>
        <v>[457]=1207,</v>
      </c>
      <c r="K441" s="3">
        <f t="shared" si="21"/>
        <v>457</v>
      </c>
      <c r="L441" s="3">
        <f t="shared" si="22"/>
        <v>1207</v>
      </c>
      <c r="M441" s="8" t="str">
        <f>VLOOKUP(A441,'ESO wayshrine names'!$A$3:$B$967,2,)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20"/>
        <v>[458]=1261,</v>
      </c>
      <c r="K442" s="3">
        <f t="shared" si="21"/>
        <v>458</v>
      </c>
      <c r="L442" s="3">
        <f t="shared" si="22"/>
        <v>1261</v>
      </c>
      <c r="M442" s="8" t="str">
        <f>VLOOKUP(A442,'ESO wayshrine names'!$A$3:$B$967,2,)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20"/>
        <v>[459]=1261,</v>
      </c>
      <c r="K443" s="3">
        <f t="shared" si="21"/>
        <v>459</v>
      </c>
      <c r="L443" s="3">
        <f t="shared" si="22"/>
        <v>1261</v>
      </c>
      <c r="M443" s="8" t="str">
        <f>VLOOKUP(A443,'ESO wayshrine names'!$A$3:$B$967,2,)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20"/>
        <v>[460]=1261,</v>
      </c>
      <c r="K444" s="3">
        <f t="shared" si="21"/>
        <v>460</v>
      </c>
      <c r="L444" s="3">
        <f t="shared" si="22"/>
        <v>1261</v>
      </c>
      <c r="M444" s="8" t="str">
        <f>VLOOKUP(A444,'ESO wayshrine names'!$A$3:$B$967,2,)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20"/>
        <v>[461]=1261,</v>
      </c>
      <c r="K445" s="3">
        <f t="shared" si="21"/>
        <v>461</v>
      </c>
      <c r="L445" s="3">
        <f t="shared" si="22"/>
        <v>1261</v>
      </c>
      <c r="M445" s="8" t="str">
        <f>VLOOKUP(A445,'ESO wayshrine names'!$A$3:$B$967,2,)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20"/>
        <v>[462]=1261,</v>
      </c>
      <c r="K446" s="3">
        <f t="shared" si="21"/>
        <v>462</v>
      </c>
      <c r="L446" s="3">
        <f t="shared" si="22"/>
        <v>1261</v>
      </c>
      <c r="M446" s="8" t="str">
        <f>VLOOKUP(A446,'ESO wayshrine names'!$A$3:$B$967,2,)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20"/>
        <v>[463]=1261,</v>
      </c>
      <c r="K447" s="3">
        <f t="shared" si="21"/>
        <v>463</v>
      </c>
      <c r="L447" s="3">
        <f t="shared" si="22"/>
        <v>1261</v>
      </c>
      <c r="M447" s="8" t="str">
        <f>VLOOKUP(A447,'ESO wayshrine names'!$A$3:$B$967,2,)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20"/>
        <v>[464]=1261,</v>
      </c>
      <c r="K448" s="3">
        <f t="shared" si="21"/>
        <v>464</v>
      </c>
      <c r="L448" s="3">
        <f t="shared" si="22"/>
        <v>1261</v>
      </c>
      <c r="M448" s="8" t="str">
        <f>VLOOKUP(A448,'ESO wayshrine names'!$A$3:$B$967,2,)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20"/>
        <v>[465]=849,</v>
      </c>
      <c r="K449" s="3">
        <f t="shared" si="21"/>
        <v>465</v>
      </c>
      <c r="L449" s="3">
        <f t="shared" si="22"/>
        <v>849</v>
      </c>
      <c r="M449" s="8" t="str">
        <f>VLOOKUP(A449,'ESO wayshrine names'!$A$3:$B$967,2,)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20"/>
        <v>[466]=823,</v>
      </c>
      <c r="K450" s="3">
        <f t="shared" si="21"/>
        <v>466</v>
      </c>
      <c r="L450" s="3">
        <f t="shared" si="22"/>
        <v>823</v>
      </c>
      <c r="M450" s="8" t="str">
        <f>VLOOKUP(A450,'ESO wayshrine names'!$A$3:$B$967,2,)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3">IF(A451&lt;&gt;"",IF(F451&lt;&gt;"",IF(OR(ISNA(A451),ISNA(F451)),"","["&amp;A451&amp;"]="&amp;F451&amp;","),""),"")</f>
        <v>[467]=1261,</v>
      </c>
      <c r="K451" s="3">
        <f t="shared" si="21"/>
        <v>467</v>
      </c>
      <c r="L451" s="3">
        <f t="shared" si="22"/>
        <v>1261</v>
      </c>
      <c r="M451" s="8" t="str">
        <f>VLOOKUP(A451,'ESO wayshrine names'!$A$3:$B$967,2,)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3"/>
        <v>[468]=1261,</v>
      </c>
      <c r="K452" s="3">
        <f t="shared" ref="K452:K515" si="24">A452</f>
        <v>468</v>
      </c>
      <c r="L452" s="3">
        <f t="shared" ref="L452:L515" si="25">F452</f>
        <v>1261</v>
      </c>
      <c r="M452" s="8" t="str">
        <f>VLOOKUP(A452,'ESO wayshrine names'!$A$3:$B$967,2,)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3"/>
        <v>[469]=1261,</v>
      </c>
      <c r="K453" s="3">
        <f t="shared" si="24"/>
        <v>469</v>
      </c>
      <c r="L453" s="3">
        <f t="shared" si="25"/>
        <v>1261</v>
      </c>
      <c r="M453" s="8" t="str">
        <f>VLOOKUP(A453,'ESO wayshrine names'!$A$3:$B$967,2,)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3"/>
        <v>[470]=3,</v>
      </c>
      <c r="K454" s="3">
        <f t="shared" si="24"/>
        <v>470</v>
      </c>
      <c r="L454" s="3">
        <f t="shared" si="25"/>
        <v>3</v>
      </c>
      <c r="M454" s="8" t="str">
        <f>VLOOKUP(A454,'ESO wayshrine names'!$A$3:$B$967,2,)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3"/>
        <v>[471]=1261,</v>
      </c>
      <c r="K455" s="3">
        <f t="shared" si="24"/>
        <v>471</v>
      </c>
      <c r="L455" s="3">
        <f t="shared" si="25"/>
        <v>1261</v>
      </c>
      <c r="M455" s="8" t="str">
        <f>VLOOKUP(A455,'ESO wayshrine names'!$A$3:$B$967,2,)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3"/>
        <v>[472]=1261,</v>
      </c>
      <c r="K456" s="3">
        <f t="shared" si="24"/>
        <v>472</v>
      </c>
      <c r="L456" s="3">
        <f t="shared" si="25"/>
        <v>1261</v>
      </c>
      <c r="M456" s="8" t="str">
        <f>VLOOKUP(A456,'ESO wayshrine names'!$A$3:$B$967,2,)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3"/>
        <v>[473]=1261,</v>
      </c>
      <c r="K457" s="3">
        <f t="shared" si="24"/>
        <v>473</v>
      </c>
      <c r="L457" s="3">
        <f t="shared" si="25"/>
        <v>1261</v>
      </c>
      <c r="M457" s="8" t="str">
        <f>VLOOKUP(A457,'ESO wayshrine names'!$A$3:$B$967,2,)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3"/>
        <v>[476]=1286,</v>
      </c>
      <c r="K458" s="3">
        <f t="shared" si="24"/>
        <v>476</v>
      </c>
      <c r="L458" s="3">
        <f t="shared" si="25"/>
        <v>1286</v>
      </c>
      <c r="M458" s="8" t="str">
        <f>VLOOKUP(A458,'ESO wayshrine names'!$A$3:$B$967,2,)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3"/>
        <v>[477]=1286,</v>
      </c>
      <c r="K459" s="3">
        <f t="shared" si="24"/>
        <v>477</v>
      </c>
      <c r="L459" s="3">
        <f t="shared" si="25"/>
        <v>1286</v>
      </c>
      <c r="M459" s="8" t="str">
        <f>VLOOKUP(A459,'ESO wayshrine names'!$A$3:$B$967,2,)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3"/>
        <v>[478]=1286,</v>
      </c>
      <c r="K460" s="3">
        <f t="shared" si="24"/>
        <v>478</v>
      </c>
      <c r="L460" s="3">
        <f t="shared" si="25"/>
        <v>1286</v>
      </c>
      <c r="M460" s="8" t="str">
        <f>VLOOKUP(A460,'ESO wayshrine names'!$A$3:$B$967,2,)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3"/>
        <v>[479]=1286,</v>
      </c>
      <c r="K461" s="3">
        <f t="shared" si="24"/>
        <v>479</v>
      </c>
      <c r="L461" s="3">
        <f t="shared" si="25"/>
        <v>1286</v>
      </c>
      <c r="M461" s="8" t="str">
        <f>VLOOKUP(A461,'ESO wayshrine names'!$A$3:$B$967,2,)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3"/>
        <v>[480]=1286,</v>
      </c>
      <c r="K462" s="3">
        <f t="shared" si="24"/>
        <v>480</v>
      </c>
      <c r="L462" s="3">
        <f t="shared" si="25"/>
        <v>1286</v>
      </c>
      <c r="M462" s="8" t="str">
        <f>VLOOKUP(A462,'ESO wayshrine names'!$A$3:$B$967,2,)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3"/>
        <v>[481]=1261,</v>
      </c>
      <c r="K463" s="3">
        <f t="shared" si="24"/>
        <v>481</v>
      </c>
      <c r="L463" s="3">
        <f t="shared" si="25"/>
        <v>1261</v>
      </c>
      <c r="M463" s="8" t="str">
        <f>VLOOKUP(A463,'ESO wayshrine names'!$A$3:$B$967,2,)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3"/>
        <v>[482]=1261,</v>
      </c>
      <c r="K464" s="3">
        <f t="shared" si="24"/>
        <v>482</v>
      </c>
      <c r="L464" s="3">
        <f t="shared" si="25"/>
        <v>1261</v>
      </c>
      <c r="M464" s="8" t="str">
        <f>VLOOKUP(A464,'ESO wayshrine names'!$A$3:$B$967,2,)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3"/>
        <v>[483]=1261,</v>
      </c>
      <c r="K465" s="3">
        <f t="shared" si="24"/>
        <v>483</v>
      </c>
      <c r="L465" s="3">
        <f t="shared" si="25"/>
        <v>1261</v>
      </c>
      <c r="M465" s="8" t="str">
        <f>VLOOKUP(A465,'ESO wayshrine names'!$A$3:$B$967,2,)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3"/>
        <v>[484]=1261,</v>
      </c>
      <c r="K466" s="3">
        <f t="shared" si="24"/>
        <v>484</v>
      </c>
      <c r="L466" s="3">
        <f t="shared" si="25"/>
        <v>1261</v>
      </c>
      <c r="M466" s="8" t="str">
        <f>VLOOKUP(A466,'ESO wayshrine names'!$A$3:$B$967,2,)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3"/>
        <v>[485]=58,</v>
      </c>
      <c r="K467" s="3">
        <f t="shared" si="24"/>
        <v>485</v>
      </c>
      <c r="L467" s="3">
        <f t="shared" si="25"/>
        <v>58</v>
      </c>
      <c r="M467" s="8" t="str">
        <f>VLOOKUP(A467,'ESO wayshrine names'!$A$3:$B$967,2,)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3"/>
        <v>[486]=1261,</v>
      </c>
      <c r="K468" s="3">
        <f t="shared" si="24"/>
        <v>486</v>
      </c>
      <c r="L468" s="3">
        <f t="shared" si="25"/>
        <v>1261</v>
      </c>
      <c r="M468" s="8" t="str">
        <f>VLOOKUP(A468,'ESO wayshrine names'!$A$3:$B$967,2,)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3"/>
        <v>[487]=1283,</v>
      </c>
      <c r="K469" s="3">
        <f t="shared" si="24"/>
        <v>487</v>
      </c>
      <c r="L469" s="3">
        <f t="shared" si="25"/>
        <v>1283</v>
      </c>
      <c r="M469" s="8" t="str">
        <f>VLOOKUP(A469,'ESO wayshrine names'!$A$3:$B$967,2,)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3"/>
        <v>[488]=1318,</v>
      </c>
      <c r="K470" s="3">
        <f t="shared" si="24"/>
        <v>488</v>
      </c>
      <c r="L470" s="3">
        <f t="shared" si="25"/>
        <v>1318</v>
      </c>
      <c r="M470" s="8" t="str">
        <f>VLOOKUP(A470,'ESO wayshrine names'!$A$3:$B$967,2,)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3"/>
        <v>[489]=1283,</v>
      </c>
      <c r="K471" s="3">
        <f t="shared" si="24"/>
        <v>489</v>
      </c>
      <c r="L471" s="3">
        <f t="shared" si="25"/>
        <v>1283</v>
      </c>
      <c r="M471" s="8" t="str">
        <f>VLOOKUP(A471,'ESO wayshrine names'!$A$3:$B$967,2,)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3"/>
        <v>[490]=1286,</v>
      </c>
      <c r="K472" s="3">
        <f t="shared" si="24"/>
        <v>490</v>
      </c>
      <c r="L472" s="3">
        <f t="shared" si="25"/>
        <v>1286</v>
      </c>
      <c r="M472" s="8" t="str">
        <f>VLOOKUP(A472,'ESO wayshrine names'!$A$3:$B$967,2,)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3"/>
        <v>[491]=1286,</v>
      </c>
      <c r="K473" s="3">
        <f t="shared" si="24"/>
        <v>491</v>
      </c>
      <c r="L473" s="3">
        <f t="shared" si="25"/>
        <v>1286</v>
      </c>
      <c r="M473" s="8" t="str">
        <f>VLOOKUP(A473,'ESO wayshrine names'!$A$3:$B$967,2,)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3"/>
        <v>[493]=1283,</v>
      </c>
      <c r="K474" s="3">
        <f t="shared" si="24"/>
        <v>493</v>
      </c>
      <c r="L474" s="3">
        <f t="shared" si="25"/>
        <v>1283</v>
      </c>
      <c r="M474" s="8" t="str">
        <f>VLOOKUP(A474,'ESO wayshrine names'!$A$3:$B$967,2,)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3"/>
        <v>[494]=1286,</v>
      </c>
      <c r="K475" s="3">
        <f t="shared" si="24"/>
        <v>494</v>
      </c>
      <c r="L475" s="3">
        <f t="shared" si="25"/>
        <v>1286</v>
      </c>
      <c r="M475" s="8" t="str">
        <f>VLOOKUP(A475,'ESO wayshrine names'!$A$3:$B$967,2,)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3"/>
        <v>[495]=1283,</v>
      </c>
      <c r="K476" s="3">
        <f t="shared" si="24"/>
        <v>495</v>
      </c>
      <c r="L476" s="3">
        <f t="shared" si="25"/>
        <v>1283</v>
      </c>
      <c r="M476" s="8" t="str">
        <f>VLOOKUP(A476,'ESO wayshrine names'!$A$3:$B$967,2,)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3"/>
        <v>[496]=1286,</v>
      </c>
      <c r="K477" s="3">
        <f t="shared" si="24"/>
        <v>496</v>
      </c>
      <c r="L477" s="3">
        <f t="shared" si="25"/>
        <v>1286</v>
      </c>
      <c r="M477" s="8" t="str">
        <f>VLOOKUP(A477,'ESO wayshrine names'!$A$3:$B$967,2,)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3"/>
        <v>[497]=1011,</v>
      </c>
      <c r="K478" s="3">
        <f t="shared" si="24"/>
        <v>497</v>
      </c>
      <c r="L478" s="3">
        <f t="shared" si="25"/>
        <v>1011</v>
      </c>
      <c r="M478" s="8" t="str">
        <f>VLOOKUP(A478,'ESO wayshrine names'!$A$3:$B$967,2,)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3"/>
        <v>[498]=20,</v>
      </c>
      <c r="K479" s="3">
        <f t="shared" si="24"/>
        <v>498</v>
      </c>
      <c r="L479" s="3">
        <f t="shared" si="25"/>
        <v>20</v>
      </c>
      <c r="M479" s="8" t="str">
        <f>VLOOKUP(A479,'ESO wayshrine names'!$A$3:$B$967,2,)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3"/>
        <v>[499]=535,</v>
      </c>
      <c r="K480" s="3">
        <f t="shared" si="24"/>
        <v>499</v>
      </c>
      <c r="L480" s="3">
        <f t="shared" si="25"/>
        <v>535</v>
      </c>
      <c r="M480" s="8" t="str">
        <f>VLOOKUP(A480,'ESO wayshrine names'!$A$3:$B$967,2,)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3"/>
        <v>[501]=1318,</v>
      </c>
      <c r="K481" s="3">
        <f t="shared" si="24"/>
        <v>501</v>
      </c>
      <c r="L481" s="3">
        <f t="shared" si="25"/>
        <v>1318</v>
      </c>
      <c r="M481" s="8" t="str">
        <f>VLOOKUP(A481,'ESO wayshrine names'!$A$3:$B$967,2,)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3"/>
        <v>[502]=1318,</v>
      </c>
      <c r="K482" s="3">
        <f t="shared" si="24"/>
        <v>502</v>
      </c>
      <c r="L482" s="3">
        <f t="shared" si="25"/>
        <v>1318</v>
      </c>
      <c r="M482" s="8" t="str">
        <f>VLOOKUP(A482,'ESO wayshrine names'!$A$3:$B$967,2,)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3"/>
        <v>[503]=1318,</v>
      </c>
      <c r="K483" s="3">
        <f t="shared" si="24"/>
        <v>503</v>
      </c>
      <c r="L483" s="3">
        <f t="shared" si="25"/>
        <v>1318</v>
      </c>
      <c r="M483" s="8" t="str">
        <f>VLOOKUP(A483,'ESO wayshrine names'!$A$3:$B$967,2,)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3"/>
        <v>[504]=1318,</v>
      </c>
      <c r="K484" s="3">
        <f t="shared" si="24"/>
        <v>504</v>
      </c>
      <c r="L484" s="3">
        <f t="shared" si="25"/>
        <v>1318</v>
      </c>
      <c r="M484" s="8" t="str">
        <f>VLOOKUP(A484,'ESO wayshrine names'!$A$3:$B$967,2,)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3"/>
        <v>[505]=1318,</v>
      </c>
      <c r="K485" s="3">
        <f t="shared" si="24"/>
        <v>505</v>
      </c>
      <c r="L485" s="3">
        <f t="shared" si="25"/>
        <v>1318</v>
      </c>
      <c r="M485" s="8" t="str">
        <f>VLOOKUP(A485,'ESO wayshrine names'!$A$3:$B$967,2,)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3"/>
        <v>[506]=1318,</v>
      </c>
      <c r="K486" s="3">
        <f t="shared" si="24"/>
        <v>506</v>
      </c>
      <c r="L486" s="3">
        <f t="shared" si="25"/>
        <v>1318</v>
      </c>
      <c r="M486" s="8" t="str">
        <f>VLOOKUP(A486,'ESO wayshrine names'!$A$3:$B$967,2,)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3"/>
        <v>[507]=1318,</v>
      </c>
      <c r="K487" s="3">
        <f t="shared" si="24"/>
        <v>507</v>
      </c>
      <c r="L487" s="3">
        <f t="shared" si="25"/>
        <v>1318</v>
      </c>
      <c r="M487" s="8" t="str">
        <f>VLOOKUP(A487,'ESO wayshrine names'!$A$3:$B$967,2,)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3"/>
        <v>[508]=1318,</v>
      </c>
      <c r="K488" s="3">
        <f t="shared" si="24"/>
        <v>508</v>
      </c>
      <c r="L488" s="3">
        <f t="shared" si="25"/>
        <v>1318</v>
      </c>
      <c r="M488" s="8" t="str">
        <f>VLOOKUP(A488,'ESO wayshrine names'!$A$3:$B$967,2,)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3"/>
        <v>[509]=1318,</v>
      </c>
      <c r="K489" s="3">
        <f t="shared" si="24"/>
        <v>509</v>
      </c>
      <c r="L489" s="3">
        <f t="shared" si="25"/>
        <v>1318</v>
      </c>
      <c r="M489" s="8" t="str">
        <f>VLOOKUP(A489,'ESO wayshrine names'!$A$3:$B$967,2,)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3"/>
        <v>[510]=1318,</v>
      </c>
      <c r="K490" s="3">
        <f t="shared" si="24"/>
        <v>510</v>
      </c>
      <c r="L490" s="3">
        <f t="shared" si="25"/>
        <v>1318</v>
      </c>
      <c r="M490" s="8" t="str">
        <f>VLOOKUP(A490,'ESO wayshrine names'!$A$3:$B$967,2,)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3"/>
        <v>[511]=1318,</v>
      </c>
      <c r="K491" s="3">
        <f t="shared" si="24"/>
        <v>511</v>
      </c>
      <c r="L491" s="3">
        <f t="shared" si="25"/>
        <v>1318</v>
      </c>
      <c r="M491" s="8" t="str">
        <f>VLOOKUP(A491,'ESO wayshrine names'!$A$3:$B$967,2,)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3"/>
        <v>[512]=1318,</v>
      </c>
      <c r="K492" s="3">
        <f t="shared" si="24"/>
        <v>512</v>
      </c>
      <c r="L492" s="3">
        <f t="shared" si="25"/>
        <v>1318</v>
      </c>
      <c r="M492" s="8" t="str">
        <f>VLOOKUP(A492,'ESO wayshrine names'!$A$3:$B$967,2,)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3"/>
        <v>[513]=1318,</v>
      </c>
      <c r="K493" s="3">
        <f t="shared" si="24"/>
        <v>513</v>
      </c>
      <c r="L493" s="3">
        <f t="shared" si="25"/>
        <v>1318</v>
      </c>
      <c r="M493" s="8" t="str">
        <f>VLOOKUP(A493,'ESO wayshrine names'!$A$3:$B$967,2,)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3"/>
        <v>[517]=1318,</v>
      </c>
      <c r="K494" s="3">
        <f t="shared" si="24"/>
        <v>517</v>
      </c>
      <c r="L494" s="3">
        <f t="shared" si="25"/>
        <v>1318</v>
      </c>
      <c r="M494" s="8" t="str">
        <f>VLOOKUP(A494,'ESO wayshrine names'!$A$3:$B$967,2,)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3"/>
        <v>[518]=1318,</v>
      </c>
      <c r="K495" s="3">
        <f t="shared" si="24"/>
        <v>518</v>
      </c>
      <c r="L495" s="3">
        <f t="shared" si="25"/>
        <v>1318</v>
      </c>
      <c r="M495" s="8" t="str">
        <f>VLOOKUP(A495,'ESO wayshrine names'!$A$3:$B$967,2,)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3"/>
        <v>[519]=1318,</v>
      </c>
      <c r="K496" s="3">
        <f t="shared" si="24"/>
        <v>519</v>
      </c>
      <c r="L496" s="3">
        <f t="shared" si="25"/>
        <v>1318</v>
      </c>
      <c r="M496" s="8" t="str">
        <f>VLOOKUP(A496,'ESO wayshrine names'!$A$3:$B$967,2,)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3"/>
        <v>[520]=1318,</v>
      </c>
      <c r="K497" s="3">
        <f t="shared" si="24"/>
        <v>520</v>
      </c>
      <c r="L497" s="3">
        <f t="shared" si="25"/>
        <v>1318</v>
      </c>
      <c r="M497" s="8" t="str">
        <f>VLOOKUP(A497,'ESO wayshrine names'!$A$3:$B$967,2,)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3"/>
        <v>[521]=1318,</v>
      </c>
      <c r="K498" s="3">
        <f t="shared" si="24"/>
        <v>521</v>
      </c>
      <c r="L498" s="3">
        <f t="shared" si="25"/>
        <v>1318</v>
      </c>
      <c r="M498" s="8" t="str">
        <f>VLOOKUP(A498,'ESO wayshrine names'!$A$3:$B$967,2,)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3"/>
        <v>[522]=1318,</v>
      </c>
      <c r="K499" s="3">
        <f t="shared" si="24"/>
        <v>522</v>
      </c>
      <c r="L499" s="3">
        <f t="shared" si="25"/>
        <v>1318</v>
      </c>
      <c r="M499" s="8" t="str">
        <f>VLOOKUP(A499,'ESO wayshrine names'!$A$3:$B$967,2,)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3"/>
        <v>[523]=1318,</v>
      </c>
      <c r="K500" s="3">
        <f t="shared" si="24"/>
        <v>523</v>
      </c>
      <c r="L500" s="3">
        <f t="shared" si="25"/>
        <v>1318</v>
      </c>
      <c r="M500" s="8" t="str">
        <f>VLOOKUP(A500,'ESO wayshrine names'!$A$3:$B$967,2,)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3"/>
        <v>[524]=1383,</v>
      </c>
      <c r="K501" s="3">
        <f t="shared" si="24"/>
        <v>524</v>
      </c>
      <c r="L501" s="3">
        <f t="shared" si="25"/>
        <v>1383</v>
      </c>
      <c r="M501" s="8" t="str">
        <f>VLOOKUP(A501,'ESO wayshrine names'!$A$3:$B$967,2,)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3"/>
        <v>[525]=1383,</v>
      </c>
      <c r="K502" s="3">
        <f t="shared" si="24"/>
        <v>525</v>
      </c>
      <c r="L502" s="3">
        <f t="shared" si="25"/>
        <v>1383</v>
      </c>
      <c r="M502" s="8" t="str">
        <f>VLOOKUP(A502,'ESO wayshrine names'!$A$3:$B$967,2,)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3"/>
        <v>[526]=1383,</v>
      </c>
      <c r="K503" s="3">
        <f t="shared" si="24"/>
        <v>526</v>
      </c>
      <c r="L503" s="3">
        <f t="shared" si="25"/>
        <v>1383</v>
      </c>
      <c r="M503" s="8" t="str">
        <f>VLOOKUP(A503,'ESO wayshrine names'!$A$3:$B$967,2,)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3"/>
        <v>[527]=1383,</v>
      </c>
      <c r="K504" s="3">
        <f t="shared" si="24"/>
        <v>527</v>
      </c>
      <c r="L504" s="3">
        <f t="shared" si="25"/>
        <v>1383</v>
      </c>
      <c r="M504" s="8" t="str">
        <f>VLOOKUP(A504,'ESO wayshrine names'!$A$3:$B$967,2,)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3"/>
        <v>[528]=1383,</v>
      </c>
      <c r="K505" s="3">
        <f t="shared" si="24"/>
        <v>528</v>
      </c>
      <c r="L505" s="3">
        <f t="shared" si="25"/>
        <v>1383</v>
      </c>
      <c r="M505" s="8" t="str">
        <f>VLOOKUP(A505,'ESO wayshrine names'!$A$3:$B$967,2,)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3"/>
        <v>[529]=1383,</v>
      </c>
      <c r="K506" s="3">
        <f t="shared" si="24"/>
        <v>529</v>
      </c>
      <c r="L506" s="3">
        <f t="shared" si="25"/>
        <v>1383</v>
      </c>
      <c r="M506" s="8" t="str">
        <f>VLOOKUP(A506,'ESO wayshrine names'!$A$3:$B$967,2,)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3"/>
        <v>[530]=1383,</v>
      </c>
      <c r="K507" s="3">
        <f t="shared" si="24"/>
        <v>530</v>
      </c>
      <c r="L507" s="3">
        <f t="shared" si="25"/>
        <v>1383</v>
      </c>
      <c r="M507" s="8" t="str">
        <f>VLOOKUP(A507,'ESO wayshrine names'!$A$3:$B$967,2,)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3"/>
        <v>[531]=41,</v>
      </c>
      <c r="K508" s="3">
        <f t="shared" si="24"/>
        <v>531</v>
      </c>
      <c r="L508" s="3">
        <f t="shared" si="25"/>
        <v>41</v>
      </c>
      <c r="M508" s="8" t="str">
        <f>VLOOKUP(A508,'ESO wayshrine names'!$A$3:$B$967,2,)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3"/>
        <v>[532]=103,</v>
      </c>
      <c r="K509" s="3">
        <f t="shared" si="24"/>
        <v>532</v>
      </c>
      <c r="L509" s="3">
        <f t="shared" si="25"/>
        <v>103</v>
      </c>
      <c r="M509" s="8" t="str">
        <f>VLOOKUP(A509,'ESO wayshrine names'!$A$3:$B$967,2,)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3"/>
        <v>[533]=1318,</v>
      </c>
      <c r="K510" s="3">
        <f t="shared" si="24"/>
        <v>533</v>
      </c>
      <c r="L510" s="3">
        <f t="shared" si="25"/>
        <v>1318</v>
      </c>
      <c r="M510" s="8" t="str">
        <f>VLOOKUP(A510,'ESO wayshrine names'!$A$3:$B$967,2,)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3"/>
        <v>[534]=1414,</v>
      </c>
      <c r="K511" s="3">
        <f t="shared" si="24"/>
        <v>534</v>
      </c>
      <c r="L511" s="3">
        <f t="shared" si="25"/>
        <v>1414</v>
      </c>
      <c r="M511" s="8" t="str">
        <f>VLOOKUP(A511,'ESO wayshrine names'!$A$3:$B$967,2,)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3"/>
        <v>[535]=1414,</v>
      </c>
      <c r="K512" s="3">
        <f t="shared" si="24"/>
        <v>535</v>
      </c>
      <c r="L512" s="3">
        <f t="shared" si="25"/>
        <v>1414</v>
      </c>
      <c r="M512" s="8" t="str">
        <f>VLOOKUP(A512,'ESO wayshrine names'!$A$3:$B$967,2,)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3"/>
        <v>[536]=1414,</v>
      </c>
      <c r="K513" s="3">
        <f t="shared" si="24"/>
        <v>536</v>
      </c>
      <c r="L513" s="3">
        <f t="shared" si="25"/>
        <v>1414</v>
      </c>
      <c r="M513" s="8" t="str">
        <f>VLOOKUP(A513,'ESO wayshrine names'!$A$3:$B$967,2,)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3"/>
        <v>[537]=1414,</v>
      </c>
      <c r="K514" s="3">
        <f t="shared" si="24"/>
        <v>537</v>
      </c>
      <c r="L514" s="3">
        <f t="shared" si="25"/>
        <v>1414</v>
      </c>
      <c r="M514" s="8" t="str">
        <f>VLOOKUP(A514,'ESO wayshrine names'!$A$3:$B$967,2,)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9" si="26">IF(A515&lt;&gt;"",IF(F515&lt;&gt;"",IF(OR(ISNA(A515),ISNA(F515)),"","["&amp;A515&amp;"]="&amp;F515&amp;","),""),"")</f>
        <v>[538]=1414,</v>
      </c>
      <c r="K515" s="3">
        <f t="shared" si="24"/>
        <v>538</v>
      </c>
      <c r="L515" s="3">
        <f t="shared" si="25"/>
        <v>1414</v>
      </c>
      <c r="M515" s="8" t="str">
        <f>VLOOKUP(A515,'ESO wayshrine names'!$A$3:$B$967,2,)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6"/>
        <v>[539]=1414,</v>
      </c>
      <c r="K516" s="3">
        <f t="shared" ref="K516:K559" si="27">A516</f>
        <v>539</v>
      </c>
      <c r="L516" s="3">
        <f t="shared" ref="L516:L559" si="28">F516</f>
        <v>1414</v>
      </c>
      <c r="M516" s="8" t="str">
        <f>VLOOKUP(A516,'ESO wayshrine names'!$A$3:$B$967,2,)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6"/>
        <v>[540]=1413,</v>
      </c>
      <c r="K517" s="3">
        <f t="shared" si="27"/>
        <v>540</v>
      </c>
      <c r="L517" s="3">
        <f t="shared" si="28"/>
        <v>1413</v>
      </c>
      <c r="M517" s="8" t="str">
        <f>VLOOKUP(A517,'ESO wayshrine names'!$A$3:$B$967,2,)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6"/>
        <v>[541]=1413,</v>
      </c>
      <c r="K518" s="3">
        <f t="shared" si="27"/>
        <v>541</v>
      </c>
      <c r="L518" s="3">
        <f t="shared" si="28"/>
        <v>1413</v>
      </c>
      <c r="M518" s="8" t="str">
        <f>VLOOKUP(A518,'ESO wayshrine names'!$A$3:$B$967,2,)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6"/>
        <v>[542]=1413,</v>
      </c>
      <c r="K519" s="3">
        <f t="shared" si="27"/>
        <v>542</v>
      </c>
      <c r="L519" s="3">
        <f t="shared" si="28"/>
        <v>1413</v>
      </c>
      <c r="M519" s="8" t="str">
        <f>VLOOKUP(A519,'ESO wayshrine names'!$A$3:$B$967,2,)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6"/>
        <v>[543]=1413,</v>
      </c>
      <c r="K520" s="3">
        <f t="shared" si="27"/>
        <v>543</v>
      </c>
      <c r="L520" s="3">
        <f t="shared" si="28"/>
        <v>1413</v>
      </c>
      <c r="M520" s="8" t="str">
        <f>VLOOKUP(A520,'ESO wayshrine names'!$A$3:$B$967,2,)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6"/>
        <v>[544]=1413,</v>
      </c>
      <c r="K521" s="3">
        <f t="shared" si="27"/>
        <v>544</v>
      </c>
      <c r="L521" s="3">
        <f t="shared" si="28"/>
        <v>1413</v>
      </c>
      <c r="M521" s="8" t="str">
        <f>VLOOKUP(A521,'ESO wayshrine names'!$A$3:$B$967,2,)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6"/>
        <v>[545]=1413,</v>
      </c>
      <c r="K522" s="3">
        <f t="shared" si="27"/>
        <v>545</v>
      </c>
      <c r="L522" s="3">
        <f t="shared" si="28"/>
        <v>1413</v>
      </c>
      <c r="M522" s="8" t="str">
        <f>VLOOKUP(A522,'ESO wayshrine names'!$A$3:$B$967,2,)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6"/>
        <v>[546]=1413,</v>
      </c>
      <c r="K523" s="3">
        <f t="shared" si="27"/>
        <v>546</v>
      </c>
      <c r="L523" s="3">
        <f t="shared" si="28"/>
        <v>1413</v>
      </c>
      <c r="M523" s="8" t="str">
        <f>VLOOKUP(A523,'ESO wayshrine names'!$A$3:$B$967,2,)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6"/>
        <v>[547]=1413,</v>
      </c>
      <c r="K524" s="3">
        <f t="shared" si="27"/>
        <v>547</v>
      </c>
      <c r="L524" s="3">
        <f t="shared" si="28"/>
        <v>1413</v>
      </c>
      <c r="M524" s="8" t="str">
        <f>VLOOKUP(A524,'ESO wayshrine names'!$A$3:$B$967,2,)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6"/>
        <v>[548]=1413,</v>
      </c>
      <c r="K525" s="3">
        <f t="shared" si="27"/>
        <v>548</v>
      </c>
      <c r="L525" s="3">
        <f t="shared" si="28"/>
        <v>1413</v>
      </c>
      <c r="M525" s="8" t="str">
        <f>VLOOKUP(A525,'ESO wayshrine names'!$A$3:$B$967,2,)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6"/>
        <v>[549]=1414,</v>
      </c>
      <c r="K526" s="3">
        <f t="shared" si="27"/>
        <v>549</v>
      </c>
      <c r="L526" s="3">
        <f t="shared" si="28"/>
        <v>1414</v>
      </c>
      <c r="M526" s="8" t="str">
        <f>VLOOKUP(A526,'ESO wayshrine names'!$A$3:$B$967,2,)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6"/>
        <v>[550]=1413,</v>
      </c>
      <c r="K527" s="3">
        <f t="shared" si="27"/>
        <v>550</v>
      </c>
      <c r="L527" s="3">
        <f t="shared" si="28"/>
        <v>1413</v>
      </c>
      <c r="M527" s="8" t="str">
        <f>VLOOKUP(A527,'ESO wayshrine names'!$A$3:$B$967,2,)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6"/>
        <v>[551]=1383,</v>
      </c>
      <c r="K528" s="3">
        <f t="shared" si="27"/>
        <v>551</v>
      </c>
      <c r="L528" s="3">
        <f t="shared" si="28"/>
        <v>1383</v>
      </c>
      <c r="M528" s="8" t="str">
        <f>VLOOKUP(A528,'ESO wayshrine names'!$A$3:$B$967,2,)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6"/>
        <v>[552]=1414,</v>
      </c>
      <c r="K529" s="3">
        <f t="shared" si="27"/>
        <v>552</v>
      </c>
      <c r="L529" s="3">
        <f t="shared" si="28"/>
        <v>1414</v>
      </c>
      <c r="M529" s="8" t="str">
        <f>VLOOKUP(A529,'ESO wayshrine names'!$A$3:$B$967,2,)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6"/>
        <v>[553]=1414,</v>
      </c>
      <c r="K530" s="3">
        <f t="shared" si="27"/>
        <v>553</v>
      </c>
      <c r="L530" s="3">
        <f t="shared" si="28"/>
        <v>1414</v>
      </c>
      <c r="M530" s="8" t="str">
        <f>VLOOKUP(A530,'ESO wayshrine names'!$A$3:$B$967,2,)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6"/>
        <v>[554]=1414,</v>
      </c>
      <c r="K531" s="3">
        <f t="shared" si="27"/>
        <v>554</v>
      </c>
      <c r="L531" s="3">
        <f t="shared" si="28"/>
        <v>1414</v>
      </c>
      <c r="M531" s="8" t="str">
        <f>VLOOKUP(A531,'ESO wayshrine names'!$A$3:$B$967,2,)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6"/>
        <v>[555]=1414,</v>
      </c>
      <c r="K532" s="3">
        <f t="shared" si="27"/>
        <v>555</v>
      </c>
      <c r="L532" s="3">
        <f t="shared" si="28"/>
        <v>1414</v>
      </c>
      <c r="M532" s="8" t="str">
        <f>VLOOKUP(A532,'ESO wayshrine names'!$A$3:$B$967,2,)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6"/>
        <v>[556]=1207,</v>
      </c>
      <c r="K533" s="3">
        <f t="shared" si="27"/>
        <v>556</v>
      </c>
      <c r="L533" s="3">
        <f t="shared" si="28"/>
        <v>1207</v>
      </c>
      <c r="M533" s="8" t="str">
        <f>VLOOKUP(A533,'ESO wayshrine names'!$A$3:$B$967,2,)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6"/>
        <v>[557]=980,</v>
      </c>
      <c r="K534" s="3">
        <f t="shared" si="27"/>
        <v>557</v>
      </c>
      <c r="L534" s="3">
        <f t="shared" si="28"/>
        <v>980</v>
      </c>
      <c r="M534" s="8" t="str">
        <f>VLOOKUP(A534,'ESO wayshrine names'!$A$3:$B$967,2,)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6"/>
        <v>[565]=684,</v>
      </c>
      <c r="K535" s="3">
        <f t="shared" si="27"/>
        <v>565</v>
      </c>
      <c r="L535" s="3">
        <f t="shared" si="28"/>
        <v>684</v>
      </c>
      <c r="M535" s="8" t="str">
        <f>VLOOKUP(A535,'ESO wayshrine names'!$A$3:$B$967,2,)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6"/>
        <v>[566]=1383,</v>
      </c>
      <c r="K536" s="3">
        <f t="shared" si="27"/>
        <v>566</v>
      </c>
      <c r="L536" s="3">
        <f t="shared" si="28"/>
        <v>1383</v>
      </c>
      <c r="M536" s="8" t="str">
        <f>VLOOKUP(A536,'ESO wayshrine names'!$A$3:$B$967,2,)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6"/>
        <v>[567]=1413,</v>
      </c>
      <c r="K537" s="3">
        <f t="shared" si="27"/>
        <v>567</v>
      </c>
      <c r="L537" s="3">
        <f t="shared" si="28"/>
        <v>1413</v>
      </c>
      <c r="M537" s="8" t="str">
        <f>VLOOKUP(A537,'ESO wayshrine names'!$A$3:$B$967,2,)</f>
        <v>Tower of Unutterable Truths</v>
      </c>
      <c r="N537" s="3" t="str">
        <f>VLOOKUP(F537,'ESO zone constants'!$A$5:$D$10001,4,FALSE)</f>
        <v>Apocrypha</v>
      </c>
    </row>
    <row r="538" spans="1:14" s="36" customFormat="1" x14ac:dyDescent="0.25">
      <c r="A538" s="36">
        <v>558</v>
      </c>
      <c r="B538" s="36">
        <v>51</v>
      </c>
      <c r="C538" s="105">
        <v>2427</v>
      </c>
      <c r="D538" s="36" t="s">
        <v>3936</v>
      </c>
      <c r="E538" s="36">
        <v>982</v>
      </c>
      <c r="F538" s="36">
        <v>1443</v>
      </c>
      <c r="G538" s="36" t="s">
        <v>3936</v>
      </c>
      <c r="H538" s="36">
        <v>1</v>
      </c>
      <c r="I538" s="36" t="s">
        <v>3990</v>
      </c>
      <c r="J538" s="30" t="str">
        <f t="shared" si="26"/>
        <v>[558]=1443,</v>
      </c>
      <c r="K538" s="3">
        <f t="shared" si="27"/>
        <v>558</v>
      </c>
      <c r="L538" s="3">
        <f t="shared" si="28"/>
        <v>1443</v>
      </c>
      <c r="M538" s="8" t="str">
        <f>VLOOKUP(A538,'ESO wayshrine names'!$A$3:$B$967,2,)</f>
        <v>Skingrad City Wayshrine</v>
      </c>
      <c r="N538" s="3" t="str">
        <f>VLOOKUP(F538,'ESO zone constants'!$A$5:$D$10001,4,FALSE)</f>
        <v>West Weald</v>
      </c>
    </row>
    <row r="539" spans="1:14" s="36" customFormat="1" x14ac:dyDescent="0.25">
      <c r="A539" s="36">
        <v>559</v>
      </c>
      <c r="B539" s="36">
        <v>51</v>
      </c>
      <c r="C539" s="105">
        <v>2427</v>
      </c>
      <c r="D539" s="36" t="s">
        <v>3936</v>
      </c>
      <c r="E539" s="36">
        <v>982</v>
      </c>
      <c r="F539" s="36">
        <v>1443</v>
      </c>
      <c r="G539" s="36" t="s">
        <v>3936</v>
      </c>
      <c r="H539" s="36">
        <v>1</v>
      </c>
      <c r="I539" s="36" t="s">
        <v>3989</v>
      </c>
      <c r="J539" s="30" t="str">
        <f t="shared" si="26"/>
        <v>[559]=1443,</v>
      </c>
      <c r="K539" s="3">
        <f t="shared" si="27"/>
        <v>559</v>
      </c>
      <c r="L539" s="3">
        <f t="shared" si="28"/>
        <v>1443</v>
      </c>
      <c r="M539" s="8" t="str">
        <f>VLOOKUP(A539,'ESO wayshrine names'!$A$3:$B$967,2,)</f>
        <v>Skingrad Vineyards Wayshrine</v>
      </c>
      <c r="N539" s="3" t="str">
        <f>VLOOKUP(F539,'ESO zone constants'!$A$5:$D$10001,4,FALSE)</f>
        <v>West Weald</v>
      </c>
    </row>
    <row r="540" spans="1:14" s="36" customFormat="1" x14ac:dyDescent="0.25">
      <c r="A540" s="36">
        <v>560</v>
      </c>
      <c r="B540" s="36">
        <v>51</v>
      </c>
      <c r="C540" s="105">
        <v>2427</v>
      </c>
      <c r="D540" s="36" t="s">
        <v>3936</v>
      </c>
      <c r="E540" s="36">
        <v>982</v>
      </c>
      <c r="F540" s="36">
        <v>1443</v>
      </c>
      <c r="G540" s="36" t="s">
        <v>3936</v>
      </c>
      <c r="H540" s="36">
        <v>1</v>
      </c>
      <c r="I540" s="36" t="s">
        <v>3984</v>
      </c>
      <c r="J540" s="30" t="str">
        <f t="shared" si="26"/>
        <v>[560]=1443,</v>
      </c>
      <c r="K540" s="3">
        <f t="shared" si="27"/>
        <v>560</v>
      </c>
      <c r="L540" s="3">
        <f t="shared" si="28"/>
        <v>1443</v>
      </c>
      <c r="M540" s="8" t="str">
        <f>VLOOKUP(A540,'ESO wayshrine names'!$A$3:$B$967,2,)</f>
        <v>Vashabar Wayshrine</v>
      </c>
      <c r="N540" s="3" t="str">
        <f>VLOOKUP(F540,'ESO zone constants'!$A$5:$D$10001,4,FALSE)</f>
        <v>West Weald</v>
      </c>
    </row>
    <row r="541" spans="1:14" s="36" customFormat="1" x14ac:dyDescent="0.25">
      <c r="A541" s="36">
        <v>561</v>
      </c>
      <c r="B541" s="36">
        <v>51</v>
      </c>
      <c r="C541" s="105">
        <v>2427</v>
      </c>
      <c r="D541" s="36" t="s">
        <v>3936</v>
      </c>
      <c r="E541" s="36">
        <v>982</v>
      </c>
      <c r="F541" s="36">
        <v>1443</v>
      </c>
      <c r="G541" s="36" t="s">
        <v>3936</v>
      </c>
      <c r="H541" s="36">
        <v>1</v>
      </c>
      <c r="I541" s="36" t="s">
        <v>3985</v>
      </c>
      <c r="J541" s="30" t="str">
        <f t="shared" si="26"/>
        <v>[561]=1443,</v>
      </c>
      <c r="K541" s="3">
        <f t="shared" si="27"/>
        <v>561</v>
      </c>
      <c r="L541" s="3">
        <f t="shared" si="28"/>
        <v>1443</v>
      </c>
      <c r="M541" s="8" t="str">
        <f>VLOOKUP(A541,'ESO wayshrine names'!$A$3:$B$967,2,)</f>
        <v>Ontus Wayshrine</v>
      </c>
      <c r="N541" s="3" t="str">
        <f>VLOOKUP(F541,'ESO zone constants'!$A$5:$D$10001,4,FALSE)</f>
        <v>West Weald</v>
      </c>
    </row>
    <row r="542" spans="1:14" s="36" customFormat="1" x14ac:dyDescent="0.25">
      <c r="A542" s="36">
        <v>562</v>
      </c>
      <c r="B542" s="36">
        <v>51</v>
      </c>
      <c r="C542" s="105">
        <v>2427</v>
      </c>
      <c r="D542" s="36" t="s">
        <v>3936</v>
      </c>
      <c r="E542" s="36">
        <v>982</v>
      </c>
      <c r="F542" s="36">
        <v>1443</v>
      </c>
      <c r="G542" s="36" t="s">
        <v>3936</v>
      </c>
      <c r="H542" s="36">
        <v>1</v>
      </c>
      <c r="I542" s="36" t="s">
        <v>3986</v>
      </c>
      <c r="J542" s="30" t="str">
        <f t="shared" si="26"/>
        <v>[562]=1443,</v>
      </c>
      <c r="K542" s="3">
        <f t="shared" si="27"/>
        <v>562</v>
      </c>
      <c r="L542" s="3">
        <f t="shared" si="28"/>
        <v>1443</v>
      </c>
      <c r="M542" s="8" t="str">
        <f>VLOOKUP(A542,'ESO wayshrine names'!$A$3:$B$967,2,)</f>
        <v>Sutch Wayshrine</v>
      </c>
      <c r="N542" s="3" t="str">
        <f>VLOOKUP(F542,'ESO zone constants'!$A$5:$D$10001,4,FALSE)</f>
        <v>West Weald</v>
      </c>
    </row>
    <row r="543" spans="1:14" s="36" customFormat="1" x14ac:dyDescent="0.25">
      <c r="A543" s="36">
        <v>563</v>
      </c>
      <c r="B543" s="36">
        <v>51</v>
      </c>
      <c r="C543" s="105">
        <v>2427</v>
      </c>
      <c r="D543" s="36" t="s">
        <v>3936</v>
      </c>
      <c r="E543" s="36">
        <v>982</v>
      </c>
      <c r="F543" s="36">
        <v>1443</v>
      </c>
      <c r="G543" s="36" t="s">
        <v>3936</v>
      </c>
      <c r="H543" s="36">
        <v>1</v>
      </c>
      <c r="I543" s="36" t="s">
        <v>3994</v>
      </c>
      <c r="J543" s="30" t="str">
        <f t="shared" si="26"/>
        <v>[563]=1443,</v>
      </c>
      <c r="K543" s="3">
        <f t="shared" si="27"/>
        <v>563</v>
      </c>
      <c r="L543" s="3">
        <f t="shared" si="28"/>
        <v>1443</v>
      </c>
      <c r="M543" s="8" t="str">
        <f>VLOOKUP(A543,'ESO wayshrine names'!$A$3:$B$967,2,)</f>
        <v>North Hook Wayshrine</v>
      </c>
      <c r="N543" s="3" t="str">
        <f>VLOOKUP(F543,'ESO zone constants'!$A$5:$D$10001,4,FALSE)</f>
        <v>West Weald</v>
      </c>
    </row>
    <row r="544" spans="1:14" s="36" customFormat="1" x14ac:dyDescent="0.25">
      <c r="A544" s="36">
        <v>564</v>
      </c>
      <c r="B544" s="36">
        <v>51</v>
      </c>
      <c r="C544" s="105">
        <v>2427</v>
      </c>
      <c r="D544" s="36" t="s">
        <v>3936</v>
      </c>
      <c r="E544" s="36">
        <v>982</v>
      </c>
      <c r="F544" s="36">
        <v>1443</v>
      </c>
      <c r="G544" s="36" t="s">
        <v>3936</v>
      </c>
      <c r="H544" s="36">
        <v>1</v>
      </c>
      <c r="I544" s="36" t="s">
        <v>3995</v>
      </c>
      <c r="J544" s="30" t="str">
        <f t="shared" si="26"/>
        <v>[564]=1443,</v>
      </c>
      <c r="K544" s="3">
        <f t="shared" si="27"/>
        <v>564</v>
      </c>
      <c r="L544" s="3">
        <f t="shared" si="28"/>
        <v>1443</v>
      </c>
      <c r="M544" s="8" t="str">
        <f>VLOOKUP(A544,'ESO wayshrine names'!$A$3:$B$967,2,)</f>
        <v>Trader's Luck Wayshrine</v>
      </c>
      <c r="N544" s="3" t="str">
        <f>VLOOKUP(F544,'ESO zone constants'!$A$5:$D$10001,4,FALSE)</f>
        <v>West Weald</v>
      </c>
    </row>
    <row r="545" spans="1:14" s="36" customFormat="1" x14ac:dyDescent="0.25">
      <c r="A545" s="36">
        <v>568</v>
      </c>
      <c r="B545" s="36">
        <v>51</v>
      </c>
      <c r="C545" s="105">
        <v>2427</v>
      </c>
      <c r="D545" s="36" t="s">
        <v>3936</v>
      </c>
      <c r="E545" s="36">
        <v>982</v>
      </c>
      <c r="F545" s="36">
        <v>1443</v>
      </c>
      <c r="G545" s="36" t="s">
        <v>3936</v>
      </c>
      <c r="H545" s="36">
        <v>3</v>
      </c>
      <c r="I545" s="36" t="s">
        <v>3992</v>
      </c>
      <c r="J545" s="30" t="str">
        <f t="shared" si="26"/>
        <v>[568]=1443,</v>
      </c>
      <c r="K545" s="3">
        <f t="shared" si="27"/>
        <v>568</v>
      </c>
      <c r="L545" s="3">
        <f t="shared" si="28"/>
        <v>1443</v>
      </c>
      <c r="M545" s="8" t="str">
        <f>VLOOKUP(A545,'ESO wayshrine names'!$A$3:$B$967,2,)</f>
        <v>Trial: Lucent Citadel</v>
      </c>
      <c r="N545" s="3" t="str">
        <f>VLOOKUP(F545,'ESO zone constants'!$A$5:$D$10001,4,FALSE)</f>
        <v>West Weald</v>
      </c>
    </row>
    <row r="546" spans="1:14" s="36" customFormat="1" x14ac:dyDescent="0.25">
      <c r="A546" s="36">
        <v>573</v>
      </c>
      <c r="B546" s="36">
        <v>51</v>
      </c>
      <c r="C546" s="105">
        <v>2427</v>
      </c>
      <c r="D546" s="36" t="s">
        <v>3936</v>
      </c>
      <c r="E546" s="36">
        <v>982</v>
      </c>
      <c r="F546" s="36">
        <v>1443</v>
      </c>
      <c r="G546" s="36" t="s">
        <v>3936</v>
      </c>
      <c r="H546" s="36">
        <v>7</v>
      </c>
      <c r="I546" s="36" t="s">
        <v>3997</v>
      </c>
      <c r="J546" s="30" t="str">
        <f t="shared" si="26"/>
        <v>[573]=1443,</v>
      </c>
      <c r="K546" s="3">
        <f t="shared" si="27"/>
        <v>573</v>
      </c>
      <c r="L546" s="3">
        <f t="shared" si="28"/>
        <v>1443</v>
      </c>
      <c r="M546" s="8" t="str">
        <f>VLOOKUP(A546,'ESO wayshrine names'!$A$3:$B$967,2,)</f>
        <v>Merryvine Estate</v>
      </c>
      <c r="N546" s="3" t="str">
        <f>VLOOKUP(F546,'ESO zone constants'!$A$5:$D$10001,4,FALSE)</f>
        <v>West Weald</v>
      </c>
    </row>
    <row r="547" spans="1:14" s="36" customFormat="1" x14ac:dyDescent="0.25">
      <c r="A547" s="36">
        <v>574</v>
      </c>
      <c r="B547" s="36">
        <v>51</v>
      </c>
      <c r="C547" s="105">
        <v>2427</v>
      </c>
      <c r="D547" s="36" t="s">
        <v>3936</v>
      </c>
      <c r="E547" s="36">
        <v>982</v>
      </c>
      <c r="F547" s="36">
        <v>1443</v>
      </c>
      <c r="G547" s="36" t="s">
        <v>3936</v>
      </c>
      <c r="H547" s="36">
        <v>7</v>
      </c>
      <c r="I547" s="36" t="s">
        <v>3998</v>
      </c>
      <c r="J547" s="30" t="str">
        <f t="shared" si="26"/>
        <v>[574]=1443,</v>
      </c>
      <c r="K547" s="3">
        <f t="shared" si="27"/>
        <v>574</v>
      </c>
      <c r="L547" s="3">
        <f t="shared" si="28"/>
        <v>1443</v>
      </c>
      <c r="M547" s="8" t="str">
        <f>VLOOKUP(A547,'ESO wayshrine names'!$A$3:$B$967,2,)</f>
        <v>Rosewine Retreat</v>
      </c>
      <c r="N547" s="3" t="str">
        <f>VLOOKUP(F547,'ESO zone constants'!$A$5:$D$10001,4,FALSE)</f>
        <v>West Weald</v>
      </c>
    </row>
    <row r="548" spans="1:14" s="36" customFormat="1" x14ac:dyDescent="0.25">
      <c r="A548" s="36">
        <v>575</v>
      </c>
      <c r="B548" s="36">
        <v>51</v>
      </c>
      <c r="C548" s="105">
        <v>2427</v>
      </c>
      <c r="D548" s="36" t="s">
        <v>3936</v>
      </c>
      <c r="E548" s="36">
        <v>982</v>
      </c>
      <c r="F548" s="36">
        <v>1443</v>
      </c>
      <c r="G548" s="36" t="s">
        <v>3936</v>
      </c>
      <c r="H548" s="36">
        <v>1</v>
      </c>
      <c r="I548" s="36" t="s">
        <v>3999</v>
      </c>
      <c r="J548" s="30" t="str">
        <f t="shared" si="26"/>
        <v>[575]=1443,</v>
      </c>
      <c r="K548" s="3">
        <f t="shared" si="27"/>
        <v>575</v>
      </c>
      <c r="L548" s="3">
        <f t="shared" si="28"/>
        <v>1443</v>
      </c>
      <c r="M548" s="8" t="str">
        <f>VLOOKUP(A548,'ESO wayshrine names'!$A$3:$B$967,2,)</f>
        <v>Fall's Path Wayshrine</v>
      </c>
      <c r="N548" s="3" t="str">
        <f>VLOOKUP(F548,'ESO zone constants'!$A$5:$D$10001,4,FALSE)</f>
        <v>West Weald</v>
      </c>
    </row>
    <row r="549" spans="1:14" s="36" customFormat="1" x14ac:dyDescent="0.25">
      <c r="A549" s="36">
        <v>577</v>
      </c>
      <c r="B549" s="36">
        <v>51</v>
      </c>
      <c r="C549" s="105">
        <v>2427</v>
      </c>
      <c r="D549" s="36" t="s">
        <v>3936</v>
      </c>
      <c r="E549" s="36">
        <v>982</v>
      </c>
      <c r="F549" s="36">
        <v>1443</v>
      </c>
      <c r="G549" s="36" t="s">
        <v>3936</v>
      </c>
      <c r="H549" s="36">
        <v>1</v>
      </c>
      <c r="I549" s="36" t="s">
        <v>3996</v>
      </c>
      <c r="J549" s="30" t="str">
        <f t="shared" si="26"/>
        <v>[577]=1443,</v>
      </c>
      <c r="K549" s="3">
        <f t="shared" si="27"/>
        <v>577</v>
      </c>
      <c r="L549" s="3">
        <f t="shared" si="28"/>
        <v>1443</v>
      </c>
      <c r="M549" s="8" t="str">
        <f>VLOOKUP(A549,'ESO wayshrine names'!$A$3:$B$967,2,)</f>
        <v>Wildburn's Edge Wayshrine</v>
      </c>
      <c r="N549" s="3" t="str">
        <f>VLOOKUP(F549,'ESO zone constants'!$A$5:$D$10001,4,FALSE)</f>
        <v>West Weald</v>
      </c>
    </row>
    <row r="550" spans="1:14" s="36" customFormat="1" x14ac:dyDescent="0.25">
      <c r="A550" s="36">
        <v>578</v>
      </c>
      <c r="B550" s="36">
        <v>51</v>
      </c>
      <c r="C550" s="105">
        <v>2427</v>
      </c>
      <c r="D550" s="36" t="s">
        <v>3936</v>
      </c>
      <c r="E550" s="36">
        <v>982</v>
      </c>
      <c r="F550" s="36">
        <v>1443</v>
      </c>
      <c r="G550" s="36" t="s">
        <v>3936</v>
      </c>
      <c r="H550" s="36">
        <v>1</v>
      </c>
      <c r="I550" s="36" t="s">
        <v>3993</v>
      </c>
      <c r="J550" s="30" t="str">
        <f t="shared" si="26"/>
        <v>[578]=1443,</v>
      </c>
      <c r="K550" s="3">
        <f t="shared" si="27"/>
        <v>578</v>
      </c>
      <c r="L550" s="3">
        <f t="shared" si="28"/>
        <v>1443</v>
      </c>
      <c r="M550" s="8" t="str">
        <f>VLOOKUP(A550,'ESO wayshrine names'!$A$3:$B$967,2,)</f>
        <v>Ostumir Wayshrine</v>
      </c>
      <c r="N550" s="3" t="str">
        <f>VLOOKUP(F550,'ESO zone constants'!$A$5:$D$10001,4,FALSE)</f>
        <v>West Weald</v>
      </c>
    </row>
    <row r="551" spans="1:14" s="36" customFormat="1" x14ac:dyDescent="0.25">
      <c r="A551" s="36">
        <v>579</v>
      </c>
      <c r="B551" s="36">
        <v>51</v>
      </c>
      <c r="C551" s="105">
        <v>2427</v>
      </c>
      <c r="D551" s="36" t="s">
        <v>3936</v>
      </c>
      <c r="E551" s="36">
        <v>982</v>
      </c>
      <c r="F551" s="36">
        <v>1443</v>
      </c>
      <c r="G551" s="36" t="s">
        <v>3936</v>
      </c>
      <c r="H551" s="36">
        <v>1</v>
      </c>
      <c r="I551" s="36" t="s">
        <v>3987</v>
      </c>
      <c r="J551" s="30" t="str">
        <f t="shared" si="26"/>
        <v>[579]=1443,</v>
      </c>
      <c r="K551" s="3">
        <f t="shared" si="27"/>
        <v>579</v>
      </c>
      <c r="L551" s="3">
        <f t="shared" si="28"/>
        <v>1443</v>
      </c>
      <c r="M551" s="8" t="str">
        <f>VLOOKUP(A551,'ESO wayshrine names'!$A$3:$B$967,2,)</f>
        <v>Centurion's Watch Wayshrine</v>
      </c>
      <c r="N551" s="3" t="str">
        <f>VLOOKUP(F551,'ESO zone constants'!$A$5:$D$10001,4,FALSE)</f>
        <v>West Weald</v>
      </c>
    </row>
    <row r="552" spans="1:14" s="36" customFormat="1" x14ac:dyDescent="0.25">
      <c r="A552" s="36">
        <v>580</v>
      </c>
      <c r="B552" s="36">
        <v>51</v>
      </c>
      <c r="C552" s="105">
        <v>2427</v>
      </c>
      <c r="D552" s="36" t="s">
        <v>3936</v>
      </c>
      <c r="E552" s="36">
        <v>982</v>
      </c>
      <c r="F552" s="36">
        <v>1443</v>
      </c>
      <c r="G552" s="36" t="s">
        <v>3936</v>
      </c>
      <c r="H552" s="36">
        <v>1</v>
      </c>
      <c r="I552" s="36" t="s">
        <v>3988</v>
      </c>
      <c r="J552" s="30" t="str">
        <f t="shared" si="26"/>
        <v>[580]=1443,</v>
      </c>
      <c r="K552" s="3">
        <f t="shared" si="27"/>
        <v>580</v>
      </c>
      <c r="L552" s="3">
        <f t="shared" si="28"/>
        <v>1443</v>
      </c>
      <c r="M552" s="8" t="str">
        <f>VLOOKUP(A552,'ESO wayshrine names'!$A$3:$B$967,2,)</f>
        <v>Valente Vineyards Wayshrine</v>
      </c>
      <c r="N552" s="3" t="str">
        <f>VLOOKUP(F552,'ESO zone constants'!$A$5:$D$10001,4,FALSE)</f>
        <v>West Weald</v>
      </c>
    </row>
    <row r="553" spans="1:14" s="36" customFormat="1" x14ac:dyDescent="0.25">
      <c r="A553" s="36">
        <v>583</v>
      </c>
      <c r="B553" s="36">
        <v>51</v>
      </c>
      <c r="C553" s="105">
        <v>2427</v>
      </c>
      <c r="D553" s="36" t="s">
        <v>3936</v>
      </c>
      <c r="E553" s="36">
        <v>982</v>
      </c>
      <c r="F553" s="36">
        <v>1443</v>
      </c>
      <c r="G553" s="36" t="s">
        <v>3936</v>
      </c>
      <c r="H553" s="36">
        <v>1</v>
      </c>
      <c r="I553" s="36" t="s">
        <v>3991</v>
      </c>
      <c r="J553" s="30" t="str">
        <f t="shared" si="26"/>
        <v>[583]=1443,</v>
      </c>
      <c r="K553" s="3">
        <f t="shared" si="27"/>
        <v>583</v>
      </c>
      <c r="L553" s="3">
        <f t="shared" si="28"/>
        <v>1443</v>
      </c>
      <c r="M553" s="8" t="str">
        <f>VLOOKUP(A553,'ESO wayshrine names'!$A$3:$B$967,2,)</f>
        <v>Feldagard Keep Wayshrine</v>
      </c>
      <c r="N553" s="3" t="str">
        <f>VLOOKUP(F553,'ESO zone constants'!$A$5:$D$10001,4,FALSE)</f>
        <v>West Weald</v>
      </c>
    </row>
    <row r="554" spans="1:14" x14ac:dyDescent="0.25">
      <c r="A554">
        <v>584</v>
      </c>
      <c r="B554" s="36">
        <v>51</v>
      </c>
      <c r="C554" s="105">
        <v>2427</v>
      </c>
      <c r="D554" s="36" t="s">
        <v>3936</v>
      </c>
      <c r="E554" s="36">
        <v>982</v>
      </c>
      <c r="F554" s="36">
        <v>1443</v>
      </c>
      <c r="G554" s="36" t="s">
        <v>3936</v>
      </c>
      <c r="H554" s="36">
        <v>1</v>
      </c>
      <c r="I554" t="s">
        <v>4031</v>
      </c>
      <c r="J554" s="30" t="str">
        <f t="shared" si="26"/>
        <v>[584]=1443,</v>
      </c>
      <c r="K554" s="3">
        <f t="shared" si="27"/>
        <v>584</v>
      </c>
      <c r="L554" s="3">
        <f t="shared" si="28"/>
        <v>1443</v>
      </c>
      <c r="M554" s="8" t="str">
        <f>VLOOKUP(A554,'ESO wayshrine names'!$A$3:$B$967,2,)</f>
        <v>Three Points Wayshrine</v>
      </c>
      <c r="N554" s="3" t="str">
        <f>VLOOKUP(F554,'ESO zone constants'!$A$5:$D$10001,4,FALSE)</f>
        <v>West Weald</v>
      </c>
    </row>
    <row r="555" spans="1:14" x14ac:dyDescent="0.25">
      <c r="A555">
        <v>585</v>
      </c>
      <c r="B555">
        <v>15</v>
      </c>
      <c r="C555">
        <v>143</v>
      </c>
      <c r="D555" s="36" t="s">
        <v>262</v>
      </c>
      <c r="E555">
        <v>179</v>
      </c>
      <c r="F555">
        <v>381</v>
      </c>
      <c r="G555" s="36" t="s">
        <v>262</v>
      </c>
      <c r="H555" s="36">
        <v>7</v>
      </c>
      <c r="I555" t="s">
        <v>4032</v>
      </c>
      <c r="J555" s="30" t="str">
        <f t="shared" si="26"/>
        <v>[585]=381,</v>
      </c>
      <c r="K555" s="3">
        <f t="shared" si="27"/>
        <v>585</v>
      </c>
      <c r="L555" s="3">
        <f t="shared" si="28"/>
        <v>381</v>
      </c>
      <c r="M555" s="8" t="str">
        <f>VLOOKUP(A555,'ESO wayshrine names'!$A$3:$B$967,2,)</f>
        <v>Seabloom Villa</v>
      </c>
      <c r="N555" s="3" t="str">
        <f>VLOOKUP(F555,'ESO zone constants'!$A$5:$D$10001,4,FALSE)</f>
        <v>Auridon</v>
      </c>
    </row>
    <row r="556" spans="1:14" x14ac:dyDescent="0.25">
      <c r="A556">
        <v>586</v>
      </c>
      <c r="B556" s="36">
        <v>51</v>
      </c>
      <c r="C556" s="105">
        <v>2427</v>
      </c>
      <c r="D556" s="36" t="s">
        <v>3936</v>
      </c>
      <c r="E556" s="36">
        <v>982</v>
      </c>
      <c r="F556" s="36">
        <v>1443</v>
      </c>
      <c r="G556" s="36" t="s">
        <v>3936</v>
      </c>
      <c r="H556" s="36">
        <v>7</v>
      </c>
      <c r="I556" t="s">
        <v>4033</v>
      </c>
      <c r="J556" s="30" t="str">
        <f t="shared" si="26"/>
        <v>[586]=1443,</v>
      </c>
      <c r="K556" s="3">
        <f t="shared" si="27"/>
        <v>586</v>
      </c>
      <c r="L556" s="3">
        <f t="shared" si="28"/>
        <v>1443</v>
      </c>
      <c r="M556" s="8" t="str">
        <f>VLOOKUP(A556,'ESO wayshrine names'!$A$3:$B$967,2,)</f>
        <v>Haven of the Five Companions</v>
      </c>
      <c r="N556" s="3" t="str">
        <f>VLOOKUP(F556,'ESO zone constants'!$A$5:$D$10001,4,FALSE)</f>
        <v>West Weald</v>
      </c>
    </row>
    <row r="557" spans="1:14" x14ac:dyDescent="0.25">
      <c r="A557">
        <v>587</v>
      </c>
      <c r="B557" s="107">
        <v>40</v>
      </c>
      <c r="C557" s="107">
        <v>1782</v>
      </c>
      <c r="D557" s="107" t="s">
        <v>3087</v>
      </c>
      <c r="E557" s="107">
        <v>4294967296</v>
      </c>
      <c r="F557" s="107">
        <v>0</v>
      </c>
      <c r="G557" s="107" t="s">
        <v>3087</v>
      </c>
      <c r="H557" s="36">
        <v>7</v>
      </c>
      <c r="I557" t="s">
        <v>4051</v>
      </c>
      <c r="J557" s="30" t="str">
        <f t="shared" si="26"/>
        <v>[587]=0,</v>
      </c>
      <c r="K557" s="3">
        <f t="shared" si="27"/>
        <v>587</v>
      </c>
      <c r="L557" s="3">
        <f t="shared" si="28"/>
        <v>0</v>
      </c>
      <c r="M557" s="8" t="str">
        <f>VLOOKUP(A557,'ESO wayshrine names'!$A$3:$B$967,2,)</f>
        <v>Kthendral Deep Mines</v>
      </c>
      <c r="N557" s="3" t="str">
        <f>VLOOKUP(F557,'ESO zone constants'!$A$5:$D$10001,4,FALSE)</f>
        <v>Tamriel Map</v>
      </c>
    </row>
    <row r="558" spans="1:14" x14ac:dyDescent="0.25">
      <c r="A558">
        <v>588</v>
      </c>
      <c r="B558">
        <v>12</v>
      </c>
      <c r="C558">
        <v>125</v>
      </c>
      <c r="D558" t="s">
        <v>2301</v>
      </c>
      <c r="E558">
        <v>16</v>
      </c>
      <c r="F558">
        <v>103</v>
      </c>
      <c r="G558" t="s">
        <v>2301</v>
      </c>
      <c r="H558" s="36">
        <v>7</v>
      </c>
      <c r="I558" t="s">
        <v>4052</v>
      </c>
      <c r="J558" s="30" t="str">
        <f t="shared" si="26"/>
        <v>[588]=103,</v>
      </c>
      <c r="K558" s="3">
        <f t="shared" si="27"/>
        <v>588</v>
      </c>
      <c r="L558" s="3">
        <f t="shared" si="28"/>
        <v>103</v>
      </c>
      <c r="M558" s="8" t="str">
        <f>VLOOKUP(A558,'ESO wayshrine names'!$A$3:$B$967,2,)</f>
        <v>Grand Gallery of Tamriel</v>
      </c>
      <c r="N558" s="3" t="str">
        <f>VLOOKUP(F558,'ESO zone constants'!$A$5:$D$10001,4,FALSE)</f>
        <v>The Rift</v>
      </c>
    </row>
    <row r="559" spans="1:14" x14ac:dyDescent="0.25">
      <c r="A559">
        <v>589</v>
      </c>
      <c r="J559" s="30" t="str">
        <f t="shared" si="26"/>
        <v/>
      </c>
      <c r="K559" s="3">
        <f t="shared" si="27"/>
        <v>589</v>
      </c>
      <c r="L559" s="3">
        <f t="shared" si="28"/>
        <v>0</v>
      </c>
      <c r="M559" s="8">
        <f>VLOOKUP(A559,'ESO wayshrine names'!$A$3:$B$967,2,)</f>
        <v>0</v>
      </c>
      <c r="N559" s="3" t="str">
        <f>VLOOKUP(F559,'ESO zone constants'!$A$5:$D$10001,4,FALSE)</f>
        <v>Tamriel Map</v>
      </c>
    </row>
  </sheetData>
  <autoFilter ref="A2:N559"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91"/>
  <sheetViews>
    <sheetView workbookViewId="0">
      <pane xSplit="1" ySplit="2" topLeftCell="B563" activePane="bottomRight" state="frozen"/>
      <selection pane="topRight" activeCell="B1" sqref="B1"/>
      <selection pane="bottomLeft" activeCell="A2" sqref="A2"/>
      <selection pane="bottomRight" activeCell="B586" sqref="B586"/>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4053</v>
      </c>
      <c r="C1" s="51"/>
      <c r="D1" s="51" t="s">
        <v>3648</v>
      </c>
      <c r="E1" s="51"/>
      <c r="F1" s="51"/>
      <c r="G1" s="51"/>
      <c r="H1" s="51"/>
      <c r="I1" s="51"/>
      <c r="J1" s="51"/>
      <c r="K1" s="51"/>
      <c r="L1" s="51"/>
    </row>
    <row r="2" spans="1:12" s="1" customFormat="1" x14ac:dyDescent="0.25">
      <c r="A2" s="5" t="s">
        <v>4030</v>
      </c>
      <c r="B2" s="1" t="s">
        <v>4030</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3969</v>
      </c>
    </row>
    <row r="561" spans="1:2" x14ac:dyDescent="0.25">
      <c r="A561">
        <v>559</v>
      </c>
      <c r="B561" t="s">
        <v>3970</v>
      </c>
    </row>
    <row r="562" spans="1:2" x14ac:dyDescent="0.25">
      <c r="A562">
        <v>560</v>
      </c>
      <c r="B562" t="s">
        <v>3971</v>
      </c>
    </row>
    <row r="563" spans="1:2" x14ac:dyDescent="0.25">
      <c r="A563">
        <v>561</v>
      </c>
      <c r="B563" t="s">
        <v>3972</v>
      </c>
    </row>
    <row r="564" spans="1:2" x14ac:dyDescent="0.25">
      <c r="A564">
        <v>562</v>
      </c>
      <c r="B564" t="s">
        <v>3973</v>
      </c>
    </row>
    <row r="565" spans="1:2" x14ac:dyDescent="0.25">
      <c r="A565">
        <v>563</v>
      </c>
      <c r="B565" t="s">
        <v>3974</v>
      </c>
    </row>
    <row r="566" spans="1:2" x14ac:dyDescent="0.25">
      <c r="A566">
        <v>564</v>
      </c>
      <c r="B566" t="s">
        <v>3975</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3976</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3977</v>
      </c>
    </row>
    <row r="575" spans="1:2" x14ac:dyDescent="0.25">
      <c r="A575">
        <v>573</v>
      </c>
      <c r="B575" t="s">
        <v>3939</v>
      </c>
    </row>
    <row r="576" spans="1:2" x14ac:dyDescent="0.25">
      <c r="A576">
        <v>574</v>
      </c>
      <c r="B576" t="s">
        <v>3940</v>
      </c>
    </row>
    <row r="577" spans="1:2" x14ac:dyDescent="0.25">
      <c r="A577">
        <v>575</v>
      </c>
      <c r="B577" t="s">
        <v>3978</v>
      </c>
    </row>
    <row r="578" spans="1:2" x14ac:dyDescent="0.25">
      <c r="A578">
        <v>576</v>
      </c>
      <c r="B578" t="s">
        <v>3942</v>
      </c>
    </row>
    <row r="579" spans="1:2" x14ac:dyDescent="0.25">
      <c r="A579">
        <v>577</v>
      </c>
      <c r="B579" t="s">
        <v>3979</v>
      </c>
    </row>
    <row r="580" spans="1:2" x14ac:dyDescent="0.25">
      <c r="A580">
        <v>578</v>
      </c>
      <c r="B580" t="s">
        <v>3980</v>
      </c>
    </row>
    <row r="581" spans="1:2" x14ac:dyDescent="0.25">
      <c r="A581">
        <v>579</v>
      </c>
      <c r="B581" t="s">
        <v>3981</v>
      </c>
    </row>
    <row r="582" spans="1:2" x14ac:dyDescent="0.25">
      <c r="A582">
        <v>580</v>
      </c>
      <c r="B582" t="s">
        <v>3982</v>
      </c>
    </row>
    <row r="583" spans="1:2" x14ac:dyDescent="0.25">
      <c r="A583">
        <v>581</v>
      </c>
    </row>
    <row r="584" spans="1:2" x14ac:dyDescent="0.25">
      <c r="A584">
        <v>582</v>
      </c>
    </row>
    <row r="585" spans="1:2" x14ac:dyDescent="0.25">
      <c r="A585">
        <v>583</v>
      </c>
      <c r="B585" t="s">
        <v>3983</v>
      </c>
    </row>
    <row r="586" spans="1:2" x14ac:dyDescent="0.25">
      <c r="A586">
        <v>584</v>
      </c>
      <c r="B586" t="s">
        <v>4031</v>
      </c>
    </row>
    <row r="587" spans="1:2" x14ac:dyDescent="0.25">
      <c r="A587">
        <v>585</v>
      </c>
      <c r="B587" t="s">
        <v>4032</v>
      </c>
    </row>
    <row r="588" spans="1:2" x14ac:dyDescent="0.25">
      <c r="A588">
        <v>586</v>
      </c>
      <c r="B588" t="s">
        <v>4033</v>
      </c>
    </row>
    <row r="589" spans="1:2" x14ac:dyDescent="0.25">
      <c r="A589">
        <v>587</v>
      </c>
      <c r="B589" t="s">
        <v>4051</v>
      </c>
    </row>
    <row r="590" spans="1:2" x14ac:dyDescent="0.25">
      <c r="A590">
        <v>588</v>
      </c>
      <c r="B590" t="s">
        <v>4052</v>
      </c>
    </row>
    <row r="591" spans="1:2" x14ac:dyDescent="0.25">
      <c r="A591">
        <v>589</v>
      </c>
    </row>
  </sheetData>
  <autoFilter ref="A2:B2" xr:uid="{00000000-0009-0000-0000-000009000000}">
    <sortState xmlns:xlrd2="http://schemas.microsoft.com/office/spreadsheetml/2017/richdata2" ref="A3:B591">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5" t="s">
        <v>3765</v>
      </c>
      <c r="B1" s="115"/>
      <c r="C1" s="115"/>
      <c r="D1" s="115"/>
      <c r="E1" s="115"/>
      <c r="F1" s="115"/>
      <c r="G1" s="115"/>
      <c r="H1" s="115"/>
      <c r="I1" s="115"/>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4012</v>
      </c>
      <c r="F3" t="s">
        <v>4013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4011</v>
      </c>
      <c r="E4" t="s">
        <v>3937</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4014</v>
      </c>
      <c r="E24" t="s">
        <v>4015</v>
      </c>
      <c r="F24" t="s">
        <v>4016</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2" t="s">
        <v>4000</v>
      </c>
      <c r="E102" s="53" t="s">
        <v>3943</v>
      </c>
      <c r="F102" s="53" t="s">
        <v>3943</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D1032"/>
  <sheetViews>
    <sheetView workbookViewId="0">
      <selection sqref="A1:E1032"/>
    </sheetView>
  </sheetViews>
  <sheetFormatPr baseColWidth="10" defaultRowHeight="15" x14ac:dyDescent="0.25"/>
  <sheetData>
    <row r="1" spans="1:4" x14ac:dyDescent="0.25">
      <c r="A1">
        <v>2</v>
      </c>
      <c r="B1">
        <v>1</v>
      </c>
      <c r="C1">
        <v>2</v>
      </c>
      <c r="D1" t="s">
        <v>102</v>
      </c>
    </row>
    <row r="2" spans="1:4" x14ac:dyDescent="0.25">
      <c r="A2">
        <v>3</v>
      </c>
      <c r="B2">
        <v>2</v>
      </c>
      <c r="C2">
        <v>3</v>
      </c>
      <c r="D2" t="s">
        <v>103</v>
      </c>
    </row>
    <row r="3" spans="1:4" x14ac:dyDescent="0.25">
      <c r="A3">
        <v>11</v>
      </c>
      <c r="B3">
        <v>3</v>
      </c>
      <c r="C3">
        <v>347</v>
      </c>
      <c r="D3" t="s">
        <v>47</v>
      </c>
    </row>
    <row r="4" spans="1:4" x14ac:dyDescent="0.25">
      <c r="A4">
        <v>19</v>
      </c>
      <c r="B4">
        <v>4</v>
      </c>
      <c r="C4">
        <v>19</v>
      </c>
      <c r="D4" t="s">
        <v>104</v>
      </c>
    </row>
    <row r="5" spans="1:4" x14ac:dyDescent="0.25">
      <c r="A5">
        <v>20</v>
      </c>
      <c r="B5">
        <v>5</v>
      </c>
      <c r="C5">
        <v>20</v>
      </c>
      <c r="D5" t="s">
        <v>105</v>
      </c>
    </row>
    <row r="6" spans="1:4" x14ac:dyDescent="0.25">
      <c r="A6">
        <v>22</v>
      </c>
      <c r="B6">
        <v>6</v>
      </c>
      <c r="C6">
        <v>104</v>
      </c>
      <c r="D6" t="s">
        <v>68</v>
      </c>
    </row>
    <row r="7" spans="1:4" x14ac:dyDescent="0.25">
      <c r="A7">
        <v>31</v>
      </c>
      <c r="B7">
        <v>7</v>
      </c>
      <c r="C7">
        <v>382</v>
      </c>
      <c r="D7" t="s">
        <v>59</v>
      </c>
    </row>
    <row r="8" spans="1:4" x14ac:dyDescent="0.25">
      <c r="A8">
        <v>38</v>
      </c>
      <c r="B8">
        <v>8</v>
      </c>
      <c r="C8">
        <v>92</v>
      </c>
      <c r="D8" t="s">
        <v>57</v>
      </c>
    </row>
    <row r="9" spans="1:4" x14ac:dyDescent="0.25">
      <c r="A9">
        <v>41</v>
      </c>
      <c r="B9">
        <v>9</v>
      </c>
      <c r="C9">
        <v>41</v>
      </c>
      <c r="D9" t="s">
        <v>106</v>
      </c>
    </row>
    <row r="10" spans="1:4" x14ac:dyDescent="0.25">
      <c r="A10">
        <v>57</v>
      </c>
      <c r="B10">
        <v>10</v>
      </c>
      <c r="C10">
        <v>57</v>
      </c>
      <c r="D10" t="s">
        <v>107</v>
      </c>
    </row>
    <row r="11" spans="1:4" x14ac:dyDescent="0.25">
      <c r="A11">
        <v>58</v>
      </c>
      <c r="B11">
        <v>11</v>
      </c>
      <c r="C11">
        <v>58</v>
      </c>
      <c r="D11" t="s">
        <v>108</v>
      </c>
    </row>
    <row r="12" spans="1:4" x14ac:dyDescent="0.25">
      <c r="A12">
        <v>63</v>
      </c>
      <c r="B12">
        <v>12</v>
      </c>
      <c r="C12">
        <v>57</v>
      </c>
      <c r="D12" t="s">
        <v>61</v>
      </c>
    </row>
    <row r="13" spans="1:4" x14ac:dyDescent="0.25">
      <c r="A13">
        <v>64</v>
      </c>
      <c r="B13">
        <v>13</v>
      </c>
      <c r="C13">
        <v>103</v>
      </c>
      <c r="D13" t="s">
        <v>70</v>
      </c>
    </row>
    <row r="14" spans="1:4" x14ac:dyDescent="0.25">
      <c r="A14">
        <v>92</v>
      </c>
      <c r="B14">
        <v>14</v>
      </c>
      <c r="C14">
        <v>92</v>
      </c>
      <c r="D14" t="s">
        <v>109</v>
      </c>
    </row>
    <row r="15" spans="1:4" x14ac:dyDescent="0.25">
      <c r="A15">
        <v>101</v>
      </c>
      <c r="B15">
        <v>15</v>
      </c>
      <c r="C15">
        <v>101</v>
      </c>
      <c r="D15" t="s">
        <v>110</v>
      </c>
    </row>
    <row r="16" spans="1:4" x14ac:dyDescent="0.25">
      <c r="A16">
        <v>103</v>
      </c>
      <c r="B16">
        <v>16</v>
      </c>
      <c r="C16">
        <v>103</v>
      </c>
      <c r="D16" t="s">
        <v>111</v>
      </c>
    </row>
    <row r="17" spans="1:4" x14ac:dyDescent="0.25">
      <c r="A17">
        <v>104</v>
      </c>
      <c r="B17">
        <v>17</v>
      </c>
      <c r="C17">
        <v>104</v>
      </c>
      <c r="D17" t="s">
        <v>112</v>
      </c>
    </row>
    <row r="18" spans="1:4" x14ac:dyDescent="0.25">
      <c r="A18">
        <v>108</v>
      </c>
      <c r="B18">
        <v>18</v>
      </c>
      <c r="C18">
        <v>108</v>
      </c>
      <c r="D18" t="s">
        <v>113</v>
      </c>
    </row>
    <row r="19" spans="1:4" x14ac:dyDescent="0.25">
      <c r="A19">
        <v>117</v>
      </c>
      <c r="B19">
        <v>19</v>
      </c>
      <c r="C19">
        <v>117</v>
      </c>
      <c r="D19" t="s">
        <v>114</v>
      </c>
    </row>
    <row r="20" spans="1:4" x14ac:dyDescent="0.25">
      <c r="A20">
        <v>124</v>
      </c>
      <c r="B20">
        <v>20</v>
      </c>
      <c r="C20">
        <v>383</v>
      </c>
      <c r="D20" t="s">
        <v>115</v>
      </c>
    </row>
    <row r="21" spans="1:4" x14ac:dyDescent="0.25">
      <c r="A21">
        <v>126</v>
      </c>
      <c r="B21">
        <v>21</v>
      </c>
      <c r="C21">
        <v>383</v>
      </c>
      <c r="D21" t="s">
        <v>43</v>
      </c>
    </row>
    <row r="22" spans="1:4" x14ac:dyDescent="0.25">
      <c r="A22">
        <v>130</v>
      </c>
      <c r="B22">
        <v>22</v>
      </c>
      <c r="C22">
        <v>20</v>
      </c>
      <c r="D22" t="s">
        <v>49</v>
      </c>
    </row>
    <row r="23" spans="1:4" x14ac:dyDescent="0.25">
      <c r="A23">
        <v>131</v>
      </c>
      <c r="B23">
        <v>23</v>
      </c>
      <c r="C23">
        <v>58</v>
      </c>
      <c r="D23" t="s">
        <v>65</v>
      </c>
    </row>
    <row r="24" spans="1:4" x14ac:dyDescent="0.25">
      <c r="A24">
        <v>134</v>
      </c>
      <c r="B24">
        <v>24</v>
      </c>
      <c r="C24">
        <v>117</v>
      </c>
      <c r="D24" t="s">
        <v>116</v>
      </c>
    </row>
    <row r="25" spans="1:4" x14ac:dyDescent="0.25">
      <c r="A25">
        <v>137</v>
      </c>
      <c r="B25">
        <v>25</v>
      </c>
      <c r="C25">
        <v>108</v>
      </c>
      <c r="D25" t="s">
        <v>117</v>
      </c>
    </row>
    <row r="26" spans="1:4" x14ac:dyDescent="0.25">
      <c r="A26">
        <v>138</v>
      </c>
      <c r="B26">
        <v>26</v>
      </c>
      <c r="C26">
        <v>58</v>
      </c>
      <c r="D26" t="s">
        <v>118</v>
      </c>
    </row>
    <row r="27" spans="1:4" x14ac:dyDescent="0.25">
      <c r="A27">
        <v>142</v>
      </c>
      <c r="B27">
        <v>27</v>
      </c>
      <c r="C27">
        <v>19</v>
      </c>
      <c r="D27" t="s">
        <v>119</v>
      </c>
    </row>
    <row r="28" spans="1:4" x14ac:dyDescent="0.25">
      <c r="A28">
        <v>144</v>
      </c>
      <c r="B28">
        <v>28</v>
      </c>
      <c r="C28">
        <v>3</v>
      </c>
      <c r="D28" t="s">
        <v>66</v>
      </c>
    </row>
    <row r="29" spans="1:4" x14ac:dyDescent="0.25">
      <c r="A29">
        <v>146</v>
      </c>
      <c r="B29">
        <v>29</v>
      </c>
      <c r="C29">
        <v>19</v>
      </c>
      <c r="D29" t="s">
        <v>62</v>
      </c>
    </row>
    <row r="30" spans="1:4" x14ac:dyDescent="0.25">
      <c r="A30">
        <v>148</v>
      </c>
      <c r="B30">
        <v>30</v>
      </c>
      <c r="C30">
        <v>117</v>
      </c>
      <c r="D30" t="s">
        <v>60</v>
      </c>
    </row>
    <row r="31" spans="1:4" x14ac:dyDescent="0.25">
      <c r="A31">
        <v>159</v>
      </c>
      <c r="B31">
        <v>31</v>
      </c>
      <c r="C31">
        <v>19</v>
      </c>
      <c r="D31" t="s">
        <v>120</v>
      </c>
    </row>
    <row r="32" spans="1:4" x14ac:dyDescent="0.25">
      <c r="A32">
        <v>162</v>
      </c>
      <c r="B32">
        <v>32</v>
      </c>
      <c r="C32">
        <v>20</v>
      </c>
      <c r="D32" t="s">
        <v>121</v>
      </c>
    </row>
    <row r="33" spans="1:4" x14ac:dyDescent="0.25">
      <c r="A33">
        <v>166</v>
      </c>
      <c r="B33">
        <v>33</v>
      </c>
      <c r="C33">
        <v>3</v>
      </c>
      <c r="D33" t="s">
        <v>122</v>
      </c>
    </row>
    <row r="34" spans="1:4" x14ac:dyDescent="0.25">
      <c r="A34">
        <v>168</v>
      </c>
      <c r="B34">
        <v>34</v>
      </c>
      <c r="C34">
        <v>92</v>
      </c>
      <c r="D34" t="s">
        <v>123</v>
      </c>
    </row>
    <row r="35" spans="1:4" x14ac:dyDescent="0.25">
      <c r="A35">
        <v>169</v>
      </c>
      <c r="B35">
        <v>35</v>
      </c>
      <c r="C35">
        <v>92</v>
      </c>
      <c r="D35" t="s">
        <v>124</v>
      </c>
    </row>
    <row r="36" spans="1:4" x14ac:dyDescent="0.25">
      <c r="A36">
        <v>174</v>
      </c>
      <c r="B36">
        <v>36</v>
      </c>
      <c r="C36">
        <v>174</v>
      </c>
      <c r="D36" t="s">
        <v>3891</v>
      </c>
    </row>
    <row r="37" spans="1:4" x14ac:dyDescent="0.25">
      <c r="A37">
        <v>176</v>
      </c>
      <c r="B37">
        <v>37</v>
      </c>
      <c r="C37">
        <v>108</v>
      </c>
      <c r="D37" t="s">
        <v>50</v>
      </c>
    </row>
    <row r="38" spans="1:4" x14ac:dyDescent="0.25">
      <c r="A38">
        <v>181</v>
      </c>
      <c r="B38">
        <v>38</v>
      </c>
      <c r="C38">
        <v>181</v>
      </c>
      <c r="D38" t="s">
        <v>125</v>
      </c>
    </row>
    <row r="39" spans="1:4" x14ac:dyDescent="0.25">
      <c r="A39">
        <v>187</v>
      </c>
      <c r="B39">
        <v>39</v>
      </c>
      <c r="C39">
        <v>117</v>
      </c>
      <c r="D39" t="s">
        <v>126</v>
      </c>
    </row>
    <row r="40" spans="1:4" x14ac:dyDescent="0.25">
      <c r="A40">
        <v>188</v>
      </c>
      <c r="B40">
        <v>40</v>
      </c>
      <c r="C40">
        <v>57</v>
      </c>
      <c r="D40" t="s">
        <v>127</v>
      </c>
    </row>
    <row r="41" spans="1:4" x14ac:dyDescent="0.25">
      <c r="A41">
        <v>189</v>
      </c>
      <c r="B41">
        <v>41</v>
      </c>
      <c r="C41">
        <v>57</v>
      </c>
      <c r="D41" t="s">
        <v>128</v>
      </c>
    </row>
    <row r="42" spans="1:4" x14ac:dyDescent="0.25">
      <c r="A42">
        <v>190</v>
      </c>
      <c r="B42">
        <v>42</v>
      </c>
      <c r="C42">
        <v>57</v>
      </c>
      <c r="D42" t="s">
        <v>129</v>
      </c>
    </row>
    <row r="43" spans="1:4" x14ac:dyDescent="0.25">
      <c r="A43">
        <v>191</v>
      </c>
      <c r="B43">
        <v>43</v>
      </c>
      <c r="C43">
        <v>41</v>
      </c>
      <c r="D43" t="s">
        <v>130</v>
      </c>
    </row>
    <row r="44" spans="1:4" x14ac:dyDescent="0.25">
      <c r="A44">
        <v>192</v>
      </c>
      <c r="B44">
        <v>44</v>
      </c>
      <c r="C44">
        <v>41</v>
      </c>
      <c r="D44" t="s">
        <v>131</v>
      </c>
    </row>
    <row r="45" spans="1:4" x14ac:dyDescent="0.25">
      <c r="A45">
        <v>193</v>
      </c>
      <c r="B45">
        <v>45</v>
      </c>
      <c r="C45">
        <v>41</v>
      </c>
      <c r="D45" t="s">
        <v>132</v>
      </c>
    </row>
    <row r="46" spans="1:4" x14ac:dyDescent="0.25">
      <c r="A46">
        <v>199</v>
      </c>
      <c r="B46">
        <v>46</v>
      </c>
      <c r="C46">
        <v>199</v>
      </c>
      <c r="D46" t="s">
        <v>133</v>
      </c>
    </row>
    <row r="47" spans="1:4" x14ac:dyDescent="0.25">
      <c r="A47">
        <v>200</v>
      </c>
      <c r="B47">
        <v>47</v>
      </c>
      <c r="C47">
        <v>199</v>
      </c>
      <c r="D47" t="s">
        <v>134</v>
      </c>
    </row>
    <row r="48" spans="1:4" x14ac:dyDescent="0.25">
      <c r="A48">
        <v>201</v>
      </c>
      <c r="B48">
        <v>48</v>
      </c>
      <c r="C48">
        <v>199</v>
      </c>
      <c r="D48" t="s">
        <v>135</v>
      </c>
    </row>
    <row r="49" spans="1:4" x14ac:dyDescent="0.25">
      <c r="A49">
        <v>203</v>
      </c>
      <c r="B49">
        <v>49</v>
      </c>
      <c r="C49">
        <v>267</v>
      </c>
      <c r="D49" t="s">
        <v>136</v>
      </c>
    </row>
    <row r="50" spans="1:4" x14ac:dyDescent="0.25">
      <c r="A50">
        <v>207</v>
      </c>
      <c r="B50">
        <v>50</v>
      </c>
      <c r="C50">
        <v>208</v>
      </c>
      <c r="D50" t="s">
        <v>137</v>
      </c>
    </row>
    <row r="51" spans="1:4" x14ac:dyDescent="0.25">
      <c r="A51">
        <v>208</v>
      </c>
      <c r="B51">
        <v>51</v>
      </c>
      <c r="C51">
        <v>208</v>
      </c>
      <c r="D51" t="s">
        <v>138</v>
      </c>
    </row>
    <row r="52" spans="1:4" x14ac:dyDescent="0.25">
      <c r="A52">
        <v>209</v>
      </c>
      <c r="B52">
        <v>52</v>
      </c>
      <c r="C52">
        <v>208</v>
      </c>
      <c r="D52" t="s">
        <v>139</v>
      </c>
    </row>
    <row r="53" spans="1:4" x14ac:dyDescent="0.25">
      <c r="A53">
        <v>212</v>
      </c>
      <c r="B53">
        <v>53</v>
      </c>
      <c r="C53">
        <v>57</v>
      </c>
      <c r="D53" t="s">
        <v>140</v>
      </c>
    </row>
    <row r="54" spans="1:4" x14ac:dyDescent="0.25">
      <c r="A54">
        <v>213</v>
      </c>
      <c r="B54">
        <v>54</v>
      </c>
      <c r="C54">
        <v>117</v>
      </c>
      <c r="D54" t="s">
        <v>141</v>
      </c>
    </row>
    <row r="55" spans="1:4" x14ac:dyDescent="0.25">
      <c r="A55">
        <v>214</v>
      </c>
      <c r="B55">
        <v>55</v>
      </c>
      <c r="C55">
        <v>117</v>
      </c>
      <c r="D55" t="s">
        <v>142</v>
      </c>
    </row>
    <row r="56" spans="1:4" x14ac:dyDescent="0.25">
      <c r="A56">
        <v>215</v>
      </c>
      <c r="B56">
        <v>56</v>
      </c>
      <c r="C56">
        <v>117</v>
      </c>
      <c r="D56" t="s">
        <v>143</v>
      </c>
    </row>
    <row r="57" spans="1:4" x14ac:dyDescent="0.25">
      <c r="A57">
        <v>216</v>
      </c>
      <c r="B57">
        <v>57</v>
      </c>
      <c r="C57">
        <v>41</v>
      </c>
      <c r="D57" t="s">
        <v>144</v>
      </c>
    </row>
    <row r="58" spans="1:4" x14ac:dyDescent="0.25">
      <c r="A58">
        <v>217</v>
      </c>
      <c r="B58">
        <v>58</v>
      </c>
      <c r="C58">
        <v>199</v>
      </c>
      <c r="D58" t="s">
        <v>145</v>
      </c>
    </row>
    <row r="59" spans="1:4" x14ac:dyDescent="0.25">
      <c r="A59">
        <v>218</v>
      </c>
      <c r="B59">
        <v>59</v>
      </c>
      <c r="C59">
        <v>267</v>
      </c>
      <c r="D59" t="s">
        <v>146</v>
      </c>
    </row>
    <row r="60" spans="1:4" x14ac:dyDescent="0.25">
      <c r="A60">
        <v>219</v>
      </c>
      <c r="B60">
        <v>60</v>
      </c>
      <c r="C60">
        <v>267</v>
      </c>
      <c r="D60" t="s">
        <v>147</v>
      </c>
    </row>
    <row r="61" spans="1:4" x14ac:dyDescent="0.25">
      <c r="A61">
        <v>222</v>
      </c>
      <c r="B61">
        <v>61</v>
      </c>
      <c r="C61">
        <v>3</v>
      </c>
      <c r="D61" t="s">
        <v>148</v>
      </c>
    </row>
    <row r="62" spans="1:4" x14ac:dyDescent="0.25">
      <c r="A62">
        <v>223</v>
      </c>
      <c r="B62">
        <v>62</v>
      </c>
      <c r="C62">
        <v>3</v>
      </c>
      <c r="D62" t="s">
        <v>149</v>
      </c>
    </row>
    <row r="63" spans="1:4" x14ac:dyDescent="0.25">
      <c r="A63">
        <v>224</v>
      </c>
      <c r="B63">
        <v>63</v>
      </c>
      <c r="C63">
        <v>20</v>
      </c>
      <c r="D63" t="s">
        <v>150</v>
      </c>
    </row>
    <row r="64" spans="1:4" x14ac:dyDescent="0.25">
      <c r="A64">
        <v>227</v>
      </c>
      <c r="B64">
        <v>64</v>
      </c>
      <c r="C64">
        <v>92</v>
      </c>
      <c r="D64" t="s">
        <v>3892</v>
      </c>
    </row>
    <row r="65" spans="1:4" x14ac:dyDescent="0.25">
      <c r="A65">
        <v>228</v>
      </c>
      <c r="B65">
        <v>65</v>
      </c>
      <c r="C65">
        <v>92</v>
      </c>
      <c r="D65" t="s">
        <v>151</v>
      </c>
    </row>
    <row r="66" spans="1:4" x14ac:dyDescent="0.25">
      <c r="A66">
        <v>229</v>
      </c>
      <c r="B66">
        <v>66</v>
      </c>
      <c r="C66">
        <v>92</v>
      </c>
      <c r="D66" t="s">
        <v>152</v>
      </c>
    </row>
    <row r="67" spans="1:4" x14ac:dyDescent="0.25">
      <c r="A67">
        <v>231</v>
      </c>
      <c r="B67">
        <v>67</v>
      </c>
      <c r="C67">
        <v>92</v>
      </c>
      <c r="D67" t="s">
        <v>153</v>
      </c>
    </row>
    <row r="68" spans="1:4" x14ac:dyDescent="0.25">
      <c r="A68">
        <v>232</v>
      </c>
      <c r="B68">
        <v>68</v>
      </c>
      <c r="C68">
        <v>117</v>
      </c>
      <c r="D68" t="s">
        <v>154</v>
      </c>
    </row>
    <row r="69" spans="1:4" x14ac:dyDescent="0.25">
      <c r="A69">
        <v>233</v>
      </c>
      <c r="B69">
        <v>69</v>
      </c>
      <c r="C69">
        <v>117</v>
      </c>
      <c r="D69" t="s">
        <v>155</v>
      </c>
    </row>
    <row r="70" spans="1:4" x14ac:dyDescent="0.25">
      <c r="A70">
        <v>234</v>
      </c>
      <c r="B70">
        <v>70</v>
      </c>
      <c r="C70">
        <v>117</v>
      </c>
      <c r="D70" t="s">
        <v>156</v>
      </c>
    </row>
    <row r="71" spans="1:4" x14ac:dyDescent="0.25">
      <c r="A71">
        <v>235</v>
      </c>
      <c r="B71">
        <v>71</v>
      </c>
      <c r="C71">
        <v>117</v>
      </c>
      <c r="D71" t="s">
        <v>157</v>
      </c>
    </row>
    <row r="72" spans="1:4" x14ac:dyDescent="0.25">
      <c r="A72">
        <v>236</v>
      </c>
      <c r="B72">
        <v>72</v>
      </c>
      <c r="C72">
        <v>117</v>
      </c>
      <c r="D72" t="s">
        <v>158</v>
      </c>
    </row>
    <row r="73" spans="1:4" x14ac:dyDescent="0.25">
      <c r="A73">
        <v>237</v>
      </c>
      <c r="B73">
        <v>73</v>
      </c>
      <c r="C73">
        <v>104</v>
      </c>
      <c r="D73" t="s">
        <v>159</v>
      </c>
    </row>
    <row r="74" spans="1:4" x14ac:dyDescent="0.25">
      <c r="A74">
        <v>238</v>
      </c>
      <c r="B74">
        <v>74</v>
      </c>
      <c r="C74">
        <v>104</v>
      </c>
      <c r="D74" t="s">
        <v>160</v>
      </c>
    </row>
    <row r="75" spans="1:4" x14ac:dyDescent="0.25">
      <c r="A75">
        <v>239</v>
      </c>
      <c r="B75">
        <v>75</v>
      </c>
      <c r="C75">
        <v>104</v>
      </c>
      <c r="D75" t="s">
        <v>161</v>
      </c>
    </row>
    <row r="76" spans="1:4" x14ac:dyDescent="0.25">
      <c r="A76">
        <v>241</v>
      </c>
      <c r="B76">
        <v>76</v>
      </c>
      <c r="C76">
        <v>41</v>
      </c>
      <c r="D76" t="s">
        <v>162</v>
      </c>
    </row>
    <row r="77" spans="1:4" x14ac:dyDescent="0.25">
      <c r="A77">
        <v>242</v>
      </c>
      <c r="B77">
        <v>77</v>
      </c>
      <c r="C77">
        <v>41</v>
      </c>
      <c r="D77" t="s">
        <v>163</v>
      </c>
    </row>
    <row r="78" spans="1:4" x14ac:dyDescent="0.25">
      <c r="A78">
        <v>243</v>
      </c>
      <c r="B78">
        <v>78</v>
      </c>
      <c r="C78">
        <v>41</v>
      </c>
      <c r="D78" t="s">
        <v>164</v>
      </c>
    </row>
    <row r="79" spans="1:4" x14ac:dyDescent="0.25">
      <c r="A79">
        <v>245</v>
      </c>
      <c r="B79">
        <v>79</v>
      </c>
      <c r="C79">
        <v>41</v>
      </c>
      <c r="D79" t="s">
        <v>165</v>
      </c>
    </row>
    <row r="80" spans="1:4" x14ac:dyDescent="0.25">
      <c r="A80">
        <v>246</v>
      </c>
      <c r="B80">
        <v>80</v>
      </c>
      <c r="C80">
        <v>41</v>
      </c>
      <c r="D80" t="s">
        <v>166</v>
      </c>
    </row>
    <row r="81" spans="1:4" x14ac:dyDescent="0.25">
      <c r="A81">
        <v>247</v>
      </c>
      <c r="B81">
        <v>81</v>
      </c>
      <c r="C81">
        <v>41</v>
      </c>
      <c r="D81" t="s">
        <v>167</v>
      </c>
    </row>
    <row r="82" spans="1:4" x14ac:dyDescent="0.25">
      <c r="A82">
        <v>248</v>
      </c>
      <c r="B82">
        <v>82</v>
      </c>
      <c r="C82">
        <v>57</v>
      </c>
      <c r="D82" t="s">
        <v>168</v>
      </c>
    </row>
    <row r="83" spans="1:4" x14ac:dyDescent="0.25">
      <c r="A83">
        <v>249</v>
      </c>
      <c r="B83">
        <v>83</v>
      </c>
      <c r="C83">
        <v>57</v>
      </c>
      <c r="D83" t="s">
        <v>169</v>
      </c>
    </row>
    <row r="84" spans="1:4" x14ac:dyDescent="0.25">
      <c r="A84">
        <v>250</v>
      </c>
      <c r="B84">
        <v>84</v>
      </c>
      <c r="C84">
        <v>57</v>
      </c>
      <c r="D84" t="s">
        <v>170</v>
      </c>
    </row>
    <row r="85" spans="1:4" x14ac:dyDescent="0.25">
      <c r="A85">
        <v>252</v>
      </c>
      <c r="B85">
        <v>85</v>
      </c>
      <c r="C85">
        <v>57</v>
      </c>
      <c r="D85" t="s">
        <v>171</v>
      </c>
    </row>
    <row r="86" spans="1:4" x14ac:dyDescent="0.25">
      <c r="A86">
        <v>253</v>
      </c>
      <c r="B86">
        <v>86</v>
      </c>
      <c r="C86">
        <v>57</v>
      </c>
      <c r="D86" t="s">
        <v>172</v>
      </c>
    </row>
    <row r="87" spans="1:4" x14ac:dyDescent="0.25">
      <c r="A87">
        <v>254</v>
      </c>
      <c r="B87">
        <v>87</v>
      </c>
      <c r="C87">
        <v>57</v>
      </c>
      <c r="D87" t="s">
        <v>173</v>
      </c>
    </row>
    <row r="88" spans="1:4" x14ac:dyDescent="0.25">
      <c r="A88">
        <v>255</v>
      </c>
      <c r="B88">
        <v>88</v>
      </c>
      <c r="C88">
        <v>57</v>
      </c>
      <c r="D88" t="s">
        <v>174</v>
      </c>
    </row>
    <row r="89" spans="1:4" x14ac:dyDescent="0.25">
      <c r="A89">
        <v>256</v>
      </c>
      <c r="B89">
        <v>89</v>
      </c>
      <c r="C89">
        <v>3</v>
      </c>
      <c r="D89" t="s">
        <v>175</v>
      </c>
    </row>
    <row r="90" spans="1:4" x14ac:dyDescent="0.25">
      <c r="A90">
        <v>257</v>
      </c>
      <c r="B90">
        <v>90</v>
      </c>
      <c r="C90">
        <v>103</v>
      </c>
      <c r="D90" t="s">
        <v>176</v>
      </c>
    </row>
    <row r="91" spans="1:4" x14ac:dyDescent="0.25">
      <c r="A91">
        <v>258</v>
      </c>
      <c r="B91">
        <v>91</v>
      </c>
      <c r="C91">
        <v>103</v>
      </c>
      <c r="D91" t="s">
        <v>177</v>
      </c>
    </row>
    <row r="92" spans="1:4" x14ac:dyDescent="0.25">
      <c r="A92">
        <v>259</v>
      </c>
      <c r="B92">
        <v>92</v>
      </c>
      <c r="C92">
        <v>103</v>
      </c>
      <c r="D92" t="s">
        <v>178</v>
      </c>
    </row>
    <row r="93" spans="1:4" x14ac:dyDescent="0.25">
      <c r="A93">
        <v>260</v>
      </c>
      <c r="B93">
        <v>93</v>
      </c>
      <c r="C93">
        <v>101</v>
      </c>
      <c r="D93" t="s">
        <v>179</v>
      </c>
    </row>
    <row r="94" spans="1:4" x14ac:dyDescent="0.25">
      <c r="A94">
        <v>261</v>
      </c>
      <c r="B94">
        <v>94</v>
      </c>
      <c r="C94">
        <v>101</v>
      </c>
      <c r="D94" t="s">
        <v>180</v>
      </c>
    </row>
    <row r="95" spans="1:4" x14ac:dyDescent="0.25">
      <c r="A95">
        <v>262</v>
      </c>
      <c r="B95">
        <v>95</v>
      </c>
      <c r="C95">
        <v>101</v>
      </c>
      <c r="D95" t="s">
        <v>181</v>
      </c>
    </row>
    <row r="96" spans="1:4" x14ac:dyDescent="0.25">
      <c r="A96">
        <v>263</v>
      </c>
      <c r="B96">
        <v>96</v>
      </c>
      <c r="C96">
        <v>101</v>
      </c>
      <c r="D96" t="s">
        <v>182</v>
      </c>
    </row>
    <row r="97" spans="1:4" x14ac:dyDescent="0.25">
      <c r="A97">
        <v>264</v>
      </c>
      <c r="B97">
        <v>97</v>
      </c>
      <c r="C97">
        <v>101</v>
      </c>
      <c r="D97" t="s">
        <v>183</v>
      </c>
    </row>
    <row r="98" spans="1:4" x14ac:dyDescent="0.25">
      <c r="A98">
        <v>265</v>
      </c>
      <c r="B98">
        <v>98</v>
      </c>
      <c r="C98">
        <v>101</v>
      </c>
      <c r="D98" t="s">
        <v>184</v>
      </c>
    </row>
    <row r="99" spans="1:4" x14ac:dyDescent="0.25">
      <c r="A99">
        <v>266</v>
      </c>
      <c r="B99">
        <v>99</v>
      </c>
      <c r="C99">
        <v>101</v>
      </c>
      <c r="D99" t="s">
        <v>185</v>
      </c>
    </row>
    <row r="100" spans="1:4" x14ac:dyDescent="0.25">
      <c r="A100">
        <v>267</v>
      </c>
      <c r="B100">
        <v>100</v>
      </c>
      <c r="C100">
        <v>267</v>
      </c>
      <c r="D100" t="s">
        <v>186</v>
      </c>
    </row>
    <row r="101" spans="1:4" x14ac:dyDescent="0.25">
      <c r="A101">
        <v>268</v>
      </c>
      <c r="B101">
        <v>101</v>
      </c>
      <c r="C101">
        <v>58</v>
      </c>
      <c r="D101" t="s">
        <v>187</v>
      </c>
    </row>
    <row r="102" spans="1:4" x14ac:dyDescent="0.25">
      <c r="A102">
        <v>269</v>
      </c>
      <c r="B102">
        <v>102</v>
      </c>
      <c r="C102">
        <v>58</v>
      </c>
      <c r="D102" t="s">
        <v>188</v>
      </c>
    </row>
    <row r="103" spans="1:4" x14ac:dyDescent="0.25">
      <c r="A103">
        <v>270</v>
      </c>
      <c r="B103">
        <v>103</v>
      </c>
      <c r="C103">
        <v>117</v>
      </c>
      <c r="D103" t="s">
        <v>189</v>
      </c>
    </row>
    <row r="104" spans="1:4" x14ac:dyDescent="0.25">
      <c r="A104">
        <v>271</v>
      </c>
      <c r="B104">
        <v>104</v>
      </c>
      <c r="C104">
        <v>117</v>
      </c>
      <c r="D104" t="s">
        <v>190</v>
      </c>
    </row>
    <row r="105" spans="1:4" x14ac:dyDescent="0.25">
      <c r="A105">
        <v>272</v>
      </c>
      <c r="B105">
        <v>105</v>
      </c>
      <c r="C105">
        <v>117</v>
      </c>
      <c r="D105" t="s">
        <v>191</v>
      </c>
    </row>
    <row r="106" spans="1:4" x14ac:dyDescent="0.25">
      <c r="A106">
        <v>273</v>
      </c>
      <c r="B106">
        <v>106</v>
      </c>
      <c r="C106">
        <v>117</v>
      </c>
      <c r="D106" t="s">
        <v>192</v>
      </c>
    </row>
    <row r="107" spans="1:4" x14ac:dyDescent="0.25">
      <c r="A107">
        <v>274</v>
      </c>
      <c r="B107">
        <v>107</v>
      </c>
      <c r="C107">
        <v>117</v>
      </c>
      <c r="D107" t="s">
        <v>193</v>
      </c>
    </row>
    <row r="108" spans="1:4" x14ac:dyDescent="0.25">
      <c r="A108">
        <v>275</v>
      </c>
      <c r="B108">
        <v>108</v>
      </c>
      <c r="C108">
        <v>117</v>
      </c>
      <c r="D108" t="s">
        <v>194</v>
      </c>
    </row>
    <row r="109" spans="1:4" x14ac:dyDescent="0.25">
      <c r="A109">
        <v>279</v>
      </c>
      <c r="B109">
        <v>109</v>
      </c>
      <c r="C109">
        <v>279</v>
      </c>
      <c r="D109" t="s">
        <v>195</v>
      </c>
    </row>
    <row r="110" spans="1:4" x14ac:dyDescent="0.25">
      <c r="A110">
        <v>280</v>
      </c>
      <c r="B110">
        <v>110</v>
      </c>
      <c r="C110">
        <v>280</v>
      </c>
      <c r="D110" t="s">
        <v>196</v>
      </c>
    </row>
    <row r="111" spans="1:4" x14ac:dyDescent="0.25">
      <c r="A111">
        <v>281</v>
      </c>
      <c r="B111">
        <v>111</v>
      </c>
      <c r="C111">
        <v>281</v>
      </c>
      <c r="D111" t="s">
        <v>197</v>
      </c>
    </row>
    <row r="112" spans="1:4" x14ac:dyDescent="0.25">
      <c r="A112">
        <v>283</v>
      </c>
      <c r="B112">
        <v>112</v>
      </c>
      <c r="C112">
        <v>41</v>
      </c>
      <c r="D112" t="s">
        <v>51</v>
      </c>
    </row>
    <row r="113" spans="1:4" x14ac:dyDescent="0.25">
      <c r="A113">
        <v>284</v>
      </c>
      <c r="B113">
        <v>113</v>
      </c>
      <c r="C113">
        <v>3</v>
      </c>
      <c r="D113" t="s">
        <v>198</v>
      </c>
    </row>
    <row r="114" spans="1:4" x14ac:dyDescent="0.25">
      <c r="A114">
        <v>287</v>
      </c>
      <c r="B114">
        <v>114</v>
      </c>
      <c r="C114">
        <v>41</v>
      </c>
      <c r="D114" t="s">
        <v>199</v>
      </c>
    </row>
    <row r="115" spans="1:4" x14ac:dyDescent="0.25">
      <c r="A115">
        <v>288</v>
      </c>
      <c r="B115">
        <v>115</v>
      </c>
      <c r="C115">
        <v>41</v>
      </c>
      <c r="D115" t="s">
        <v>200</v>
      </c>
    </row>
    <row r="116" spans="1:4" x14ac:dyDescent="0.25">
      <c r="A116">
        <v>289</v>
      </c>
      <c r="B116">
        <v>116</v>
      </c>
      <c r="C116">
        <v>41</v>
      </c>
      <c r="D116" t="s">
        <v>201</v>
      </c>
    </row>
    <row r="117" spans="1:4" x14ac:dyDescent="0.25">
      <c r="A117">
        <v>290</v>
      </c>
      <c r="B117">
        <v>117</v>
      </c>
      <c r="C117">
        <v>41</v>
      </c>
      <c r="D117" t="s">
        <v>202</v>
      </c>
    </row>
    <row r="118" spans="1:4" x14ac:dyDescent="0.25">
      <c r="A118">
        <v>291</v>
      </c>
      <c r="B118">
        <v>118</v>
      </c>
      <c r="C118">
        <v>41</v>
      </c>
      <c r="D118" t="s">
        <v>203</v>
      </c>
    </row>
    <row r="119" spans="1:4" x14ac:dyDescent="0.25">
      <c r="A119">
        <v>296</v>
      </c>
      <c r="B119">
        <v>119</v>
      </c>
      <c r="C119">
        <v>41</v>
      </c>
      <c r="D119" t="s">
        <v>204</v>
      </c>
    </row>
    <row r="120" spans="1:4" x14ac:dyDescent="0.25">
      <c r="A120">
        <v>306</v>
      </c>
      <c r="B120">
        <v>120</v>
      </c>
      <c r="C120">
        <v>57</v>
      </c>
      <c r="D120" t="s">
        <v>205</v>
      </c>
    </row>
    <row r="121" spans="1:4" x14ac:dyDescent="0.25">
      <c r="A121">
        <v>308</v>
      </c>
      <c r="B121">
        <v>121</v>
      </c>
      <c r="C121">
        <v>104</v>
      </c>
      <c r="D121" t="s">
        <v>206</v>
      </c>
    </row>
    <row r="122" spans="1:4" x14ac:dyDescent="0.25">
      <c r="A122">
        <v>309</v>
      </c>
      <c r="B122">
        <v>122</v>
      </c>
      <c r="C122">
        <v>3</v>
      </c>
      <c r="D122" t="s">
        <v>207</v>
      </c>
    </row>
    <row r="123" spans="1:4" x14ac:dyDescent="0.25">
      <c r="A123">
        <v>310</v>
      </c>
      <c r="B123">
        <v>123</v>
      </c>
      <c r="C123">
        <v>3</v>
      </c>
      <c r="D123" t="s">
        <v>208</v>
      </c>
    </row>
    <row r="124" spans="1:4" x14ac:dyDescent="0.25">
      <c r="A124">
        <v>311</v>
      </c>
      <c r="B124">
        <v>124</v>
      </c>
      <c r="C124">
        <v>3</v>
      </c>
      <c r="D124" t="s">
        <v>3894</v>
      </c>
    </row>
    <row r="125" spans="1:4" x14ac:dyDescent="0.25">
      <c r="A125">
        <v>312</v>
      </c>
      <c r="B125">
        <v>125</v>
      </c>
      <c r="C125">
        <v>3</v>
      </c>
      <c r="D125" t="s">
        <v>209</v>
      </c>
    </row>
    <row r="126" spans="1:4" x14ac:dyDescent="0.25">
      <c r="A126">
        <v>313</v>
      </c>
      <c r="B126">
        <v>126</v>
      </c>
      <c r="C126">
        <v>3</v>
      </c>
      <c r="D126" t="s">
        <v>210</v>
      </c>
    </row>
    <row r="127" spans="1:4" x14ac:dyDescent="0.25">
      <c r="A127">
        <v>314</v>
      </c>
      <c r="B127">
        <v>127</v>
      </c>
      <c r="C127">
        <v>3</v>
      </c>
      <c r="D127" t="s">
        <v>211</v>
      </c>
    </row>
    <row r="128" spans="1:4" x14ac:dyDescent="0.25">
      <c r="A128">
        <v>315</v>
      </c>
      <c r="B128">
        <v>128</v>
      </c>
      <c r="C128">
        <v>19</v>
      </c>
      <c r="D128" t="s">
        <v>212</v>
      </c>
    </row>
    <row r="129" spans="1:4" x14ac:dyDescent="0.25">
      <c r="A129">
        <v>316</v>
      </c>
      <c r="B129">
        <v>129</v>
      </c>
      <c r="C129">
        <v>19</v>
      </c>
      <c r="D129" t="s">
        <v>213</v>
      </c>
    </row>
    <row r="130" spans="1:4" x14ac:dyDescent="0.25">
      <c r="A130">
        <v>317</v>
      </c>
      <c r="B130">
        <v>130</v>
      </c>
      <c r="C130">
        <v>19</v>
      </c>
      <c r="D130" t="s">
        <v>214</v>
      </c>
    </row>
    <row r="131" spans="1:4" x14ac:dyDescent="0.25">
      <c r="A131">
        <v>318</v>
      </c>
      <c r="B131">
        <v>131</v>
      </c>
      <c r="C131">
        <v>19</v>
      </c>
      <c r="D131" t="s">
        <v>215</v>
      </c>
    </row>
    <row r="132" spans="1:4" x14ac:dyDescent="0.25">
      <c r="A132">
        <v>319</v>
      </c>
      <c r="B132">
        <v>132</v>
      </c>
      <c r="C132">
        <v>19</v>
      </c>
      <c r="D132" t="s">
        <v>216</v>
      </c>
    </row>
    <row r="133" spans="1:4" x14ac:dyDescent="0.25">
      <c r="A133">
        <v>320</v>
      </c>
      <c r="B133">
        <v>133</v>
      </c>
      <c r="C133">
        <v>19</v>
      </c>
      <c r="D133" t="s">
        <v>217</v>
      </c>
    </row>
    <row r="134" spans="1:4" x14ac:dyDescent="0.25">
      <c r="A134">
        <v>321</v>
      </c>
      <c r="B134">
        <v>134</v>
      </c>
      <c r="C134">
        <v>20</v>
      </c>
      <c r="D134" t="s">
        <v>218</v>
      </c>
    </row>
    <row r="135" spans="1:4" x14ac:dyDescent="0.25">
      <c r="A135">
        <v>322</v>
      </c>
      <c r="B135">
        <v>135</v>
      </c>
      <c r="C135">
        <v>20</v>
      </c>
      <c r="D135" t="s">
        <v>219</v>
      </c>
    </row>
    <row r="136" spans="1:4" x14ac:dyDescent="0.25">
      <c r="A136">
        <v>323</v>
      </c>
      <c r="B136">
        <v>136</v>
      </c>
      <c r="C136">
        <v>20</v>
      </c>
      <c r="D136" t="s">
        <v>220</v>
      </c>
    </row>
    <row r="137" spans="1:4" x14ac:dyDescent="0.25">
      <c r="A137">
        <v>324</v>
      </c>
      <c r="B137">
        <v>137</v>
      </c>
      <c r="C137">
        <v>20</v>
      </c>
      <c r="D137" t="s">
        <v>221</v>
      </c>
    </row>
    <row r="138" spans="1:4" x14ac:dyDescent="0.25">
      <c r="A138">
        <v>325</v>
      </c>
      <c r="B138">
        <v>138</v>
      </c>
      <c r="C138">
        <v>20</v>
      </c>
      <c r="D138" t="s">
        <v>222</v>
      </c>
    </row>
    <row r="139" spans="1:4" x14ac:dyDescent="0.25">
      <c r="A139">
        <v>326</v>
      </c>
      <c r="B139">
        <v>139</v>
      </c>
      <c r="C139">
        <v>20</v>
      </c>
      <c r="D139" t="s">
        <v>223</v>
      </c>
    </row>
    <row r="140" spans="1:4" x14ac:dyDescent="0.25">
      <c r="A140">
        <v>327</v>
      </c>
      <c r="B140">
        <v>140</v>
      </c>
      <c r="C140">
        <v>104</v>
      </c>
      <c r="D140" t="s">
        <v>224</v>
      </c>
    </row>
    <row r="141" spans="1:4" x14ac:dyDescent="0.25">
      <c r="A141">
        <v>328</v>
      </c>
      <c r="B141">
        <v>141</v>
      </c>
      <c r="C141">
        <v>104</v>
      </c>
      <c r="D141" t="s">
        <v>225</v>
      </c>
    </row>
    <row r="142" spans="1:4" x14ac:dyDescent="0.25">
      <c r="A142">
        <v>329</v>
      </c>
      <c r="B142">
        <v>142</v>
      </c>
      <c r="C142">
        <v>104</v>
      </c>
      <c r="D142" t="s">
        <v>226</v>
      </c>
    </row>
    <row r="143" spans="1:4" x14ac:dyDescent="0.25">
      <c r="A143">
        <v>330</v>
      </c>
      <c r="B143">
        <v>143</v>
      </c>
      <c r="C143">
        <v>104</v>
      </c>
      <c r="D143" t="s">
        <v>227</v>
      </c>
    </row>
    <row r="144" spans="1:4" x14ac:dyDescent="0.25">
      <c r="A144">
        <v>331</v>
      </c>
      <c r="B144">
        <v>144</v>
      </c>
      <c r="C144">
        <v>104</v>
      </c>
      <c r="D144" t="s">
        <v>228</v>
      </c>
    </row>
    <row r="145" spans="1:4" x14ac:dyDescent="0.25">
      <c r="A145">
        <v>332</v>
      </c>
      <c r="B145">
        <v>145</v>
      </c>
      <c r="C145">
        <v>104</v>
      </c>
      <c r="D145" t="s">
        <v>229</v>
      </c>
    </row>
    <row r="146" spans="1:4" x14ac:dyDescent="0.25">
      <c r="A146">
        <v>333</v>
      </c>
      <c r="B146">
        <v>146</v>
      </c>
      <c r="C146">
        <v>92</v>
      </c>
      <c r="D146" t="s">
        <v>230</v>
      </c>
    </row>
    <row r="147" spans="1:4" x14ac:dyDescent="0.25">
      <c r="A147">
        <v>334</v>
      </c>
      <c r="B147">
        <v>147</v>
      </c>
      <c r="C147">
        <v>92</v>
      </c>
      <c r="D147" t="s">
        <v>231</v>
      </c>
    </row>
    <row r="148" spans="1:4" x14ac:dyDescent="0.25">
      <c r="A148">
        <v>335</v>
      </c>
      <c r="B148">
        <v>148</v>
      </c>
      <c r="C148">
        <v>92</v>
      </c>
      <c r="D148" t="s">
        <v>232</v>
      </c>
    </row>
    <row r="149" spans="1:4" x14ac:dyDescent="0.25">
      <c r="A149">
        <v>336</v>
      </c>
      <c r="B149">
        <v>149</v>
      </c>
      <c r="C149">
        <v>92</v>
      </c>
      <c r="D149" t="s">
        <v>233</v>
      </c>
    </row>
    <row r="150" spans="1:4" x14ac:dyDescent="0.25">
      <c r="A150">
        <v>337</v>
      </c>
      <c r="B150">
        <v>150</v>
      </c>
      <c r="C150">
        <v>92</v>
      </c>
      <c r="D150" t="s">
        <v>234</v>
      </c>
    </row>
    <row r="151" spans="1:4" x14ac:dyDescent="0.25">
      <c r="A151">
        <v>338</v>
      </c>
      <c r="B151">
        <v>151</v>
      </c>
      <c r="C151">
        <v>92</v>
      </c>
      <c r="D151" t="s">
        <v>235</v>
      </c>
    </row>
    <row r="152" spans="1:4" x14ac:dyDescent="0.25">
      <c r="A152">
        <v>339</v>
      </c>
      <c r="B152">
        <v>152</v>
      </c>
      <c r="C152">
        <v>101</v>
      </c>
      <c r="D152" t="s">
        <v>236</v>
      </c>
    </row>
    <row r="153" spans="1:4" x14ac:dyDescent="0.25">
      <c r="A153">
        <v>341</v>
      </c>
      <c r="B153">
        <v>153</v>
      </c>
      <c r="C153">
        <v>103</v>
      </c>
      <c r="D153" t="s">
        <v>237</v>
      </c>
    </row>
    <row r="154" spans="1:4" x14ac:dyDescent="0.25">
      <c r="A154">
        <v>346</v>
      </c>
      <c r="B154">
        <v>154</v>
      </c>
      <c r="C154">
        <v>101</v>
      </c>
      <c r="D154" t="s">
        <v>238</v>
      </c>
    </row>
    <row r="155" spans="1:4" x14ac:dyDescent="0.25">
      <c r="A155">
        <v>347</v>
      </c>
      <c r="B155">
        <v>155</v>
      </c>
      <c r="C155">
        <v>347</v>
      </c>
      <c r="D155" t="s">
        <v>239</v>
      </c>
    </row>
    <row r="156" spans="1:4" x14ac:dyDescent="0.25">
      <c r="A156">
        <v>353</v>
      </c>
      <c r="B156">
        <v>156</v>
      </c>
      <c r="C156">
        <v>101</v>
      </c>
      <c r="D156" t="s">
        <v>240</v>
      </c>
    </row>
    <row r="157" spans="1:4" x14ac:dyDescent="0.25">
      <c r="A157">
        <v>354</v>
      </c>
      <c r="B157">
        <v>157</v>
      </c>
      <c r="C157">
        <v>101</v>
      </c>
      <c r="D157" t="s">
        <v>241</v>
      </c>
    </row>
    <row r="158" spans="1:4" x14ac:dyDescent="0.25">
      <c r="A158">
        <v>359</v>
      </c>
      <c r="B158">
        <v>158</v>
      </c>
      <c r="C158">
        <v>101</v>
      </c>
      <c r="D158" t="s">
        <v>242</v>
      </c>
    </row>
    <row r="159" spans="1:4" x14ac:dyDescent="0.25">
      <c r="A159">
        <v>360</v>
      </c>
      <c r="B159">
        <v>159</v>
      </c>
      <c r="C159">
        <v>101</v>
      </c>
      <c r="D159" t="s">
        <v>243</v>
      </c>
    </row>
    <row r="160" spans="1:4" x14ac:dyDescent="0.25">
      <c r="A160">
        <v>361</v>
      </c>
      <c r="B160">
        <v>160</v>
      </c>
      <c r="C160">
        <v>101</v>
      </c>
      <c r="D160" t="s">
        <v>244</v>
      </c>
    </row>
    <row r="161" spans="1:4" x14ac:dyDescent="0.25">
      <c r="A161">
        <v>362</v>
      </c>
      <c r="B161">
        <v>161</v>
      </c>
      <c r="C161">
        <v>101</v>
      </c>
      <c r="D161" t="s">
        <v>245</v>
      </c>
    </row>
    <row r="162" spans="1:4" x14ac:dyDescent="0.25">
      <c r="A162">
        <v>363</v>
      </c>
      <c r="B162">
        <v>162</v>
      </c>
      <c r="C162">
        <v>101</v>
      </c>
      <c r="D162" t="s">
        <v>246</v>
      </c>
    </row>
    <row r="163" spans="1:4" x14ac:dyDescent="0.25">
      <c r="A163">
        <v>364</v>
      </c>
      <c r="B163">
        <v>163</v>
      </c>
      <c r="C163">
        <v>101</v>
      </c>
      <c r="D163" t="s">
        <v>247</v>
      </c>
    </row>
    <row r="164" spans="1:4" x14ac:dyDescent="0.25">
      <c r="A164">
        <v>365</v>
      </c>
      <c r="B164">
        <v>164</v>
      </c>
      <c r="C164">
        <v>347</v>
      </c>
      <c r="D164" t="s">
        <v>248</v>
      </c>
    </row>
    <row r="165" spans="1:4" x14ac:dyDescent="0.25">
      <c r="A165">
        <v>366</v>
      </c>
      <c r="B165">
        <v>165</v>
      </c>
      <c r="C165">
        <v>347</v>
      </c>
      <c r="D165" t="s">
        <v>249</v>
      </c>
    </row>
    <row r="166" spans="1:4" x14ac:dyDescent="0.25">
      <c r="A166">
        <v>367</v>
      </c>
      <c r="B166">
        <v>166</v>
      </c>
      <c r="C166">
        <v>347</v>
      </c>
      <c r="D166" t="s">
        <v>250</v>
      </c>
    </row>
    <row r="167" spans="1:4" x14ac:dyDescent="0.25">
      <c r="A167">
        <v>368</v>
      </c>
      <c r="B167">
        <v>167</v>
      </c>
      <c r="C167">
        <v>347</v>
      </c>
      <c r="D167" t="s">
        <v>251</v>
      </c>
    </row>
    <row r="168" spans="1:4" x14ac:dyDescent="0.25">
      <c r="A168">
        <v>369</v>
      </c>
      <c r="B168">
        <v>168</v>
      </c>
      <c r="C168">
        <v>347</v>
      </c>
      <c r="D168" t="s">
        <v>252</v>
      </c>
    </row>
    <row r="169" spans="1:4" x14ac:dyDescent="0.25">
      <c r="A169">
        <v>370</v>
      </c>
      <c r="B169">
        <v>169</v>
      </c>
      <c r="C169">
        <v>347</v>
      </c>
      <c r="D169" t="s">
        <v>253</v>
      </c>
    </row>
    <row r="170" spans="1:4" x14ac:dyDescent="0.25">
      <c r="A170">
        <v>371</v>
      </c>
      <c r="B170">
        <v>170</v>
      </c>
      <c r="C170">
        <v>347</v>
      </c>
      <c r="D170" t="s">
        <v>254</v>
      </c>
    </row>
    <row r="171" spans="1:4" x14ac:dyDescent="0.25">
      <c r="A171">
        <v>372</v>
      </c>
      <c r="B171">
        <v>171</v>
      </c>
      <c r="C171">
        <v>347</v>
      </c>
      <c r="D171" t="s">
        <v>255</v>
      </c>
    </row>
    <row r="172" spans="1:4" x14ac:dyDescent="0.25">
      <c r="A172">
        <v>374</v>
      </c>
      <c r="B172">
        <v>172</v>
      </c>
      <c r="C172">
        <v>347</v>
      </c>
      <c r="D172" t="s">
        <v>256</v>
      </c>
    </row>
    <row r="173" spans="1:4" x14ac:dyDescent="0.25">
      <c r="A173">
        <v>375</v>
      </c>
      <c r="B173">
        <v>173</v>
      </c>
      <c r="C173">
        <v>347</v>
      </c>
      <c r="D173" t="s">
        <v>257</v>
      </c>
    </row>
    <row r="174" spans="1:4" x14ac:dyDescent="0.25">
      <c r="A174">
        <v>376</v>
      </c>
      <c r="B174">
        <v>174</v>
      </c>
      <c r="C174">
        <v>347</v>
      </c>
      <c r="D174" t="s">
        <v>258</v>
      </c>
    </row>
    <row r="175" spans="1:4" x14ac:dyDescent="0.25">
      <c r="A175">
        <v>377</v>
      </c>
      <c r="B175">
        <v>175</v>
      </c>
      <c r="C175">
        <v>58</v>
      </c>
      <c r="D175" t="s">
        <v>259</v>
      </c>
    </row>
    <row r="176" spans="1:4" x14ac:dyDescent="0.25">
      <c r="A176">
        <v>378</v>
      </c>
      <c r="B176">
        <v>176</v>
      </c>
      <c r="C176">
        <v>58</v>
      </c>
      <c r="D176" t="s">
        <v>260</v>
      </c>
    </row>
    <row r="177" spans="1:4" x14ac:dyDescent="0.25">
      <c r="A177">
        <v>379</v>
      </c>
      <c r="B177">
        <v>177</v>
      </c>
      <c r="C177">
        <v>58</v>
      </c>
      <c r="D177" t="s">
        <v>261</v>
      </c>
    </row>
    <row r="178" spans="1:4" x14ac:dyDescent="0.25">
      <c r="A178">
        <v>380</v>
      </c>
      <c r="B178">
        <v>178</v>
      </c>
      <c r="C178">
        <v>381</v>
      </c>
      <c r="D178" t="s">
        <v>96</v>
      </c>
    </row>
    <row r="179" spans="1:4" x14ac:dyDescent="0.25">
      <c r="A179">
        <v>381</v>
      </c>
      <c r="B179">
        <v>179</v>
      </c>
      <c r="C179">
        <v>381</v>
      </c>
      <c r="D179" t="s">
        <v>262</v>
      </c>
    </row>
    <row r="180" spans="1:4" x14ac:dyDescent="0.25">
      <c r="A180">
        <v>382</v>
      </c>
      <c r="B180">
        <v>180</v>
      </c>
      <c r="C180">
        <v>382</v>
      </c>
      <c r="D180" t="s">
        <v>263</v>
      </c>
    </row>
    <row r="181" spans="1:4" x14ac:dyDescent="0.25">
      <c r="A181">
        <v>383</v>
      </c>
      <c r="B181">
        <v>181</v>
      </c>
      <c r="C181">
        <v>383</v>
      </c>
      <c r="D181" t="s">
        <v>264</v>
      </c>
    </row>
    <row r="182" spans="1:4" x14ac:dyDescent="0.25">
      <c r="A182">
        <v>385</v>
      </c>
      <c r="B182">
        <v>182</v>
      </c>
      <c r="C182">
        <v>208</v>
      </c>
      <c r="D182" t="s">
        <v>265</v>
      </c>
    </row>
    <row r="183" spans="1:4" x14ac:dyDescent="0.25">
      <c r="A183">
        <v>386</v>
      </c>
      <c r="B183">
        <v>183</v>
      </c>
      <c r="C183">
        <v>41</v>
      </c>
      <c r="D183" t="s">
        <v>266</v>
      </c>
    </row>
    <row r="184" spans="1:4" x14ac:dyDescent="0.25">
      <c r="A184">
        <v>387</v>
      </c>
      <c r="B184">
        <v>184</v>
      </c>
      <c r="C184">
        <v>381</v>
      </c>
      <c r="D184" t="s">
        <v>267</v>
      </c>
    </row>
    <row r="185" spans="1:4" x14ac:dyDescent="0.25">
      <c r="A185">
        <v>388</v>
      </c>
      <c r="B185">
        <v>185</v>
      </c>
      <c r="C185">
        <v>381</v>
      </c>
      <c r="D185" t="s">
        <v>268</v>
      </c>
    </row>
    <row r="186" spans="1:4" x14ac:dyDescent="0.25">
      <c r="A186">
        <v>389</v>
      </c>
      <c r="B186">
        <v>186</v>
      </c>
      <c r="C186">
        <v>383</v>
      </c>
      <c r="D186" t="s">
        <v>269</v>
      </c>
    </row>
    <row r="187" spans="1:4" x14ac:dyDescent="0.25">
      <c r="A187">
        <v>390</v>
      </c>
      <c r="B187">
        <v>187</v>
      </c>
      <c r="C187">
        <v>381</v>
      </c>
      <c r="D187" t="s">
        <v>270</v>
      </c>
    </row>
    <row r="188" spans="1:4" x14ac:dyDescent="0.25">
      <c r="A188">
        <v>392</v>
      </c>
      <c r="B188">
        <v>188</v>
      </c>
      <c r="C188">
        <v>381</v>
      </c>
      <c r="D188" t="s">
        <v>271</v>
      </c>
    </row>
    <row r="189" spans="1:4" x14ac:dyDescent="0.25">
      <c r="A189">
        <v>393</v>
      </c>
      <c r="B189">
        <v>189</v>
      </c>
      <c r="C189">
        <v>381</v>
      </c>
      <c r="D189" t="s">
        <v>272</v>
      </c>
    </row>
    <row r="190" spans="1:4" x14ac:dyDescent="0.25">
      <c r="A190">
        <v>394</v>
      </c>
      <c r="B190">
        <v>190</v>
      </c>
      <c r="C190">
        <v>381</v>
      </c>
      <c r="D190" t="s">
        <v>273</v>
      </c>
    </row>
    <row r="191" spans="1:4" x14ac:dyDescent="0.25">
      <c r="A191">
        <v>395</v>
      </c>
      <c r="B191">
        <v>191</v>
      </c>
      <c r="C191">
        <v>381</v>
      </c>
      <c r="D191" t="s">
        <v>274</v>
      </c>
    </row>
    <row r="192" spans="1:4" x14ac:dyDescent="0.25">
      <c r="A192">
        <v>396</v>
      </c>
      <c r="B192">
        <v>192</v>
      </c>
      <c r="C192">
        <v>381</v>
      </c>
      <c r="D192" t="s">
        <v>275</v>
      </c>
    </row>
    <row r="193" spans="1:4" x14ac:dyDescent="0.25">
      <c r="A193">
        <v>397</v>
      </c>
      <c r="B193">
        <v>193</v>
      </c>
      <c r="C193">
        <v>381</v>
      </c>
      <c r="D193" t="s">
        <v>276</v>
      </c>
    </row>
    <row r="194" spans="1:4" x14ac:dyDescent="0.25">
      <c r="A194">
        <v>398</v>
      </c>
      <c r="B194">
        <v>194</v>
      </c>
      <c r="C194">
        <v>381</v>
      </c>
      <c r="D194" t="s">
        <v>277</v>
      </c>
    </row>
    <row r="195" spans="1:4" x14ac:dyDescent="0.25">
      <c r="A195">
        <v>399</v>
      </c>
      <c r="B195">
        <v>195</v>
      </c>
      <c r="C195">
        <v>381</v>
      </c>
      <c r="D195" t="s">
        <v>278</v>
      </c>
    </row>
    <row r="196" spans="1:4" x14ac:dyDescent="0.25">
      <c r="A196">
        <v>400</v>
      </c>
      <c r="B196">
        <v>196</v>
      </c>
      <c r="C196">
        <v>381</v>
      </c>
      <c r="D196" t="s">
        <v>279</v>
      </c>
    </row>
    <row r="197" spans="1:4" x14ac:dyDescent="0.25">
      <c r="A197">
        <v>401</v>
      </c>
      <c r="B197">
        <v>197</v>
      </c>
      <c r="C197">
        <v>381</v>
      </c>
      <c r="D197" t="s">
        <v>280</v>
      </c>
    </row>
    <row r="198" spans="1:4" x14ac:dyDescent="0.25">
      <c r="A198">
        <v>402</v>
      </c>
      <c r="B198">
        <v>198</v>
      </c>
      <c r="C198">
        <v>103</v>
      </c>
      <c r="D198" t="s">
        <v>281</v>
      </c>
    </row>
    <row r="199" spans="1:4" x14ac:dyDescent="0.25">
      <c r="A199">
        <v>403</v>
      </c>
      <c r="B199">
        <v>199</v>
      </c>
      <c r="C199">
        <v>103</v>
      </c>
      <c r="D199" t="s">
        <v>282</v>
      </c>
    </row>
    <row r="200" spans="1:4" x14ac:dyDescent="0.25">
      <c r="A200">
        <v>404</v>
      </c>
      <c r="B200">
        <v>200</v>
      </c>
      <c r="C200">
        <v>103</v>
      </c>
      <c r="D200" t="s">
        <v>283</v>
      </c>
    </row>
    <row r="201" spans="1:4" x14ac:dyDescent="0.25">
      <c r="A201">
        <v>405</v>
      </c>
      <c r="B201">
        <v>201</v>
      </c>
      <c r="C201">
        <v>57</v>
      </c>
      <c r="D201" t="s">
        <v>284</v>
      </c>
    </row>
    <row r="202" spans="1:4" x14ac:dyDescent="0.25">
      <c r="A202">
        <v>406</v>
      </c>
      <c r="B202">
        <v>202</v>
      </c>
      <c r="C202">
        <v>57</v>
      </c>
      <c r="D202" t="s">
        <v>285</v>
      </c>
    </row>
    <row r="203" spans="1:4" x14ac:dyDescent="0.25">
      <c r="A203">
        <v>407</v>
      </c>
      <c r="B203">
        <v>203</v>
      </c>
      <c r="C203">
        <v>57</v>
      </c>
      <c r="D203" t="s">
        <v>286</v>
      </c>
    </row>
    <row r="204" spans="1:4" x14ac:dyDescent="0.25">
      <c r="A204">
        <v>408</v>
      </c>
      <c r="B204">
        <v>204</v>
      </c>
      <c r="C204">
        <v>57</v>
      </c>
      <c r="D204" t="s">
        <v>287</v>
      </c>
    </row>
    <row r="205" spans="1:4" x14ac:dyDescent="0.25">
      <c r="A205">
        <v>409</v>
      </c>
      <c r="B205">
        <v>205</v>
      </c>
      <c r="C205">
        <v>57</v>
      </c>
      <c r="D205" t="s">
        <v>288</v>
      </c>
    </row>
    <row r="206" spans="1:4" x14ac:dyDescent="0.25">
      <c r="A206">
        <v>410</v>
      </c>
      <c r="B206">
        <v>206</v>
      </c>
      <c r="C206">
        <v>57</v>
      </c>
      <c r="D206" t="s">
        <v>289</v>
      </c>
    </row>
    <row r="207" spans="1:4" x14ac:dyDescent="0.25">
      <c r="A207">
        <v>411</v>
      </c>
      <c r="B207">
        <v>207</v>
      </c>
      <c r="C207">
        <v>58</v>
      </c>
      <c r="D207" t="s">
        <v>290</v>
      </c>
    </row>
    <row r="208" spans="1:4" x14ac:dyDescent="0.25">
      <c r="A208">
        <v>412</v>
      </c>
      <c r="B208">
        <v>208</v>
      </c>
      <c r="C208">
        <v>103</v>
      </c>
      <c r="D208" t="s">
        <v>291</v>
      </c>
    </row>
    <row r="209" spans="1:4" x14ac:dyDescent="0.25">
      <c r="A209">
        <v>413</v>
      </c>
      <c r="B209">
        <v>209</v>
      </c>
      <c r="C209">
        <v>103</v>
      </c>
      <c r="D209" t="s">
        <v>292</v>
      </c>
    </row>
    <row r="210" spans="1:4" x14ac:dyDescent="0.25">
      <c r="A210">
        <v>414</v>
      </c>
      <c r="B210">
        <v>210</v>
      </c>
      <c r="C210">
        <v>103</v>
      </c>
      <c r="D210" t="s">
        <v>293</v>
      </c>
    </row>
    <row r="211" spans="1:4" x14ac:dyDescent="0.25">
      <c r="A211">
        <v>415</v>
      </c>
      <c r="B211">
        <v>211</v>
      </c>
      <c r="C211">
        <v>103</v>
      </c>
      <c r="D211" t="s">
        <v>294</v>
      </c>
    </row>
    <row r="212" spans="1:4" x14ac:dyDescent="0.25">
      <c r="A212">
        <v>416</v>
      </c>
      <c r="B212">
        <v>212</v>
      </c>
      <c r="C212">
        <v>381</v>
      </c>
      <c r="D212" t="s">
        <v>295</v>
      </c>
    </row>
    <row r="213" spans="1:4" x14ac:dyDescent="0.25">
      <c r="A213">
        <v>417</v>
      </c>
      <c r="B213">
        <v>213</v>
      </c>
      <c r="C213">
        <v>347</v>
      </c>
      <c r="D213" t="s">
        <v>296</v>
      </c>
    </row>
    <row r="214" spans="1:4" x14ac:dyDescent="0.25">
      <c r="A214">
        <v>418</v>
      </c>
      <c r="B214">
        <v>214</v>
      </c>
      <c r="C214">
        <v>347</v>
      </c>
      <c r="D214" t="s">
        <v>297</v>
      </c>
    </row>
    <row r="215" spans="1:4" x14ac:dyDescent="0.25">
      <c r="A215">
        <v>419</v>
      </c>
      <c r="B215">
        <v>215</v>
      </c>
      <c r="C215">
        <v>347</v>
      </c>
      <c r="D215" t="s">
        <v>298</v>
      </c>
    </row>
    <row r="216" spans="1:4" x14ac:dyDescent="0.25">
      <c r="A216">
        <v>420</v>
      </c>
      <c r="B216">
        <v>216</v>
      </c>
      <c r="C216">
        <v>347</v>
      </c>
      <c r="D216" t="s">
        <v>299</v>
      </c>
    </row>
    <row r="217" spans="1:4" x14ac:dyDescent="0.25">
      <c r="A217">
        <v>421</v>
      </c>
      <c r="B217">
        <v>217</v>
      </c>
      <c r="C217">
        <v>347</v>
      </c>
      <c r="D217" t="s">
        <v>300</v>
      </c>
    </row>
    <row r="218" spans="1:4" x14ac:dyDescent="0.25">
      <c r="A218">
        <v>422</v>
      </c>
      <c r="B218">
        <v>218</v>
      </c>
      <c r="C218">
        <v>347</v>
      </c>
      <c r="D218" t="s">
        <v>301</v>
      </c>
    </row>
    <row r="219" spans="1:4" x14ac:dyDescent="0.25">
      <c r="A219">
        <v>424</v>
      </c>
      <c r="B219">
        <v>219</v>
      </c>
      <c r="C219">
        <v>3</v>
      </c>
      <c r="D219" t="s">
        <v>302</v>
      </c>
    </row>
    <row r="220" spans="1:4" x14ac:dyDescent="0.25">
      <c r="A220">
        <v>425</v>
      </c>
      <c r="B220">
        <v>220</v>
      </c>
      <c r="C220">
        <v>3</v>
      </c>
      <c r="D220" t="s">
        <v>303</v>
      </c>
    </row>
    <row r="221" spans="1:4" x14ac:dyDescent="0.25">
      <c r="A221">
        <v>426</v>
      </c>
      <c r="B221">
        <v>221</v>
      </c>
      <c r="C221">
        <v>3</v>
      </c>
      <c r="D221" t="s">
        <v>304</v>
      </c>
    </row>
    <row r="222" spans="1:4" x14ac:dyDescent="0.25">
      <c r="A222">
        <v>429</v>
      </c>
      <c r="B222">
        <v>222</v>
      </c>
      <c r="C222">
        <v>3</v>
      </c>
      <c r="D222" t="s">
        <v>305</v>
      </c>
    </row>
    <row r="223" spans="1:4" x14ac:dyDescent="0.25">
      <c r="A223">
        <v>430</v>
      </c>
      <c r="B223">
        <v>223</v>
      </c>
      <c r="C223">
        <v>19</v>
      </c>
      <c r="D223" t="s">
        <v>306</v>
      </c>
    </row>
    <row r="224" spans="1:4" x14ac:dyDescent="0.25">
      <c r="A224">
        <v>431</v>
      </c>
      <c r="B224">
        <v>224</v>
      </c>
      <c r="C224">
        <v>103</v>
      </c>
      <c r="D224" t="s">
        <v>307</v>
      </c>
    </row>
    <row r="225" spans="1:4" x14ac:dyDescent="0.25">
      <c r="A225">
        <v>433</v>
      </c>
      <c r="B225">
        <v>225</v>
      </c>
      <c r="C225">
        <v>383</v>
      </c>
      <c r="D225" t="s">
        <v>308</v>
      </c>
    </row>
    <row r="226" spans="1:4" x14ac:dyDescent="0.25">
      <c r="A226">
        <v>434</v>
      </c>
      <c r="B226">
        <v>226</v>
      </c>
      <c r="C226">
        <v>383</v>
      </c>
      <c r="D226" t="s">
        <v>309</v>
      </c>
    </row>
    <row r="227" spans="1:4" x14ac:dyDescent="0.25">
      <c r="A227">
        <v>435</v>
      </c>
      <c r="B227">
        <v>227</v>
      </c>
      <c r="C227">
        <v>383</v>
      </c>
      <c r="D227" t="s">
        <v>310</v>
      </c>
    </row>
    <row r="228" spans="1:4" x14ac:dyDescent="0.25">
      <c r="A228">
        <v>436</v>
      </c>
      <c r="B228">
        <v>228</v>
      </c>
      <c r="C228">
        <v>383</v>
      </c>
      <c r="D228" t="s">
        <v>311</v>
      </c>
    </row>
    <row r="229" spans="1:4" x14ac:dyDescent="0.25">
      <c r="A229">
        <v>437</v>
      </c>
      <c r="B229">
        <v>229</v>
      </c>
      <c r="C229">
        <v>383</v>
      </c>
      <c r="D229" t="s">
        <v>312</v>
      </c>
    </row>
    <row r="230" spans="1:4" x14ac:dyDescent="0.25">
      <c r="A230">
        <v>438</v>
      </c>
      <c r="B230">
        <v>230</v>
      </c>
      <c r="C230">
        <v>383</v>
      </c>
      <c r="D230" t="s">
        <v>313</v>
      </c>
    </row>
    <row r="231" spans="1:4" x14ac:dyDescent="0.25">
      <c r="A231">
        <v>439</v>
      </c>
      <c r="B231">
        <v>231</v>
      </c>
      <c r="C231">
        <v>383</v>
      </c>
      <c r="D231" t="s">
        <v>314</v>
      </c>
    </row>
    <row r="232" spans="1:4" x14ac:dyDescent="0.25">
      <c r="A232">
        <v>440</v>
      </c>
      <c r="B232">
        <v>232</v>
      </c>
      <c r="C232">
        <v>383</v>
      </c>
      <c r="D232" t="s">
        <v>315</v>
      </c>
    </row>
    <row r="233" spans="1:4" x14ac:dyDescent="0.25">
      <c r="A233">
        <v>442</v>
      </c>
      <c r="B233">
        <v>233</v>
      </c>
      <c r="C233">
        <v>383</v>
      </c>
      <c r="D233" t="s">
        <v>316</v>
      </c>
    </row>
    <row r="234" spans="1:4" x14ac:dyDescent="0.25">
      <c r="A234">
        <v>444</v>
      </c>
      <c r="B234">
        <v>234</v>
      </c>
      <c r="C234">
        <v>383</v>
      </c>
      <c r="D234" t="s">
        <v>317</v>
      </c>
    </row>
    <row r="235" spans="1:4" x14ac:dyDescent="0.25">
      <c r="A235">
        <v>447</v>
      </c>
      <c r="B235">
        <v>235</v>
      </c>
      <c r="C235">
        <v>383</v>
      </c>
      <c r="D235" t="s">
        <v>318</v>
      </c>
    </row>
    <row r="236" spans="1:4" x14ac:dyDescent="0.25">
      <c r="A236">
        <v>449</v>
      </c>
      <c r="B236">
        <v>236</v>
      </c>
      <c r="C236">
        <v>101</v>
      </c>
      <c r="D236" t="s">
        <v>48</v>
      </c>
    </row>
    <row r="237" spans="1:4" x14ac:dyDescent="0.25">
      <c r="A237">
        <v>451</v>
      </c>
      <c r="B237">
        <v>237</v>
      </c>
      <c r="C237">
        <v>382</v>
      </c>
      <c r="D237" t="s">
        <v>319</v>
      </c>
    </row>
    <row r="238" spans="1:4" x14ac:dyDescent="0.25">
      <c r="A238">
        <v>452</v>
      </c>
      <c r="B238">
        <v>238</v>
      </c>
      <c r="C238">
        <v>382</v>
      </c>
      <c r="D238" t="s">
        <v>320</v>
      </c>
    </row>
    <row r="239" spans="1:4" x14ac:dyDescent="0.25">
      <c r="A239">
        <v>453</v>
      </c>
      <c r="B239">
        <v>239</v>
      </c>
      <c r="C239">
        <v>382</v>
      </c>
      <c r="D239" t="s">
        <v>321</v>
      </c>
    </row>
    <row r="240" spans="1:4" x14ac:dyDescent="0.25">
      <c r="A240">
        <v>454</v>
      </c>
      <c r="B240">
        <v>240</v>
      </c>
      <c r="C240">
        <v>382</v>
      </c>
      <c r="D240" t="s">
        <v>322</v>
      </c>
    </row>
    <row r="241" spans="1:4" x14ac:dyDescent="0.25">
      <c r="A241">
        <v>455</v>
      </c>
      <c r="B241">
        <v>241</v>
      </c>
      <c r="C241">
        <v>382</v>
      </c>
      <c r="D241" t="s">
        <v>323</v>
      </c>
    </row>
    <row r="242" spans="1:4" x14ac:dyDescent="0.25">
      <c r="A242">
        <v>456</v>
      </c>
      <c r="B242">
        <v>242</v>
      </c>
      <c r="C242">
        <v>382</v>
      </c>
      <c r="D242" t="s">
        <v>324</v>
      </c>
    </row>
    <row r="243" spans="1:4" x14ac:dyDescent="0.25">
      <c r="A243">
        <v>457</v>
      </c>
      <c r="B243">
        <v>243</v>
      </c>
      <c r="C243">
        <v>382</v>
      </c>
      <c r="D243" t="s">
        <v>325</v>
      </c>
    </row>
    <row r="244" spans="1:4" x14ac:dyDescent="0.25">
      <c r="A244">
        <v>458</v>
      </c>
      <c r="B244">
        <v>244</v>
      </c>
      <c r="C244">
        <v>382</v>
      </c>
      <c r="D244" t="s">
        <v>326</v>
      </c>
    </row>
    <row r="245" spans="1:4" x14ac:dyDescent="0.25">
      <c r="A245">
        <v>459</v>
      </c>
      <c r="B245">
        <v>245</v>
      </c>
      <c r="C245">
        <v>382</v>
      </c>
      <c r="D245" t="s">
        <v>327</v>
      </c>
    </row>
    <row r="246" spans="1:4" x14ac:dyDescent="0.25">
      <c r="A246">
        <v>460</v>
      </c>
      <c r="B246">
        <v>246</v>
      </c>
      <c r="C246">
        <v>382</v>
      </c>
      <c r="D246" t="s">
        <v>3959</v>
      </c>
    </row>
    <row r="247" spans="1:4" x14ac:dyDescent="0.25">
      <c r="A247">
        <v>461</v>
      </c>
      <c r="B247">
        <v>247</v>
      </c>
      <c r="C247">
        <v>382</v>
      </c>
      <c r="D247" t="s">
        <v>328</v>
      </c>
    </row>
    <row r="248" spans="1:4" x14ac:dyDescent="0.25">
      <c r="A248">
        <v>462</v>
      </c>
      <c r="B248">
        <v>248</v>
      </c>
      <c r="C248">
        <v>382</v>
      </c>
      <c r="D248" t="s">
        <v>329</v>
      </c>
    </row>
    <row r="249" spans="1:4" x14ac:dyDescent="0.25">
      <c r="A249">
        <v>463</v>
      </c>
      <c r="B249">
        <v>249</v>
      </c>
      <c r="C249">
        <v>382</v>
      </c>
      <c r="D249" t="s">
        <v>330</v>
      </c>
    </row>
    <row r="250" spans="1:4" x14ac:dyDescent="0.25">
      <c r="A250">
        <v>464</v>
      </c>
      <c r="B250">
        <v>250</v>
      </c>
      <c r="C250">
        <v>382</v>
      </c>
      <c r="D250" t="s">
        <v>331</v>
      </c>
    </row>
    <row r="251" spans="1:4" x14ac:dyDescent="0.25">
      <c r="A251">
        <v>465</v>
      </c>
      <c r="B251">
        <v>251</v>
      </c>
      <c r="C251">
        <v>382</v>
      </c>
      <c r="D251" t="s">
        <v>332</v>
      </c>
    </row>
    <row r="252" spans="1:4" x14ac:dyDescent="0.25">
      <c r="A252">
        <v>466</v>
      </c>
      <c r="B252">
        <v>252</v>
      </c>
      <c r="C252">
        <v>382</v>
      </c>
      <c r="D252" t="s">
        <v>333</v>
      </c>
    </row>
    <row r="253" spans="1:4" x14ac:dyDescent="0.25">
      <c r="A253">
        <v>467</v>
      </c>
      <c r="B253">
        <v>253</v>
      </c>
      <c r="C253">
        <v>382</v>
      </c>
      <c r="D253" t="s">
        <v>334</v>
      </c>
    </row>
    <row r="254" spans="1:4" x14ac:dyDescent="0.25">
      <c r="A254">
        <v>468</v>
      </c>
      <c r="B254">
        <v>254</v>
      </c>
      <c r="C254">
        <v>58</v>
      </c>
      <c r="D254" t="s">
        <v>335</v>
      </c>
    </row>
    <row r="255" spans="1:4" x14ac:dyDescent="0.25">
      <c r="A255">
        <v>469</v>
      </c>
      <c r="B255">
        <v>255</v>
      </c>
      <c r="C255">
        <v>58</v>
      </c>
      <c r="D255" t="s">
        <v>336</v>
      </c>
    </row>
    <row r="256" spans="1:4" x14ac:dyDescent="0.25">
      <c r="A256">
        <v>470</v>
      </c>
      <c r="B256">
        <v>256</v>
      </c>
      <c r="C256">
        <v>58</v>
      </c>
      <c r="D256" t="s">
        <v>337</v>
      </c>
    </row>
    <row r="257" spans="1:4" x14ac:dyDescent="0.25">
      <c r="A257">
        <v>471</v>
      </c>
      <c r="B257">
        <v>257</v>
      </c>
      <c r="C257">
        <v>58</v>
      </c>
      <c r="D257" t="s">
        <v>338</v>
      </c>
    </row>
    <row r="258" spans="1:4" x14ac:dyDescent="0.25">
      <c r="A258">
        <v>472</v>
      </c>
      <c r="B258">
        <v>258</v>
      </c>
      <c r="C258">
        <v>58</v>
      </c>
      <c r="D258" t="s">
        <v>339</v>
      </c>
    </row>
    <row r="259" spans="1:4" x14ac:dyDescent="0.25">
      <c r="A259">
        <v>473</v>
      </c>
      <c r="B259">
        <v>259</v>
      </c>
      <c r="C259">
        <v>58</v>
      </c>
      <c r="D259" t="s">
        <v>340</v>
      </c>
    </row>
    <row r="260" spans="1:4" x14ac:dyDescent="0.25">
      <c r="A260">
        <v>475</v>
      </c>
      <c r="B260">
        <v>260</v>
      </c>
      <c r="C260">
        <v>383</v>
      </c>
      <c r="D260" t="s">
        <v>341</v>
      </c>
    </row>
    <row r="261" spans="1:4" x14ac:dyDescent="0.25">
      <c r="A261">
        <v>477</v>
      </c>
      <c r="B261">
        <v>261</v>
      </c>
      <c r="C261">
        <v>383</v>
      </c>
      <c r="D261" t="s">
        <v>342</v>
      </c>
    </row>
    <row r="262" spans="1:4" x14ac:dyDescent="0.25">
      <c r="A262">
        <v>478</v>
      </c>
      <c r="B262">
        <v>262</v>
      </c>
      <c r="C262">
        <v>383</v>
      </c>
      <c r="D262" t="s">
        <v>343</v>
      </c>
    </row>
    <row r="263" spans="1:4" x14ac:dyDescent="0.25">
      <c r="A263">
        <v>480</v>
      </c>
      <c r="B263">
        <v>263</v>
      </c>
      <c r="C263">
        <v>103</v>
      </c>
      <c r="D263" t="s">
        <v>344</v>
      </c>
    </row>
    <row r="264" spans="1:4" x14ac:dyDescent="0.25">
      <c r="A264">
        <v>481</v>
      </c>
      <c r="B264">
        <v>264</v>
      </c>
      <c r="C264">
        <v>103</v>
      </c>
      <c r="D264" t="s">
        <v>345</v>
      </c>
    </row>
    <row r="265" spans="1:4" x14ac:dyDescent="0.25">
      <c r="A265">
        <v>482</v>
      </c>
      <c r="B265">
        <v>265</v>
      </c>
      <c r="C265">
        <v>103</v>
      </c>
      <c r="D265" t="s">
        <v>346</v>
      </c>
    </row>
    <row r="266" spans="1:4" x14ac:dyDescent="0.25">
      <c r="A266">
        <v>484</v>
      </c>
      <c r="B266">
        <v>266</v>
      </c>
      <c r="C266">
        <v>103</v>
      </c>
      <c r="D266" t="s">
        <v>347</v>
      </c>
    </row>
    <row r="267" spans="1:4" x14ac:dyDescent="0.25">
      <c r="A267">
        <v>485</v>
      </c>
      <c r="B267">
        <v>267</v>
      </c>
      <c r="C267">
        <v>103</v>
      </c>
      <c r="D267" t="s">
        <v>348</v>
      </c>
    </row>
    <row r="268" spans="1:4" x14ac:dyDescent="0.25">
      <c r="A268">
        <v>486</v>
      </c>
      <c r="B268">
        <v>268</v>
      </c>
      <c r="C268">
        <v>381</v>
      </c>
      <c r="D268" t="s">
        <v>349</v>
      </c>
    </row>
    <row r="269" spans="1:4" x14ac:dyDescent="0.25">
      <c r="A269">
        <v>487</v>
      </c>
      <c r="B269">
        <v>269</v>
      </c>
      <c r="C269">
        <v>382</v>
      </c>
      <c r="D269" t="s">
        <v>350</v>
      </c>
    </row>
    <row r="270" spans="1:4" x14ac:dyDescent="0.25">
      <c r="A270">
        <v>492</v>
      </c>
      <c r="B270">
        <v>270</v>
      </c>
      <c r="C270">
        <v>41</v>
      </c>
      <c r="D270" t="s">
        <v>351</v>
      </c>
    </row>
    <row r="271" spans="1:4" x14ac:dyDescent="0.25">
      <c r="A271">
        <v>493</v>
      </c>
      <c r="B271">
        <v>271</v>
      </c>
      <c r="C271">
        <v>181</v>
      </c>
      <c r="D271" t="s">
        <v>352</v>
      </c>
    </row>
    <row r="272" spans="1:4" x14ac:dyDescent="0.25">
      <c r="A272">
        <v>494</v>
      </c>
      <c r="B272">
        <v>272</v>
      </c>
      <c r="C272">
        <v>181</v>
      </c>
      <c r="D272" t="s">
        <v>353</v>
      </c>
    </row>
    <row r="273" spans="1:4" x14ac:dyDescent="0.25">
      <c r="A273">
        <v>495</v>
      </c>
      <c r="B273">
        <v>273</v>
      </c>
      <c r="C273">
        <v>181</v>
      </c>
      <c r="D273" t="s">
        <v>354</v>
      </c>
    </row>
    <row r="274" spans="1:4" x14ac:dyDescent="0.25">
      <c r="A274">
        <v>496</v>
      </c>
      <c r="B274">
        <v>274</v>
      </c>
      <c r="C274">
        <v>181</v>
      </c>
      <c r="D274" t="s">
        <v>355</v>
      </c>
    </row>
    <row r="275" spans="1:4" x14ac:dyDescent="0.25">
      <c r="A275">
        <v>497</v>
      </c>
      <c r="B275">
        <v>275</v>
      </c>
      <c r="C275">
        <v>181</v>
      </c>
      <c r="D275" t="s">
        <v>356</v>
      </c>
    </row>
    <row r="276" spans="1:4" x14ac:dyDescent="0.25">
      <c r="A276">
        <v>498</v>
      </c>
      <c r="B276">
        <v>276</v>
      </c>
      <c r="C276">
        <v>181</v>
      </c>
      <c r="D276" t="s">
        <v>357</v>
      </c>
    </row>
    <row r="277" spans="1:4" x14ac:dyDescent="0.25">
      <c r="A277">
        <v>499</v>
      </c>
      <c r="B277">
        <v>277</v>
      </c>
      <c r="C277">
        <v>181</v>
      </c>
      <c r="D277" t="s">
        <v>358</v>
      </c>
    </row>
    <row r="278" spans="1:4" x14ac:dyDescent="0.25">
      <c r="A278">
        <v>500</v>
      </c>
      <c r="B278">
        <v>278</v>
      </c>
      <c r="C278">
        <v>181</v>
      </c>
      <c r="D278" t="s">
        <v>359</v>
      </c>
    </row>
    <row r="279" spans="1:4" x14ac:dyDescent="0.25">
      <c r="A279">
        <v>501</v>
      </c>
      <c r="B279">
        <v>279</v>
      </c>
      <c r="C279">
        <v>181</v>
      </c>
      <c r="D279" t="s">
        <v>360</v>
      </c>
    </row>
    <row r="280" spans="1:4" x14ac:dyDescent="0.25">
      <c r="A280">
        <v>502</v>
      </c>
      <c r="B280">
        <v>280</v>
      </c>
      <c r="C280">
        <v>181</v>
      </c>
      <c r="D280" t="s">
        <v>361</v>
      </c>
    </row>
    <row r="281" spans="1:4" x14ac:dyDescent="0.25">
      <c r="A281">
        <v>503</v>
      </c>
      <c r="B281">
        <v>281</v>
      </c>
      <c r="C281">
        <v>181</v>
      </c>
      <c r="D281" t="s">
        <v>362</v>
      </c>
    </row>
    <row r="282" spans="1:4" x14ac:dyDescent="0.25">
      <c r="A282">
        <v>504</v>
      </c>
      <c r="B282">
        <v>282</v>
      </c>
      <c r="C282">
        <v>181</v>
      </c>
      <c r="D282" t="s">
        <v>363</v>
      </c>
    </row>
    <row r="283" spans="1:4" x14ac:dyDescent="0.25">
      <c r="A283">
        <v>505</v>
      </c>
      <c r="B283">
        <v>283</v>
      </c>
      <c r="C283">
        <v>181</v>
      </c>
      <c r="D283" t="s">
        <v>364</v>
      </c>
    </row>
    <row r="284" spans="1:4" x14ac:dyDescent="0.25">
      <c r="A284">
        <v>506</v>
      </c>
      <c r="B284">
        <v>284</v>
      </c>
      <c r="C284">
        <v>181</v>
      </c>
      <c r="D284" t="s">
        <v>365</v>
      </c>
    </row>
    <row r="285" spans="1:4" x14ac:dyDescent="0.25">
      <c r="A285">
        <v>507</v>
      </c>
      <c r="B285">
        <v>285</v>
      </c>
      <c r="C285">
        <v>181</v>
      </c>
      <c r="D285" t="s">
        <v>366</v>
      </c>
    </row>
    <row r="286" spans="1:4" x14ac:dyDescent="0.25">
      <c r="A286">
        <v>508</v>
      </c>
      <c r="B286">
        <v>286</v>
      </c>
      <c r="C286">
        <v>849</v>
      </c>
      <c r="D286" t="s">
        <v>367</v>
      </c>
    </row>
    <row r="287" spans="1:4" x14ac:dyDescent="0.25">
      <c r="A287">
        <v>509</v>
      </c>
      <c r="B287">
        <v>287</v>
      </c>
      <c r="C287">
        <v>849</v>
      </c>
      <c r="D287" t="s">
        <v>368</v>
      </c>
    </row>
    <row r="288" spans="1:4" x14ac:dyDescent="0.25">
      <c r="A288">
        <v>510</v>
      </c>
      <c r="B288">
        <v>288</v>
      </c>
      <c r="C288">
        <v>849</v>
      </c>
      <c r="D288" t="s">
        <v>369</v>
      </c>
    </row>
    <row r="289" spans="1:4" x14ac:dyDescent="0.25">
      <c r="A289">
        <v>511</v>
      </c>
      <c r="B289">
        <v>289</v>
      </c>
      <c r="C289">
        <v>511</v>
      </c>
      <c r="D289" t="s">
        <v>370</v>
      </c>
    </row>
    <row r="290" spans="1:4" x14ac:dyDescent="0.25">
      <c r="A290">
        <v>512</v>
      </c>
      <c r="B290">
        <v>290</v>
      </c>
      <c r="C290">
        <v>512</v>
      </c>
      <c r="D290" t="s">
        <v>371</v>
      </c>
    </row>
    <row r="291" spans="1:4" x14ac:dyDescent="0.25">
      <c r="A291">
        <v>513</v>
      </c>
      <c r="B291">
        <v>291</v>
      </c>
      <c r="C291">
        <v>513</v>
      </c>
      <c r="D291" t="s">
        <v>372</v>
      </c>
    </row>
    <row r="292" spans="1:4" x14ac:dyDescent="0.25">
      <c r="A292">
        <v>514</v>
      </c>
      <c r="B292">
        <v>292</v>
      </c>
      <c r="C292">
        <v>514</v>
      </c>
      <c r="D292" t="s">
        <v>373</v>
      </c>
    </row>
    <row r="293" spans="1:4" x14ac:dyDescent="0.25">
      <c r="A293">
        <v>515</v>
      </c>
      <c r="B293">
        <v>293</v>
      </c>
      <c r="C293">
        <v>515</v>
      </c>
      <c r="D293" t="s">
        <v>1488</v>
      </c>
    </row>
    <row r="294" spans="1:4" x14ac:dyDescent="0.25">
      <c r="A294">
        <v>516</v>
      </c>
      <c r="B294">
        <v>294</v>
      </c>
      <c r="C294">
        <v>516</v>
      </c>
      <c r="D294" t="s">
        <v>368</v>
      </c>
    </row>
    <row r="295" spans="1:4" x14ac:dyDescent="0.25">
      <c r="A295">
        <v>517</v>
      </c>
      <c r="B295">
        <v>295</v>
      </c>
      <c r="C295">
        <v>517</v>
      </c>
      <c r="D295" t="s">
        <v>374</v>
      </c>
    </row>
    <row r="296" spans="1:4" x14ac:dyDescent="0.25">
      <c r="A296">
        <v>518</v>
      </c>
      <c r="B296">
        <v>296</v>
      </c>
      <c r="C296">
        <v>518</v>
      </c>
      <c r="D296" t="s">
        <v>374</v>
      </c>
    </row>
    <row r="297" spans="1:4" x14ac:dyDescent="0.25">
      <c r="A297">
        <v>520</v>
      </c>
      <c r="B297">
        <v>297</v>
      </c>
      <c r="C297">
        <v>520</v>
      </c>
      <c r="D297" t="s">
        <v>4060</v>
      </c>
    </row>
    <row r="298" spans="1:4" x14ac:dyDescent="0.25">
      <c r="A298">
        <v>525</v>
      </c>
      <c r="B298">
        <v>298</v>
      </c>
      <c r="C298">
        <v>181</v>
      </c>
      <c r="D298" t="s">
        <v>136</v>
      </c>
    </row>
    <row r="299" spans="1:4" x14ac:dyDescent="0.25">
      <c r="A299">
        <v>526</v>
      </c>
      <c r="B299">
        <v>299</v>
      </c>
      <c r="C299">
        <v>382</v>
      </c>
      <c r="D299" t="s">
        <v>375</v>
      </c>
    </row>
    <row r="300" spans="1:4" x14ac:dyDescent="0.25">
      <c r="A300">
        <v>527</v>
      </c>
      <c r="B300">
        <v>300</v>
      </c>
      <c r="C300">
        <v>199</v>
      </c>
      <c r="D300" t="s">
        <v>376</v>
      </c>
    </row>
    <row r="301" spans="1:4" x14ac:dyDescent="0.25">
      <c r="A301">
        <v>529</v>
      </c>
      <c r="B301">
        <v>301</v>
      </c>
      <c r="C301">
        <v>267</v>
      </c>
      <c r="D301" t="s">
        <v>377</v>
      </c>
    </row>
    <row r="302" spans="1:4" x14ac:dyDescent="0.25">
      <c r="A302">
        <v>530</v>
      </c>
      <c r="B302">
        <v>302</v>
      </c>
      <c r="C302">
        <v>347</v>
      </c>
      <c r="D302" t="s">
        <v>378</v>
      </c>
    </row>
    <row r="303" spans="1:4" x14ac:dyDescent="0.25">
      <c r="A303">
        <v>531</v>
      </c>
      <c r="B303">
        <v>303</v>
      </c>
      <c r="C303">
        <v>181</v>
      </c>
      <c r="D303" t="s">
        <v>379</v>
      </c>
    </row>
    <row r="304" spans="1:4" x14ac:dyDescent="0.25">
      <c r="A304">
        <v>532</v>
      </c>
      <c r="B304">
        <v>304</v>
      </c>
      <c r="C304">
        <v>181</v>
      </c>
      <c r="D304" t="s">
        <v>380</v>
      </c>
    </row>
    <row r="305" spans="1:4" x14ac:dyDescent="0.25">
      <c r="A305">
        <v>533</v>
      </c>
      <c r="B305">
        <v>305</v>
      </c>
      <c r="C305">
        <v>181</v>
      </c>
      <c r="D305" t="s">
        <v>381</v>
      </c>
    </row>
    <row r="306" spans="1:4" x14ac:dyDescent="0.25">
      <c r="A306">
        <v>534</v>
      </c>
      <c r="B306">
        <v>306</v>
      </c>
      <c r="C306">
        <v>534</v>
      </c>
      <c r="D306" t="s">
        <v>382</v>
      </c>
    </row>
    <row r="307" spans="1:4" x14ac:dyDescent="0.25">
      <c r="A307">
        <v>535</v>
      </c>
      <c r="B307">
        <v>307</v>
      </c>
      <c r="C307">
        <v>535</v>
      </c>
      <c r="D307" t="s">
        <v>383</v>
      </c>
    </row>
    <row r="308" spans="1:4" x14ac:dyDescent="0.25">
      <c r="A308">
        <v>537</v>
      </c>
      <c r="B308">
        <v>308</v>
      </c>
      <c r="C308">
        <v>537</v>
      </c>
      <c r="D308" t="s">
        <v>384</v>
      </c>
    </row>
    <row r="309" spans="1:4" x14ac:dyDescent="0.25">
      <c r="A309">
        <v>539</v>
      </c>
      <c r="B309">
        <v>309</v>
      </c>
      <c r="C309">
        <v>535</v>
      </c>
      <c r="D309" t="s">
        <v>385</v>
      </c>
    </row>
    <row r="310" spans="1:4" x14ac:dyDescent="0.25">
      <c r="A310">
        <v>541</v>
      </c>
      <c r="B310">
        <v>310</v>
      </c>
      <c r="C310">
        <v>267</v>
      </c>
      <c r="D310" t="s">
        <v>386</v>
      </c>
    </row>
    <row r="311" spans="1:4" x14ac:dyDescent="0.25">
      <c r="A311">
        <v>542</v>
      </c>
      <c r="B311">
        <v>311</v>
      </c>
      <c r="C311">
        <v>208</v>
      </c>
      <c r="D311" t="s">
        <v>387</v>
      </c>
    </row>
    <row r="312" spans="1:4" x14ac:dyDescent="0.25">
      <c r="A312">
        <v>543</v>
      </c>
      <c r="B312">
        <v>312</v>
      </c>
      <c r="C312">
        <v>208</v>
      </c>
      <c r="D312" t="s">
        <v>388</v>
      </c>
    </row>
    <row r="313" spans="1:4" x14ac:dyDescent="0.25">
      <c r="A313">
        <v>544</v>
      </c>
      <c r="B313">
        <v>313</v>
      </c>
      <c r="C313">
        <v>208</v>
      </c>
      <c r="D313" t="s">
        <v>389</v>
      </c>
    </row>
    <row r="314" spans="1:4" x14ac:dyDescent="0.25">
      <c r="A314">
        <v>545</v>
      </c>
      <c r="B314">
        <v>314</v>
      </c>
      <c r="C314">
        <v>19</v>
      </c>
      <c r="D314" t="s">
        <v>390</v>
      </c>
    </row>
    <row r="315" spans="1:4" x14ac:dyDescent="0.25">
      <c r="A315">
        <v>546</v>
      </c>
      <c r="B315">
        <v>315</v>
      </c>
      <c r="C315">
        <v>19</v>
      </c>
      <c r="D315" t="s">
        <v>391</v>
      </c>
    </row>
    <row r="316" spans="1:4" x14ac:dyDescent="0.25">
      <c r="A316">
        <v>547</v>
      </c>
      <c r="B316">
        <v>316</v>
      </c>
      <c r="C316">
        <v>108</v>
      </c>
      <c r="D316" t="s">
        <v>392</v>
      </c>
    </row>
    <row r="317" spans="1:4" x14ac:dyDescent="0.25">
      <c r="A317">
        <v>548</v>
      </c>
      <c r="B317">
        <v>317</v>
      </c>
      <c r="C317">
        <v>108</v>
      </c>
      <c r="D317" t="s">
        <v>393</v>
      </c>
    </row>
    <row r="318" spans="1:4" x14ac:dyDescent="0.25">
      <c r="A318">
        <v>549</v>
      </c>
      <c r="B318">
        <v>318</v>
      </c>
      <c r="C318">
        <v>383</v>
      </c>
      <c r="D318" t="s">
        <v>394</v>
      </c>
    </row>
    <row r="319" spans="1:4" x14ac:dyDescent="0.25">
      <c r="A319">
        <v>551</v>
      </c>
      <c r="B319">
        <v>319</v>
      </c>
      <c r="C319">
        <v>108</v>
      </c>
      <c r="D319" t="s">
        <v>395</v>
      </c>
    </row>
    <row r="320" spans="1:4" x14ac:dyDescent="0.25">
      <c r="A320">
        <v>552</v>
      </c>
      <c r="B320">
        <v>320</v>
      </c>
      <c r="C320">
        <v>108</v>
      </c>
      <c r="D320" t="s">
        <v>396</v>
      </c>
    </row>
    <row r="321" spans="1:4" x14ac:dyDescent="0.25">
      <c r="A321">
        <v>553</v>
      </c>
      <c r="B321">
        <v>321</v>
      </c>
      <c r="C321">
        <v>108</v>
      </c>
      <c r="D321" t="s">
        <v>397</v>
      </c>
    </row>
    <row r="322" spans="1:4" x14ac:dyDescent="0.25">
      <c r="A322">
        <v>554</v>
      </c>
      <c r="B322">
        <v>322</v>
      </c>
      <c r="C322">
        <v>108</v>
      </c>
      <c r="D322" t="s">
        <v>398</v>
      </c>
    </row>
    <row r="323" spans="1:4" x14ac:dyDescent="0.25">
      <c r="A323">
        <v>555</v>
      </c>
      <c r="B323">
        <v>323</v>
      </c>
      <c r="C323">
        <v>108</v>
      </c>
      <c r="D323" t="s">
        <v>399</v>
      </c>
    </row>
    <row r="324" spans="1:4" x14ac:dyDescent="0.25">
      <c r="A324">
        <v>556</v>
      </c>
      <c r="B324">
        <v>324</v>
      </c>
      <c r="C324">
        <v>108</v>
      </c>
      <c r="D324" t="s">
        <v>400</v>
      </c>
    </row>
    <row r="325" spans="1:4" x14ac:dyDescent="0.25">
      <c r="A325">
        <v>557</v>
      </c>
      <c r="B325">
        <v>325</v>
      </c>
      <c r="C325">
        <v>347</v>
      </c>
      <c r="D325" t="s">
        <v>401</v>
      </c>
    </row>
    <row r="326" spans="1:4" x14ac:dyDescent="0.25">
      <c r="A326">
        <v>558</v>
      </c>
      <c r="B326">
        <v>326</v>
      </c>
      <c r="C326">
        <v>108</v>
      </c>
      <c r="D326" t="s">
        <v>402</v>
      </c>
    </row>
    <row r="327" spans="1:4" x14ac:dyDescent="0.25">
      <c r="A327">
        <v>559</v>
      </c>
      <c r="B327">
        <v>327</v>
      </c>
      <c r="C327">
        <v>108</v>
      </c>
      <c r="D327" t="s">
        <v>403</v>
      </c>
    </row>
    <row r="328" spans="1:4" x14ac:dyDescent="0.25">
      <c r="A328">
        <v>560</v>
      </c>
      <c r="B328">
        <v>328</v>
      </c>
      <c r="C328">
        <v>103</v>
      </c>
      <c r="D328" t="s">
        <v>291</v>
      </c>
    </row>
    <row r="329" spans="1:4" x14ac:dyDescent="0.25">
      <c r="A329">
        <v>561</v>
      </c>
      <c r="B329">
        <v>329</v>
      </c>
      <c r="C329">
        <v>108</v>
      </c>
      <c r="D329" t="s">
        <v>404</v>
      </c>
    </row>
    <row r="330" spans="1:4" x14ac:dyDescent="0.25">
      <c r="A330">
        <v>562</v>
      </c>
      <c r="B330">
        <v>330</v>
      </c>
      <c r="C330">
        <v>382</v>
      </c>
      <c r="D330" t="s">
        <v>405</v>
      </c>
    </row>
    <row r="331" spans="1:4" x14ac:dyDescent="0.25">
      <c r="A331">
        <v>565</v>
      </c>
      <c r="B331">
        <v>331</v>
      </c>
      <c r="C331">
        <v>382</v>
      </c>
      <c r="D331" t="s">
        <v>406</v>
      </c>
    </row>
    <row r="332" spans="1:4" x14ac:dyDescent="0.25">
      <c r="A332">
        <v>566</v>
      </c>
      <c r="B332">
        <v>332</v>
      </c>
      <c r="C332">
        <v>3</v>
      </c>
      <c r="D332" t="s">
        <v>407</v>
      </c>
    </row>
    <row r="333" spans="1:4" x14ac:dyDescent="0.25">
      <c r="A333">
        <v>567</v>
      </c>
      <c r="B333">
        <v>333</v>
      </c>
      <c r="C333">
        <v>103</v>
      </c>
      <c r="D333" t="s">
        <v>290</v>
      </c>
    </row>
    <row r="334" spans="1:4" x14ac:dyDescent="0.25">
      <c r="A334">
        <v>569</v>
      </c>
      <c r="B334">
        <v>334</v>
      </c>
      <c r="C334">
        <v>104</v>
      </c>
      <c r="D334" t="s">
        <v>408</v>
      </c>
    </row>
    <row r="335" spans="1:4" x14ac:dyDescent="0.25">
      <c r="A335">
        <v>570</v>
      </c>
      <c r="B335">
        <v>335</v>
      </c>
      <c r="C335">
        <v>104</v>
      </c>
      <c r="D335" t="s">
        <v>409</v>
      </c>
    </row>
    <row r="336" spans="1:4" x14ac:dyDescent="0.25">
      <c r="A336">
        <v>571</v>
      </c>
      <c r="B336">
        <v>336</v>
      </c>
      <c r="C336">
        <v>104</v>
      </c>
      <c r="D336" t="s">
        <v>410</v>
      </c>
    </row>
    <row r="337" spans="1:4" x14ac:dyDescent="0.25">
      <c r="A337">
        <v>572</v>
      </c>
      <c r="B337">
        <v>337</v>
      </c>
      <c r="C337">
        <v>572</v>
      </c>
      <c r="D337" t="s">
        <v>411</v>
      </c>
    </row>
    <row r="338" spans="1:4" x14ac:dyDescent="0.25">
      <c r="A338">
        <v>573</v>
      </c>
      <c r="B338">
        <v>338</v>
      </c>
      <c r="C338">
        <v>199</v>
      </c>
      <c r="D338" t="s">
        <v>412</v>
      </c>
    </row>
    <row r="339" spans="1:4" x14ac:dyDescent="0.25">
      <c r="A339">
        <v>574</v>
      </c>
      <c r="B339">
        <v>339</v>
      </c>
      <c r="C339">
        <v>199</v>
      </c>
      <c r="D339" t="s">
        <v>413</v>
      </c>
    </row>
    <row r="340" spans="1:4" x14ac:dyDescent="0.25">
      <c r="A340">
        <v>575</v>
      </c>
      <c r="B340">
        <v>340</v>
      </c>
      <c r="C340">
        <v>108</v>
      </c>
      <c r="D340" t="s">
        <v>414</v>
      </c>
    </row>
    <row r="341" spans="1:4" x14ac:dyDescent="0.25">
      <c r="A341">
        <v>576</v>
      </c>
      <c r="B341">
        <v>341</v>
      </c>
      <c r="C341">
        <v>108</v>
      </c>
      <c r="D341" t="s">
        <v>415</v>
      </c>
    </row>
    <row r="342" spans="1:4" x14ac:dyDescent="0.25">
      <c r="A342">
        <v>577</v>
      </c>
      <c r="B342">
        <v>342</v>
      </c>
      <c r="C342">
        <v>108</v>
      </c>
      <c r="D342" t="s">
        <v>416</v>
      </c>
    </row>
    <row r="343" spans="1:4" x14ac:dyDescent="0.25">
      <c r="A343">
        <v>578</v>
      </c>
      <c r="B343">
        <v>343</v>
      </c>
      <c r="C343">
        <v>108</v>
      </c>
      <c r="D343" t="s">
        <v>417</v>
      </c>
    </row>
    <row r="344" spans="1:4" x14ac:dyDescent="0.25">
      <c r="A344">
        <v>579</v>
      </c>
      <c r="B344">
        <v>344</v>
      </c>
      <c r="C344">
        <v>108</v>
      </c>
      <c r="D344" t="s">
        <v>418</v>
      </c>
    </row>
    <row r="345" spans="1:4" x14ac:dyDescent="0.25">
      <c r="A345">
        <v>580</v>
      </c>
      <c r="B345">
        <v>345</v>
      </c>
      <c r="C345">
        <v>108</v>
      </c>
      <c r="D345" t="s">
        <v>419</v>
      </c>
    </row>
    <row r="346" spans="1:4" x14ac:dyDescent="0.25">
      <c r="A346">
        <v>581</v>
      </c>
      <c r="B346">
        <v>346</v>
      </c>
      <c r="C346">
        <v>199</v>
      </c>
      <c r="D346" t="s">
        <v>420</v>
      </c>
    </row>
    <row r="347" spans="1:4" x14ac:dyDescent="0.25">
      <c r="A347">
        <v>582</v>
      </c>
      <c r="B347">
        <v>347</v>
      </c>
      <c r="C347">
        <v>381</v>
      </c>
      <c r="D347" t="s">
        <v>421</v>
      </c>
    </row>
    <row r="348" spans="1:4" x14ac:dyDescent="0.25">
      <c r="A348">
        <v>584</v>
      </c>
      <c r="B348">
        <v>348</v>
      </c>
      <c r="C348">
        <v>584</v>
      </c>
      <c r="D348" t="s">
        <v>39</v>
      </c>
    </row>
    <row r="349" spans="1:4" x14ac:dyDescent="0.25">
      <c r="A349">
        <v>585</v>
      </c>
      <c r="B349">
        <v>349</v>
      </c>
      <c r="C349">
        <v>92</v>
      </c>
      <c r="D349" t="s">
        <v>422</v>
      </c>
    </row>
    <row r="350" spans="1:4" x14ac:dyDescent="0.25">
      <c r="A350">
        <v>586</v>
      </c>
      <c r="B350">
        <v>350</v>
      </c>
      <c r="C350">
        <v>586</v>
      </c>
      <c r="D350" t="s">
        <v>423</v>
      </c>
    </row>
    <row r="351" spans="1:4" x14ac:dyDescent="0.25">
      <c r="A351">
        <v>587</v>
      </c>
      <c r="B351">
        <v>351</v>
      </c>
      <c r="C351">
        <v>20</v>
      </c>
      <c r="D351" t="s">
        <v>424</v>
      </c>
    </row>
    <row r="352" spans="1:4" x14ac:dyDescent="0.25">
      <c r="A352">
        <v>588</v>
      </c>
      <c r="B352">
        <v>352</v>
      </c>
      <c r="C352">
        <v>20</v>
      </c>
      <c r="D352" t="s">
        <v>425</v>
      </c>
    </row>
    <row r="353" spans="1:4" x14ac:dyDescent="0.25">
      <c r="A353">
        <v>589</v>
      </c>
      <c r="B353">
        <v>353</v>
      </c>
      <c r="C353">
        <v>20</v>
      </c>
      <c r="D353" t="s">
        <v>426</v>
      </c>
    </row>
    <row r="354" spans="1:4" x14ac:dyDescent="0.25">
      <c r="A354">
        <v>590</v>
      </c>
      <c r="B354">
        <v>354</v>
      </c>
      <c r="C354">
        <v>20</v>
      </c>
      <c r="D354" t="s">
        <v>427</v>
      </c>
    </row>
    <row r="355" spans="1:4" x14ac:dyDescent="0.25">
      <c r="A355">
        <v>591</v>
      </c>
      <c r="B355">
        <v>355</v>
      </c>
      <c r="C355">
        <v>20</v>
      </c>
      <c r="D355" t="s">
        <v>428</v>
      </c>
    </row>
    <row r="356" spans="1:4" x14ac:dyDescent="0.25">
      <c r="A356">
        <v>592</v>
      </c>
      <c r="B356">
        <v>356</v>
      </c>
      <c r="C356">
        <v>20</v>
      </c>
      <c r="D356" t="s">
        <v>429</v>
      </c>
    </row>
    <row r="357" spans="1:4" x14ac:dyDescent="0.25">
      <c r="A357">
        <v>593</v>
      </c>
      <c r="B357">
        <v>357</v>
      </c>
      <c r="C357">
        <v>92</v>
      </c>
      <c r="D357" t="s">
        <v>151</v>
      </c>
    </row>
    <row r="358" spans="1:4" x14ac:dyDescent="0.25">
      <c r="A358">
        <v>594</v>
      </c>
      <c r="B358">
        <v>358</v>
      </c>
      <c r="C358">
        <v>92</v>
      </c>
      <c r="D358" t="s">
        <v>430</v>
      </c>
    </row>
    <row r="359" spans="1:4" x14ac:dyDescent="0.25">
      <c r="A359">
        <v>595</v>
      </c>
      <c r="B359">
        <v>359</v>
      </c>
      <c r="C359">
        <v>208</v>
      </c>
      <c r="D359" t="s">
        <v>431</v>
      </c>
    </row>
    <row r="360" spans="1:4" x14ac:dyDescent="0.25">
      <c r="A360">
        <v>596</v>
      </c>
      <c r="B360">
        <v>360</v>
      </c>
      <c r="C360">
        <v>103</v>
      </c>
      <c r="D360" t="s">
        <v>432</v>
      </c>
    </row>
    <row r="361" spans="1:4" x14ac:dyDescent="0.25">
      <c r="A361">
        <v>598</v>
      </c>
      <c r="B361">
        <v>361</v>
      </c>
      <c r="C361">
        <v>199</v>
      </c>
      <c r="D361" t="s">
        <v>433</v>
      </c>
    </row>
    <row r="362" spans="1:4" x14ac:dyDescent="0.25">
      <c r="A362">
        <v>599</v>
      </c>
      <c r="B362">
        <v>362</v>
      </c>
      <c r="C362">
        <v>572</v>
      </c>
      <c r="D362" t="s">
        <v>434</v>
      </c>
    </row>
    <row r="363" spans="1:4" x14ac:dyDescent="0.25">
      <c r="A363">
        <v>600</v>
      </c>
      <c r="B363">
        <v>363</v>
      </c>
      <c r="C363">
        <v>572</v>
      </c>
      <c r="D363" t="s">
        <v>435</v>
      </c>
    </row>
    <row r="364" spans="1:4" x14ac:dyDescent="0.25">
      <c r="A364">
        <v>601</v>
      </c>
      <c r="B364">
        <v>364</v>
      </c>
      <c r="C364">
        <v>572</v>
      </c>
      <c r="D364" t="s">
        <v>436</v>
      </c>
    </row>
    <row r="365" spans="1:4" x14ac:dyDescent="0.25">
      <c r="A365">
        <v>628</v>
      </c>
      <c r="B365">
        <v>365</v>
      </c>
      <c r="C365">
        <v>20</v>
      </c>
      <c r="D365" t="s">
        <v>425</v>
      </c>
    </row>
    <row r="366" spans="1:4" x14ac:dyDescent="0.25">
      <c r="A366">
        <v>632</v>
      </c>
      <c r="B366">
        <v>366</v>
      </c>
      <c r="C366">
        <v>888</v>
      </c>
      <c r="D366" t="s">
        <v>437</v>
      </c>
    </row>
    <row r="367" spans="1:4" x14ac:dyDescent="0.25">
      <c r="A367">
        <v>635</v>
      </c>
      <c r="B367">
        <v>367</v>
      </c>
      <c r="C367">
        <v>888</v>
      </c>
      <c r="D367" t="s">
        <v>438</v>
      </c>
    </row>
    <row r="368" spans="1:4" x14ac:dyDescent="0.25">
      <c r="A368">
        <v>636</v>
      </c>
      <c r="B368">
        <v>368</v>
      </c>
      <c r="C368">
        <v>888</v>
      </c>
      <c r="D368" t="s">
        <v>439</v>
      </c>
    </row>
    <row r="369" spans="1:4" x14ac:dyDescent="0.25">
      <c r="A369">
        <v>637</v>
      </c>
      <c r="B369">
        <v>369</v>
      </c>
      <c r="C369">
        <v>57</v>
      </c>
      <c r="D369" t="s">
        <v>440</v>
      </c>
    </row>
    <row r="370" spans="1:4" x14ac:dyDescent="0.25">
      <c r="A370">
        <v>638</v>
      </c>
      <c r="B370">
        <v>370</v>
      </c>
      <c r="C370">
        <v>888</v>
      </c>
      <c r="D370" t="s">
        <v>441</v>
      </c>
    </row>
    <row r="371" spans="1:4" x14ac:dyDescent="0.25">
      <c r="A371">
        <v>639</v>
      </c>
      <c r="B371">
        <v>371</v>
      </c>
      <c r="C371">
        <v>888</v>
      </c>
      <c r="D371" t="s">
        <v>442</v>
      </c>
    </row>
    <row r="372" spans="1:4" x14ac:dyDescent="0.25">
      <c r="A372">
        <v>640</v>
      </c>
      <c r="B372">
        <v>372</v>
      </c>
      <c r="C372">
        <v>19</v>
      </c>
      <c r="D372" t="s">
        <v>443</v>
      </c>
    </row>
    <row r="373" spans="1:4" x14ac:dyDescent="0.25">
      <c r="A373">
        <v>641</v>
      </c>
      <c r="B373">
        <v>373</v>
      </c>
      <c r="C373">
        <v>3</v>
      </c>
      <c r="D373" t="s">
        <v>444</v>
      </c>
    </row>
    <row r="374" spans="1:4" x14ac:dyDescent="0.25">
      <c r="A374">
        <v>642</v>
      </c>
      <c r="B374">
        <v>374</v>
      </c>
      <c r="C374">
        <v>642</v>
      </c>
      <c r="D374" t="s">
        <v>138</v>
      </c>
    </row>
    <row r="375" spans="1:4" x14ac:dyDescent="0.25">
      <c r="A375">
        <v>643</v>
      </c>
      <c r="B375">
        <v>375</v>
      </c>
      <c r="C375">
        <v>584</v>
      </c>
      <c r="D375" t="s">
        <v>445</v>
      </c>
    </row>
    <row r="376" spans="1:4" x14ac:dyDescent="0.25">
      <c r="A376">
        <v>649</v>
      </c>
      <c r="B376">
        <v>376</v>
      </c>
      <c r="C376">
        <v>584</v>
      </c>
      <c r="D376" t="s">
        <v>446</v>
      </c>
    </row>
    <row r="377" spans="1:4" x14ac:dyDescent="0.25">
      <c r="A377">
        <v>676</v>
      </c>
      <c r="B377">
        <v>377</v>
      </c>
      <c r="C377">
        <v>816</v>
      </c>
      <c r="D377" t="s">
        <v>447</v>
      </c>
    </row>
    <row r="378" spans="1:4" x14ac:dyDescent="0.25">
      <c r="A378">
        <v>677</v>
      </c>
      <c r="B378">
        <v>378</v>
      </c>
      <c r="C378">
        <v>684</v>
      </c>
      <c r="D378" t="s">
        <v>448</v>
      </c>
    </row>
    <row r="379" spans="1:4" x14ac:dyDescent="0.25">
      <c r="A379">
        <v>678</v>
      </c>
      <c r="B379">
        <v>379</v>
      </c>
      <c r="C379">
        <v>584</v>
      </c>
      <c r="D379" t="s">
        <v>52</v>
      </c>
    </row>
    <row r="380" spans="1:4" x14ac:dyDescent="0.25">
      <c r="A380">
        <v>681</v>
      </c>
      <c r="B380">
        <v>380</v>
      </c>
      <c r="C380">
        <v>108</v>
      </c>
      <c r="D380" t="s">
        <v>71</v>
      </c>
    </row>
    <row r="381" spans="1:4" x14ac:dyDescent="0.25">
      <c r="A381">
        <v>684</v>
      </c>
      <c r="B381">
        <v>381</v>
      </c>
      <c r="C381">
        <v>684</v>
      </c>
      <c r="D381" t="s">
        <v>449</v>
      </c>
    </row>
    <row r="382" spans="1:4" x14ac:dyDescent="0.25">
      <c r="A382">
        <v>688</v>
      </c>
      <c r="B382">
        <v>382</v>
      </c>
      <c r="C382">
        <v>584</v>
      </c>
      <c r="D382" t="s">
        <v>54</v>
      </c>
    </row>
    <row r="383" spans="1:4" x14ac:dyDescent="0.25">
      <c r="A383">
        <v>689</v>
      </c>
      <c r="B383">
        <v>383</v>
      </c>
      <c r="C383">
        <v>684</v>
      </c>
      <c r="D383" t="s">
        <v>450</v>
      </c>
    </row>
    <row r="384" spans="1:4" x14ac:dyDescent="0.25">
      <c r="A384">
        <v>691</v>
      </c>
      <c r="B384">
        <v>384</v>
      </c>
      <c r="C384">
        <v>684</v>
      </c>
      <c r="D384" t="s">
        <v>451</v>
      </c>
    </row>
    <row r="385" spans="1:4" x14ac:dyDescent="0.25">
      <c r="A385">
        <v>692</v>
      </c>
      <c r="B385">
        <v>385</v>
      </c>
      <c r="C385">
        <v>684</v>
      </c>
      <c r="D385" t="s">
        <v>452</v>
      </c>
    </row>
    <row r="386" spans="1:4" x14ac:dyDescent="0.25">
      <c r="A386">
        <v>693</v>
      </c>
      <c r="B386">
        <v>386</v>
      </c>
      <c r="C386">
        <v>684</v>
      </c>
      <c r="D386" t="s">
        <v>453</v>
      </c>
    </row>
    <row r="387" spans="1:4" x14ac:dyDescent="0.25">
      <c r="A387">
        <v>694</v>
      </c>
      <c r="B387">
        <v>387</v>
      </c>
      <c r="C387">
        <v>684</v>
      </c>
      <c r="D387" t="s">
        <v>454</v>
      </c>
    </row>
    <row r="388" spans="1:4" x14ac:dyDescent="0.25">
      <c r="A388">
        <v>695</v>
      </c>
      <c r="B388">
        <v>388</v>
      </c>
      <c r="C388">
        <v>684</v>
      </c>
      <c r="D388" t="s">
        <v>455</v>
      </c>
    </row>
    <row r="389" spans="1:4" x14ac:dyDescent="0.25">
      <c r="A389">
        <v>697</v>
      </c>
      <c r="B389">
        <v>389</v>
      </c>
      <c r="C389">
        <v>684</v>
      </c>
      <c r="D389" t="s">
        <v>456</v>
      </c>
    </row>
    <row r="390" spans="1:4" x14ac:dyDescent="0.25">
      <c r="A390">
        <v>698</v>
      </c>
      <c r="B390">
        <v>390</v>
      </c>
      <c r="C390">
        <v>684</v>
      </c>
      <c r="D390" t="s">
        <v>457</v>
      </c>
    </row>
    <row r="391" spans="1:4" x14ac:dyDescent="0.25">
      <c r="A391">
        <v>699</v>
      </c>
      <c r="B391">
        <v>391</v>
      </c>
      <c r="C391">
        <v>684</v>
      </c>
      <c r="D391" t="s">
        <v>458</v>
      </c>
    </row>
    <row r="392" spans="1:4" x14ac:dyDescent="0.25">
      <c r="A392">
        <v>700</v>
      </c>
      <c r="B392">
        <v>392</v>
      </c>
      <c r="C392">
        <v>684</v>
      </c>
      <c r="D392" t="s">
        <v>459</v>
      </c>
    </row>
    <row r="393" spans="1:4" x14ac:dyDescent="0.25">
      <c r="A393">
        <v>701</v>
      </c>
      <c r="B393">
        <v>393</v>
      </c>
      <c r="C393">
        <v>684</v>
      </c>
      <c r="D393" t="s">
        <v>460</v>
      </c>
    </row>
    <row r="394" spans="1:4" x14ac:dyDescent="0.25">
      <c r="A394">
        <v>702</v>
      </c>
      <c r="B394">
        <v>394</v>
      </c>
      <c r="C394">
        <v>684</v>
      </c>
      <c r="D394" t="s">
        <v>461</v>
      </c>
    </row>
    <row r="395" spans="1:4" x14ac:dyDescent="0.25">
      <c r="A395">
        <v>703</v>
      </c>
      <c r="B395">
        <v>395</v>
      </c>
      <c r="C395">
        <v>684</v>
      </c>
      <c r="D395" t="s">
        <v>462</v>
      </c>
    </row>
    <row r="396" spans="1:4" x14ac:dyDescent="0.25">
      <c r="A396">
        <v>704</v>
      </c>
      <c r="B396">
        <v>396</v>
      </c>
      <c r="C396">
        <v>684</v>
      </c>
      <c r="D396" t="s">
        <v>463</v>
      </c>
    </row>
    <row r="397" spans="1:4" x14ac:dyDescent="0.25">
      <c r="A397">
        <v>705</v>
      </c>
      <c r="B397">
        <v>397</v>
      </c>
      <c r="C397">
        <v>684</v>
      </c>
      <c r="D397" t="s">
        <v>464</v>
      </c>
    </row>
    <row r="398" spans="1:4" x14ac:dyDescent="0.25">
      <c r="A398">
        <v>706</v>
      </c>
      <c r="B398">
        <v>398</v>
      </c>
      <c r="C398">
        <v>684</v>
      </c>
      <c r="D398" t="s">
        <v>465</v>
      </c>
    </row>
    <row r="399" spans="1:4" x14ac:dyDescent="0.25">
      <c r="A399">
        <v>707</v>
      </c>
      <c r="B399">
        <v>399</v>
      </c>
      <c r="C399">
        <v>684</v>
      </c>
      <c r="D399" t="s">
        <v>466</v>
      </c>
    </row>
    <row r="400" spans="1:4" x14ac:dyDescent="0.25">
      <c r="A400">
        <v>708</v>
      </c>
      <c r="B400">
        <v>400</v>
      </c>
      <c r="C400">
        <v>684</v>
      </c>
      <c r="D400" t="s">
        <v>467</v>
      </c>
    </row>
    <row r="401" spans="1:4" x14ac:dyDescent="0.25">
      <c r="A401">
        <v>710</v>
      </c>
      <c r="B401">
        <v>401</v>
      </c>
      <c r="C401">
        <v>684</v>
      </c>
      <c r="D401" t="s">
        <v>468</v>
      </c>
    </row>
    <row r="402" spans="1:4" x14ac:dyDescent="0.25">
      <c r="A402">
        <v>711</v>
      </c>
      <c r="B402">
        <v>402</v>
      </c>
      <c r="C402">
        <v>684</v>
      </c>
      <c r="D402" t="s">
        <v>469</v>
      </c>
    </row>
    <row r="403" spans="1:4" x14ac:dyDescent="0.25">
      <c r="A403">
        <v>712</v>
      </c>
      <c r="B403">
        <v>403</v>
      </c>
      <c r="C403">
        <v>684</v>
      </c>
      <c r="D403" t="s">
        <v>470</v>
      </c>
    </row>
    <row r="404" spans="1:4" x14ac:dyDescent="0.25">
      <c r="A404">
        <v>715</v>
      </c>
      <c r="B404">
        <v>404</v>
      </c>
      <c r="C404">
        <v>684</v>
      </c>
      <c r="D404" t="s">
        <v>471</v>
      </c>
    </row>
    <row r="405" spans="1:4" x14ac:dyDescent="0.25">
      <c r="A405">
        <v>719</v>
      </c>
      <c r="B405">
        <v>405</v>
      </c>
      <c r="C405">
        <v>1011</v>
      </c>
      <c r="D405" t="s">
        <v>472</v>
      </c>
    </row>
    <row r="406" spans="1:4" x14ac:dyDescent="0.25">
      <c r="A406">
        <v>723</v>
      </c>
      <c r="B406">
        <v>406</v>
      </c>
      <c r="C406">
        <v>199</v>
      </c>
      <c r="D406" t="s">
        <v>420</v>
      </c>
    </row>
    <row r="407" spans="1:4" x14ac:dyDescent="0.25">
      <c r="A407">
        <v>724</v>
      </c>
      <c r="B407">
        <v>407</v>
      </c>
      <c r="C407">
        <v>684</v>
      </c>
      <c r="D407" t="s">
        <v>473</v>
      </c>
    </row>
    <row r="408" spans="1:4" x14ac:dyDescent="0.25">
      <c r="A408">
        <v>725</v>
      </c>
      <c r="B408">
        <v>408</v>
      </c>
      <c r="C408">
        <v>816</v>
      </c>
      <c r="D408" t="s">
        <v>474</v>
      </c>
    </row>
    <row r="409" spans="1:4" x14ac:dyDescent="0.25">
      <c r="A409">
        <v>726</v>
      </c>
      <c r="B409">
        <v>409</v>
      </c>
      <c r="C409">
        <v>726</v>
      </c>
      <c r="D409" t="s">
        <v>80</v>
      </c>
    </row>
    <row r="410" spans="1:4" x14ac:dyDescent="0.25">
      <c r="A410">
        <v>745</v>
      </c>
      <c r="B410">
        <v>410</v>
      </c>
      <c r="C410">
        <v>41</v>
      </c>
      <c r="D410" t="s">
        <v>475</v>
      </c>
    </row>
    <row r="411" spans="1:4" x14ac:dyDescent="0.25">
      <c r="A411">
        <v>746</v>
      </c>
      <c r="B411">
        <v>411</v>
      </c>
      <c r="C411">
        <v>381</v>
      </c>
      <c r="D411" t="s">
        <v>476</v>
      </c>
    </row>
    <row r="412" spans="1:4" x14ac:dyDescent="0.25">
      <c r="A412">
        <v>747</v>
      </c>
      <c r="B412">
        <v>412</v>
      </c>
      <c r="C412">
        <v>383</v>
      </c>
      <c r="D412" t="s">
        <v>477</v>
      </c>
    </row>
    <row r="413" spans="1:4" x14ac:dyDescent="0.25">
      <c r="A413">
        <v>748</v>
      </c>
      <c r="B413">
        <v>413</v>
      </c>
      <c r="C413">
        <v>108</v>
      </c>
      <c r="D413" t="s">
        <v>478</v>
      </c>
    </row>
    <row r="414" spans="1:4" x14ac:dyDescent="0.25">
      <c r="A414">
        <v>749</v>
      </c>
      <c r="B414">
        <v>414</v>
      </c>
      <c r="C414">
        <v>58</v>
      </c>
      <c r="D414" t="s">
        <v>479</v>
      </c>
    </row>
    <row r="415" spans="1:4" x14ac:dyDescent="0.25">
      <c r="A415">
        <v>750</v>
      </c>
      <c r="B415">
        <v>415</v>
      </c>
      <c r="C415">
        <v>382</v>
      </c>
      <c r="D415" t="s">
        <v>480</v>
      </c>
    </row>
    <row r="416" spans="1:4" x14ac:dyDescent="0.25">
      <c r="A416">
        <v>751</v>
      </c>
      <c r="B416">
        <v>416</v>
      </c>
      <c r="C416">
        <v>888</v>
      </c>
      <c r="D416" t="s">
        <v>481</v>
      </c>
    </row>
    <row r="417" spans="1:4" x14ac:dyDescent="0.25">
      <c r="A417">
        <v>752</v>
      </c>
      <c r="B417">
        <v>417</v>
      </c>
      <c r="C417">
        <v>19</v>
      </c>
      <c r="D417" t="s">
        <v>482</v>
      </c>
    </row>
    <row r="418" spans="1:4" x14ac:dyDescent="0.25">
      <c r="A418">
        <v>753</v>
      </c>
      <c r="B418">
        <v>418</v>
      </c>
      <c r="C418">
        <v>3</v>
      </c>
      <c r="D418" t="s">
        <v>483</v>
      </c>
    </row>
    <row r="419" spans="1:4" x14ac:dyDescent="0.25">
      <c r="A419">
        <v>754</v>
      </c>
      <c r="B419">
        <v>419</v>
      </c>
      <c r="C419">
        <v>92</v>
      </c>
      <c r="D419" t="s">
        <v>484</v>
      </c>
    </row>
    <row r="420" spans="1:4" x14ac:dyDescent="0.25">
      <c r="A420">
        <v>755</v>
      </c>
      <c r="B420">
        <v>420</v>
      </c>
      <c r="C420">
        <v>20</v>
      </c>
      <c r="D420" t="s">
        <v>485</v>
      </c>
    </row>
    <row r="421" spans="1:4" x14ac:dyDescent="0.25">
      <c r="A421">
        <v>756</v>
      </c>
      <c r="B421">
        <v>421</v>
      </c>
      <c r="C421">
        <v>104</v>
      </c>
      <c r="D421" t="s">
        <v>486</v>
      </c>
    </row>
    <row r="422" spans="1:4" x14ac:dyDescent="0.25">
      <c r="A422">
        <v>757</v>
      </c>
      <c r="B422">
        <v>422</v>
      </c>
      <c r="C422">
        <v>41</v>
      </c>
      <c r="D422" t="s">
        <v>487</v>
      </c>
    </row>
    <row r="423" spans="1:4" x14ac:dyDescent="0.25">
      <c r="A423">
        <v>758</v>
      </c>
      <c r="B423">
        <v>423</v>
      </c>
      <c r="C423">
        <v>101</v>
      </c>
      <c r="D423" t="s">
        <v>488</v>
      </c>
    </row>
    <row r="424" spans="1:4" x14ac:dyDescent="0.25">
      <c r="A424">
        <v>759</v>
      </c>
      <c r="B424">
        <v>424</v>
      </c>
      <c r="C424">
        <v>117</v>
      </c>
      <c r="D424" t="s">
        <v>489</v>
      </c>
    </row>
    <row r="425" spans="1:4" x14ac:dyDescent="0.25">
      <c r="A425">
        <v>760</v>
      </c>
      <c r="B425">
        <v>425</v>
      </c>
      <c r="C425">
        <v>57</v>
      </c>
      <c r="D425" t="s">
        <v>490</v>
      </c>
    </row>
    <row r="426" spans="1:4" x14ac:dyDescent="0.25">
      <c r="A426">
        <v>761</v>
      </c>
      <c r="B426">
        <v>426</v>
      </c>
      <c r="C426">
        <v>103</v>
      </c>
      <c r="D426" t="s">
        <v>491</v>
      </c>
    </row>
    <row r="427" spans="1:4" x14ac:dyDescent="0.25">
      <c r="A427">
        <v>763</v>
      </c>
      <c r="B427">
        <v>427</v>
      </c>
      <c r="C427">
        <v>816</v>
      </c>
      <c r="D427" t="s">
        <v>492</v>
      </c>
    </row>
    <row r="428" spans="1:4" x14ac:dyDescent="0.25">
      <c r="A428">
        <v>764</v>
      </c>
      <c r="B428">
        <v>428</v>
      </c>
      <c r="C428">
        <v>816</v>
      </c>
      <c r="D428" t="s">
        <v>493</v>
      </c>
    </row>
    <row r="429" spans="1:4" x14ac:dyDescent="0.25">
      <c r="A429">
        <v>765</v>
      </c>
      <c r="B429">
        <v>429</v>
      </c>
      <c r="C429">
        <v>823</v>
      </c>
      <c r="D429" t="s">
        <v>494</v>
      </c>
    </row>
    <row r="430" spans="1:4" x14ac:dyDescent="0.25">
      <c r="A430">
        <v>766</v>
      </c>
      <c r="B430">
        <v>430</v>
      </c>
      <c r="C430">
        <v>823</v>
      </c>
      <c r="D430" t="s">
        <v>495</v>
      </c>
    </row>
    <row r="431" spans="1:4" x14ac:dyDescent="0.25">
      <c r="A431">
        <v>767</v>
      </c>
      <c r="B431">
        <v>431</v>
      </c>
      <c r="C431">
        <v>816</v>
      </c>
      <c r="D431" t="s">
        <v>496</v>
      </c>
    </row>
    <row r="432" spans="1:4" x14ac:dyDescent="0.25">
      <c r="A432">
        <v>769</v>
      </c>
      <c r="B432">
        <v>432</v>
      </c>
      <c r="C432">
        <v>823</v>
      </c>
      <c r="D432" t="s">
        <v>497</v>
      </c>
    </row>
    <row r="433" spans="1:4" x14ac:dyDescent="0.25">
      <c r="A433">
        <v>770</v>
      </c>
      <c r="B433">
        <v>433</v>
      </c>
      <c r="C433">
        <v>816</v>
      </c>
      <c r="D433" t="s">
        <v>498</v>
      </c>
    </row>
    <row r="434" spans="1:4" x14ac:dyDescent="0.25">
      <c r="A434">
        <v>771</v>
      </c>
      <c r="B434">
        <v>434</v>
      </c>
      <c r="C434">
        <v>816</v>
      </c>
      <c r="D434" t="s">
        <v>499</v>
      </c>
    </row>
    <row r="435" spans="1:4" x14ac:dyDescent="0.25">
      <c r="A435">
        <v>773</v>
      </c>
      <c r="B435">
        <v>435</v>
      </c>
      <c r="C435">
        <v>117</v>
      </c>
      <c r="D435" t="s">
        <v>500</v>
      </c>
    </row>
    <row r="436" spans="1:4" x14ac:dyDescent="0.25">
      <c r="A436">
        <v>774</v>
      </c>
      <c r="B436">
        <v>436</v>
      </c>
      <c r="C436">
        <v>1086</v>
      </c>
      <c r="D436" t="s">
        <v>1410</v>
      </c>
    </row>
    <row r="437" spans="1:4" x14ac:dyDescent="0.25">
      <c r="A437">
        <v>780</v>
      </c>
      <c r="B437">
        <v>437</v>
      </c>
      <c r="C437">
        <v>684</v>
      </c>
      <c r="D437" t="s">
        <v>501</v>
      </c>
    </row>
    <row r="438" spans="1:4" x14ac:dyDescent="0.25">
      <c r="A438">
        <v>808</v>
      </c>
      <c r="B438">
        <v>438</v>
      </c>
      <c r="C438">
        <v>1160</v>
      </c>
      <c r="D438" t="s">
        <v>1703</v>
      </c>
    </row>
    <row r="439" spans="1:4" x14ac:dyDescent="0.25">
      <c r="A439">
        <v>809</v>
      </c>
      <c r="B439">
        <v>439</v>
      </c>
      <c r="C439">
        <v>199</v>
      </c>
      <c r="D439" t="s">
        <v>423</v>
      </c>
    </row>
    <row r="440" spans="1:4" x14ac:dyDescent="0.25">
      <c r="A440">
        <v>810</v>
      </c>
      <c r="B440">
        <v>440</v>
      </c>
      <c r="C440">
        <v>381</v>
      </c>
      <c r="D440" t="s">
        <v>502</v>
      </c>
    </row>
    <row r="441" spans="1:4" x14ac:dyDescent="0.25">
      <c r="A441">
        <v>811</v>
      </c>
      <c r="B441">
        <v>441</v>
      </c>
      <c r="C441">
        <v>535</v>
      </c>
      <c r="D441" t="s">
        <v>503</v>
      </c>
    </row>
    <row r="442" spans="1:4" x14ac:dyDescent="0.25">
      <c r="A442">
        <v>814</v>
      </c>
      <c r="B442">
        <v>442</v>
      </c>
      <c r="C442">
        <v>684</v>
      </c>
      <c r="D442" t="s">
        <v>504</v>
      </c>
    </row>
    <row r="443" spans="1:4" x14ac:dyDescent="0.25">
      <c r="A443">
        <v>815</v>
      </c>
      <c r="B443">
        <v>443</v>
      </c>
      <c r="C443">
        <v>684</v>
      </c>
      <c r="D443" t="s">
        <v>505</v>
      </c>
    </row>
    <row r="444" spans="1:4" x14ac:dyDescent="0.25">
      <c r="A444">
        <v>816</v>
      </c>
      <c r="B444">
        <v>444</v>
      </c>
      <c r="C444">
        <v>816</v>
      </c>
      <c r="D444" t="s">
        <v>506</v>
      </c>
    </row>
    <row r="445" spans="1:4" x14ac:dyDescent="0.25">
      <c r="A445">
        <v>817</v>
      </c>
      <c r="B445">
        <v>445</v>
      </c>
      <c r="C445">
        <v>816</v>
      </c>
      <c r="D445" t="s">
        <v>507</v>
      </c>
    </row>
    <row r="446" spans="1:4" x14ac:dyDescent="0.25">
      <c r="A446">
        <v>818</v>
      </c>
      <c r="B446">
        <v>446</v>
      </c>
      <c r="C446">
        <v>816</v>
      </c>
      <c r="D446" t="s">
        <v>508</v>
      </c>
    </row>
    <row r="447" spans="1:4" x14ac:dyDescent="0.25">
      <c r="A447">
        <v>819</v>
      </c>
      <c r="B447">
        <v>447</v>
      </c>
      <c r="C447">
        <v>816</v>
      </c>
      <c r="D447" t="s">
        <v>509</v>
      </c>
    </row>
    <row r="448" spans="1:4" x14ac:dyDescent="0.25">
      <c r="A448">
        <v>820</v>
      </c>
      <c r="B448">
        <v>448</v>
      </c>
      <c r="C448">
        <v>816</v>
      </c>
      <c r="D448" t="s">
        <v>510</v>
      </c>
    </row>
    <row r="449" spans="1:4" x14ac:dyDescent="0.25">
      <c r="A449">
        <v>821</v>
      </c>
      <c r="B449">
        <v>449</v>
      </c>
      <c r="C449">
        <v>816</v>
      </c>
      <c r="D449" t="s">
        <v>511</v>
      </c>
    </row>
    <row r="450" spans="1:4" x14ac:dyDescent="0.25">
      <c r="A450">
        <v>823</v>
      </c>
      <c r="B450">
        <v>450</v>
      </c>
      <c r="C450">
        <v>823</v>
      </c>
      <c r="D450" t="s">
        <v>512</v>
      </c>
    </row>
    <row r="451" spans="1:4" x14ac:dyDescent="0.25">
      <c r="A451">
        <v>824</v>
      </c>
      <c r="B451">
        <v>451</v>
      </c>
      <c r="C451">
        <v>823</v>
      </c>
      <c r="D451" t="s">
        <v>513</v>
      </c>
    </row>
    <row r="452" spans="1:4" x14ac:dyDescent="0.25">
      <c r="A452">
        <v>825</v>
      </c>
      <c r="B452">
        <v>452</v>
      </c>
      <c r="C452">
        <v>823</v>
      </c>
      <c r="D452" t="s">
        <v>514</v>
      </c>
    </row>
    <row r="453" spans="1:4" x14ac:dyDescent="0.25">
      <c r="A453">
        <v>826</v>
      </c>
      <c r="B453">
        <v>453</v>
      </c>
      <c r="C453">
        <v>823</v>
      </c>
      <c r="D453" t="s">
        <v>515</v>
      </c>
    </row>
    <row r="454" spans="1:4" x14ac:dyDescent="0.25">
      <c r="A454">
        <v>827</v>
      </c>
      <c r="B454">
        <v>454</v>
      </c>
      <c r="C454">
        <v>823</v>
      </c>
      <c r="D454" t="s">
        <v>516</v>
      </c>
    </row>
    <row r="455" spans="1:4" x14ac:dyDescent="0.25">
      <c r="A455">
        <v>828</v>
      </c>
      <c r="B455">
        <v>455</v>
      </c>
      <c r="C455">
        <v>823</v>
      </c>
      <c r="D455" t="s">
        <v>517</v>
      </c>
    </row>
    <row r="456" spans="1:4" x14ac:dyDescent="0.25">
      <c r="A456">
        <v>829</v>
      </c>
      <c r="B456">
        <v>456</v>
      </c>
      <c r="C456">
        <v>823</v>
      </c>
      <c r="D456" t="s">
        <v>518</v>
      </c>
    </row>
    <row r="457" spans="1:4" x14ac:dyDescent="0.25">
      <c r="A457">
        <v>831</v>
      </c>
      <c r="B457">
        <v>457</v>
      </c>
      <c r="C457">
        <v>823</v>
      </c>
      <c r="D457" t="s">
        <v>519</v>
      </c>
    </row>
    <row r="458" spans="1:4" x14ac:dyDescent="0.25">
      <c r="A458">
        <v>832</v>
      </c>
      <c r="B458">
        <v>458</v>
      </c>
      <c r="C458">
        <v>823</v>
      </c>
      <c r="D458" t="s">
        <v>520</v>
      </c>
    </row>
    <row r="459" spans="1:4" x14ac:dyDescent="0.25">
      <c r="A459">
        <v>833</v>
      </c>
      <c r="B459">
        <v>459</v>
      </c>
      <c r="C459">
        <v>823</v>
      </c>
      <c r="D459" t="s">
        <v>521</v>
      </c>
    </row>
    <row r="460" spans="1:4" x14ac:dyDescent="0.25">
      <c r="A460">
        <v>834</v>
      </c>
      <c r="B460">
        <v>460</v>
      </c>
      <c r="C460">
        <v>816</v>
      </c>
      <c r="D460" t="s">
        <v>522</v>
      </c>
    </row>
    <row r="461" spans="1:4" x14ac:dyDescent="0.25">
      <c r="A461">
        <v>836</v>
      </c>
      <c r="B461">
        <v>461</v>
      </c>
      <c r="C461">
        <v>823</v>
      </c>
      <c r="D461" t="s">
        <v>523</v>
      </c>
    </row>
    <row r="462" spans="1:4" x14ac:dyDescent="0.25">
      <c r="A462">
        <v>837</v>
      </c>
      <c r="B462">
        <v>462</v>
      </c>
      <c r="C462">
        <v>823</v>
      </c>
      <c r="D462" t="s">
        <v>524</v>
      </c>
    </row>
    <row r="463" spans="1:4" x14ac:dyDescent="0.25">
      <c r="A463">
        <v>841</v>
      </c>
      <c r="B463">
        <v>463</v>
      </c>
      <c r="C463">
        <v>823</v>
      </c>
      <c r="D463" t="s">
        <v>525</v>
      </c>
    </row>
    <row r="464" spans="1:4" x14ac:dyDescent="0.25">
      <c r="A464">
        <v>842</v>
      </c>
      <c r="B464">
        <v>464</v>
      </c>
      <c r="C464">
        <v>823</v>
      </c>
      <c r="D464" t="s">
        <v>526</v>
      </c>
    </row>
    <row r="465" spans="1:4" x14ac:dyDescent="0.25">
      <c r="A465">
        <v>843</v>
      </c>
      <c r="B465">
        <v>465</v>
      </c>
      <c r="C465">
        <v>117</v>
      </c>
      <c r="D465" t="s">
        <v>53</v>
      </c>
    </row>
    <row r="466" spans="1:4" x14ac:dyDescent="0.25">
      <c r="A466">
        <v>844</v>
      </c>
      <c r="B466">
        <v>466</v>
      </c>
      <c r="C466">
        <v>816</v>
      </c>
      <c r="D466" t="s">
        <v>527</v>
      </c>
    </row>
    <row r="467" spans="1:4" x14ac:dyDescent="0.25">
      <c r="A467">
        <v>845</v>
      </c>
      <c r="B467">
        <v>467</v>
      </c>
      <c r="C467">
        <v>816</v>
      </c>
      <c r="D467" t="s">
        <v>528</v>
      </c>
    </row>
    <row r="468" spans="1:4" x14ac:dyDescent="0.25">
      <c r="A468">
        <v>848</v>
      </c>
      <c r="B468">
        <v>468</v>
      </c>
      <c r="C468">
        <v>117</v>
      </c>
      <c r="D468" t="s">
        <v>72</v>
      </c>
    </row>
    <row r="469" spans="1:4" x14ac:dyDescent="0.25">
      <c r="A469">
        <v>849</v>
      </c>
      <c r="B469">
        <v>469</v>
      </c>
      <c r="C469">
        <v>849</v>
      </c>
      <c r="D469" t="s">
        <v>529</v>
      </c>
    </row>
    <row r="470" spans="1:4" x14ac:dyDescent="0.25">
      <c r="A470">
        <v>852</v>
      </c>
      <c r="B470">
        <v>470</v>
      </c>
      <c r="C470">
        <v>3</v>
      </c>
      <c r="D470" t="s">
        <v>530</v>
      </c>
    </row>
    <row r="471" spans="1:4" x14ac:dyDescent="0.25">
      <c r="A471">
        <v>853</v>
      </c>
      <c r="B471">
        <v>471</v>
      </c>
      <c r="C471">
        <v>20</v>
      </c>
      <c r="D471" t="s">
        <v>531</v>
      </c>
    </row>
    <row r="472" spans="1:4" x14ac:dyDescent="0.25">
      <c r="A472">
        <v>854</v>
      </c>
      <c r="B472">
        <v>472</v>
      </c>
      <c r="C472">
        <v>92</v>
      </c>
      <c r="D472" t="s">
        <v>532</v>
      </c>
    </row>
    <row r="473" spans="1:4" x14ac:dyDescent="0.25">
      <c r="A473">
        <v>855</v>
      </c>
      <c r="B473">
        <v>473</v>
      </c>
      <c r="C473">
        <v>19</v>
      </c>
      <c r="D473" t="s">
        <v>533</v>
      </c>
    </row>
    <row r="474" spans="1:4" x14ac:dyDescent="0.25">
      <c r="A474">
        <v>856</v>
      </c>
      <c r="B474">
        <v>474</v>
      </c>
      <c r="C474">
        <v>92</v>
      </c>
      <c r="D474" t="s">
        <v>534</v>
      </c>
    </row>
    <row r="475" spans="1:4" x14ac:dyDescent="0.25">
      <c r="A475">
        <v>857</v>
      </c>
      <c r="B475">
        <v>475</v>
      </c>
      <c r="C475">
        <v>104</v>
      </c>
      <c r="D475" t="s">
        <v>535</v>
      </c>
    </row>
    <row r="476" spans="1:4" x14ac:dyDescent="0.25">
      <c r="A476">
        <v>858</v>
      </c>
      <c r="B476">
        <v>476</v>
      </c>
      <c r="C476">
        <v>108</v>
      </c>
      <c r="D476" t="s">
        <v>536</v>
      </c>
    </row>
    <row r="477" spans="1:4" x14ac:dyDescent="0.25">
      <c r="A477">
        <v>859</v>
      </c>
      <c r="B477">
        <v>477</v>
      </c>
      <c r="C477">
        <v>58</v>
      </c>
      <c r="D477" t="s">
        <v>537</v>
      </c>
    </row>
    <row r="478" spans="1:4" x14ac:dyDescent="0.25">
      <c r="A478">
        <v>860</v>
      </c>
      <c r="B478">
        <v>478</v>
      </c>
      <c r="C478">
        <v>383</v>
      </c>
      <c r="D478" t="s">
        <v>538</v>
      </c>
    </row>
    <row r="479" spans="1:4" x14ac:dyDescent="0.25">
      <c r="A479">
        <v>861</v>
      </c>
      <c r="B479">
        <v>479</v>
      </c>
      <c r="C479">
        <v>108</v>
      </c>
      <c r="D479" t="s">
        <v>539</v>
      </c>
    </row>
    <row r="480" spans="1:4" x14ac:dyDescent="0.25">
      <c r="A480">
        <v>862</v>
      </c>
      <c r="B480">
        <v>480</v>
      </c>
      <c r="C480">
        <v>382</v>
      </c>
      <c r="D480" t="s">
        <v>540</v>
      </c>
    </row>
    <row r="481" spans="1:4" x14ac:dyDescent="0.25">
      <c r="A481">
        <v>863</v>
      </c>
      <c r="B481">
        <v>481</v>
      </c>
      <c r="C481">
        <v>537</v>
      </c>
      <c r="D481" t="s">
        <v>541</v>
      </c>
    </row>
    <row r="482" spans="1:4" x14ac:dyDescent="0.25">
      <c r="A482">
        <v>864</v>
      </c>
      <c r="B482">
        <v>482</v>
      </c>
      <c r="C482">
        <v>103</v>
      </c>
      <c r="D482" t="s">
        <v>542</v>
      </c>
    </row>
    <row r="483" spans="1:4" x14ac:dyDescent="0.25">
      <c r="A483">
        <v>865</v>
      </c>
      <c r="B483">
        <v>483</v>
      </c>
      <c r="C483">
        <v>101</v>
      </c>
      <c r="D483" t="s">
        <v>543</v>
      </c>
    </row>
    <row r="484" spans="1:4" x14ac:dyDescent="0.25">
      <c r="A484">
        <v>866</v>
      </c>
      <c r="B484">
        <v>484</v>
      </c>
      <c r="C484">
        <v>57</v>
      </c>
      <c r="D484" t="s">
        <v>544</v>
      </c>
    </row>
    <row r="485" spans="1:4" x14ac:dyDescent="0.25">
      <c r="A485">
        <v>867</v>
      </c>
      <c r="B485">
        <v>485</v>
      </c>
      <c r="C485">
        <v>41</v>
      </c>
      <c r="D485" t="s">
        <v>545</v>
      </c>
    </row>
    <row r="486" spans="1:4" x14ac:dyDescent="0.25">
      <c r="A486">
        <v>868</v>
      </c>
      <c r="B486">
        <v>486</v>
      </c>
      <c r="C486">
        <v>281</v>
      </c>
      <c r="D486" t="s">
        <v>546</v>
      </c>
    </row>
    <row r="487" spans="1:4" x14ac:dyDescent="0.25">
      <c r="A487">
        <v>869</v>
      </c>
      <c r="B487">
        <v>487</v>
      </c>
      <c r="C487">
        <v>117</v>
      </c>
      <c r="D487" t="s">
        <v>547</v>
      </c>
    </row>
    <row r="488" spans="1:4" x14ac:dyDescent="0.25">
      <c r="A488">
        <v>870</v>
      </c>
      <c r="B488">
        <v>488</v>
      </c>
      <c r="C488">
        <v>888</v>
      </c>
      <c r="D488" t="s">
        <v>548</v>
      </c>
    </row>
    <row r="489" spans="1:4" x14ac:dyDescent="0.25">
      <c r="A489">
        <v>871</v>
      </c>
      <c r="B489">
        <v>489</v>
      </c>
      <c r="C489">
        <v>58</v>
      </c>
      <c r="D489" t="s">
        <v>549</v>
      </c>
    </row>
    <row r="490" spans="1:4" x14ac:dyDescent="0.25">
      <c r="A490">
        <v>872</v>
      </c>
      <c r="B490">
        <v>490</v>
      </c>
      <c r="C490">
        <v>382</v>
      </c>
      <c r="D490" t="s">
        <v>550</v>
      </c>
    </row>
    <row r="491" spans="1:4" x14ac:dyDescent="0.25">
      <c r="A491">
        <v>873</v>
      </c>
      <c r="B491">
        <v>491</v>
      </c>
      <c r="C491">
        <v>117</v>
      </c>
      <c r="D491" t="s">
        <v>551</v>
      </c>
    </row>
    <row r="492" spans="1:4" x14ac:dyDescent="0.25">
      <c r="A492">
        <v>874</v>
      </c>
      <c r="B492">
        <v>492</v>
      </c>
      <c r="C492">
        <v>57</v>
      </c>
      <c r="D492" t="s">
        <v>552</v>
      </c>
    </row>
    <row r="493" spans="1:4" x14ac:dyDescent="0.25">
      <c r="A493">
        <v>875</v>
      </c>
      <c r="B493">
        <v>493</v>
      </c>
      <c r="C493">
        <v>103</v>
      </c>
      <c r="D493" t="s">
        <v>553</v>
      </c>
    </row>
    <row r="494" spans="1:4" x14ac:dyDescent="0.25">
      <c r="A494">
        <v>876</v>
      </c>
      <c r="B494">
        <v>494</v>
      </c>
      <c r="C494">
        <v>382</v>
      </c>
      <c r="D494" t="s">
        <v>554</v>
      </c>
    </row>
    <row r="495" spans="1:4" x14ac:dyDescent="0.25">
      <c r="A495">
        <v>877</v>
      </c>
      <c r="B495">
        <v>495</v>
      </c>
      <c r="C495">
        <v>383</v>
      </c>
      <c r="D495" t="s">
        <v>555</v>
      </c>
    </row>
    <row r="496" spans="1:4" x14ac:dyDescent="0.25">
      <c r="A496">
        <v>878</v>
      </c>
      <c r="B496">
        <v>496</v>
      </c>
      <c r="C496">
        <v>381</v>
      </c>
      <c r="D496" t="s">
        <v>556</v>
      </c>
    </row>
    <row r="497" spans="1:4" x14ac:dyDescent="0.25">
      <c r="A497">
        <v>879</v>
      </c>
      <c r="B497">
        <v>497</v>
      </c>
      <c r="C497">
        <v>534</v>
      </c>
      <c r="D497" t="s">
        <v>557</v>
      </c>
    </row>
    <row r="498" spans="1:4" x14ac:dyDescent="0.25">
      <c r="A498">
        <v>880</v>
      </c>
      <c r="B498">
        <v>498</v>
      </c>
      <c r="C498">
        <v>92</v>
      </c>
      <c r="D498" t="s">
        <v>558</v>
      </c>
    </row>
    <row r="499" spans="1:4" x14ac:dyDescent="0.25">
      <c r="A499">
        <v>881</v>
      </c>
      <c r="B499">
        <v>499</v>
      </c>
      <c r="C499">
        <v>19</v>
      </c>
      <c r="D499" t="s">
        <v>559</v>
      </c>
    </row>
    <row r="500" spans="1:4" x14ac:dyDescent="0.25">
      <c r="A500">
        <v>882</v>
      </c>
      <c r="B500">
        <v>500</v>
      </c>
      <c r="C500">
        <v>383</v>
      </c>
      <c r="D500" t="s">
        <v>560</v>
      </c>
    </row>
    <row r="501" spans="1:4" x14ac:dyDescent="0.25">
      <c r="A501">
        <v>883</v>
      </c>
      <c r="B501">
        <v>501</v>
      </c>
      <c r="C501">
        <v>888</v>
      </c>
      <c r="D501" t="s">
        <v>561</v>
      </c>
    </row>
    <row r="502" spans="1:4" x14ac:dyDescent="0.25">
      <c r="A502">
        <v>888</v>
      </c>
      <c r="B502">
        <v>502</v>
      </c>
      <c r="C502">
        <v>888</v>
      </c>
      <c r="D502" t="s">
        <v>562</v>
      </c>
    </row>
    <row r="503" spans="1:4" x14ac:dyDescent="0.25">
      <c r="A503">
        <v>889</v>
      </c>
      <c r="B503">
        <v>503</v>
      </c>
      <c r="C503">
        <v>888</v>
      </c>
      <c r="D503" t="s">
        <v>563</v>
      </c>
    </row>
    <row r="504" spans="1:4" x14ac:dyDescent="0.25">
      <c r="A504">
        <v>890</v>
      </c>
      <c r="B504">
        <v>504</v>
      </c>
      <c r="C504">
        <v>888</v>
      </c>
      <c r="D504" t="s">
        <v>564</v>
      </c>
    </row>
    <row r="505" spans="1:4" x14ac:dyDescent="0.25">
      <c r="A505">
        <v>891</v>
      </c>
      <c r="B505">
        <v>505</v>
      </c>
      <c r="C505">
        <v>888</v>
      </c>
      <c r="D505" t="s">
        <v>565</v>
      </c>
    </row>
    <row r="506" spans="1:4" x14ac:dyDescent="0.25">
      <c r="A506">
        <v>892</v>
      </c>
      <c r="B506">
        <v>506</v>
      </c>
      <c r="C506">
        <v>888</v>
      </c>
      <c r="D506" t="s">
        <v>566</v>
      </c>
    </row>
    <row r="507" spans="1:4" x14ac:dyDescent="0.25">
      <c r="A507">
        <v>893</v>
      </c>
      <c r="B507">
        <v>507</v>
      </c>
      <c r="C507">
        <v>888</v>
      </c>
      <c r="D507" t="s">
        <v>567</v>
      </c>
    </row>
    <row r="508" spans="1:4" x14ac:dyDescent="0.25">
      <c r="A508">
        <v>894</v>
      </c>
      <c r="B508">
        <v>508</v>
      </c>
      <c r="C508">
        <v>888</v>
      </c>
      <c r="D508" t="s">
        <v>568</v>
      </c>
    </row>
    <row r="509" spans="1:4" x14ac:dyDescent="0.25">
      <c r="A509">
        <v>895</v>
      </c>
      <c r="B509">
        <v>509</v>
      </c>
      <c r="C509">
        <v>888</v>
      </c>
      <c r="D509" t="s">
        <v>2414</v>
      </c>
    </row>
    <row r="510" spans="1:4" x14ac:dyDescent="0.25">
      <c r="A510">
        <v>896</v>
      </c>
      <c r="B510">
        <v>510</v>
      </c>
      <c r="C510">
        <v>888</v>
      </c>
      <c r="D510" t="s">
        <v>569</v>
      </c>
    </row>
    <row r="511" spans="1:4" x14ac:dyDescent="0.25">
      <c r="A511">
        <v>897</v>
      </c>
      <c r="B511">
        <v>511</v>
      </c>
      <c r="C511">
        <v>888</v>
      </c>
      <c r="D511" t="s">
        <v>570</v>
      </c>
    </row>
    <row r="512" spans="1:4" x14ac:dyDescent="0.25">
      <c r="A512">
        <v>898</v>
      </c>
      <c r="B512">
        <v>512</v>
      </c>
      <c r="C512">
        <v>888</v>
      </c>
      <c r="D512" t="s">
        <v>571</v>
      </c>
    </row>
    <row r="513" spans="1:4" x14ac:dyDescent="0.25">
      <c r="A513">
        <v>899</v>
      </c>
      <c r="B513">
        <v>513</v>
      </c>
      <c r="C513">
        <v>888</v>
      </c>
      <c r="D513" t="s">
        <v>572</v>
      </c>
    </row>
    <row r="514" spans="1:4" x14ac:dyDescent="0.25">
      <c r="A514">
        <v>900</v>
      </c>
      <c r="B514">
        <v>514</v>
      </c>
      <c r="C514">
        <v>888</v>
      </c>
      <c r="D514" t="s">
        <v>573</v>
      </c>
    </row>
    <row r="515" spans="1:4" x14ac:dyDescent="0.25">
      <c r="A515">
        <v>901</v>
      </c>
      <c r="B515">
        <v>515</v>
      </c>
      <c r="C515">
        <v>888</v>
      </c>
      <c r="D515" t="s">
        <v>574</v>
      </c>
    </row>
    <row r="516" spans="1:4" x14ac:dyDescent="0.25">
      <c r="A516">
        <v>902</v>
      </c>
      <c r="B516">
        <v>516</v>
      </c>
      <c r="C516">
        <v>888</v>
      </c>
      <c r="D516" t="s">
        <v>575</v>
      </c>
    </row>
    <row r="517" spans="1:4" x14ac:dyDescent="0.25">
      <c r="A517">
        <v>903</v>
      </c>
      <c r="B517">
        <v>517</v>
      </c>
      <c r="C517">
        <v>888</v>
      </c>
      <c r="D517" t="s">
        <v>576</v>
      </c>
    </row>
    <row r="518" spans="1:4" x14ac:dyDescent="0.25">
      <c r="A518">
        <v>904</v>
      </c>
      <c r="B518">
        <v>518</v>
      </c>
      <c r="C518">
        <v>888</v>
      </c>
      <c r="D518" t="s">
        <v>577</v>
      </c>
    </row>
    <row r="519" spans="1:4" x14ac:dyDescent="0.25">
      <c r="A519">
        <v>905</v>
      </c>
      <c r="B519">
        <v>519</v>
      </c>
      <c r="C519">
        <v>888</v>
      </c>
      <c r="D519" t="s">
        <v>578</v>
      </c>
    </row>
    <row r="520" spans="1:4" x14ac:dyDescent="0.25">
      <c r="A520">
        <v>906</v>
      </c>
      <c r="B520">
        <v>520</v>
      </c>
      <c r="C520">
        <v>888</v>
      </c>
      <c r="D520" t="s">
        <v>579</v>
      </c>
    </row>
    <row r="521" spans="1:4" x14ac:dyDescent="0.25">
      <c r="A521">
        <v>907</v>
      </c>
      <c r="B521">
        <v>521</v>
      </c>
      <c r="C521">
        <v>888</v>
      </c>
      <c r="D521" t="s">
        <v>3901</v>
      </c>
    </row>
    <row r="522" spans="1:4" x14ac:dyDescent="0.25">
      <c r="A522">
        <v>908</v>
      </c>
      <c r="B522">
        <v>522</v>
      </c>
      <c r="C522">
        <v>888</v>
      </c>
      <c r="D522" t="s">
        <v>580</v>
      </c>
    </row>
    <row r="523" spans="1:4" x14ac:dyDescent="0.25">
      <c r="A523">
        <v>909</v>
      </c>
      <c r="B523">
        <v>523</v>
      </c>
      <c r="C523">
        <v>888</v>
      </c>
      <c r="D523" t="s">
        <v>581</v>
      </c>
    </row>
    <row r="524" spans="1:4" x14ac:dyDescent="0.25">
      <c r="A524">
        <v>910</v>
      </c>
      <c r="B524">
        <v>524</v>
      </c>
      <c r="C524">
        <v>888</v>
      </c>
      <c r="D524" t="s">
        <v>582</v>
      </c>
    </row>
    <row r="525" spans="1:4" x14ac:dyDescent="0.25">
      <c r="A525">
        <v>911</v>
      </c>
      <c r="B525">
        <v>525</v>
      </c>
      <c r="C525">
        <v>888</v>
      </c>
      <c r="D525" t="s">
        <v>583</v>
      </c>
    </row>
    <row r="526" spans="1:4" x14ac:dyDescent="0.25">
      <c r="A526">
        <v>913</v>
      </c>
      <c r="B526">
        <v>526</v>
      </c>
      <c r="C526">
        <v>888</v>
      </c>
      <c r="D526" t="s">
        <v>584</v>
      </c>
    </row>
    <row r="527" spans="1:4" x14ac:dyDescent="0.25">
      <c r="A527">
        <v>914</v>
      </c>
      <c r="B527">
        <v>527</v>
      </c>
      <c r="C527">
        <v>888</v>
      </c>
      <c r="D527" t="s">
        <v>585</v>
      </c>
    </row>
    <row r="528" spans="1:4" x14ac:dyDescent="0.25">
      <c r="A528">
        <v>915</v>
      </c>
      <c r="B528">
        <v>528</v>
      </c>
      <c r="C528">
        <v>888</v>
      </c>
      <c r="D528" t="s">
        <v>586</v>
      </c>
    </row>
    <row r="529" spans="1:4" x14ac:dyDescent="0.25">
      <c r="A529">
        <v>916</v>
      </c>
      <c r="B529">
        <v>529</v>
      </c>
      <c r="C529">
        <v>888</v>
      </c>
      <c r="D529" t="s">
        <v>587</v>
      </c>
    </row>
    <row r="530" spans="1:4" x14ac:dyDescent="0.25">
      <c r="A530">
        <v>917</v>
      </c>
      <c r="B530">
        <v>530</v>
      </c>
      <c r="C530">
        <v>917</v>
      </c>
      <c r="D530" t="s">
        <v>588</v>
      </c>
    </row>
    <row r="531" spans="1:4" x14ac:dyDescent="0.25">
      <c r="A531">
        <v>918</v>
      </c>
      <c r="B531">
        <v>531</v>
      </c>
      <c r="C531">
        <v>849</v>
      </c>
      <c r="D531" t="s">
        <v>589</v>
      </c>
    </row>
    <row r="532" spans="1:4" x14ac:dyDescent="0.25">
      <c r="A532">
        <v>919</v>
      </c>
      <c r="B532">
        <v>532</v>
      </c>
      <c r="C532">
        <v>849</v>
      </c>
      <c r="D532" t="s">
        <v>590</v>
      </c>
    </row>
    <row r="533" spans="1:4" x14ac:dyDescent="0.25">
      <c r="A533">
        <v>920</v>
      </c>
      <c r="B533">
        <v>533</v>
      </c>
      <c r="C533">
        <v>849</v>
      </c>
      <c r="D533" t="s">
        <v>591</v>
      </c>
    </row>
    <row r="534" spans="1:4" x14ac:dyDescent="0.25">
      <c r="A534">
        <v>921</v>
      </c>
      <c r="B534">
        <v>534</v>
      </c>
      <c r="C534">
        <v>849</v>
      </c>
      <c r="D534" t="s">
        <v>592</v>
      </c>
    </row>
    <row r="535" spans="1:4" x14ac:dyDescent="0.25">
      <c r="A535">
        <v>922</v>
      </c>
      <c r="B535">
        <v>535</v>
      </c>
      <c r="C535">
        <v>849</v>
      </c>
      <c r="D535" t="s">
        <v>593</v>
      </c>
    </row>
    <row r="536" spans="1:4" x14ac:dyDescent="0.25">
      <c r="A536">
        <v>923</v>
      </c>
      <c r="B536">
        <v>536</v>
      </c>
      <c r="C536">
        <v>849</v>
      </c>
      <c r="D536" t="s">
        <v>594</v>
      </c>
    </row>
    <row r="537" spans="1:4" x14ac:dyDescent="0.25">
      <c r="A537">
        <v>924</v>
      </c>
      <c r="B537">
        <v>537</v>
      </c>
      <c r="C537">
        <v>849</v>
      </c>
      <c r="D537" t="s">
        <v>595</v>
      </c>
    </row>
    <row r="538" spans="1:4" x14ac:dyDescent="0.25">
      <c r="A538">
        <v>925</v>
      </c>
      <c r="B538">
        <v>538</v>
      </c>
      <c r="C538">
        <v>849</v>
      </c>
      <c r="D538" t="s">
        <v>596</v>
      </c>
    </row>
    <row r="539" spans="1:4" x14ac:dyDescent="0.25">
      <c r="A539">
        <v>926</v>
      </c>
      <c r="B539">
        <v>539</v>
      </c>
      <c r="C539">
        <v>849</v>
      </c>
      <c r="D539" t="s">
        <v>597</v>
      </c>
    </row>
    <row r="540" spans="1:4" x14ac:dyDescent="0.25">
      <c r="A540">
        <v>927</v>
      </c>
      <c r="B540">
        <v>540</v>
      </c>
      <c r="C540">
        <v>849</v>
      </c>
      <c r="D540" t="s">
        <v>598</v>
      </c>
    </row>
    <row r="541" spans="1:4" x14ac:dyDescent="0.25">
      <c r="A541">
        <v>928</v>
      </c>
      <c r="B541">
        <v>541</v>
      </c>
      <c r="C541">
        <v>849</v>
      </c>
      <c r="D541" t="s">
        <v>599</v>
      </c>
    </row>
    <row r="542" spans="1:4" x14ac:dyDescent="0.25">
      <c r="A542">
        <v>929</v>
      </c>
      <c r="B542">
        <v>542</v>
      </c>
      <c r="C542">
        <v>849</v>
      </c>
      <c r="D542" t="s">
        <v>600</v>
      </c>
    </row>
    <row r="543" spans="1:4" x14ac:dyDescent="0.25">
      <c r="A543">
        <v>930</v>
      </c>
      <c r="B543">
        <v>543</v>
      </c>
      <c r="C543">
        <v>57</v>
      </c>
      <c r="D543" t="s">
        <v>46</v>
      </c>
    </row>
    <row r="544" spans="1:4" x14ac:dyDescent="0.25">
      <c r="A544">
        <v>931</v>
      </c>
      <c r="B544">
        <v>544</v>
      </c>
      <c r="C544">
        <v>383</v>
      </c>
      <c r="D544" t="s">
        <v>56</v>
      </c>
    </row>
    <row r="545" spans="1:4" x14ac:dyDescent="0.25">
      <c r="A545">
        <v>932</v>
      </c>
      <c r="B545">
        <v>545</v>
      </c>
      <c r="C545">
        <v>20</v>
      </c>
      <c r="D545" t="s">
        <v>55</v>
      </c>
    </row>
    <row r="546" spans="1:4" x14ac:dyDescent="0.25">
      <c r="A546">
        <v>933</v>
      </c>
      <c r="B546">
        <v>546</v>
      </c>
      <c r="C546">
        <v>19</v>
      </c>
      <c r="D546" t="s">
        <v>58</v>
      </c>
    </row>
    <row r="547" spans="1:4" x14ac:dyDescent="0.25">
      <c r="A547">
        <v>934</v>
      </c>
      <c r="B547">
        <v>547</v>
      </c>
      <c r="C547">
        <v>41</v>
      </c>
      <c r="D547" t="s">
        <v>63</v>
      </c>
    </row>
    <row r="548" spans="1:4" x14ac:dyDescent="0.25">
      <c r="A548">
        <v>935</v>
      </c>
      <c r="B548">
        <v>548</v>
      </c>
      <c r="C548">
        <v>381</v>
      </c>
      <c r="D548" t="s">
        <v>97</v>
      </c>
    </row>
    <row r="549" spans="1:4" x14ac:dyDescent="0.25">
      <c r="A549">
        <v>936</v>
      </c>
      <c r="B549">
        <v>549</v>
      </c>
      <c r="C549">
        <v>3</v>
      </c>
      <c r="D549" t="s">
        <v>42</v>
      </c>
    </row>
    <row r="550" spans="1:4" x14ac:dyDescent="0.25">
      <c r="A550">
        <v>937</v>
      </c>
      <c r="B550">
        <v>550</v>
      </c>
      <c r="C550">
        <v>57</v>
      </c>
      <c r="D550" t="s">
        <v>601</v>
      </c>
    </row>
    <row r="551" spans="1:4" x14ac:dyDescent="0.25">
      <c r="A551">
        <v>938</v>
      </c>
      <c r="B551">
        <v>551</v>
      </c>
      <c r="C551">
        <v>104</v>
      </c>
      <c r="D551" t="s">
        <v>602</v>
      </c>
    </row>
    <row r="552" spans="1:4" x14ac:dyDescent="0.25">
      <c r="A552">
        <v>939</v>
      </c>
      <c r="B552">
        <v>552</v>
      </c>
      <c r="C552">
        <v>381</v>
      </c>
      <c r="D552" t="s">
        <v>603</v>
      </c>
    </row>
    <row r="553" spans="1:4" x14ac:dyDescent="0.25">
      <c r="A553">
        <v>940</v>
      </c>
      <c r="B553">
        <v>553</v>
      </c>
      <c r="C553">
        <v>381</v>
      </c>
      <c r="D553" t="s">
        <v>604</v>
      </c>
    </row>
    <row r="554" spans="1:4" x14ac:dyDescent="0.25">
      <c r="A554">
        <v>941</v>
      </c>
      <c r="B554">
        <v>554</v>
      </c>
      <c r="C554">
        <v>41</v>
      </c>
      <c r="D554" t="s">
        <v>605</v>
      </c>
    </row>
    <row r="555" spans="1:4" x14ac:dyDescent="0.25">
      <c r="A555">
        <v>942</v>
      </c>
      <c r="B555">
        <v>555</v>
      </c>
      <c r="C555">
        <v>3</v>
      </c>
      <c r="D555" t="s">
        <v>606</v>
      </c>
    </row>
    <row r="556" spans="1:4" x14ac:dyDescent="0.25">
      <c r="A556">
        <v>943</v>
      </c>
      <c r="B556">
        <v>556</v>
      </c>
      <c r="C556">
        <v>3</v>
      </c>
      <c r="D556" t="s">
        <v>607</v>
      </c>
    </row>
    <row r="557" spans="1:4" x14ac:dyDescent="0.25">
      <c r="A557">
        <v>944</v>
      </c>
      <c r="B557">
        <v>557</v>
      </c>
      <c r="C557">
        <v>382</v>
      </c>
      <c r="D557" t="s">
        <v>608</v>
      </c>
    </row>
    <row r="558" spans="1:4" x14ac:dyDescent="0.25">
      <c r="A558">
        <v>945</v>
      </c>
      <c r="B558">
        <v>558</v>
      </c>
      <c r="C558">
        <v>41</v>
      </c>
      <c r="D558" t="s">
        <v>609</v>
      </c>
    </row>
    <row r="559" spans="1:4" x14ac:dyDescent="0.25">
      <c r="A559">
        <v>946</v>
      </c>
      <c r="B559">
        <v>559</v>
      </c>
      <c r="C559">
        <v>849</v>
      </c>
      <c r="D559" t="s">
        <v>610</v>
      </c>
    </row>
    <row r="560" spans="1:4" x14ac:dyDescent="0.25">
      <c r="A560">
        <v>947</v>
      </c>
      <c r="B560">
        <v>560</v>
      </c>
      <c r="C560">
        <v>849</v>
      </c>
      <c r="D560" t="s">
        <v>611</v>
      </c>
    </row>
    <row r="561" spans="1:4" x14ac:dyDescent="0.25">
      <c r="A561">
        <v>948</v>
      </c>
      <c r="B561">
        <v>561</v>
      </c>
      <c r="C561">
        <v>849</v>
      </c>
      <c r="D561" t="s">
        <v>612</v>
      </c>
    </row>
    <row r="562" spans="1:4" x14ac:dyDescent="0.25">
      <c r="A562">
        <v>949</v>
      </c>
      <c r="B562">
        <v>562</v>
      </c>
      <c r="C562">
        <v>849</v>
      </c>
      <c r="D562" t="s">
        <v>613</v>
      </c>
    </row>
    <row r="563" spans="1:4" x14ac:dyDescent="0.25">
      <c r="A563">
        <v>950</v>
      </c>
      <c r="B563">
        <v>563</v>
      </c>
      <c r="C563">
        <v>849</v>
      </c>
      <c r="D563" t="s">
        <v>614</v>
      </c>
    </row>
    <row r="564" spans="1:4" x14ac:dyDescent="0.25">
      <c r="A564">
        <v>951</v>
      </c>
      <c r="B564">
        <v>564</v>
      </c>
      <c r="C564">
        <v>849</v>
      </c>
      <c r="D564" t="s">
        <v>615</v>
      </c>
    </row>
    <row r="565" spans="1:4" x14ac:dyDescent="0.25">
      <c r="A565">
        <v>952</v>
      </c>
      <c r="B565">
        <v>565</v>
      </c>
      <c r="C565">
        <v>849</v>
      </c>
      <c r="D565" t="s">
        <v>616</v>
      </c>
    </row>
    <row r="566" spans="1:4" x14ac:dyDescent="0.25">
      <c r="A566">
        <v>953</v>
      </c>
      <c r="B566">
        <v>566</v>
      </c>
      <c r="C566">
        <v>849</v>
      </c>
      <c r="D566" t="s">
        <v>617</v>
      </c>
    </row>
    <row r="567" spans="1:4" x14ac:dyDescent="0.25">
      <c r="A567">
        <v>954</v>
      </c>
      <c r="B567">
        <v>567</v>
      </c>
      <c r="C567">
        <v>849</v>
      </c>
      <c r="D567" t="s">
        <v>618</v>
      </c>
    </row>
    <row r="568" spans="1:4" x14ac:dyDescent="0.25">
      <c r="A568">
        <v>955</v>
      </c>
      <c r="B568">
        <v>568</v>
      </c>
      <c r="C568">
        <v>849</v>
      </c>
      <c r="D568" t="s">
        <v>619</v>
      </c>
    </row>
    <row r="569" spans="1:4" x14ac:dyDescent="0.25">
      <c r="A569">
        <v>956</v>
      </c>
      <c r="B569">
        <v>569</v>
      </c>
      <c r="C569">
        <v>849</v>
      </c>
      <c r="D569" t="s">
        <v>620</v>
      </c>
    </row>
    <row r="570" spans="1:4" x14ac:dyDescent="0.25">
      <c r="A570">
        <v>957</v>
      </c>
      <c r="B570">
        <v>570</v>
      </c>
      <c r="C570">
        <v>849</v>
      </c>
      <c r="D570" t="s">
        <v>621</v>
      </c>
    </row>
    <row r="571" spans="1:4" x14ac:dyDescent="0.25">
      <c r="A571">
        <v>958</v>
      </c>
      <c r="B571">
        <v>571</v>
      </c>
      <c r="C571">
        <v>849</v>
      </c>
      <c r="D571" t="s">
        <v>622</v>
      </c>
    </row>
    <row r="572" spans="1:4" x14ac:dyDescent="0.25">
      <c r="A572">
        <v>959</v>
      </c>
      <c r="B572">
        <v>572</v>
      </c>
      <c r="C572">
        <v>849</v>
      </c>
      <c r="D572" t="s">
        <v>623</v>
      </c>
    </row>
    <row r="573" spans="1:4" x14ac:dyDescent="0.25">
      <c r="A573">
        <v>960</v>
      </c>
      <c r="B573">
        <v>573</v>
      </c>
      <c r="C573">
        <v>849</v>
      </c>
      <c r="D573" t="s">
        <v>624</v>
      </c>
    </row>
    <row r="574" spans="1:4" x14ac:dyDescent="0.25">
      <c r="A574">
        <v>961</v>
      </c>
      <c r="B574">
        <v>574</v>
      </c>
      <c r="C574">
        <v>849</v>
      </c>
      <c r="D574" t="s">
        <v>625</v>
      </c>
    </row>
    <row r="575" spans="1:4" x14ac:dyDescent="0.25">
      <c r="A575">
        <v>962</v>
      </c>
      <c r="B575">
        <v>575</v>
      </c>
      <c r="C575">
        <v>849</v>
      </c>
      <c r="D575" t="s">
        <v>626</v>
      </c>
    </row>
    <row r="576" spans="1:4" x14ac:dyDescent="0.25">
      <c r="A576">
        <v>963</v>
      </c>
      <c r="B576">
        <v>576</v>
      </c>
      <c r="C576">
        <v>849</v>
      </c>
      <c r="D576" t="s">
        <v>627</v>
      </c>
    </row>
    <row r="577" spans="1:4" x14ac:dyDescent="0.25">
      <c r="A577">
        <v>964</v>
      </c>
      <c r="B577">
        <v>577</v>
      </c>
      <c r="C577">
        <v>849</v>
      </c>
      <c r="D577" t="s">
        <v>628</v>
      </c>
    </row>
    <row r="578" spans="1:4" x14ac:dyDescent="0.25">
      <c r="A578">
        <v>965</v>
      </c>
      <c r="B578">
        <v>578</v>
      </c>
      <c r="C578">
        <v>849</v>
      </c>
      <c r="D578" t="s">
        <v>629</v>
      </c>
    </row>
    <row r="579" spans="1:4" x14ac:dyDescent="0.25">
      <c r="A579">
        <v>966</v>
      </c>
      <c r="B579">
        <v>579</v>
      </c>
      <c r="C579">
        <v>849</v>
      </c>
      <c r="D579" t="s">
        <v>630</v>
      </c>
    </row>
    <row r="580" spans="1:4" x14ac:dyDescent="0.25">
      <c r="A580">
        <v>967</v>
      </c>
      <c r="B580">
        <v>580</v>
      </c>
      <c r="C580">
        <v>849</v>
      </c>
      <c r="D580" t="s">
        <v>631</v>
      </c>
    </row>
    <row r="581" spans="1:4" x14ac:dyDescent="0.25">
      <c r="A581">
        <v>968</v>
      </c>
      <c r="B581">
        <v>581</v>
      </c>
      <c r="C581">
        <v>849</v>
      </c>
      <c r="D581" t="s">
        <v>632</v>
      </c>
    </row>
    <row r="582" spans="1:4" x14ac:dyDescent="0.25">
      <c r="A582">
        <v>969</v>
      </c>
      <c r="B582">
        <v>582</v>
      </c>
      <c r="C582">
        <v>849</v>
      </c>
      <c r="D582" t="s">
        <v>633</v>
      </c>
    </row>
    <row r="583" spans="1:4" x14ac:dyDescent="0.25">
      <c r="A583">
        <v>970</v>
      </c>
      <c r="B583">
        <v>583</v>
      </c>
      <c r="C583">
        <v>849</v>
      </c>
      <c r="D583" t="s">
        <v>634</v>
      </c>
    </row>
    <row r="584" spans="1:4" x14ac:dyDescent="0.25">
      <c r="A584">
        <v>971</v>
      </c>
      <c r="B584">
        <v>584</v>
      </c>
      <c r="C584">
        <v>849</v>
      </c>
      <c r="D584" t="s">
        <v>635</v>
      </c>
    </row>
    <row r="585" spans="1:4" x14ac:dyDescent="0.25">
      <c r="A585">
        <v>972</v>
      </c>
      <c r="B585">
        <v>585</v>
      </c>
      <c r="C585">
        <v>849</v>
      </c>
      <c r="D585" t="s">
        <v>636</v>
      </c>
    </row>
    <row r="586" spans="1:4" x14ac:dyDescent="0.25">
      <c r="A586">
        <v>973</v>
      </c>
      <c r="B586">
        <v>586</v>
      </c>
      <c r="C586">
        <v>888</v>
      </c>
      <c r="D586" t="s">
        <v>45</v>
      </c>
    </row>
    <row r="587" spans="1:4" x14ac:dyDescent="0.25">
      <c r="A587">
        <v>974</v>
      </c>
      <c r="B587">
        <v>587</v>
      </c>
      <c r="C587">
        <v>888</v>
      </c>
      <c r="D587" t="s">
        <v>44</v>
      </c>
    </row>
    <row r="588" spans="1:4" x14ac:dyDescent="0.25">
      <c r="A588">
        <v>975</v>
      </c>
      <c r="B588">
        <v>588</v>
      </c>
      <c r="C588">
        <v>849</v>
      </c>
      <c r="D588" t="s">
        <v>637</v>
      </c>
    </row>
    <row r="589" spans="1:4" x14ac:dyDescent="0.25">
      <c r="A589">
        <v>977</v>
      </c>
      <c r="B589">
        <v>589</v>
      </c>
      <c r="C589">
        <v>849</v>
      </c>
      <c r="D589" t="s">
        <v>638</v>
      </c>
    </row>
    <row r="590" spans="1:4" x14ac:dyDescent="0.25">
      <c r="A590">
        <v>979</v>
      </c>
      <c r="B590">
        <v>590</v>
      </c>
      <c r="C590">
        <v>849</v>
      </c>
      <c r="D590" t="s">
        <v>631</v>
      </c>
    </row>
    <row r="591" spans="1:4" x14ac:dyDescent="0.25">
      <c r="A591">
        <v>980</v>
      </c>
      <c r="B591">
        <v>591</v>
      </c>
      <c r="C591">
        <v>980</v>
      </c>
      <c r="D591" t="s">
        <v>78</v>
      </c>
    </row>
    <row r="592" spans="1:4" x14ac:dyDescent="0.25">
      <c r="A592">
        <v>981</v>
      </c>
      <c r="B592">
        <v>592</v>
      </c>
      <c r="C592">
        <v>980</v>
      </c>
      <c r="D592" t="s">
        <v>639</v>
      </c>
    </row>
    <row r="593" spans="1:4" x14ac:dyDescent="0.25">
      <c r="A593">
        <v>982</v>
      </c>
      <c r="B593">
        <v>593</v>
      </c>
      <c r="C593">
        <v>980</v>
      </c>
      <c r="D593" t="s">
        <v>640</v>
      </c>
    </row>
    <row r="594" spans="1:4" x14ac:dyDescent="0.25">
      <c r="A594">
        <v>983</v>
      </c>
      <c r="B594">
        <v>594</v>
      </c>
      <c r="C594">
        <v>980</v>
      </c>
      <c r="D594" t="s">
        <v>641</v>
      </c>
    </row>
    <row r="595" spans="1:4" x14ac:dyDescent="0.25">
      <c r="A595">
        <v>984</v>
      </c>
      <c r="B595">
        <v>595</v>
      </c>
      <c r="C595">
        <v>980</v>
      </c>
      <c r="D595" t="s">
        <v>642</v>
      </c>
    </row>
    <row r="596" spans="1:4" x14ac:dyDescent="0.25">
      <c r="A596">
        <v>985</v>
      </c>
      <c r="B596">
        <v>596</v>
      </c>
      <c r="C596">
        <v>980</v>
      </c>
      <c r="D596" t="s">
        <v>643</v>
      </c>
    </row>
    <row r="597" spans="1:4" x14ac:dyDescent="0.25">
      <c r="A597">
        <v>986</v>
      </c>
      <c r="B597">
        <v>597</v>
      </c>
      <c r="C597">
        <v>980</v>
      </c>
      <c r="D597" t="s">
        <v>644</v>
      </c>
    </row>
    <row r="598" spans="1:4" x14ac:dyDescent="0.25">
      <c r="A598">
        <v>988</v>
      </c>
      <c r="B598">
        <v>598</v>
      </c>
      <c r="C598">
        <v>980</v>
      </c>
      <c r="D598" t="s">
        <v>645</v>
      </c>
    </row>
    <row r="599" spans="1:4" x14ac:dyDescent="0.25">
      <c r="A599">
        <v>989</v>
      </c>
      <c r="B599">
        <v>599</v>
      </c>
      <c r="C599">
        <v>980</v>
      </c>
      <c r="D599" t="s">
        <v>646</v>
      </c>
    </row>
    <row r="600" spans="1:4" x14ac:dyDescent="0.25">
      <c r="A600">
        <v>990</v>
      </c>
      <c r="B600">
        <v>600</v>
      </c>
      <c r="C600">
        <v>980</v>
      </c>
      <c r="D600" t="s">
        <v>647</v>
      </c>
    </row>
    <row r="601" spans="1:4" x14ac:dyDescent="0.25">
      <c r="A601">
        <v>991</v>
      </c>
      <c r="B601">
        <v>601</v>
      </c>
      <c r="C601">
        <v>980</v>
      </c>
      <c r="D601" t="s">
        <v>648</v>
      </c>
    </row>
    <row r="602" spans="1:4" x14ac:dyDescent="0.25">
      <c r="A602">
        <v>992</v>
      </c>
      <c r="B602">
        <v>602</v>
      </c>
      <c r="C602">
        <v>980</v>
      </c>
      <c r="D602" t="s">
        <v>649</v>
      </c>
    </row>
    <row r="603" spans="1:4" x14ac:dyDescent="0.25">
      <c r="A603">
        <v>993</v>
      </c>
      <c r="B603">
        <v>603</v>
      </c>
      <c r="C603">
        <v>980</v>
      </c>
      <c r="D603" t="s">
        <v>650</v>
      </c>
    </row>
    <row r="604" spans="1:4" x14ac:dyDescent="0.25">
      <c r="A604">
        <v>994</v>
      </c>
      <c r="B604">
        <v>604</v>
      </c>
      <c r="C604">
        <v>849</v>
      </c>
      <c r="D604" t="s">
        <v>651</v>
      </c>
    </row>
    <row r="605" spans="1:4" x14ac:dyDescent="0.25">
      <c r="A605">
        <v>995</v>
      </c>
      <c r="B605">
        <v>605</v>
      </c>
      <c r="C605">
        <v>849</v>
      </c>
      <c r="D605" t="s">
        <v>652</v>
      </c>
    </row>
    <row r="606" spans="1:4" x14ac:dyDescent="0.25">
      <c r="A606">
        <v>996</v>
      </c>
      <c r="B606">
        <v>606</v>
      </c>
      <c r="C606">
        <v>849</v>
      </c>
      <c r="D606" t="s">
        <v>653</v>
      </c>
    </row>
    <row r="607" spans="1:4" x14ac:dyDescent="0.25">
      <c r="A607">
        <v>997</v>
      </c>
      <c r="B607">
        <v>607</v>
      </c>
      <c r="C607">
        <v>849</v>
      </c>
      <c r="D607" t="s">
        <v>654</v>
      </c>
    </row>
    <row r="608" spans="1:4" x14ac:dyDescent="0.25">
      <c r="A608">
        <v>998</v>
      </c>
      <c r="B608">
        <v>608</v>
      </c>
      <c r="C608">
        <v>381</v>
      </c>
      <c r="D608" t="s">
        <v>655</v>
      </c>
    </row>
    <row r="609" spans="1:4" x14ac:dyDescent="0.25">
      <c r="A609">
        <v>999</v>
      </c>
      <c r="B609">
        <v>609</v>
      </c>
      <c r="C609">
        <v>980</v>
      </c>
      <c r="D609" t="s">
        <v>656</v>
      </c>
    </row>
    <row r="610" spans="1:4" x14ac:dyDescent="0.25">
      <c r="A610">
        <v>1000</v>
      </c>
      <c r="B610">
        <v>610</v>
      </c>
      <c r="C610">
        <v>980</v>
      </c>
      <c r="D610" t="s">
        <v>657</v>
      </c>
    </row>
    <row r="611" spans="1:4" x14ac:dyDescent="0.25">
      <c r="A611">
        <v>1004</v>
      </c>
      <c r="B611">
        <v>611</v>
      </c>
      <c r="C611">
        <v>980</v>
      </c>
      <c r="D611" t="s">
        <v>658</v>
      </c>
    </row>
    <row r="612" spans="1:4" x14ac:dyDescent="0.25">
      <c r="A612">
        <v>1005</v>
      </c>
      <c r="B612">
        <v>612</v>
      </c>
      <c r="C612">
        <v>823</v>
      </c>
      <c r="D612" t="s">
        <v>659</v>
      </c>
    </row>
    <row r="613" spans="1:4" x14ac:dyDescent="0.25">
      <c r="A613">
        <v>1006</v>
      </c>
      <c r="B613">
        <v>613</v>
      </c>
      <c r="C613">
        <v>3</v>
      </c>
      <c r="D613" t="s">
        <v>660</v>
      </c>
    </row>
    <row r="614" spans="1:4" x14ac:dyDescent="0.25">
      <c r="A614">
        <v>1007</v>
      </c>
      <c r="B614">
        <v>614</v>
      </c>
      <c r="C614">
        <v>888</v>
      </c>
      <c r="D614" t="s">
        <v>661</v>
      </c>
    </row>
    <row r="615" spans="1:4" x14ac:dyDescent="0.25">
      <c r="A615">
        <v>1008</v>
      </c>
      <c r="B615">
        <v>615</v>
      </c>
      <c r="C615">
        <v>347</v>
      </c>
      <c r="D615" t="s">
        <v>662</v>
      </c>
    </row>
    <row r="616" spans="1:4" x14ac:dyDescent="0.25">
      <c r="A616">
        <v>1009</v>
      </c>
      <c r="B616">
        <v>616</v>
      </c>
      <c r="C616">
        <v>92</v>
      </c>
      <c r="D616" t="s">
        <v>69</v>
      </c>
    </row>
    <row r="617" spans="1:4" x14ac:dyDescent="0.25">
      <c r="A617">
        <v>1010</v>
      </c>
      <c r="B617">
        <v>617</v>
      </c>
      <c r="C617">
        <v>19</v>
      </c>
      <c r="D617" t="s">
        <v>74</v>
      </c>
    </row>
    <row r="618" spans="1:4" x14ac:dyDescent="0.25">
      <c r="A618">
        <v>1011</v>
      </c>
      <c r="B618">
        <v>618</v>
      </c>
      <c r="C618">
        <v>1011</v>
      </c>
      <c r="D618" t="s">
        <v>79</v>
      </c>
    </row>
    <row r="619" spans="1:4" x14ac:dyDescent="0.25">
      <c r="A619">
        <v>1012</v>
      </c>
      <c r="B619">
        <v>619</v>
      </c>
      <c r="C619">
        <v>381</v>
      </c>
      <c r="D619" t="s">
        <v>663</v>
      </c>
    </row>
    <row r="620" spans="1:4" x14ac:dyDescent="0.25">
      <c r="A620">
        <v>1013</v>
      </c>
      <c r="B620">
        <v>620</v>
      </c>
      <c r="C620">
        <v>1011</v>
      </c>
      <c r="D620" t="s">
        <v>664</v>
      </c>
    </row>
    <row r="621" spans="1:4" x14ac:dyDescent="0.25">
      <c r="A621">
        <v>1014</v>
      </c>
      <c r="B621">
        <v>621</v>
      </c>
      <c r="C621">
        <v>1011</v>
      </c>
      <c r="D621" t="s">
        <v>665</v>
      </c>
    </row>
    <row r="622" spans="1:4" x14ac:dyDescent="0.25">
      <c r="A622">
        <v>1015</v>
      </c>
      <c r="B622">
        <v>622</v>
      </c>
      <c r="C622">
        <v>1011</v>
      </c>
      <c r="D622" t="s">
        <v>666</v>
      </c>
    </row>
    <row r="623" spans="1:4" x14ac:dyDescent="0.25">
      <c r="A623">
        <v>1016</v>
      </c>
      <c r="B623">
        <v>623</v>
      </c>
      <c r="C623">
        <v>1011</v>
      </c>
      <c r="D623" t="s">
        <v>667</v>
      </c>
    </row>
    <row r="624" spans="1:4" x14ac:dyDescent="0.25">
      <c r="A624">
        <v>1017</v>
      </c>
      <c r="B624">
        <v>624</v>
      </c>
      <c r="C624">
        <v>1011</v>
      </c>
      <c r="D624" t="s">
        <v>668</v>
      </c>
    </row>
    <row r="625" spans="1:4" x14ac:dyDescent="0.25">
      <c r="A625">
        <v>1018</v>
      </c>
      <c r="B625">
        <v>625</v>
      </c>
      <c r="C625">
        <v>1011</v>
      </c>
      <c r="D625" t="s">
        <v>669</v>
      </c>
    </row>
    <row r="626" spans="1:4" x14ac:dyDescent="0.25">
      <c r="A626">
        <v>1019</v>
      </c>
      <c r="B626">
        <v>626</v>
      </c>
      <c r="C626">
        <v>1011</v>
      </c>
      <c r="D626" t="s">
        <v>670</v>
      </c>
    </row>
    <row r="627" spans="1:4" x14ac:dyDescent="0.25">
      <c r="A627">
        <v>1020</v>
      </c>
      <c r="B627">
        <v>627</v>
      </c>
      <c r="C627">
        <v>1011</v>
      </c>
      <c r="D627" t="s">
        <v>671</v>
      </c>
    </row>
    <row r="628" spans="1:4" x14ac:dyDescent="0.25">
      <c r="A628">
        <v>1021</v>
      </c>
      <c r="B628">
        <v>628</v>
      </c>
      <c r="C628">
        <v>1011</v>
      </c>
      <c r="D628" t="s">
        <v>672</v>
      </c>
    </row>
    <row r="629" spans="1:4" x14ac:dyDescent="0.25">
      <c r="A629">
        <v>1022</v>
      </c>
      <c r="B629">
        <v>629</v>
      </c>
      <c r="C629">
        <v>1011</v>
      </c>
      <c r="D629" t="s">
        <v>673</v>
      </c>
    </row>
    <row r="630" spans="1:4" x14ac:dyDescent="0.25">
      <c r="A630">
        <v>1023</v>
      </c>
      <c r="B630">
        <v>630</v>
      </c>
      <c r="C630">
        <v>1011</v>
      </c>
      <c r="D630" t="s">
        <v>674</v>
      </c>
    </row>
    <row r="631" spans="1:4" x14ac:dyDescent="0.25">
      <c r="A631">
        <v>1024</v>
      </c>
      <c r="B631">
        <v>631</v>
      </c>
      <c r="C631">
        <v>1011</v>
      </c>
      <c r="D631" t="s">
        <v>675</v>
      </c>
    </row>
    <row r="632" spans="1:4" x14ac:dyDescent="0.25">
      <c r="A632">
        <v>1025</v>
      </c>
      <c r="B632">
        <v>632</v>
      </c>
      <c r="C632">
        <v>1011</v>
      </c>
      <c r="D632" t="s">
        <v>676</v>
      </c>
    </row>
    <row r="633" spans="1:4" x14ac:dyDescent="0.25">
      <c r="A633">
        <v>1026</v>
      </c>
      <c r="B633">
        <v>633</v>
      </c>
      <c r="C633">
        <v>1011</v>
      </c>
      <c r="D633" t="s">
        <v>677</v>
      </c>
    </row>
    <row r="634" spans="1:4" x14ac:dyDescent="0.25">
      <c r="A634">
        <v>1027</v>
      </c>
      <c r="B634">
        <v>634</v>
      </c>
      <c r="C634">
        <v>1011</v>
      </c>
      <c r="D634" t="s">
        <v>678</v>
      </c>
    </row>
    <row r="635" spans="1:4" x14ac:dyDescent="0.25">
      <c r="A635">
        <v>1028</v>
      </c>
      <c r="B635">
        <v>635</v>
      </c>
      <c r="C635">
        <v>1011</v>
      </c>
      <c r="D635" t="s">
        <v>679</v>
      </c>
    </row>
    <row r="636" spans="1:4" x14ac:dyDescent="0.25">
      <c r="A636">
        <v>1029</v>
      </c>
      <c r="B636">
        <v>636</v>
      </c>
      <c r="C636">
        <v>1011</v>
      </c>
      <c r="D636" t="s">
        <v>680</v>
      </c>
    </row>
    <row r="637" spans="1:4" x14ac:dyDescent="0.25">
      <c r="A637">
        <v>1030</v>
      </c>
      <c r="B637">
        <v>637</v>
      </c>
      <c r="C637">
        <v>1011</v>
      </c>
      <c r="D637" t="s">
        <v>681</v>
      </c>
    </row>
    <row r="638" spans="1:4" x14ac:dyDescent="0.25">
      <c r="A638">
        <v>1031</v>
      </c>
      <c r="B638">
        <v>638</v>
      </c>
      <c r="C638">
        <v>1011</v>
      </c>
      <c r="D638" t="s">
        <v>682</v>
      </c>
    </row>
    <row r="639" spans="1:4" x14ac:dyDescent="0.25">
      <c r="A639">
        <v>1032</v>
      </c>
      <c r="B639">
        <v>639</v>
      </c>
      <c r="C639">
        <v>1011</v>
      </c>
      <c r="D639" t="s">
        <v>683</v>
      </c>
    </row>
    <row r="640" spans="1:4" x14ac:dyDescent="0.25">
      <c r="A640">
        <v>1033</v>
      </c>
      <c r="B640">
        <v>640</v>
      </c>
      <c r="C640">
        <v>1011</v>
      </c>
      <c r="D640" t="s">
        <v>684</v>
      </c>
    </row>
    <row r="641" spans="1:4" x14ac:dyDescent="0.25">
      <c r="A641">
        <v>1034</v>
      </c>
      <c r="B641">
        <v>641</v>
      </c>
      <c r="C641">
        <v>1011</v>
      </c>
      <c r="D641" t="s">
        <v>685</v>
      </c>
    </row>
    <row r="642" spans="1:4" x14ac:dyDescent="0.25">
      <c r="A642">
        <v>1035</v>
      </c>
      <c r="B642">
        <v>642</v>
      </c>
      <c r="C642">
        <v>1011</v>
      </c>
      <c r="D642" t="s">
        <v>663</v>
      </c>
    </row>
    <row r="643" spans="1:4" x14ac:dyDescent="0.25">
      <c r="A643">
        <v>1036</v>
      </c>
      <c r="B643">
        <v>643</v>
      </c>
      <c r="C643">
        <v>1011</v>
      </c>
      <c r="D643" t="s">
        <v>686</v>
      </c>
    </row>
    <row r="644" spans="1:4" x14ac:dyDescent="0.25">
      <c r="A644">
        <v>1037</v>
      </c>
      <c r="B644">
        <v>644</v>
      </c>
      <c r="C644">
        <v>1011</v>
      </c>
      <c r="D644" t="s">
        <v>687</v>
      </c>
    </row>
    <row r="645" spans="1:4" x14ac:dyDescent="0.25">
      <c r="A645">
        <v>1038</v>
      </c>
      <c r="B645">
        <v>645</v>
      </c>
      <c r="C645">
        <v>1011</v>
      </c>
      <c r="D645" t="s">
        <v>688</v>
      </c>
    </row>
    <row r="646" spans="1:4" x14ac:dyDescent="0.25">
      <c r="A646">
        <v>1039</v>
      </c>
      <c r="B646">
        <v>646</v>
      </c>
      <c r="C646">
        <v>1011</v>
      </c>
      <c r="D646" t="s">
        <v>689</v>
      </c>
    </row>
    <row r="647" spans="1:4" x14ac:dyDescent="0.25">
      <c r="A647">
        <v>1040</v>
      </c>
      <c r="B647">
        <v>647</v>
      </c>
      <c r="C647">
        <v>1011</v>
      </c>
      <c r="D647" t="s">
        <v>656</v>
      </c>
    </row>
    <row r="648" spans="1:4" x14ac:dyDescent="0.25">
      <c r="A648">
        <v>1042</v>
      </c>
      <c r="B648">
        <v>648</v>
      </c>
      <c r="C648">
        <v>684</v>
      </c>
      <c r="D648" t="s">
        <v>690</v>
      </c>
    </row>
    <row r="649" spans="1:4" x14ac:dyDescent="0.25">
      <c r="A649">
        <v>1043</v>
      </c>
      <c r="B649">
        <v>649</v>
      </c>
      <c r="C649">
        <v>980</v>
      </c>
      <c r="D649" t="s">
        <v>691</v>
      </c>
    </row>
    <row r="650" spans="1:4" x14ac:dyDescent="0.25">
      <c r="A650">
        <v>1044</v>
      </c>
      <c r="B650">
        <v>650</v>
      </c>
      <c r="C650">
        <v>823</v>
      </c>
      <c r="D650" t="s">
        <v>692</v>
      </c>
    </row>
    <row r="651" spans="1:4" x14ac:dyDescent="0.25">
      <c r="A651">
        <v>1045</v>
      </c>
      <c r="B651">
        <v>651</v>
      </c>
      <c r="C651">
        <v>816</v>
      </c>
      <c r="D651" t="s">
        <v>693</v>
      </c>
    </row>
    <row r="652" spans="1:4" x14ac:dyDescent="0.25">
      <c r="A652">
        <v>1046</v>
      </c>
      <c r="B652">
        <v>652</v>
      </c>
      <c r="C652">
        <v>1011</v>
      </c>
      <c r="D652" t="s">
        <v>694</v>
      </c>
    </row>
    <row r="653" spans="1:4" x14ac:dyDescent="0.25">
      <c r="A653">
        <v>1047</v>
      </c>
      <c r="B653">
        <v>653</v>
      </c>
      <c r="C653">
        <v>1011</v>
      </c>
      <c r="D653" t="s">
        <v>695</v>
      </c>
    </row>
    <row r="654" spans="1:4" x14ac:dyDescent="0.25">
      <c r="A654">
        <v>1048</v>
      </c>
      <c r="B654">
        <v>654</v>
      </c>
      <c r="C654">
        <v>1011</v>
      </c>
      <c r="D654" t="s">
        <v>696</v>
      </c>
    </row>
    <row r="655" spans="1:4" x14ac:dyDescent="0.25">
      <c r="A655">
        <v>1051</v>
      </c>
      <c r="B655">
        <v>655</v>
      </c>
      <c r="C655">
        <v>1011</v>
      </c>
      <c r="D655" t="s">
        <v>697</v>
      </c>
    </row>
    <row r="656" spans="1:4" x14ac:dyDescent="0.25">
      <c r="A656">
        <v>1052</v>
      </c>
      <c r="B656">
        <v>656</v>
      </c>
      <c r="C656">
        <v>382</v>
      </c>
      <c r="D656" t="s">
        <v>73</v>
      </c>
    </row>
    <row r="657" spans="1:4" x14ac:dyDescent="0.25">
      <c r="A657">
        <v>1055</v>
      </c>
      <c r="B657">
        <v>657</v>
      </c>
      <c r="C657">
        <v>108</v>
      </c>
      <c r="D657" t="s">
        <v>41</v>
      </c>
    </row>
    <row r="658" spans="1:4" x14ac:dyDescent="0.25">
      <c r="A658">
        <v>1059</v>
      </c>
      <c r="B658">
        <v>658</v>
      </c>
      <c r="C658">
        <v>1011</v>
      </c>
      <c r="D658" t="s">
        <v>699</v>
      </c>
    </row>
    <row r="659" spans="1:4" x14ac:dyDescent="0.25">
      <c r="A659">
        <v>1060</v>
      </c>
      <c r="B659">
        <v>659</v>
      </c>
      <c r="C659">
        <v>1011</v>
      </c>
      <c r="D659" t="s">
        <v>700</v>
      </c>
    </row>
    <row r="660" spans="1:4" x14ac:dyDescent="0.25">
      <c r="A660">
        <v>1061</v>
      </c>
      <c r="B660">
        <v>660</v>
      </c>
      <c r="C660">
        <v>1011</v>
      </c>
      <c r="D660" t="s">
        <v>701</v>
      </c>
    </row>
    <row r="661" spans="1:4" x14ac:dyDescent="0.25">
      <c r="A661">
        <v>1063</v>
      </c>
      <c r="B661">
        <v>661</v>
      </c>
      <c r="C661">
        <v>1027</v>
      </c>
      <c r="D661" t="s">
        <v>703</v>
      </c>
    </row>
    <row r="662" spans="1:4" x14ac:dyDescent="0.25">
      <c r="A662">
        <v>1064</v>
      </c>
      <c r="B662">
        <v>662</v>
      </c>
      <c r="C662">
        <v>103</v>
      </c>
      <c r="D662" t="s">
        <v>704</v>
      </c>
    </row>
    <row r="663" spans="1:4" x14ac:dyDescent="0.25">
      <c r="A663">
        <v>1065</v>
      </c>
      <c r="B663">
        <v>663</v>
      </c>
      <c r="C663">
        <v>726</v>
      </c>
      <c r="D663" t="s">
        <v>705</v>
      </c>
    </row>
    <row r="664" spans="1:4" x14ac:dyDescent="0.25">
      <c r="A664">
        <v>1066</v>
      </c>
      <c r="B664">
        <v>664</v>
      </c>
      <c r="C664">
        <v>726</v>
      </c>
      <c r="D664" t="s">
        <v>706</v>
      </c>
    </row>
    <row r="665" spans="1:4" x14ac:dyDescent="0.25">
      <c r="A665">
        <v>1067</v>
      </c>
      <c r="B665">
        <v>665</v>
      </c>
      <c r="C665">
        <v>726</v>
      </c>
      <c r="D665" t="s">
        <v>707</v>
      </c>
    </row>
    <row r="666" spans="1:4" x14ac:dyDescent="0.25">
      <c r="A666">
        <v>1068</v>
      </c>
      <c r="B666">
        <v>666</v>
      </c>
      <c r="C666">
        <v>726</v>
      </c>
      <c r="D666" t="s">
        <v>708</v>
      </c>
    </row>
    <row r="667" spans="1:4" x14ac:dyDescent="0.25">
      <c r="A667">
        <v>1069</v>
      </c>
      <c r="B667">
        <v>667</v>
      </c>
      <c r="C667">
        <v>726</v>
      </c>
      <c r="D667" t="s">
        <v>709</v>
      </c>
    </row>
    <row r="668" spans="1:4" x14ac:dyDescent="0.25">
      <c r="A668">
        <v>1070</v>
      </c>
      <c r="B668">
        <v>668</v>
      </c>
      <c r="C668">
        <v>726</v>
      </c>
      <c r="D668" t="s">
        <v>710</v>
      </c>
    </row>
    <row r="669" spans="1:4" x14ac:dyDescent="0.25">
      <c r="A669">
        <v>1071</v>
      </c>
      <c r="B669">
        <v>669</v>
      </c>
      <c r="C669">
        <v>726</v>
      </c>
      <c r="D669" t="s">
        <v>711</v>
      </c>
    </row>
    <row r="670" spans="1:4" x14ac:dyDescent="0.25">
      <c r="A670">
        <v>1072</v>
      </c>
      <c r="B670">
        <v>670</v>
      </c>
      <c r="C670">
        <v>117</v>
      </c>
      <c r="D670" t="s">
        <v>712</v>
      </c>
    </row>
    <row r="671" spans="1:4" x14ac:dyDescent="0.25">
      <c r="A671">
        <v>1073</v>
      </c>
      <c r="B671">
        <v>671</v>
      </c>
      <c r="C671">
        <v>726</v>
      </c>
      <c r="D671" t="s">
        <v>713</v>
      </c>
    </row>
    <row r="672" spans="1:4" x14ac:dyDescent="0.25">
      <c r="A672">
        <v>1074</v>
      </c>
      <c r="B672">
        <v>672</v>
      </c>
      <c r="C672">
        <v>41</v>
      </c>
      <c r="D672" t="s">
        <v>714</v>
      </c>
    </row>
    <row r="673" spans="1:4" x14ac:dyDescent="0.25">
      <c r="A673">
        <v>1075</v>
      </c>
      <c r="B673">
        <v>673</v>
      </c>
      <c r="C673">
        <v>381</v>
      </c>
      <c r="D673" t="s">
        <v>714</v>
      </c>
    </row>
    <row r="674" spans="1:4" x14ac:dyDescent="0.25">
      <c r="A674">
        <v>1076</v>
      </c>
      <c r="B674">
        <v>674</v>
      </c>
      <c r="C674">
        <v>3</v>
      </c>
      <c r="D674" t="s">
        <v>714</v>
      </c>
    </row>
    <row r="675" spans="1:4" x14ac:dyDescent="0.25">
      <c r="A675">
        <v>1077</v>
      </c>
      <c r="B675">
        <v>675</v>
      </c>
      <c r="C675">
        <v>726</v>
      </c>
      <c r="D675" t="s">
        <v>715</v>
      </c>
    </row>
    <row r="676" spans="1:4" x14ac:dyDescent="0.25">
      <c r="A676">
        <v>1078</v>
      </c>
      <c r="B676">
        <v>676</v>
      </c>
      <c r="C676">
        <v>726</v>
      </c>
      <c r="D676" t="s">
        <v>716</v>
      </c>
    </row>
    <row r="677" spans="1:4" x14ac:dyDescent="0.25">
      <c r="A677">
        <v>1079</v>
      </c>
      <c r="B677">
        <v>677</v>
      </c>
      <c r="C677">
        <v>726</v>
      </c>
      <c r="D677" t="s">
        <v>717</v>
      </c>
    </row>
    <row r="678" spans="1:4" x14ac:dyDescent="0.25">
      <c r="A678">
        <v>1080</v>
      </c>
      <c r="B678">
        <v>678</v>
      </c>
      <c r="C678">
        <v>101</v>
      </c>
      <c r="D678" t="s">
        <v>64</v>
      </c>
    </row>
    <row r="679" spans="1:4" x14ac:dyDescent="0.25">
      <c r="A679">
        <v>1081</v>
      </c>
      <c r="B679">
        <v>679</v>
      </c>
      <c r="C679">
        <v>823</v>
      </c>
      <c r="D679" t="s">
        <v>67</v>
      </c>
    </row>
    <row r="680" spans="1:4" x14ac:dyDescent="0.25">
      <c r="A680">
        <v>1082</v>
      </c>
      <c r="B680">
        <v>680</v>
      </c>
      <c r="C680">
        <v>726</v>
      </c>
      <c r="D680" t="s">
        <v>718</v>
      </c>
    </row>
    <row r="681" spans="1:4" x14ac:dyDescent="0.25">
      <c r="A681">
        <v>1083</v>
      </c>
      <c r="B681">
        <v>681</v>
      </c>
      <c r="C681">
        <v>726</v>
      </c>
      <c r="D681" t="s">
        <v>719</v>
      </c>
    </row>
    <row r="682" spans="1:4" x14ac:dyDescent="0.25">
      <c r="A682">
        <v>1085</v>
      </c>
      <c r="B682">
        <v>682</v>
      </c>
      <c r="C682">
        <v>1086</v>
      </c>
      <c r="D682" t="s">
        <v>721</v>
      </c>
    </row>
    <row r="683" spans="1:4" x14ac:dyDescent="0.25">
      <c r="A683">
        <v>1086</v>
      </c>
      <c r="B683">
        <v>683</v>
      </c>
      <c r="C683">
        <v>1086</v>
      </c>
      <c r="D683" t="s">
        <v>1384</v>
      </c>
    </row>
    <row r="684" spans="1:4" x14ac:dyDescent="0.25">
      <c r="A684">
        <v>1088</v>
      </c>
      <c r="B684">
        <v>684</v>
      </c>
      <c r="C684">
        <v>1086</v>
      </c>
      <c r="D684" t="s">
        <v>1411</v>
      </c>
    </row>
    <row r="685" spans="1:4" x14ac:dyDescent="0.25">
      <c r="A685">
        <v>1089</v>
      </c>
      <c r="B685">
        <v>685</v>
      </c>
      <c r="C685">
        <v>1086</v>
      </c>
      <c r="D685" t="s">
        <v>1385</v>
      </c>
    </row>
    <row r="686" spans="1:4" x14ac:dyDescent="0.25">
      <c r="A686">
        <v>1090</v>
      </c>
      <c r="B686">
        <v>686</v>
      </c>
      <c r="C686">
        <v>1086</v>
      </c>
      <c r="D686" t="s">
        <v>1386</v>
      </c>
    </row>
    <row r="687" spans="1:4" x14ac:dyDescent="0.25">
      <c r="A687">
        <v>1091</v>
      </c>
      <c r="B687">
        <v>687</v>
      </c>
      <c r="C687">
        <v>1086</v>
      </c>
      <c r="D687" t="s">
        <v>1387</v>
      </c>
    </row>
    <row r="688" spans="1:4" x14ac:dyDescent="0.25">
      <c r="A688">
        <v>1092</v>
      </c>
      <c r="B688">
        <v>688</v>
      </c>
      <c r="C688">
        <v>1086</v>
      </c>
      <c r="D688" t="s">
        <v>1388</v>
      </c>
    </row>
    <row r="689" spans="1:4" x14ac:dyDescent="0.25">
      <c r="A689">
        <v>1094</v>
      </c>
      <c r="B689">
        <v>689</v>
      </c>
      <c r="C689">
        <v>1086</v>
      </c>
      <c r="D689" t="s">
        <v>1389</v>
      </c>
    </row>
    <row r="690" spans="1:4" x14ac:dyDescent="0.25">
      <c r="A690">
        <v>1095</v>
      </c>
      <c r="B690">
        <v>690</v>
      </c>
      <c r="C690">
        <v>1086</v>
      </c>
      <c r="D690" t="s">
        <v>1390</v>
      </c>
    </row>
    <row r="691" spans="1:4" x14ac:dyDescent="0.25">
      <c r="A691">
        <v>1096</v>
      </c>
      <c r="B691">
        <v>691</v>
      </c>
      <c r="C691">
        <v>1086</v>
      </c>
      <c r="D691" t="s">
        <v>1391</v>
      </c>
    </row>
    <row r="692" spans="1:4" x14ac:dyDescent="0.25">
      <c r="A692">
        <v>1097</v>
      </c>
      <c r="B692">
        <v>692</v>
      </c>
      <c r="C692">
        <v>1086</v>
      </c>
      <c r="D692" t="s">
        <v>1392</v>
      </c>
    </row>
    <row r="693" spans="1:4" x14ac:dyDescent="0.25">
      <c r="A693">
        <v>1098</v>
      </c>
      <c r="B693">
        <v>693</v>
      </c>
      <c r="C693">
        <v>1086</v>
      </c>
      <c r="D693" t="s">
        <v>1393</v>
      </c>
    </row>
    <row r="694" spans="1:4" x14ac:dyDescent="0.25">
      <c r="A694">
        <v>1099</v>
      </c>
      <c r="B694">
        <v>694</v>
      </c>
      <c r="C694">
        <v>1086</v>
      </c>
      <c r="D694" t="s">
        <v>1394</v>
      </c>
    </row>
    <row r="695" spans="1:4" x14ac:dyDescent="0.25">
      <c r="A695">
        <v>1101</v>
      </c>
      <c r="B695">
        <v>695</v>
      </c>
      <c r="C695">
        <v>1086</v>
      </c>
      <c r="D695" t="s">
        <v>1395</v>
      </c>
    </row>
    <row r="696" spans="1:4" x14ac:dyDescent="0.25">
      <c r="A696">
        <v>1102</v>
      </c>
      <c r="B696">
        <v>696</v>
      </c>
      <c r="C696">
        <v>1086</v>
      </c>
      <c r="D696" t="s">
        <v>1396</v>
      </c>
    </row>
    <row r="697" spans="1:4" x14ac:dyDescent="0.25">
      <c r="A697">
        <v>1103</v>
      </c>
      <c r="B697">
        <v>697</v>
      </c>
      <c r="C697">
        <v>1086</v>
      </c>
      <c r="D697" t="s">
        <v>1397</v>
      </c>
    </row>
    <row r="698" spans="1:4" x14ac:dyDescent="0.25">
      <c r="A698">
        <v>1105</v>
      </c>
      <c r="B698">
        <v>698</v>
      </c>
      <c r="C698">
        <v>1086</v>
      </c>
      <c r="D698" t="s">
        <v>1398</v>
      </c>
    </row>
    <row r="699" spans="1:4" x14ac:dyDescent="0.25">
      <c r="A699">
        <v>1106</v>
      </c>
      <c r="B699">
        <v>699</v>
      </c>
      <c r="C699">
        <v>1086</v>
      </c>
      <c r="D699" t="s">
        <v>1399</v>
      </c>
    </row>
    <row r="700" spans="1:4" x14ac:dyDescent="0.25">
      <c r="A700">
        <v>1107</v>
      </c>
      <c r="B700">
        <v>700</v>
      </c>
      <c r="C700">
        <v>1107</v>
      </c>
      <c r="D700" t="s">
        <v>723</v>
      </c>
    </row>
    <row r="701" spans="1:4" x14ac:dyDescent="0.25">
      <c r="A701">
        <v>1108</v>
      </c>
      <c r="B701">
        <v>701</v>
      </c>
      <c r="C701">
        <v>726</v>
      </c>
      <c r="D701" t="s">
        <v>722</v>
      </c>
    </row>
    <row r="702" spans="1:4" x14ac:dyDescent="0.25">
      <c r="A702">
        <v>1109</v>
      </c>
      <c r="B702">
        <v>702</v>
      </c>
      <c r="C702">
        <v>101</v>
      </c>
      <c r="D702" t="s">
        <v>720</v>
      </c>
    </row>
    <row r="703" spans="1:4" x14ac:dyDescent="0.25">
      <c r="A703">
        <v>1110</v>
      </c>
      <c r="B703">
        <v>703</v>
      </c>
      <c r="C703">
        <v>1086</v>
      </c>
      <c r="D703" t="s">
        <v>1400</v>
      </c>
    </row>
    <row r="704" spans="1:4" x14ac:dyDescent="0.25">
      <c r="A704">
        <v>1111</v>
      </c>
      <c r="B704">
        <v>704</v>
      </c>
      <c r="C704">
        <v>1086</v>
      </c>
      <c r="D704" t="s">
        <v>1401</v>
      </c>
    </row>
    <row r="705" spans="1:4" x14ac:dyDescent="0.25">
      <c r="A705">
        <v>1112</v>
      </c>
      <c r="B705">
        <v>705</v>
      </c>
      <c r="C705">
        <v>1086</v>
      </c>
      <c r="D705" t="s">
        <v>1402</v>
      </c>
    </row>
    <row r="706" spans="1:4" x14ac:dyDescent="0.25">
      <c r="A706">
        <v>1113</v>
      </c>
      <c r="B706">
        <v>706</v>
      </c>
      <c r="C706">
        <v>1086</v>
      </c>
      <c r="D706" t="s">
        <v>1403</v>
      </c>
    </row>
    <row r="707" spans="1:4" x14ac:dyDescent="0.25">
      <c r="A707">
        <v>1114</v>
      </c>
      <c r="B707">
        <v>707</v>
      </c>
      <c r="C707">
        <v>1086</v>
      </c>
      <c r="D707" t="s">
        <v>1404</v>
      </c>
    </row>
    <row r="708" spans="1:4" x14ac:dyDescent="0.25">
      <c r="A708">
        <v>1115</v>
      </c>
      <c r="B708">
        <v>708</v>
      </c>
      <c r="C708">
        <v>1086</v>
      </c>
      <c r="D708" t="s">
        <v>1405</v>
      </c>
    </row>
    <row r="709" spans="1:4" x14ac:dyDescent="0.25">
      <c r="A709">
        <v>1116</v>
      </c>
      <c r="B709">
        <v>709</v>
      </c>
      <c r="C709">
        <v>1116</v>
      </c>
      <c r="D709" t="s">
        <v>1380</v>
      </c>
    </row>
    <row r="710" spans="1:4" x14ac:dyDescent="0.25">
      <c r="A710">
        <v>1117</v>
      </c>
      <c r="B710">
        <v>710</v>
      </c>
      <c r="C710">
        <v>1086</v>
      </c>
      <c r="D710" t="s">
        <v>1406</v>
      </c>
    </row>
    <row r="711" spans="1:4" x14ac:dyDescent="0.25">
      <c r="A711">
        <v>1118</v>
      </c>
      <c r="B711">
        <v>711</v>
      </c>
      <c r="C711">
        <v>1086</v>
      </c>
      <c r="D711" t="s">
        <v>1407</v>
      </c>
    </row>
    <row r="712" spans="1:4" x14ac:dyDescent="0.25">
      <c r="A712">
        <v>1119</v>
      </c>
      <c r="B712">
        <v>712</v>
      </c>
      <c r="C712">
        <v>1086</v>
      </c>
      <c r="D712" t="s">
        <v>1408</v>
      </c>
    </row>
    <row r="713" spans="1:4" x14ac:dyDescent="0.25">
      <c r="A713">
        <v>1120</v>
      </c>
      <c r="B713">
        <v>713</v>
      </c>
      <c r="C713">
        <v>1086</v>
      </c>
      <c r="D713" t="s">
        <v>1409</v>
      </c>
    </row>
    <row r="714" spans="1:4" x14ac:dyDescent="0.25">
      <c r="A714">
        <v>1121</v>
      </c>
      <c r="B714">
        <v>714</v>
      </c>
      <c r="C714">
        <v>1086</v>
      </c>
      <c r="D714" t="s">
        <v>1342</v>
      </c>
    </row>
    <row r="715" spans="1:4" x14ac:dyDescent="0.25">
      <c r="A715">
        <v>1122</v>
      </c>
      <c r="B715">
        <v>715</v>
      </c>
      <c r="C715">
        <v>1086</v>
      </c>
      <c r="D715" t="s">
        <v>1479</v>
      </c>
    </row>
    <row r="716" spans="1:4" x14ac:dyDescent="0.25">
      <c r="A716">
        <v>1123</v>
      </c>
      <c r="B716">
        <v>716</v>
      </c>
      <c r="C716">
        <v>383</v>
      </c>
      <c r="D716" t="s">
        <v>1480</v>
      </c>
    </row>
    <row r="717" spans="1:4" x14ac:dyDescent="0.25">
      <c r="A717">
        <v>1125</v>
      </c>
      <c r="B717">
        <v>717</v>
      </c>
      <c r="C717">
        <v>101</v>
      </c>
      <c r="D717" t="s">
        <v>698</v>
      </c>
    </row>
    <row r="718" spans="1:4" x14ac:dyDescent="0.25">
      <c r="A718">
        <v>1126</v>
      </c>
      <c r="B718">
        <v>718</v>
      </c>
      <c r="C718">
        <v>888</v>
      </c>
      <c r="D718" t="s">
        <v>702</v>
      </c>
    </row>
    <row r="719" spans="1:4" x14ac:dyDescent="0.25">
      <c r="A719">
        <v>1128</v>
      </c>
      <c r="B719">
        <v>719</v>
      </c>
      <c r="C719">
        <v>1086</v>
      </c>
      <c r="D719" t="s">
        <v>1381</v>
      </c>
    </row>
    <row r="720" spans="1:4" x14ac:dyDescent="0.25">
      <c r="A720">
        <v>1129</v>
      </c>
      <c r="B720">
        <v>720</v>
      </c>
      <c r="C720">
        <v>1086</v>
      </c>
      <c r="D720" t="s">
        <v>1382</v>
      </c>
    </row>
    <row r="721" spans="1:4" x14ac:dyDescent="0.25">
      <c r="A721">
        <v>1130</v>
      </c>
      <c r="B721">
        <v>721</v>
      </c>
      <c r="C721">
        <v>1086</v>
      </c>
      <c r="D721" t="s">
        <v>1383</v>
      </c>
    </row>
    <row r="722" spans="1:4" x14ac:dyDescent="0.25">
      <c r="A722">
        <v>1133</v>
      </c>
      <c r="B722">
        <v>722</v>
      </c>
      <c r="C722">
        <v>1133</v>
      </c>
      <c r="D722" t="s">
        <v>1577</v>
      </c>
    </row>
    <row r="723" spans="1:4" x14ac:dyDescent="0.25">
      <c r="A723">
        <v>1134</v>
      </c>
      <c r="B723">
        <v>723</v>
      </c>
      <c r="C723">
        <v>1133</v>
      </c>
      <c r="D723" t="s">
        <v>1578</v>
      </c>
    </row>
    <row r="724" spans="1:4" x14ac:dyDescent="0.25">
      <c r="A724">
        <v>1135</v>
      </c>
      <c r="B724">
        <v>724</v>
      </c>
      <c r="C724">
        <v>1133</v>
      </c>
      <c r="D724" t="s">
        <v>1579</v>
      </c>
    </row>
    <row r="725" spans="1:4" x14ac:dyDescent="0.25">
      <c r="A725">
        <v>1136</v>
      </c>
      <c r="B725">
        <v>725</v>
      </c>
      <c r="C725">
        <v>1133</v>
      </c>
      <c r="D725" t="s">
        <v>1580</v>
      </c>
    </row>
    <row r="726" spans="1:4" x14ac:dyDescent="0.25">
      <c r="A726">
        <v>1137</v>
      </c>
      <c r="B726">
        <v>726</v>
      </c>
      <c r="C726">
        <v>1133</v>
      </c>
      <c r="D726" t="s">
        <v>1581</v>
      </c>
    </row>
    <row r="727" spans="1:4" x14ac:dyDescent="0.25">
      <c r="A727">
        <v>1138</v>
      </c>
      <c r="B727">
        <v>727</v>
      </c>
      <c r="C727">
        <v>1133</v>
      </c>
      <c r="D727" t="s">
        <v>1483</v>
      </c>
    </row>
    <row r="728" spans="1:4" x14ac:dyDescent="0.25">
      <c r="A728">
        <v>1139</v>
      </c>
      <c r="B728">
        <v>728</v>
      </c>
      <c r="C728">
        <v>1133</v>
      </c>
      <c r="D728" t="s">
        <v>1582</v>
      </c>
    </row>
    <row r="729" spans="1:4" x14ac:dyDescent="0.25">
      <c r="A729">
        <v>1140</v>
      </c>
      <c r="B729">
        <v>729</v>
      </c>
      <c r="C729">
        <v>104</v>
      </c>
      <c r="D729" t="s">
        <v>1485</v>
      </c>
    </row>
    <row r="730" spans="1:4" x14ac:dyDescent="0.25">
      <c r="A730">
        <v>1141</v>
      </c>
      <c r="B730">
        <v>730</v>
      </c>
      <c r="C730">
        <v>101</v>
      </c>
      <c r="D730" t="s">
        <v>1491</v>
      </c>
    </row>
    <row r="731" spans="1:4" x14ac:dyDescent="0.25">
      <c r="A731">
        <v>1142</v>
      </c>
      <c r="B731">
        <v>731</v>
      </c>
      <c r="C731">
        <v>1142</v>
      </c>
      <c r="D731" t="s">
        <v>413</v>
      </c>
    </row>
    <row r="732" spans="1:4" x14ac:dyDescent="0.25">
      <c r="A732">
        <v>1143</v>
      </c>
      <c r="B732">
        <v>732</v>
      </c>
      <c r="C732">
        <v>19</v>
      </c>
      <c r="D732" t="s">
        <v>1486</v>
      </c>
    </row>
    <row r="733" spans="1:4" x14ac:dyDescent="0.25">
      <c r="A733">
        <v>1144</v>
      </c>
      <c r="B733">
        <v>733</v>
      </c>
      <c r="C733">
        <v>1144</v>
      </c>
      <c r="D733" t="s">
        <v>1487</v>
      </c>
    </row>
    <row r="734" spans="1:4" x14ac:dyDescent="0.25">
      <c r="A734">
        <v>1145</v>
      </c>
      <c r="B734">
        <v>734</v>
      </c>
      <c r="C734">
        <v>1133</v>
      </c>
      <c r="D734" t="s">
        <v>1583</v>
      </c>
    </row>
    <row r="735" spans="1:4" x14ac:dyDescent="0.25">
      <c r="A735">
        <v>1146</v>
      </c>
      <c r="B735">
        <v>735</v>
      </c>
      <c r="C735">
        <v>1133</v>
      </c>
      <c r="D735" t="s">
        <v>1584</v>
      </c>
    </row>
    <row r="736" spans="1:4" x14ac:dyDescent="0.25">
      <c r="A736">
        <v>1147</v>
      </c>
      <c r="B736">
        <v>736</v>
      </c>
      <c r="C736">
        <v>1133</v>
      </c>
      <c r="D736" t="s">
        <v>1585</v>
      </c>
    </row>
    <row r="737" spans="1:4" x14ac:dyDescent="0.25">
      <c r="A737">
        <v>1148</v>
      </c>
      <c r="B737">
        <v>737</v>
      </c>
      <c r="C737">
        <v>1133</v>
      </c>
      <c r="D737" t="s">
        <v>1589</v>
      </c>
    </row>
    <row r="738" spans="1:4" x14ac:dyDescent="0.25">
      <c r="A738">
        <v>1149</v>
      </c>
      <c r="B738">
        <v>738</v>
      </c>
      <c r="C738">
        <v>1133</v>
      </c>
      <c r="D738" t="s">
        <v>1586</v>
      </c>
    </row>
    <row r="739" spans="1:4" x14ac:dyDescent="0.25">
      <c r="A739">
        <v>1150</v>
      </c>
      <c r="B739">
        <v>739</v>
      </c>
      <c r="C739">
        <v>1133</v>
      </c>
      <c r="D739" t="s">
        <v>1588</v>
      </c>
    </row>
    <row r="740" spans="1:4" x14ac:dyDescent="0.25">
      <c r="A740">
        <v>1151</v>
      </c>
      <c r="B740">
        <v>740</v>
      </c>
      <c r="C740">
        <v>1133</v>
      </c>
      <c r="D740" t="s">
        <v>1587</v>
      </c>
    </row>
    <row r="741" spans="1:4" x14ac:dyDescent="0.25">
      <c r="A741">
        <v>1152</v>
      </c>
      <c r="B741">
        <v>741</v>
      </c>
      <c r="C741">
        <v>684</v>
      </c>
      <c r="D741" t="s">
        <v>1638</v>
      </c>
    </row>
    <row r="742" spans="1:4" x14ac:dyDescent="0.25">
      <c r="A742">
        <v>1153</v>
      </c>
      <c r="B742">
        <v>742</v>
      </c>
      <c r="C742">
        <v>92</v>
      </c>
      <c r="D742" t="s">
        <v>1637</v>
      </c>
    </row>
    <row r="743" spans="1:4" x14ac:dyDescent="0.25">
      <c r="A743">
        <v>1154</v>
      </c>
      <c r="B743">
        <v>743</v>
      </c>
      <c r="C743">
        <v>1086</v>
      </c>
      <c r="D743" t="s">
        <v>1489</v>
      </c>
    </row>
    <row r="744" spans="1:4" x14ac:dyDescent="0.25">
      <c r="A744">
        <v>1155</v>
      </c>
      <c r="B744">
        <v>744</v>
      </c>
      <c r="C744">
        <v>20</v>
      </c>
      <c r="D744" t="s">
        <v>1490</v>
      </c>
    </row>
    <row r="745" spans="1:4" x14ac:dyDescent="0.25">
      <c r="A745">
        <v>1160</v>
      </c>
      <c r="B745">
        <v>745</v>
      </c>
      <c r="C745">
        <v>1160</v>
      </c>
      <c r="D745" t="s">
        <v>1677</v>
      </c>
    </row>
    <row r="746" spans="1:4" x14ac:dyDescent="0.25">
      <c r="A746">
        <v>1161</v>
      </c>
      <c r="B746">
        <v>746</v>
      </c>
      <c r="C746">
        <v>1161</v>
      </c>
      <c r="D746" t="s">
        <v>1707</v>
      </c>
    </row>
    <row r="747" spans="1:4" x14ac:dyDescent="0.25">
      <c r="A747">
        <v>1165</v>
      </c>
      <c r="B747">
        <v>747</v>
      </c>
      <c r="C747">
        <v>1161</v>
      </c>
      <c r="D747" t="s">
        <v>1678</v>
      </c>
    </row>
    <row r="748" spans="1:4" x14ac:dyDescent="0.25">
      <c r="A748">
        <v>1166</v>
      </c>
      <c r="B748">
        <v>748</v>
      </c>
      <c r="C748">
        <v>1160</v>
      </c>
      <c r="D748" t="s">
        <v>1706</v>
      </c>
    </row>
    <row r="749" spans="1:4" x14ac:dyDescent="0.25">
      <c r="A749">
        <v>1167</v>
      </c>
      <c r="B749">
        <v>749</v>
      </c>
      <c r="C749">
        <v>1160</v>
      </c>
      <c r="D749" t="s">
        <v>1679</v>
      </c>
    </row>
    <row r="750" spans="1:4" x14ac:dyDescent="0.25">
      <c r="A750">
        <v>1168</v>
      </c>
      <c r="B750">
        <v>750</v>
      </c>
      <c r="C750">
        <v>1160</v>
      </c>
      <c r="D750" t="s">
        <v>1705</v>
      </c>
    </row>
    <row r="751" spans="1:4" x14ac:dyDescent="0.25">
      <c r="A751">
        <v>1169</v>
      </c>
      <c r="B751">
        <v>751</v>
      </c>
      <c r="C751">
        <v>1160</v>
      </c>
      <c r="D751" t="s">
        <v>1680</v>
      </c>
    </row>
    <row r="752" spans="1:4" x14ac:dyDescent="0.25">
      <c r="A752">
        <v>1170</v>
      </c>
      <c r="B752">
        <v>752</v>
      </c>
      <c r="C752">
        <v>1160</v>
      </c>
      <c r="D752" t="s">
        <v>1704</v>
      </c>
    </row>
    <row r="753" spans="1:4" x14ac:dyDescent="0.25">
      <c r="A753">
        <v>1171</v>
      </c>
      <c r="B753">
        <v>753</v>
      </c>
      <c r="C753">
        <v>1161</v>
      </c>
      <c r="D753" t="s">
        <v>1681</v>
      </c>
    </row>
    <row r="754" spans="1:4" x14ac:dyDescent="0.25">
      <c r="A754">
        <v>1172</v>
      </c>
      <c r="B754">
        <v>754</v>
      </c>
      <c r="C754">
        <v>1161</v>
      </c>
      <c r="D754" t="s">
        <v>1702</v>
      </c>
    </row>
    <row r="755" spans="1:4" x14ac:dyDescent="0.25">
      <c r="A755">
        <v>1173</v>
      </c>
      <c r="B755">
        <v>755</v>
      </c>
      <c r="C755">
        <v>1161</v>
      </c>
      <c r="D755" t="s">
        <v>1682</v>
      </c>
    </row>
    <row r="756" spans="1:4" x14ac:dyDescent="0.25">
      <c r="A756">
        <v>1174</v>
      </c>
      <c r="B756">
        <v>756</v>
      </c>
      <c r="C756">
        <v>1160</v>
      </c>
      <c r="D756" t="s">
        <v>1683</v>
      </c>
    </row>
    <row r="757" spans="1:4" x14ac:dyDescent="0.25">
      <c r="A757">
        <v>1175</v>
      </c>
      <c r="B757">
        <v>757</v>
      </c>
      <c r="C757">
        <v>1175</v>
      </c>
      <c r="D757" t="s">
        <v>1684</v>
      </c>
    </row>
    <row r="758" spans="1:4" x14ac:dyDescent="0.25">
      <c r="A758">
        <v>1176</v>
      </c>
      <c r="B758">
        <v>758</v>
      </c>
      <c r="C758">
        <v>1160</v>
      </c>
      <c r="D758" t="s">
        <v>1685</v>
      </c>
    </row>
    <row r="759" spans="1:4" x14ac:dyDescent="0.25">
      <c r="A759">
        <v>1177</v>
      </c>
      <c r="B759">
        <v>759</v>
      </c>
      <c r="C759">
        <v>1160</v>
      </c>
      <c r="D759" t="s">
        <v>1686</v>
      </c>
    </row>
    <row r="760" spans="1:4" x14ac:dyDescent="0.25">
      <c r="A760">
        <v>1178</v>
      </c>
      <c r="B760">
        <v>760</v>
      </c>
      <c r="C760">
        <v>1160</v>
      </c>
      <c r="D760" t="s">
        <v>1687</v>
      </c>
    </row>
    <row r="761" spans="1:4" x14ac:dyDescent="0.25">
      <c r="A761">
        <v>1179</v>
      </c>
      <c r="B761">
        <v>761</v>
      </c>
      <c r="C761">
        <v>1160</v>
      </c>
      <c r="D761" t="s">
        <v>1688</v>
      </c>
    </row>
    <row r="762" spans="1:4" x14ac:dyDescent="0.25">
      <c r="A762">
        <v>1180</v>
      </c>
      <c r="B762">
        <v>762</v>
      </c>
      <c r="C762">
        <v>383</v>
      </c>
      <c r="D762" t="s">
        <v>2386</v>
      </c>
    </row>
    <row r="763" spans="1:4" x14ac:dyDescent="0.25">
      <c r="A763">
        <v>1181</v>
      </c>
      <c r="B763">
        <v>763</v>
      </c>
      <c r="C763">
        <v>1161</v>
      </c>
      <c r="D763" t="s">
        <v>1689</v>
      </c>
    </row>
    <row r="764" spans="1:4" x14ac:dyDescent="0.25">
      <c r="A764">
        <v>1182</v>
      </c>
      <c r="B764">
        <v>764</v>
      </c>
      <c r="C764">
        <v>1160</v>
      </c>
      <c r="D764" t="s">
        <v>1690</v>
      </c>
    </row>
    <row r="765" spans="1:4" x14ac:dyDescent="0.25">
      <c r="A765">
        <v>1183</v>
      </c>
      <c r="B765">
        <v>765</v>
      </c>
      <c r="C765">
        <v>1161</v>
      </c>
      <c r="D765" t="s">
        <v>1701</v>
      </c>
    </row>
    <row r="766" spans="1:4" x14ac:dyDescent="0.25">
      <c r="A766">
        <v>1184</v>
      </c>
      <c r="B766">
        <v>766</v>
      </c>
      <c r="C766">
        <v>1161</v>
      </c>
      <c r="D766" t="s">
        <v>1691</v>
      </c>
    </row>
    <row r="767" spans="1:4" x14ac:dyDescent="0.25">
      <c r="A767">
        <v>1185</v>
      </c>
      <c r="B767">
        <v>767</v>
      </c>
      <c r="C767">
        <v>1160</v>
      </c>
      <c r="D767" t="s">
        <v>1692</v>
      </c>
    </row>
    <row r="768" spans="1:4" x14ac:dyDescent="0.25">
      <c r="A768">
        <v>1186</v>
      </c>
      <c r="B768">
        <v>768</v>
      </c>
      <c r="C768">
        <v>1160</v>
      </c>
      <c r="D768" t="s">
        <v>1700</v>
      </c>
    </row>
    <row r="769" spans="1:4" x14ac:dyDescent="0.25">
      <c r="A769">
        <v>1187</v>
      </c>
      <c r="B769">
        <v>769</v>
      </c>
      <c r="C769">
        <v>1161</v>
      </c>
      <c r="D769" t="s">
        <v>1693</v>
      </c>
    </row>
    <row r="770" spans="1:4" x14ac:dyDescent="0.25">
      <c r="A770">
        <v>1188</v>
      </c>
      <c r="B770">
        <v>770</v>
      </c>
      <c r="C770">
        <v>101</v>
      </c>
      <c r="D770" t="s">
        <v>1694</v>
      </c>
    </row>
    <row r="771" spans="1:4" x14ac:dyDescent="0.25">
      <c r="A771">
        <v>1189</v>
      </c>
      <c r="B771">
        <v>771</v>
      </c>
      <c r="C771">
        <v>101</v>
      </c>
      <c r="D771" t="s">
        <v>1694</v>
      </c>
    </row>
    <row r="772" spans="1:4" x14ac:dyDescent="0.25">
      <c r="A772">
        <v>1190</v>
      </c>
      <c r="B772">
        <v>772</v>
      </c>
      <c r="C772">
        <v>103</v>
      </c>
      <c r="D772" t="s">
        <v>1650</v>
      </c>
    </row>
    <row r="773" spans="1:4" x14ac:dyDescent="0.25">
      <c r="A773">
        <v>1191</v>
      </c>
      <c r="B773">
        <v>773</v>
      </c>
      <c r="C773">
        <v>101</v>
      </c>
      <c r="D773" t="s">
        <v>1649</v>
      </c>
    </row>
    <row r="774" spans="1:4" x14ac:dyDescent="0.25">
      <c r="A774">
        <v>1192</v>
      </c>
      <c r="B774">
        <v>774</v>
      </c>
      <c r="C774">
        <v>1133</v>
      </c>
      <c r="D774" t="s">
        <v>1590</v>
      </c>
    </row>
    <row r="775" spans="1:4" x14ac:dyDescent="0.25">
      <c r="A775">
        <v>1193</v>
      </c>
      <c r="B775">
        <v>775</v>
      </c>
      <c r="C775">
        <v>1133</v>
      </c>
      <c r="D775" t="s">
        <v>1591</v>
      </c>
    </row>
    <row r="776" spans="1:4" x14ac:dyDescent="0.25">
      <c r="A776">
        <v>1195</v>
      </c>
      <c r="B776">
        <v>776</v>
      </c>
      <c r="C776">
        <v>1161</v>
      </c>
      <c r="D776" t="s">
        <v>1695</v>
      </c>
    </row>
    <row r="777" spans="1:4" x14ac:dyDescent="0.25">
      <c r="A777">
        <v>1196</v>
      </c>
      <c r="B777">
        <v>777</v>
      </c>
      <c r="C777">
        <v>1160</v>
      </c>
      <c r="D777" t="s">
        <v>1696</v>
      </c>
    </row>
    <row r="778" spans="1:4" x14ac:dyDescent="0.25">
      <c r="A778">
        <v>1197</v>
      </c>
      <c r="B778">
        <v>778</v>
      </c>
      <c r="C778">
        <v>1161</v>
      </c>
      <c r="D778" t="s">
        <v>1797</v>
      </c>
    </row>
    <row r="779" spans="1:4" x14ac:dyDescent="0.25">
      <c r="A779">
        <v>1199</v>
      </c>
      <c r="B779">
        <v>779</v>
      </c>
      <c r="C779">
        <v>684</v>
      </c>
      <c r="D779" t="s">
        <v>1648</v>
      </c>
    </row>
    <row r="780" spans="1:4" x14ac:dyDescent="0.25">
      <c r="A780">
        <v>1200</v>
      </c>
      <c r="B780">
        <v>780</v>
      </c>
      <c r="C780">
        <v>92</v>
      </c>
      <c r="D780" t="s">
        <v>1647</v>
      </c>
    </row>
    <row r="781" spans="1:4" x14ac:dyDescent="0.25">
      <c r="A781">
        <v>1201</v>
      </c>
      <c r="B781">
        <v>781</v>
      </c>
      <c r="C781">
        <v>1160</v>
      </c>
      <c r="D781" t="s">
        <v>1792</v>
      </c>
    </row>
    <row r="782" spans="1:4" x14ac:dyDescent="0.25">
      <c r="A782">
        <v>1204</v>
      </c>
      <c r="B782">
        <v>782</v>
      </c>
      <c r="C782">
        <v>1204</v>
      </c>
      <c r="D782" t="s">
        <v>2142</v>
      </c>
    </row>
    <row r="783" spans="1:4" x14ac:dyDescent="0.25">
      <c r="A783">
        <v>1205</v>
      </c>
      <c r="B783">
        <v>783</v>
      </c>
      <c r="C783">
        <v>20</v>
      </c>
      <c r="D783" t="s">
        <v>2144</v>
      </c>
    </row>
    <row r="784" spans="1:4" x14ac:dyDescent="0.25">
      <c r="A784">
        <v>1206</v>
      </c>
      <c r="B784">
        <v>784</v>
      </c>
      <c r="C784">
        <v>20</v>
      </c>
      <c r="D784" t="s">
        <v>2143</v>
      </c>
    </row>
    <row r="785" spans="1:4" x14ac:dyDescent="0.25">
      <c r="A785">
        <v>1207</v>
      </c>
      <c r="B785">
        <v>785</v>
      </c>
      <c r="C785">
        <v>1207</v>
      </c>
      <c r="D785" t="s">
        <v>2203</v>
      </c>
    </row>
    <row r="786" spans="1:4" x14ac:dyDescent="0.25">
      <c r="A786">
        <v>1208</v>
      </c>
      <c r="B786">
        <v>786</v>
      </c>
      <c r="C786">
        <v>1208</v>
      </c>
      <c r="D786" t="s">
        <v>2204</v>
      </c>
    </row>
    <row r="787" spans="1:4" x14ac:dyDescent="0.25">
      <c r="A787">
        <v>1209</v>
      </c>
      <c r="B787">
        <v>787</v>
      </c>
      <c r="C787">
        <v>1207</v>
      </c>
      <c r="D787" t="s">
        <v>2205</v>
      </c>
    </row>
    <row r="788" spans="1:4" x14ac:dyDescent="0.25">
      <c r="A788">
        <v>1210</v>
      </c>
      <c r="B788">
        <v>788</v>
      </c>
      <c r="C788">
        <v>1207</v>
      </c>
      <c r="D788" t="s">
        <v>2206</v>
      </c>
    </row>
    <row r="789" spans="1:4" x14ac:dyDescent="0.25">
      <c r="A789">
        <v>1211</v>
      </c>
      <c r="B789">
        <v>789</v>
      </c>
      <c r="C789">
        <v>1207</v>
      </c>
      <c r="D789" t="s">
        <v>2218</v>
      </c>
    </row>
    <row r="790" spans="1:4" x14ac:dyDescent="0.25">
      <c r="A790">
        <v>1212</v>
      </c>
      <c r="B790">
        <v>790</v>
      </c>
      <c r="C790">
        <v>1208</v>
      </c>
      <c r="D790" t="s">
        <v>2217</v>
      </c>
    </row>
    <row r="791" spans="1:4" x14ac:dyDescent="0.25">
      <c r="A791">
        <v>1213</v>
      </c>
      <c r="B791">
        <v>791</v>
      </c>
      <c r="C791">
        <v>1207</v>
      </c>
      <c r="D791" t="s">
        <v>2392</v>
      </c>
    </row>
    <row r="792" spans="1:4" x14ac:dyDescent="0.25">
      <c r="A792">
        <v>1214</v>
      </c>
      <c r="B792">
        <v>792</v>
      </c>
      <c r="C792">
        <v>1207</v>
      </c>
      <c r="D792" t="s">
        <v>2216</v>
      </c>
    </row>
    <row r="793" spans="1:4" x14ac:dyDescent="0.25">
      <c r="A793">
        <v>1215</v>
      </c>
      <c r="B793">
        <v>793</v>
      </c>
      <c r="C793">
        <v>1207</v>
      </c>
      <c r="D793" t="s">
        <v>2215</v>
      </c>
    </row>
    <row r="794" spans="1:4" x14ac:dyDescent="0.25">
      <c r="A794">
        <v>1216</v>
      </c>
      <c r="B794">
        <v>794</v>
      </c>
      <c r="C794">
        <v>1207</v>
      </c>
      <c r="D794" t="s">
        <v>2214</v>
      </c>
    </row>
    <row r="795" spans="1:4" x14ac:dyDescent="0.25">
      <c r="A795">
        <v>1217</v>
      </c>
      <c r="B795">
        <v>795</v>
      </c>
      <c r="C795">
        <v>1208</v>
      </c>
      <c r="D795" t="s">
        <v>2213</v>
      </c>
    </row>
    <row r="796" spans="1:4" x14ac:dyDescent="0.25">
      <c r="A796">
        <v>1218</v>
      </c>
      <c r="B796">
        <v>796</v>
      </c>
      <c r="C796">
        <v>1160</v>
      </c>
      <c r="D796" t="s">
        <v>1697</v>
      </c>
    </row>
    <row r="797" spans="1:4" x14ac:dyDescent="0.25">
      <c r="A797">
        <v>1219</v>
      </c>
      <c r="B797">
        <v>797</v>
      </c>
      <c r="C797">
        <v>1160</v>
      </c>
      <c r="D797" t="s">
        <v>1698</v>
      </c>
    </row>
    <row r="798" spans="1:4" x14ac:dyDescent="0.25">
      <c r="A798">
        <v>1220</v>
      </c>
      <c r="B798">
        <v>798</v>
      </c>
      <c r="C798">
        <v>1161</v>
      </c>
      <c r="D798" t="s">
        <v>1699</v>
      </c>
    </row>
    <row r="799" spans="1:4" x14ac:dyDescent="0.25">
      <c r="A799">
        <v>1221</v>
      </c>
      <c r="B799">
        <v>799</v>
      </c>
      <c r="C799">
        <v>1207</v>
      </c>
      <c r="D799" t="s">
        <v>2207</v>
      </c>
    </row>
    <row r="800" spans="1:4" x14ac:dyDescent="0.25">
      <c r="A800">
        <v>1222</v>
      </c>
      <c r="B800">
        <v>800</v>
      </c>
      <c r="C800">
        <v>1160</v>
      </c>
      <c r="D800" t="s">
        <v>2208</v>
      </c>
    </row>
    <row r="801" spans="1:4" x14ac:dyDescent="0.25">
      <c r="A801">
        <v>1223</v>
      </c>
      <c r="B801">
        <v>801</v>
      </c>
      <c r="C801">
        <v>1207</v>
      </c>
      <c r="D801" t="s">
        <v>2212</v>
      </c>
    </row>
    <row r="802" spans="1:4" x14ac:dyDescent="0.25">
      <c r="A802">
        <v>1224</v>
      </c>
      <c r="B802">
        <v>802</v>
      </c>
      <c r="C802">
        <v>1208</v>
      </c>
      <c r="D802" t="s">
        <v>2211</v>
      </c>
    </row>
    <row r="803" spans="1:4" x14ac:dyDescent="0.25">
      <c r="A803">
        <v>1225</v>
      </c>
      <c r="B803">
        <v>803</v>
      </c>
      <c r="C803">
        <v>1207</v>
      </c>
      <c r="D803" t="s">
        <v>2210</v>
      </c>
    </row>
    <row r="804" spans="1:4" x14ac:dyDescent="0.25">
      <c r="A804">
        <v>1226</v>
      </c>
      <c r="B804">
        <v>804</v>
      </c>
      <c r="C804">
        <v>1207</v>
      </c>
      <c r="D804" t="s">
        <v>2209</v>
      </c>
    </row>
    <row r="805" spans="1:4" x14ac:dyDescent="0.25">
      <c r="A805">
        <v>1227</v>
      </c>
      <c r="B805">
        <v>805</v>
      </c>
      <c r="C805">
        <v>1207</v>
      </c>
      <c r="D805" t="s">
        <v>2202</v>
      </c>
    </row>
    <row r="806" spans="1:4" x14ac:dyDescent="0.25">
      <c r="A806">
        <v>1228</v>
      </c>
      <c r="B806">
        <v>806</v>
      </c>
      <c r="C806">
        <v>823</v>
      </c>
      <c r="D806" t="s">
        <v>2384</v>
      </c>
    </row>
    <row r="807" spans="1:4" x14ac:dyDescent="0.25">
      <c r="A807">
        <v>1229</v>
      </c>
      <c r="B807">
        <v>807</v>
      </c>
      <c r="C807">
        <v>57</v>
      </c>
      <c r="D807" t="s">
        <v>2385</v>
      </c>
    </row>
    <row r="808" spans="1:4" x14ac:dyDescent="0.25">
      <c r="A808">
        <v>1233</v>
      </c>
      <c r="B808">
        <v>808</v>
      </c>
      <c r="C808">
        <v>1160</v>
      </c>
      <c r="D808" t="s">
        <v>2140</v>
      </c>
    </row>
    <row r="809" spans="1:4" x14ac:dyDescent="0.25">
      <c r="A809">
        <v>1234</v>
      </c>
      <c r="B809">
        <v>809</v>
      </c>
      <c r="C809">
        <v>1160</v>
      </c>
      <c r="D809" t="s">
        <v>2141</v>
      </c>
    </row>
    <row r="810" spans="1:4" x14ac:dyDescent="0.25">
      <c r="A810">
        <v>1235</v>
      </c>
      <c r="B810">
        <v>810</v>
      </c>
      <c r="C810">
        <v>383</v>
      </c>
      <c r="D810" t="s">
        <v>2387</v>
      </c>
    </row>
    <row r="811" spans="1:4" x14ac:dyDescent="0.25">
      <c r="A811">
        <v>1236</v>
      </c>
      <c r="B811">
        <v>811</v>
      </c>
      <c r="C811">
        <v>383</v>
      </c>
      <c r="D811" t="s">
        <v>445</v>
      </c>
    </row>
    <row r="812" spans="1:4" x14ac:dyDescent="0.25">
      <c r="A812">
        <v>1237</v>
      </c>
      <c r="B812">
        <v>812</v>
      </c>
      <c r="C812">
        <v>383</v>
      </c>
      <c r="D812" t="s">
        <v>2391</v>
      </c>
    </row>
    <row r="813" spans="1:4" x14ac:dyDescent="0.25">
      <c r="A813">
        <v>1238</v>
      </c>
      <c r="B813">
        <v>813</v>
      </c>
      <c r="C813">
        <v>1261</v>
      </c>
      <c r="D813" t="s">
        <v>2415</v>
      </c>
    </row>
    <row r="814" spans="1:4" x14ac:dyDescent="0.25">
      <c r="A814">
        <v>1239</v>
      </c>
      <c r="B814">
        <v>814</v>
      </c>
      <c r="C814">
        <v>1261</v>
      </c>
      <c r="D814" t="s">
        <v>2412</v>
      </c>
    </row>
    <row r="815" spans="1:4" x14ac:dyDescent="0.25">
      <c r="A815">
        <v>1240</v>
      </c>
      <c r="B815">
        <v>815</v>
      </c>
      <c r="C815">
        <v>1261</v>
      </c>
      <c r="D815" t="s">
        <v>2416</v>
      </c>
    </row>
    <row r="816" spans="1:4" x14ac:dyDescent="0.25">
      <c r="A816">
        <v>1241</v>
      </c>
      <c r="B816">
        <v>816</v>
      </c>
      <c r="C816">
        <v>1261</v>
      </c>
      <c r="D816" t="s">
        <v>2417</v>
      </c>
    </row>
    <row r="817" spans="1:4" x14ac:dyDescent="0.25">
      <c r="A817">
        <v>1242</v>
      </c>
      <c r="B817">
        <v>817</v>
      </c>
      <c r="C817">
        <v>1261</v>
      </c>
      <c r="D817" t="s">
        <v>2418</v>
      </c>
    </row>
    <row r="818" spans="1:4" x14ac:dyDescent="0.25">
      <c r="A818">
        <v>1243</v>
      </c>
      <c r="B818">
        <v>818</v>
      </c>
      <c r="C818">
        <v>1261</v>
      </c>
      <c r="D818" t="s">
        <v>2419</v>
      </c>
    </row>
    <row r="819" spans="1:4" x14ac:dyDescent="0.25">
      <c r="A819">
        <v>1244</v>
      </c>
      <c r="B819">
        <v>819</v>
      </c>
      <c r="C819">
        <v>1261</v>
      </c>
      <c r="D819" t="s">
        <v>2420</v>
      </c>
    </row>
    <row r="820" spans="1:4" x14ac:dyDescent="0.25">
      <c r="A820">
        <v>1245</v>
      </c>
      <c r="B820">
        <v>820</v>
      </c>
      <c r="C820">
        <v>1261</v>
      </c>
      <c r="D820" t="s">
        <v>2421</v>
      </c>
    </row>
    <row r="821" spans="1:4" x14ac:dyDescent="0.25">
      <c r="A821">
        <v>1246</v>
      </c>
      <c r="B821">
        <v>821</v>
      </c>
      <c r="C821">
        <v>1261</v>
      </c>
      <c r="D821" t="s">
        <v>2422</v>
      </c>
    </row>
    <row r="822" spans="1:4" x14ac:dyDescent="0.25">
      <c r="A822">
        <v>1247</v>
      </c>
      <c r="B822">
        <v>822</v>
      </c>
      <c r="C822">
        <v>1261</v>
      </c>
      <c r="D822" t="s">
        <v>2413</v>
      </c>
    </row>
    <row r="823" spans="1:4" x14ac:dyDescent="0.25">
      <c r="A823">
        <v>1248</v>
      </c>
      <c r="B823">
        <v>823</v>
      </c>
      <c r="C823">
        <v>1261</v>
      </c>
      <c r="D823" t="s">
        <v>2423</v>
      </c>
    </row>
    <row r="824" spans="1:4" x14ac:dyDescent="0.25">
      <c r="A824">
        <v>1249</v>
      </c>
      <c r="B824">
        <v>824</v>
      </c>
      <c r="C824">
        <v>1261</v>
      </c>
      <c r="D824" t="s">
        <v>2424</v>
      </c>
    </row>
    <row r="825" spans="1:4" x14ac:dyDescent="0.25">
      <c r="A825">
        <v>1250</v>
      </c>
      <c r="B825">
        <v>825</v>
      </c>
      <c r="C825">
        <v>1261</v>
      </c>
      <c r="D825" t="s">
        <v>2425</v>
      </c>
    </row>
    <row r="826" spans="1:4" x14ac:dyDescent="0.25">
      <c r="A826">
        <v>1251</v>
      </c>
      <c r="B826">
        <v>826</v>
      </c>
      <c r="C826">
        <v>1261</v>
      </c>
      <c r="D826" t="s">
        <v>2426</v>
      </c>
    </row>
    <row r="827" spans="1:4" x14ac:dyDescent="0.25">
      <c r="A827">
        <v>1252</v>
      </c>
      <c r="B827">
        <v>827</v>
      </c>
      <c r="C827">
        <v>1261</v>
      </c>
      <c r="D827" t="s">
        <v>2427</v>
      </c>
    </row>
    <row r="828" spans="1:4" x14ac:dyDescent="0.25">
      <c r="A828">
        <v>1253</v>
      </c>
      <c r="B828">
        <v>828</v>
      </c>
      <c r="C828">
        <v>1261</v>
      </c>
      <c r="D828" t="s">
        <v>2428</v>
      </c>
    </row>
    <row r="829" spans="1:4" x14ac:dyDescent="0.25">
      <c r="A829">
        <v>1254</v>
      </c>
      <c r="B829">
        <v>829</v>
      </c>
      <c r="C829">
        <v>1261</v>
      </c>
      <c r="D829" t="s">
        <v>2408</v>
      </c>
    </row>
    <row r="830" spans="1:4" x14ac:dyDescent="0.25">
      <c r="A830">
        <v>1255</v>
      </c>
      <c r="B830">
        <v>830</v>
      </c>
      <c r="C830">
        <v>1261</v>
      </c>
      <c r="D830" t="s">
        <v>2429</v>
      </c>
    </row>
    <row r="831" spans="1:4" x14ac:dyDescent="0.25">
      <c r="A831">
        <v>1256</v>
      </c>
      <c r="B831">
        <v>831</v>
      </c>
      <c r="C831">
        <v>1261</v>
      </c>
      <c r="D831" t="s">
        <v>2430</v>
      </c>
    </row>
    <row r="832" spans="1:4" x14ac:dyDescent="0.25">
      <c r="A832">
        <v>1257</v>
      </c>
      <c r="B832">
        <v>832</v>
      </c>
      <c r="C832">
        <v>1261</v>
      </c>
      <c r="D832" t="s">
        <v>2411</v>
      </c>
    </row>
    <row r="833" spans="1:4" x14ac:dyDescent="0.25">
      <c r="A833">
        <v>1258</v>
      </c>
      <c r="B833">
        <v>833</v>
      </c>
      <c r="C833">
        <v>1261</v>
      </c>
      <c r="D833" t="s">
        <v>2410</v>
      </c>
    </row>
    <row r="834" spans="1:4" x14ac:dyDescent="0.25">
      <c r="A834">
        <v>1259</v>
      </c>
      <c r="B834">
        <v>834</v>
      </c>
      <c r="C834">
        <v>1261</v>
      </c>
      <c r="D834" t="s">
        <v>2431</v>
      </c>
    </row>
    <row r="835" spans="1:4" x14ac:dyDescent="0.25">
      <c r="A835">
        <v>1260</v>
      </c>
      <c r="B835">
        <v>835</v>
      </c>
      <c r="C835">
        <v>1261</v>
      </c>
      <c r="D835" t="s">
        <v>2432</v>
      </c>
    </row>
    <row r="836" spans="1:4" x14ac:dyDescent="0.25">
      <c r="A836">
        <v>1261</v>
      </c>
      <c r="B836">
        <v>836</v>
      </c>
      <c r="C836">
        <v>1261</v>
      </c>
      <c r="D836" t="s">
        <v>2378</v>
      </c>
    </row>
    <row r="837" spans="1:4" x14ac:dyDescent="0.25">
      <c r="A837">
        <v>1262</v>
      </c>
      <c r="B837">
        <v>837</v>
      </c>
      <c r="C837">
        <v>19</v>
      </c>
      <c r="D837" t="s">
        <v>2390</v>
      </c>
    </row>
    <row r="838" spans="1:4" x14ac:dyDescent="0.25">
      <c r="A838">
        <v>1263</v>
      </c>
      <c r="B838">
        <v>838</v>
      </c>
      <c r="C838">
        <v>1261</v>
      </c>
      <c r="D838" t="s">
        <v>2433</v>
      </c>
    </row>
    <row r="839" spans="1:4" x14ac:dyDescent="0.25">
      <c r="A839">
        <v>1264</v>
      </c>
      <c r="B839">
        <v>839</v>
      </c>
      <c r="C839">
        <v>1207</v>
      </c>
      <c r="D839" t="s">
        <v>2201</v>
      </c>
    </row>
    <row r="840" spans="1:4" x14ac:dyDescent="0.25">
      <c r="A840">
        <v>1265</v>
      </c>
      <c r="B840">
        <v>840</v>
      </c>
      <c r="C840">
        <v>1160</v>
      </c>
      <c r="D840" t="s">
        <v>2200</v>
      </c>
    </row>
    <row r="841" spans="1:4" x14ac:dyDescent="0.25">
      <c r="A841">
        <v>1266</v>
      </c>
      <c r="B841">
        <v>841</v>
      </c>
      <c r="C841">
        <v>1261</v>
      </c>
      <c r="D841" t="s">
        <v>2409</v>
      </c>
    </row>
    <row r="842" spans="1:4" x14ac:dyDescent="0.25">
      <c r="A842">
        <v>1267</v>
      </c>
      <c r="B842">
        <v>842</v>
      </c>
      <c r="C842">
        <v>3</v>
      </c>
      <c r="D842" t="s">
        <v>2486</v>
      </c>
    </row>
    <row r="843" spans="1:4" x14ac:dyDescent="0.25">
      <c r="A843">
        <v>1268</v>
      </c>
      <c r="B843">
        <v>843</v>
      </c>
      <c r="C843">
        <v>1261</v>
      </c>
      <c r="D843" t="s">
        <v>2491</v>
      </c>
    </row>
    <row r="844" spans="1:4" x14ac:dyDescent="0.25">
      <c r="A844">
        <v>1270</v>
      </c>
      <c r="B844">
        <v>844</v>
      </c>
      <c r="C844">
        <v>849</v>
      </c>
      <c r="D844" t="s">
        <v>2389</v>
      </c>
    </row>
    <row r="845" spans="1:4" x14ac:dyDescent="0.25">
      <c r="A845">
        <v>1271</v>
      </c>
      <c r="B845">
        <v>845</v>
      </c>
      <c r="C845">
        <v>823</v>
      </c>
      <c r="D845" t="s">
        <v>2388</v>
      </c>
    </row>
    <row r="846" spans="1:4" x14ac:dyDescent="0.25">
      <c r="A846">
        <v>1272</v>
      </c>
      <c r="B846">
        <v>846</v>
      </c>
      <c r="C846">
        <v>1261</v>
      </c>
      <c r="D846" t="s">
        <v>3893</v>
      </c>
    </row>
    <row r="847" spans="1:4" x14ac:dyDescent="0.25">
      <c r="A847">
        <v>1274</v>
      </c>
      <c r="B847">
        <v>847</v>
      </c>
      <c r="C847">
        <v>3</v>
      </c>
      <c r="D847" t="s">
        <v>2495</v>
      </c>
    </row>
    <row r="848" spans="1:4" x14ac:dyDescent="0.25">
      <c r="A848">
        <v>1275</v>
      </c>
      <c r="B848">
        <v>848</v>
      </c>
      <c r="C848">
        <v>1261</v>
      </c>
      <c r="D848" t="s">
        <v>2435</v>
      </c>
    </row>
    <row r="849" spans="1:4" x14ac:dyDescent="0.25">
      <c r="A849">
        <v>1276</v>
      </c>
      <c r="B849">
        <v>849</v>
      </c>
      <c r="C849">
        <v>1261</v>
      </c>
      <c r="D849" t="s">
        <v>2436</v>
      </c>
    </row>
    <row r="850" spans="1:4" x14ac:dyDescent="0.25">
      <c r="A850">
        <v>1277</v>
      </c>
      <c r="B850">
        <v>850</v>
      </c>
      <c r="C850">
        <v>1261</v>
      </c>
      <c r="D850" t="s">
        <v>2407</v>
      </c>
    </row>
    <row r="851" spans="1:4" x14ac:dyDescent="0.25">
      <c r="A851">
        <v>1278</v>
      </c>
      <c r="B851">
        <v>851</v>
      </c>
      <c r="C851">
        <v>108</v>
      </c>
      <c r="D851" t="s">
        <v>2494</v>
      </c>
    </row>
    <row r="852" spans="1:4" x14ac:dyDescent="0.25">
      <c r="A852">
        <v>1279</v>
      </c>
      <c r="B852">
        <v>852</v>
      </c>
      <c r="C852">
        <v>108</v>
      </c>
      <c r="D852" t="s">
        <v>2493</v>
      </c>
    </row>
    <row r="853" spans="1:4" x14ac:dyDescent="0.25">
      <c r="A853">
        <v>1280</v>
      </c>
      <c r="B853">
        <v>853</v>
      </c>
      <c r="C853">
        <v>108</v>
      </c>
      <c r="D853" t="s">
        <v>2496</v>
      </c>
    </row>
    <row r="854" spans="1:4" x14ac:dyDescent="0.25">
      <c r="A854">
        <v>1281</v>
      </c>
      <c r="B854">
        <v>854</v>
      </c>
      <c r="C854">
        <v>108</v>
      </c>
      <c r="D854" t="s">
        <v>2496</v>
      </c>
    </row>
    <row r="855" spans="1:4" x14ac:dyDescent="0.25">
      <c r="A855">
        <v>1282</v>
      </c>
      <c r="B855">
        <v>855</v>
      </c>
      <c r="C855">
        <v>1282</v>
      </c>
      <c r="D855" t="s">
        <v>2670</v>
      </c>
    </row>
    <row r="856" spans="1:4" x14ac:dyDescent="0.25">
      <c r="A856">
        <v>1283</v>
      </c>
      <c r="B856">
        <v>856</v>
      </c>
      <c r="C856">
        <v>1282</v>
      </c>
      <c r="D856" t="s">
        <v>2671</v>
      </c>
    </row>
    <row r="857" spans="1:4" x14ac:dyDescent="0.25">
      <c r="A857">
        <v>1284</v>
      </c>
      <c r="B857">
        <v>857</v>
      </c>
      <c r="C857">
        <v>1282</v>
      </c>
      <c r="D857" t="s">
        <v>2685</v>
      </c>
    </row>
    <row r="858" spans="1:4" x14ac:dyDescent="0.25">
      <c r="A858">
        <v>1285</v>
      </c>
      <c r="B858">
        <v>858</v>
      </c>
      <c r="C858">
        <v>1286</v>
      </c>
      <c r="D858" t="s">
        <v>2684</v>
      </c>
    </row>
    <row r="859" spans="1:4" x14ac:dyDescent="0.25">
      <c r="A859">
        <v>1286</v>
      </c>
      <c r="B859">
        <v>859</v>
      </c>
      <c r="C859">
        <v>1286</v>
      </c>
      <c r="D859" t="s">
        <v>2434</v>
      </c>
    </row>
    <row r="860" spans="1:4" x14ac:dyDescent="0.25">
      <c r="A860">
        <v>1287</v>
      </c>
      <c r="B860">
        <v>860</v>
      </c>
      <c r="C860">
        <v>1286</v>
      </c>
      <c r="D860" t="s">
        <v>2683</v>
      </c>
    </row>
    <row r="861" spans="1:4" x14ac:dyDescent="0.25">
      <c r="A861">
        <v>1289</v>
      </c>
      <c r="B861">
        <v>861</v>
      </c>
      <c r="C861">
        <v>1286</v>
      </c>
      <c r="D861" t="s">
        <v>2682</v>
      </c>
    </row>
    <row r="862" spans="1:4" x14ac:dyDescent="0.25">
      <c r="A862">
        <v>1290</v>
      </c>
      <c r="B862">
        <v>862</v>
      </c>
      <c r="C862">
        <v>1286</v>
      </c>
      <c r="D862" t="s">
        <v>2681</v>
      </c>
    </row>
    <row r="863" spans="1:4" x14ac:dyDescent="0.25">
      <c r="A863">
        <v>1291</v>
      </c>
      <c r="B863">
        <v>863</v>
      </c>
      <c r="C863">
        <v>1286</v>
      </c>
      <c r="D863" t="s">
        <v>2680</v>
      </c>
    </row>
    <row r="864" spans="1:4" x14ac:dyDescent="0.25">
      <c r="A864">
        <v>1292</v>
      </c>
      <c r="B864">
        <v>864</v>
      </c>
      <c r="C864">
        <v>1286</v>
      </c>
      <c r="D864" t="s">
        <v>2679</v>
      </c>
    </row>
    <row r="865" spans="1:4" x14ac:dyDescent="0.25">
      <c r="A865">
        <v>1293</v>
      </c>
      <c r="B865">
        <v>865</v>
      </c>
      <c r="C865">
        <v>1282</v>
      </c>
      <c r="D865" t="s">
        <v>2678</v>
      </c>
    </row>
    <row r="866" spans="1:4" x14ac:dyDescent="0.25">
      <c r="A866">
        <v>1294</v>
      </c>
      <c r="B866">
        <v>866</v>
      </c>
      <c r="C866">
        <v>1286</v>
      </c>
      <c r="D866" t="s">
        <v>2677</v>
      </c>
    </row>
    <row r="867" spans="1:4" x14ac:dyDescent="0.25">
      <c r="A867">
        <v>1295</v>
      </c>
      <c r="B867">
        <v>867</v>
      </c>
      <c r="C867">
        <v>1286</v>
      </c>
      <c r="D867" t="s">
        <v>2676</v>
      </c>
    </row>
    <row r="868" spans="1:4" x14ac:dyDescent="0.25">
      <c r="A868">
        <v>1296</v>
      </c>
      <c r="B868">
        <v>868</v>
      </c>
      <c r="C868">
        <v>1286</v>
      </c>
      <c r="D868" t="s">
        <v>2675</v>
      </c>
    </row>
    <row r="869" spans="1:4" x14ac:dyDescent="0.25">
      <c r="A869">
        <v>1297</v>
      </c>
      <c r="B869">
        <v>869</v>
      </c>
      <c r="C869">
        <v>1286</v>
      </c>
      <c r="D869" t="s">
        <v>3900</v>
      </c>
    </row>
    <row r="870" spans="1:4" x14ac:dyDescent="0.25">
      <c r="A870">
        <v>1298</v>
      </c>
      <c r="B870">
        <v>870</v>
      </c>
      <c r="C870">
        <v>1286</v>
      </c>
      <c r="D870" t="s">
        <v>2674</v>
      </c>
    </row>
    <row r="871" spans="1:4" x14ac:dyDescent="0.25">
      <c r="A871">
        <v>1300</v>
      </c>
      <c r="B871">
        <v>871</v>
      </c>
      <c r="C871">
        <v>1286</v>
      </c>
      <c r="D871" t="s">
        <v>2673</v>
      </c>
    </row>
    <row r="872" spans="1:4" x14ac:dyDescent="0.25">
      <c r="A872">
        <v>1301</v>
      </c>
      <c r="B872">
        <v>872</v>
      </c>
      <c r="C872">
        <v>1011</v>
      </c>
      <c r="D872" t="s">
        <v>2704</v>
      </c>
    </row>
    <row r="873" spans="1:4" x14ac:dyDescent="0.25">
      <c r="A873">
        <v>1302</v>
      </c>
      <c r="B873">
        <v>873</v>
      </c>
      <c r="C873">
        <v>20</v>
      </c>
      <c r="D873" t="s">
        <v>2716</v>
      </c>
    </row>
    <row r="874" spans="1:4" x14ac:dyDescent="0.25">
      <c r="A874">
        <v>1304</v>
      </c>
      <c r="B874">
        <v>874</v>
      </c>
      <c r="C874">
        <v>1282</v>
      </c>
      <c r="D874" t="s">
        <v>2672</v>
      </c>
    </row>
    <row r="875" spans="1:4" x14ac:dyDescent="0.25">
      <c r="A875">
        <v>1306</v>
      </c>
      <c r="B875">
        <v>875</v>
      </c>
      <c r="C875">
        <v>58</v>
      </c>
      <c r="D875" t="s">
        <v>2492</v>
      </c>
    </row>
    <row r="876" spans="1:4" x14ac:dyDescent="0.25">
      <c r="A876">
        <v>1307</v>
      </c>
      <c r="B876">
        <v>876</v>
      </c>
      <c r="C876">
        <v>1261</v>
      </c>
      <c r="D876" t="s">
        <v>2497</v>
      </c>
    </row>
    <row r="877" spans="1:4" x14ac:dyDescent="0.25">
      <c r="A877">
        <v>1310</v>
      </c>
      <c r="B877">
        <v>877</v>
      </c>
      <c r="C877">
        <v>1286</v>
      </c>
      <c r="D877" t="s">
        <v>3893</v>
      </c>
    </row>
    <row r="878" spans="1:4" x14ac:dyDescent="0.25">
      <c r="A878">
        <v>1311</v>
      </c>
      <c r="B878">
        <v>878</v>
      </c>
      <c r="C878">
        <v>849</v>
      </c>
      <c r="D878" t="s">
        <v>2717</v>
      </c>
    </row>
    <row r="879" spans="1:4" x14ac:dyDescent="0.25">
      <c r="A879">
        <v>1312</v>
      </c>
      <c r="B879">
        <v>879</v>
      </c>
      <c r="C879">
        <v>849</v>
      </c>
      <c r="D879" t="s">
        <v>2720</v>
      </c>
    </row>
    <row r="880" spans="1:4" x14ac:dyDescent="0.25">
      <c r="A880">
        <v>1313</v>
      </c>
      <c r="B880">
        <v>880</v>
      </c>
      <c r="C880">
        <v>1318</v>
      </c>
      <c r="D880" t="s">
        <v>3357</v>
      </c>
    </row>
    <row r="881" spans="1:4" x14ac:dyDescent="0.25">
      <c r="A881">
        <v>1314</v>
      </c>
      <c r="B881">
        <v>881</v>
      </c>
      <c r="C881">
        <v>3</v>
      </c>
      <c r="D881" t="s">
        <v>2719</v>
      </c>
    </row>
    <row r="882" spans="1:4" x14ac:dyDescent="0.25">
      <c r="A882">
        <v>1315</v>
      </c>
      <c r="B882">
        <v>882</v>
      </c>
      <c r="C882">
        <v>1318</v>
      </c>
      <c r="D882" t="s">
        <v>3356</v>
      </c>
    </row>
    <row r="883" spans="1:4" x14ac:dyDescent="0.25">
      <c r="A883">
        <v>1316</v>
      </c>
      <c r="B883">
        <v>883</v>
      </c>
      <c r="C883">
        <v>1318</v>
      </c>
      <c r="D883" t="s">
        <v>3339</v>
      </c>
    </row>
    <row r="884" spans="1:4" x14ac:dyDescent="0.25">
      <c r="A884">
        <v>1317</v>
      </c>
      <c r="B884">
        <v>884</v>
      </c>
      <c r="C884">
        <v>1318</v>
      </c>
      <c r="D884" t="s">
        <v>3332</v>
      </c>
    </row>
    <row r="885" spans="1:4" x14ac:dyDescent="0.25">
      <c r="A885">
        <v>1318</v>
      </c>
      <c r="B885">
        <v>885</v>
      </c>
      <c r="C885">
        <v>1318</v>
      </c>
      <c r="D885" t="s">
        <v>3315</v>
      </c>
    </row>
    <row r="886" spans="1:4" x14ac:dyDescent="0.25">
      <c r="A886">
        <v>1319</v>
      </c>
      <c r="B886">
        <v>886</v>
      </c>
      <c r="C886">
        <v>1318</v>
      </c>
      <c r="D886" t="s">
        <v>3340</v>
      </c>
    </row>
    <row r="887" spans="1:4" x14ac:dyDescent="0.25">
      <c r="A887">
        <v>1320</v>
      </c>
      <c r="B887">
        <v>887</v>
      </c>
      <c r="C887">
        <v>1318</v>
      </c>
      <c r="D887" t="s">
        <v>3355</v>
      </c>
    </row>
    <row r="888" spans="1:4" x14ac:dyDescent="0.25">
      <c r="A888">
        <v>1321</v>
      </c>
      <c r="B888">
        <v>888</v>
      </c>
      <c r="C888">
        <v>1318</v>
      </c>
      <c r="D888" t="s">
        <v>3341</v>
      </c>
    </row>
    <row r="889" spans="1:4" x14ac:dyDescent="0.25">
      <c r="A889">
        <v>1322</v>
      </c>
      <c r="B889">
        <v>889</v>
      </c>
      <c r="C889">
        <v>1318</v>
      </c>
      <c r="D889" t="s">
        <v>3342</v>
      </c>
    </row>
    <row r="890" spans="1:4" x14ac:dyDescent="0.25">
      <c r="A890">
        <v>1324</v>
      </c>
      <c r="B890">
        <v>890</v>
      </c>
      <c r="C890">
        <v>1318</v>
      </c>
      <c r="D890" t="s">
        <v>3343</v>
      </c>
    </row>
    <row r="891" spans="1:4" x14ac:dyDescent="0.25">
      <c r="A891">
        <v>1325</v>
      </c>
      <c r="B891">
        <v>891</v>
      </c>
      <c r="C891">
        <v>1443</v>
      </c>
      <c r="D891" t="s">
        <v>3953</v>
      </c>
    </row>
    <row r="892" spans="1:4" x14ac:dyDescent="0.25">
      <c r="A892">
        <v>1326</v>
      </c>
      <c r="B892">
        <v>892</v>
      </c>
      <c r="C892">
        <v>1318</v>
      </c>
      <c r="D892" t="s">
        <v>3344</v>
      </c>
    </row>
    <row r="893" spans="1:4" x14ac:dyDescent="0.25">
      <c r="A893">
        <v>1327</v>
      </c>
      <c r="B893">
        <v>893</v>
      </c>
      <c r="C893">
        <v>1318</v>
      </c>
      <c r="D893" t="s">
        <v>1695</v>
      </c>
    </row>
    <row r="894" spans="1:4" x14ac:dyDescent="0.25">
      <c r="A894">
        <v>1328</v>
      </c>
      <c r="B894">
        <v>894</v>
      </c>
      <c r="C894">
        <v>1318</v>
      </c>
      <c r="D894" t="s">
        <v>3345</v>
      </c>
    </row>
    <row r="895" spans="1:4" x14ac:dyDescent="0.25">
      <c r="A895">
        <v>1329</v>
      </c>
      <c r="B895">
        <v>895</v>
      </c>
      <c r="C895">
        <v>1318</v>
      </c>
      <c r="D895" t="s">
        <v>3344</v>
      </c>
    </row>
    <row r="896" spans="1:4" x14ac:dyDescent="0.25">
      <c r="A896">
        <v>1330</v>
      </c>
      <c r="B896">
        <v>896</v>
      </c>
      <c r="C896">
        <v>1318</v>
      </c>
      <c r="D896" t="s">
        <v>3354</v>
      </c>
    </row>
    <row r="897" spans="1:4" x14ac:dyDescent="0.25">
      <c r="A897">
        <v>1331</v>
      </c>
      <c r="B897">
        <v>897</v>
      </c>
      <c r="C897">
        <v>1318</v>
      </c>
      <c r="D897" t="s">
        <v>3346</v>
      </c>
    </row>
    <row r="898" spans="1:4" x14ac:dyDescent="0.25">
      <c r="A898">
        <v>1332</v>
      </c>
      <c r="B898">
        <v>898</v>
      </c>
      <c r="C898">
        <v>1318</v>
      </c>
      <c r="D898" t="s">
        <v>3353</v>
      </c>
    </row>
    <row r="899" spans="1:4" x14ac:dyDescent="0.25">
      <c r="A899">
        <v>1333</v>
      </c>
      <c r="B899">
        <v>899</v>
      </c>
      <c r="C899">
        <v>1318</v>
      </c>
      <c r="D899" t="s">
        <v>3352</v>
      </c>
    </row>
    <row r="900" spans="1:4" x14ac:dyDescent="0.25">
      <c r="A900">
        <v>1334</v>
      </c>
      <c r="B900">
        <v>900</v>
      </c>
      <c r="C900">
        <v>1318</v>
      </c>
      <c r="D900" t="s">
        <v>3351</v>
      </c>
    </row>
    <row r="901" spans="1:4" x14ac:dyDescent="0.25">
      <c r="A901">
        <v>1335</v>
      </c>
      <c r="B901">
        <v>901</v>
      </c>
      <c r="C901">
        <v>1318</v>
      </c>
      <c r="D901" t="s">
        <v>3350</v>
      </c>
    </row>
    <row r="902" spans="1:4" x14ac:dyDescent="0.25">
      <c r="A902">
        <v>1336</v>
      </c>
      <c r="B902">
        <v>902</v>
      </c>
      <c r="C902">
        <v>1318</v>
      </c>
      <c r="D902" t="s">
        <v>3349</v>
      </c>
    </row>
    <row r="903" spans="1:4" x14ac:dyDescent="0.25">
      <c r="A903">
        <v>1337</v>
      </c>
      <c r="B903">
        <v>903</v>
      </c>
      <c r="C903">
        <v>1318</v>
      </c>
      <c r="D903" t="s">
        <v>3348</v>
      </c>
    </row>
    <row r="904" spans="1:4" x14ac:dyDescent="0.25">
      <c r="A904">
        <v>1338</v>
      </c>
      <c r="B904">
        <v>904</v>
      </c>
      <c r="C904">
        <v>1318</v>
      </c>
      <c r="D904" t="s">
        <v>3347</v>
      </c>
    </row>
    <row r="905" spans="1:4" x14ac:dyDescent="0.25">
      <c r="A905">
        <v>1342</v>
      </c>
      <c r="B905">
        <v>905</v>
      </c>
      <c r="C905">
        <v>1282</v>
      </c>
      <c r="D905" t="s">
        <v>2668</v>
      </c>
    </row>
    <row r="906" spans="1:4" x14ac:dyDescent="0.25">
      <c r="A906">
        <v>1343</v>
      </c>
      <c r="B906">
        <v>906</v>
      </c>
      <c r="C906">
        <v>1286</v>
      </c>
      <c r="D906" t="s">
        <v>2669</v>
      </c>
    </row>
    <row r="907" spans="1:4" x14ac:dyDescent="0.25">
      <c r="A907">
        <v>1344</v>
      </c>
      <c r="B907">
        <v>907</v>
      </c>
      <c r="C907">
        <v>1318</v>
      </c>
      <c r="D907" t="s">
        <v>3337</v>
      </c>
    </row>
    <row r="908" spans="1:4" x14ac:dyDescent="0.25">
      <c r="A908">
        <v>1345</v>
      </c>
      <c r="B908">
        <v>908</v>
      </c>
      <c r="C908">
        <v>535</v>
      </c>
      <c r="D908" t="s">
        <v>2718</v>
      </c>
    </row>
    <row r="909" spans="1:4" x14ac:dyDescent="0.25">
      <c r="A909">
        <v>1346</v>
      </c>
      <c r="B909">
        <v>909</v>
      </c>
      <c r="C909">
        <v>1443</v>
      </c>
      <c r="D909" t="s">
        <v>4061</v>
      </c>
    </row>
    <row r="910" spans="1:4" x14ac:dyDescent="0.25">
      <c r="A910">
        <v>1360</v>
      </c>
      <c r="B910">
        <v>910</v>
      </c>
      <c r="C910">
        <v>1318</v>
      </c>
      <c r="D910" t="s">
        <v>3374</v>
      </c>
    </row>
    <row r="911" spans="1:4" x14ac:dyDescent="0.25">
      <c r="A911">
        <v>1361</v>
      </c>
      <c r="B911">
        <v>911</v>
      </c>
      <c r="C911">
        <v>1318</v>
      </c>
      <c r="D911" t="s">
        <v>3375</v>
      </c>
    </row>
    <row r="912" spans="1:4" x14ac:dyDescent="0.25">
      <c r="A912">
        <v>1363</v>
      </c>
      <c r="B912">
        <v>912</v>
      </c>
      <c r="C912">
        <v>1318</v>
      </c>
      <c r="D912" t="s">
        <v>3336</v>
      </c>
    </row>
    <row r="913" spans="1:4" x14ac:dyDescent="0.25">
      <c r="A913">
        <v>1364</v>
      </c>
      <c r="B913">
        <v>913</v>
      </c>
      <c r="C913">
        <v>1318</v>
      </c>
      <c r="D913" t="s">
        <v>3335</v>
      </c>
    </row>
    <row r="914" spans="1:4" x14ac:dyDescent="0.25">
      <c r="A914">
        <v>1365</v>
      </c>
      <c r="B914">
        <v>914</v>
      </c>
      <c r="C914">
        <v>3</v>
      </c>
      <c r="D914" t="s">
        <v>3398</v>
      </c>
    </row>
    <row r="915" spans="1:4" x14ac:dyDescent="0.25">
      <c r="A915">
        <v>1366</v>
      </c>
      <c r="B915">
        <v>915</v>
      </c>
      <c r="C915">
        <v>92</v>
      </c>
      <c r="D915" t="s">
        <v>3397</v>
      </c>
    </row>
    <row r="916" spans="1:4" x14ac:dyDescent="0.25">
      <c r="A916">
        <v>1367</v>
      </c>
      <c r="B916">
        <v>916</v>
      </c>
      <c r="C916">
        <v>1383</v>
      </c>
      <c r="D916" t="s">
        <v>3443</v>
      </c>
    </row>
    <row r="917" spans="1:4" x14ac:dyDescent="0.25">
      <c r="A917">
        <v>1368</v>
      </c>
      <c r="B917">
        <v>917</v>
      </c>
      <c r="C917">
        <v>1383</v>
      </c>
      <c r="D917" t="s">
        <v>3444</v>
      </c>
    </row>
    <row r="918" spans="1:4" x14ac:dyDescent="0.25">
      <c r="A918">
        <v>1369</v>
      </c>
      <c r="B918">
        <v>918</v>
      </c>
      <c r="C918">
        <v>1383</v>
      </c>
      <c r="D918" t="s">
        <v>3445</v>
      </c>
    </row>
    <row r="919" spans="1:4" x14ac:dyDescent="0.25">
      <c r="A919">
        <v>1370</v>
      </c>
      <c r="B919">
        <v>919</v>
      </c>
      <c r="C919">
        <v>1383</v>
      </c>
      <c r="D919" t="s">
        <v>3460</v>
      </c>
    </row>
    <row r="920" spans="1:4" x14ac:dyDescent="0.25">
      <c r="A920">
        <v>1371</v>
      </c>
      <c r="B920">
        <v>920</v>
      </c>
      <c r="C920">
        <v>1383</v>
      </c>
      <c r="D920" t="s">
        <v>3459</v>
      </c>
    </row>
    <row r="921" spans="1:4" x14ac:dyDescent="0.25">
      <c r="A921">
        <v>1372</v>
      </c>
      <c r="B921">
        <v>921</v>
      </c>
      <c r="C921">
        <v>1383</v>
      </c>
      <c r="D921" t="s">
        <v>3446</v>
      </c>
    </row>
    <row r="922" spans="1:4" x14ac:dyDescent="0.25">
      <c r="A922">
        <v>1373</v>
      </c>
      <c r="B922">
        <v>922</v>
      </c>
      <c r="C922">
        <v>1383</v>
      </c>
      <c r="D922" t="s">
        <v>3447</v>
      </c>
    </row>
    <row r="923" spans="1:4" x14ac:dyDescent="0.25">
      <c r="A923">
        <v>1374</v>
      </c>
      <c r="B923">
        <v>923</v>
      </c>
      <c r="C923">
        <v>1383</v>
      </c>
      <c r="D923" t="s">
        <v>3448</v>
      </c>
    </row>
    <row r="924" spans="1:4" x14ac:dyDescent="0.25">
      <c r="A924">
        <v>1375</v>
      </c>
      <c r="B924">
        <v>924</v>
      </c>
      <c r="C924">
        <v>1383</v>
      </c>
      <c r="D924" t="s">
        <v>3449</v>
      </c>
    </row>
    <row r="925" spans="1:4" x14ac:dyDescent="0.25">
      <c r="A925">
        <v>1376</v>
      </c>
      <c r="B925">
        <v>925</v>
      </c>
      <c r="C925">
        <v>1383</v>
      </c>
      <c r="D925" t="s">
        <v>3450</v>
      </c>
    </row>
    <row r="926" spans="1:4" x14ac:dyDescent="0.25">
      <c r="A926">
        <v>1377</v>
      </c>
      <c r="B926">
        <v>926</v>
      </c>
      <c r="C926">
        <v>1383</v>
      </c>
      <c r="D926" t="s">
        <v>3458</v>
      </c>
    </row>
    <row r="927" spans="1:4" x14ac:dyDescent="0.25">
      <c r="A927">
        <v>1378</v>
      </c>
      <c r="B927">
        <v>927</v>
      </c>
      <c r="C927">
        <v>1383</v>
      </c>
      <c r="D927" t="s">
        <v>3457</v>
      </c>
    </row>
    <row r="928" spans="1:4" x14ac:dyDescent="0.25">
      <c r="A928">
        <v>1379</v>
      </c>
      <c r="B928">
        <v>928</v>
      </c>
      <c r="C928">
        <v>1383</v>
      </c>
      <c r="D928" t="s">
        <v>3451</v>
      </c>
    </row>
    <row r="929" spans="1:4" x14ac:dyDescent="0.25">
      <c r="A929">
        <v>1380</v>
      </c>
      <c r="B929">
        <v>929</v>
      </c>
      <c r="C929">
        <v>1383</v>
      </c>
      <c r="D929" t="s">
        <v>3452</v>
      </c>
    </row>
    <row r="930" spans="1:4" x14ac:dyDescent="0.25">
      <c r="A930">
        <v>1381</v>
      </c>
      <c r="B930">
        <v>930</v>
      </c>
      <c r="C930">
        <v>1383</v>
      </c>
      <c r="D930" t="s">
        <v>3453</v>
      </c>
    </row>
    <row r="931" spans="1:4" x14ac:dyDescent="0.25">
      <c r="A931">
        <v>1382</v>
      </c>
      <c r="B931">
        <v>931</v>
      </c>
      <c r="C931">
        <v>1383</v>
      </c>
      <c r="D931" t="s">
        <v>3895</v>
      </c>
    </row>
    <row r="932" spans="1:4" x14ac:dyDescent="0.25">
      <c r="A932">
        <v>1383</v>
      </c>
      <c r="B932">
        <v>932</v>
      </c>
      <c r="C932">
        <v>1383</v>
      </c>
      <c r="D932" t="s">
        <v>3456</v>
      </c>
    </row>
    <row r="933" spans="1:4" x14ac:dyDescent="0.25">
      <c r="A933">
        <v>1385</v>
      </c>
      <c r="B933">
        <v>933</v>
      </c>
      <c r="C933">
        <v>1383</v>
      </c>
      <c r="D933" t="s">
        <v>3455</v>
      </c>
    </row>
    <row r="934" spans="1:4" x14ac:dyDescent="0.25">
      <c r="A934">
        <v>1386</v>
      </c>
      <c r="B934">
        <v>934</v>
      </c>
      <c r="C934">
        <v>1383</v>
      </c>
      <c r="D934" t="s">
        <v>3446</v>
      </c>
    </row>
    <row r="935" spans="1:4" x14ac:dyDescent="0.25">
      <c r="A935">
        <v>1387</v>
      </c>
      <c r="B935">
        <v>935</v>
      </c>
      <c r="C935">
        <v>1383</v>
      </c>
      <c r="D935" t="s">
        <v>3454</v>
      </c>
    </row>
    <row r="936" spans="1:4" x14ac:dyDescent="0.25">
      <c r="A936">
        <v>1389</v>
      </c>
      <c r="B936">
        <v>936</v>
      </c>
      <c r="C936">
        <v>41</v>
      </c>
      <c r="D936" t="s">
        <v>3538</v>
      </c>
    </row>
    <row r="937" spans="1:4" x14ac:dyDescent="0.25">
      <c r="A937">
        <v>1390</v>
      </c>
      <c r="B937">
        <v>937</v>
      </c>
      <c r="C937">
        <v>103</v>
      </c>
      <c r="D937" t="s">
        <v>3565</v>
      </c>
    </row>
    <row r="938" spans="1:4" x14ac:dyDescent="0.25">
      <c r="A938">
        <v>1391</v>
      </c>
      <c r="B938">
        <v>938</v>
      </c>
      <c r="C938">
        <v>537</v>
      </c>
      <c r="D938" t="s">
        <v>3564</v>
      </c>
    </row>
    <row r="939" spans="1:4" x14ac:dyDescent="0.25">
      <c r="A939">
        <v>1392</v>
      </c>
      <c r="B939">
        <v>939</v>
      </c>
      <c r="C939">
        <v>537</v>
      </c>
      <c r="D939" t="s">
        <v>3563</v>
      </c>
    </row>
    <row r="940" spans="1:4" x14ac:dyDescent="0.25">
      <c r="A940">
        <v>1393</v>
      </c>
      <c r="B940">
        <v>940</v>
      </c>
      <c r="C940">
        <v>1414</v>
      </c>
      <c r="D940" t="s">
        <v>3695</v>
      </c>
    </row>
    <row r="941" spans="1:4" x14ac:dyDescent="0.25">
      <c r="A941">
        <v>1394</v>
      </c>
      <c r="B941">
        <v>941</v>
      </c>
      <c r="C941">
        <v>1414</v>
      </c>
      <c r="D941" t="s">
        <v>3694</v>
      </c>
    </row>
    <row r="942" spans="1:4" x14ac:dyDescent="0.25">
      <c r="A942">
        <v>1395</v>
      </c>
      <c r="B942">
        <v>942</v>
      </c>
      <c r="C942">
        <v>1414</v>
      </c>
      <c r="D942" t="s">
        <v>3694</v>
      </c>
    </row>
    <row r="943" spans="1:4" x14ac:dyDescent="0.25">
      <c r="A943">
        <v>1396</v>
      </c>
      <c r="B943">
        <v>943</v>
      </c>
      <c r="C943">
        <v>1414</v>
      </c>
      <c r="D943" t="s">
        <v>3693</v>
      </c>
    </row>
    <row r="944" spans="1:4" x14ac:dyDescent="0.25">
      <c r="A944">
        <v>1397</v>
      </c>
      <c r="B944">
        <v>944</v>
      </c>
      <c r="C944">
        <v>1414</v>
      </c>
      <c r="D944" t="s">
        <v>3669</v>
      </c>
    </row>
    <row r="945" spans="1:4" x14ac:dyDescent="0.25">
      <c r="A945">
        <v>1398</v>
      </c>
      <c r="B945">
        <v>945</v>
      </c>
      <c r="C945">
        <v>1414</v>
      </c>
      <c r="D945" t="s">
        <v>3692</v>
      </c>
    </row>
    <row r="946" spans="1:4" x14ac:dyDescent="0.25">
      <c r="A946">
        <v>1399</v>
      </c>
      <c r="B946">
        <v>946</v>
      </c>
      <c r="C946">
        <v>1414</v>
      </c>
      <c r="D946" t="s">
        <v>3691</v>
      </c>
    </row>
    <row r="947" spans="1:4" x14ac:dyDescent="0.25">
      <c r="A947">
        <v>1400</v>
      </c>
      <c r="B947">
        <v>947</v>
      </c>
      <c r="C947">
        <v>1414</v>
      </c>
      <c r="D947" t="s">
        <v>3690</v>
      </c>
    </row>
    <row r="948" spans="1:4" x14ac:dyDescent="0.25">
      <c r="A948">
        <v>1401</v>
      </c>
      <c r="B948">
        <v>948</v>
      </c>
      <c r="C948">
        <v>1414</v>
      </c>
      <c r="D948" t="s">
        <v>3689</v>
      </c>
    </row>
    <row r="949" spans="1:4" x14ac:dyDescent="0.25">
      <c r="A949">
        <v>1402</v>
      </c>
      <c r="B949">
        <v>949</v>
      </c>
      <c r="C949">
        <v>1414</v>
      </c>
      <c r="D949" t="s">
        <v>3688</v>
      </c>
    </row>
    <row r="950" spans="1:4" x14ac:dyDescent="0.25">
      <c r="A950">
        <v>1403</v>
      </c>
      <c r="B950">
        <v>950</v>
      </c>
      <c r="C950">
        <v>1414</v>
      </c>
      <c r="D950" t="s">
        <v>3687</v>
      </c>
    </row>
    <row r="951" spans="1:4" x14ac:dyDescent="0.25">
      <c r="A951">
        <v>1404</v>
      </c>
      <c r="B951">
        <v>951</v>
      </c>
      <c r="C951">
        <v>1414</v>
      </c>
      <c r="D951" t="s">
        <v>3696</v>
      </c>
    </row>
    <row r="952" spans="1:4" x14ac:dyDescent="0.25">
      <c r="A952">
        <v>1405</v>
      </c>
      <c r="B952">
        <v>952</v>
      </c>
      <c r="C952">
        <v>1414</v>
      </c>
      <c r="D952" t="s">
        <v>3697</v>
      </c>
    </row>
    <row r="953" spans="1:4" x14ac:dyDescent="0.25">
      <c r="A953">
        <v>1406</v>
      </c>
      <c r="B953">
        <v>953</v>
      </c>
      <c r="C953">
        <v>1414</v>
      </c>
      <c r="D953" t="s">
        <v>3698</v>
      </c>
    </row>
    <row r="954" spans="1:4" x14ac:dyDescent="0.25">
      <c r="A954">
        <v>1407</v>
      </c>
      <c r="B954">
        <v>954</v>
      </c>
      <c r="C954">
        <v>1414</v>
      </c>
      <c r="D954" t="s">
        <v>3686</v>
      </c>
    </row>
    <row r="955" spans="1:4" x14ac:dyDescent="0.25">
      <c r="A955">
        <v>1408</v>
      </c>
      <c r="B955">
        <v>955</v>
      </c>
      <c r="C955">
        <v>1414</v>
      </c>
      <c r="D955" t="s">
        <v>3670</v>
      </c>
    </row>
    <row r="956" spans="1:4" x14ac:dyDescent="0.25">
      <c r="A956">
        <v>1409</v>
      </c>
      <c r="B956">
        <v>956</v>
      </c>
      <c r="C956">
        <v>1414</v>
      </c>
      <c r="D956" t="s">
        <v>3685</v>
      </c>
    </row>
    <row r="957" spans="1:4" x14ac:dyDescent="0.25">
      <c r="A957">
        <v>1410</v>
      </c>
      <c r="B957">
        <v>957</v>
      </c>
      <c r="C957">
        <v>1414</v>
      </c>
      <c r="D957" t="s">
        <v>3684</v>
      </c>
    </row>
    <row r="958" spans="1:4" x14ac:dyDescent="0.25">
      <c r="A958">
        <v>1411</v>
      </c>
      <c r="B958">
        <v>958</v>
      </c>
      <c r="C958">
        <v>1414</v>
      </c>
      <c r="D958" t="s">
        <v>3683</v>
      </c>
    </row>
    <row r="959" spans="1:4" x14ac:dyDescent="0.25">
      <c r="A959">
        <v>1412</v>
      </c>
      <c r="B959">
        <v>959</v>
      </c>
      <c r="C959">
        <v>1414</v>
      </c>
      <c r="D959" t="s">
        <v>3682</v>
      </c>
    </row>
    <row r="960" spans="1:4" x14ac:dyDescent="0.25">
      <c r="A960">
        <v>1413</v>
      </c>
      <c r="B960">
        <v>960</v>
      </c>
      <c r="C960">
        <v>1414</v>
      </c>
      <c r="D960" t="s">
        <v>3609</v>
      </c>
    </row>
    <row r="961" spans="1:4" x14ac:dyDescent="0.25">
      <c r="A961">
        <v>1414</v>
      </c>
      <c r="B961">
        <v>961</v>
      </c>
      <c r="C961">
        <v>1414</v>
      </c>
      <c r="D961" t="s">
        <v>3681</v>
      </c>
    </row>
    <row r="962" spans="1:4" x14ac:dyDescent="0.25">
      <c r="A962">
        <v>1415</v>
      </c>
      <c r="B962">
        <v>962</v>
      </c>
      <c r="C962">
        <v>1414</v>
      </c>
      <c r="D962" t="s">
        <v>3671</v>
      </c>
    </row>
    <row r="963" spans="1:4" x14ac:dyDescent="0.25">
      <c r="A963">
        <v>1416</v>
      </c>
      <c r="B963">
        <v>963</v>
      </c>
      <c r="C963">
        <v>1414</v>
      </c>
      <c r="D963" t="s">
        <v>3680</v>
      </c>
    </row>
    <row r="964" spans="1:4" x14ac:dyDescent="0.25">
      <c r="A964">
        <v>1417</v>
      </c>
      <c r="B964">
        <v>964</v>
      </c>
      <c r="C964">
        <v>1414</v>
      </c>
      <c r="D964" t="s">
        <v>3679</v>
      </c>
    </row>
    <row r="965" spans="1:4" x14ac:dyDescent="0.25">
      <c r="A965">
        <v>1420</v>
      </c>
      <c r="B965">
        <v>965</v>
      </c>
      <c r="C965">
        <v>1414</v>
      </c>
      <c r="D965" t="s">
        <v>3678</v>
      </c>
    </row>
    <row r="966" spans="1:4" x14ac:dyDescent="0.25">
      <c r="A966">
        <v>1421</v>
      </c>
      <c r="B966">
        <v>966</v>
      </c>
      <c r="C966">
        <v>1414</v>
      </c>
      <c r="D966" t="s">
        <v>3677</v>
      </c>
    </row>
    <row r="967" spans="1:4" x14ac:dyDescent="0.25">
      <c r="A967">
        <v>1422</v>
      </c>
      <c r="B967">
        <v>967</v>
      </c>
      <c r="C967">
        <v>1414</v>
      </c>
      <c r="D967" t="s">
        <v>3676</v>
      </c>
    </row>
    <row r="968" spans="1:4" x14ac:dyDescent="0.25">
      <c r="A968">
        <v>1423</v>
      </c>
      <c r="B968">
        <v>968</v>
      </c>
      <c r="C968">
        <v>1414</v>
      </c>
      <c r="D968" t="s">
        <v>3675</v>
      </c>
    </row>
    <row r="969" spans="1:4" x14ac:dyDescent="0.25">
      <c r="A969">
        <v>1424</v>
      </c>
      <c r="B969">
        <v>969</v>
      </c>
      <c r="C969">
        <v>1414</v>
      </c>
      <c r="D969" t="s">
        <v>3674</v>
      </c>
    </row>
    <row r="970" spans="1:4" x14ac:dyDescent="0.25">
      <c r="A970">
        <v>1425</v>
      </c>
      <c r="B970">
        <v>970</v>
      </c>
      <c r="C970">
        <v>1414</v>
      </c>
      <c r="D970" t="s">
        <v>3673</v>
      </c>
    </row>
    <row r="971" spans="1:4" x14ac:dyDescent="0.25">
      <c r="A971">
        <v>1427</v>
      </c>
      <c r="B971">
        <v>971</v>
      </c>
      <c r="C971">
        <v>1414</v>
      </c>
      <c r="D971" t="s">
        <v>3672</v>
      </c>
    </row>
    <row r="972" spans="1:4" x14ac:dyDescent="0.25">
      <c r="A972">
        <v>1432</v>
      </c>
      <c r="B972">
        <v>972</v>
      </c>
      <c r="C972">
        <v>1318</v>
      </c>
      <c r="D972" t="s">
        <v>3551</v>
      </c>
    </row>
    <row r="973" spans="1:4" x14ac:dyDescent="0.25">
      <c r="A973">
        <v>1433</v>
      </c>
      <c r="B973">
        <v>973</v>
      </c>
      <c r="C973">
        <v>1414</v>
      </c>
      <c r="D973" t="s">
        <v>3666</v>
      </c>
    </row>
    <row r="974" spans="1:4" x14ac:dyDescent="0.25">
      <c r="A974">
        <v>1434</v>
      </c>
      <c r="B974">
        <v>974</v>
      </c>
      <c r="C974">
        <v>1414</v>
      </c>
      <c r="D974" t="s">
        <v>3667</v>
      </c>
    </row>
    <row r="975" spans="1:4" x14ac:dyDescent="0.25">
      <c r="A975">
        <v>1435</v>
      </c>
      <c r="B975">
        <v>975</v>
      </c>
      <c r="C975">
        <v>1383</v>
      </c>
      <c r="D975" t="s">
        <v>3665</v>
      </c>
    </row>
    <row r="976" spans="1:4" x14ac:dyDescent="0.25">
      <c r="A976">
        <v>1436</v>
      </c>
      <c r="B976">
        <v>976</v>
      </c>
      <c r="C976">
        <v>1413</v>
      </c>
      <c r="D976" t="s">
        <v>3899</v>
      </c>
    </row>
    <row r="977" spans="1:4" x14ac:dyDescent="0.25">
      <c r="A977">
        <v>1437</v>
      </c>
      <c r="B977">
        <v>977</v>
      </c>
      <c r="C977">
        <v>981</v>
      </c>
      <c r="D977" t="s">
        <v>3761</v>
      </c>
    </row>
    <row r="978" spans="1:4" x14ac:dyDescent="0.25">
      <c r="A978">
        <v>1438</v>
      </c>
      <c r="B978">
        <v>978</v>
      </c>
      <c r="C978">
        <v>104</v>
      </c>
      <c r="D978" t="s">
        <v>3898</v>
      </c>
    </row>
    <row r="979" spans="1:4" x14ac:dyDescent="0.25">
      <c r="A979">
        <v>1439</v>
      </c>
      <c r="B979">
        <v>979</v>
      </c>
      <c r="C979">
        <v>849</v>
      </c>
      <c r="D979" t="s">
        <v>3897</v>
      </c>
    </row>
    <row r="980" spans="1:4" x14ac:dyDescent="0.25">
      <c r="A980">
        <v>1440</v>
      </c>
      <c r="B980">
        <v>980</v>
      </c>
      <c r="C980">
        <v>1443</v>
      </c>
      <c r="D980" t="s">
        <v>3968</v>
      </c>
    </row>
    <row r="981" spans="1:4" x14ac:dyDescent="0.25">
      <c r="A981">
        <v>1441</v>
      </c>
      <c r="B981">
        <v>981</v>
      </c>
      <c r="C981">
        <v>1443</v>
      </c>
      <c r="D981" t="s">
        <v>3953</v>
      </c>
    </row>
    <row r="982" spans="1:4" x14ac:dyDescent="0.25">
      <c r="A982">
        <v>1442</v>
      </c>
      <c r="B982">
        <v>982</v>
      </c>
      <c r="C982">
        <v>1443</v>
      </c>
      <c r="D982" t="s">
        <v>3967</v>
      </c>
    </row>
    <row r="983" spans="1:4" x14ac:dyDescent="0.25">
      <c r="A983">
        <v>1443</v>
      </c>
      <c r="B983">
        <v>983</v>
      </c>
      <c r="C983">
        <v>1443</v>
      </c>
      <c r="D983" t="s">
        <v>3937</v>
      </c>
    </row>
    <row r="984" spans="1:4" x14ac:dyDescent="0.25">
      <c r="A984">
        <v>1444</v>
      </c>
      <c r="B984">
        <v>984</v>
      </c>
      <c r="C984">
        <v>1443</v>
      </c>
      <c r="D984" t="s">
        <v>3966</v>
      </c>
    </row>
    <row r="985" spans="1:4" x14ac:dyDescent="0.25">
      <c r="A985">
        <v>1445</v>
      </c>
      <c r="B985">
        <v>985</v>
      </c>
      <c r="C985">
        <v>1443</v>
      </c>
      <c r="D985" t="s">
        <v>3965</v>
      </c>
    </row>
    <row r="986" spans="1:4" x14ac:dyDescent="0.25">
      <c r="A986">
        <v>1446</v>
      </c>
      <c r="B986">
        <v>986</v>
      </c>
      <c r="C986">
        <v>1443</v>
      </c>
      <c r="D986" t="s">
        <v>3964</v>
      </c>
    </row>
    <row r="987" spans="1:4" x14ac:dyDescent="0.25">
      <c r="A987">
        <v>1447</v>
      </c>
      <c r="B987">
        <v>987</v>
      </c>
      <c r="C987">
        <v>1443</v>
      </c>
      <c r="D987" t="s">
        <v>3954</v>
      </c>
    </row>
    <row r="988" spans="1:4" x14ac:dyDescent="0.25">
      <c r="A988">
        <v>1448</v>
      </c>
      <c r="B988">
        <v>988</v>
      </c>
      <c r="C988">
        <v>1443</v>
      </c>
      <c r="D988" t="s">
        <v>3963</v>
      </c>
    </row>
    <row r="989" spans="1:4" x14ac:dyDescent="0.25">
      <c r="A989">
        <v>1449</v>
      </c>
      <c r="B989">
        <v>989</v>
      </c>
      <c r="C989">
        <v>1443</v>
      </c>
      <c r="D989" t="s">
        <v>3962</v>
      </c>
    </row>
    <row r="990" spans="1:4" x14ac:dyDescent="0.25">
      <c r="A990">
        <v>1450</v>
      </c>
      <c r="B990">
        <v>990</v>
      </c>
      <c r="C990">
        <v>1443</v>
      </c>
      <c r="D990" t="s">
        <v>3961</v>
      </c>
    </row>
    <row r="991" spans="1:4" x14ac:dyDescent="0.25">
      <c r="A991">
        <v>1451</v>
      </c>
      <c r="B991">
        <v>991</v>
      </c>
      <c r="C991">
        <v>1443</v>
      </c>
      <c r="D991" t="s">
        <v>3955</v>
      </c>
    </row>
    <row r="992" spans="1:4" x14ac:dyDescent="0.25">
      <c r="A992">
        <v>1452</v>
      </c>
      <c r="B992">
        <v>992</v>
      </c>
      <c r="C992">
        <v>1443</v>
      </c>
      <c r="D992" t="s">
        <v>3956</v>
      </c>
    </row>
    <row r="993" spans="1:4" x14ac:dyDescent="0.25">
      <c r="A993">
        <v>1453</v>
      </c>
      <c r="B993">
        <v>993</v>
      </c>
      <c r="C993">
        <v>1443</v>
      </c>
      <c r="D993" t="s">
        <v>3960</v>
      </c>
    </row>
    <row r="994" spans="1:4" x14ac:dyDescent="0.25">
      <c r="A994">
        <v>1454</v>
      </c>
      <c r="B994">
        <v>994</v>
      </c>
      <c r="C994">
        <v>1443</v>
      </c>
      <c r="D994" t="s">
        <v>3944</v>
      </c>
    </row>
    <row r="995" spans="1:4" x14ac:dyDescent="0.25">
      <c r="A995">
        <v>1455</v>
      </c>
      <c r="B995">
        <v>995</v>
      </c>
      <c r="C995">
        <v>1443</v>
      </c>
      <c r="D995" t="s">
        <v>3945</v>
      </c>
    </row>
    <row r="996" spans="1:4" x14ac:dyDescent="0.25">
      <c r="A996">
        <v>1456</v>
      </c>
      <c r="B996">
        <v>996</v>
      </c>
      <c r="C996">
        <v>1443</v>
      </c>
      <c r="D996" t="s">
        <v>3957</v>
      </c>
    </row>
    <row r="997" spans="1:4" x14ac:dyDescent="0.25">
      <c r="A997">
        <v>1457</v>
      </c>
      <c r="B997">
        <v>997</v>
      </c>
      <c r="C997">
        <v>1463</v>
      </c>
      <c r="D997" t="s">
        <v>3946</v>
      </c>
    </row>
    <row r="998" spans="1:4" x14ac:dyDescent="0.25">
      <c r="A998">
        <v>1458</v>
      </c>
      <c r="B998">
        <v>998</v>
      </c>
      <c r="C998">
        <v>1443</v>
      </c>
      <c r="D998" t="s">
        <v>3679</v>
      </c>
    </row>
    <row r="999" spans="1:4" x14ac:dyDescent="0.25">
      <c r="A999">
        <v>1459</v>
      </c>
      <c r="B999">
        <v>999</v>
      </c>
      <c r="C999">
        <v>1443</v>
      </c>
      <c r="D999" t="s">
        <v>3947</v>
      </c>
    </row>
    <row r="1000" spans="1:4" x14ac:dyDescent="0.25">
      <c r="A1000">
        <v>1460</v>
      </c>
      <c r="B1000">
        <v>1000</v>
      </c>
      <c r="C1000">
        <v>1460</v>
      </c>
      <c r="D1000" t="s">
        <v>3949</v>
      </c>
    </row>
    <row r="1001" spans="1:4" x14ac:dyDescent="0.25">
      <c r="A1001">
        <v>1461</v>
      </c>
      <c r="B1001">
        <v>1001</v>
      </c>
      <c r="C1001">
        <v>1443</v>
      </c>
      <c r="D1001" t="s">
        <v>4034</v>
      </c>
    </row>
    <row r="1002" spans="1:4" x14ac:dyDescent="0.25">
      <c r="A1002">
        <v>1462</v>
      </c>
      <c r="B1002">
        <v>1002</v>
      </c>
      <c r="C1002">
        <v>1443</v>
      </c>
      <c r="D1002" t="s">
        <v>3952</v>
      </c>
    </row>
    <row r="1003" spans="1:4" x14ac:dyDescent="0.25">
      <c r="A1003">
        <v>1463</v>
      </c>
      <c r="B1003">
        <v>1003</v>
      </c>
      <c r="C1003">
        <v>1463</v>
      </c>
      <c r="D1003" t="s">
        <v>3951</v>
      </c>
    </row>
    <row r="1004" spans="1:4" x14ac:dyDescent="0.25">
      <c r="A1004">
        <v>1464</v>
      </c>
      <c r="B1004">
        <v>1004</v>
      </c>
      <c r="C1004">
        <v>1443</v>
      </c>
      <c r="D1004" t="s">
        <v>3950</v>
      </c>
    </row>
    <row r="1005" spans="1:4" x14ac:dyDescent="0.25">
      <c r="A1005">
        <v>1465</v>
      </c>
      <c r="B1005">
        <v>1005</v>
      </c>
      <c r="C1005">
        <v>1443</v>
      </c>
      <c r="D1005" t="s">
        <v>3958</v>
      </c>
    </row>
    <row r="1006" spans="1:4" x14ac:dyDescent="0.25">
      <c r="A1006">
        <v>1466</v>
      </c>
      <c r="B1006">
        <v>1006</v>
      </c>
      <c r="C1006">
        <v>1443</v>
      </c>
      <c r="D1006" t="s">
        <v>3948</v>
      </c>
    </row>
    <row r="1007" spans="1:4" x14ac:dyDescent="0.25">
      <c r="A1007">
        <v>1467</v>
      </c>
      <c r="B1007">
        <v>1007</v>
      </c>
      <c r="C1007">
        <v>1443</v>
      </c>
      <c r="D1007" t="s">
        <v>3938</v>
      </c>
    </row>
    <row r="1008" spans="1:4" x14ac:dyDescent="0.25">
      <c r="A1008">
        <v>1468</v>
      </c>
      <c r="B1008">
        <v>1008</v>
      </c>
      <c r="C1008">
        <v>1414</v>
      </c>
      <c r="D1008" t="s">
        <v>3760</v>
      </c>
    </row>
    <row r="1009" spans="1:4" x14ac:dyDescent="0.25">
      <c r="A1009">
        <v>1470</v>
      </c>
      <c r="B1009">
        <v>1009</v>
      </c>
      <c r="C1009">
        <v>1207</v>
      </c>
      <c r="D1009" t="s">
        <v>3873</v>
      </c>
    </row>
    <row r="1010" spans="1:4" x14ac:dyDescent="0.25">
      <c r="A1010">
        <v>1471</v>
      </c>
      <c r="B1010">
        <v>1010</v>
      </c>
      <c r="C1010">
        <v>684</v>
      </c>
      <c r="D1010" t="s">
        <v>3874</v>
      </c>
    </row>
    <row r="1011" spans="1:4" x14ac:dyDescent="0.25">
      <c r="A1011">
        <v>1472</v>
      </c>
      <c r="B1011">
        <v>1011</v>
      </c>
      <c r="C1011">
        <v>1383</v>
      </c>
      <c r="D1011" t="s">
        <v>3762</v>
      </c>
    </row>
    <row r="1012" spans="1:4" x14ac:dyDescent="0.25">
      <c r="A1012">
        <v>1473</v>
      </c>
      <c r="B1012">
        <v>1012</v>
      </c>
      <c r="C1012">
        <v>1413</v>
      </c>
      <c r="D1012" t="s">
        <v>3763</v>
      </c>
    </row>
    <row r="1013" spans="1:4" x14ac:dyDescent="0.25">
      <c r="A1013">
        <v>1474</v>
      </c>
      <c r="B1013">
        <v>1013</v>
      </c>
      <c r="C1013">
        <v>1443</v>
      </c>
      <c r="D1013" t="s">
        <v>3679</v>
      </c>
    </row>
    <row r="1014" spans="1:4" x14ac:dyDescent="0.25">
      <c r="A1014">
        <v>1475</v>
      </c>
      <c r="B1014">
        <v>1014</v>
      </c>
      <c r="C1014">
        <v>1475</v>
      </c>
      <c r="D1014" t="s">
        <v>4035</v>
      </c>
    </row>
    <row r="1015" spans="1:4" x14ac:dyDescent="0.25">
      <c r="A1015">
        <v>1478</v>
      </c>
      <c r="B1015">
        <v>1015</v>
      </c>
      <c r="C1015">
        <v>1443</v>
      </c>
      <c r="D1015" t="s">
        <v>3943</v>
      </c>
    </row>
    <row r="1016" spans="1:4" x14ac:dyDescent="0.25">
      <c r="A1016">
        <v>1479</v>
      </c>
      <c r="B1016">
        <v>1016</v>
      </c>
      <c r="C1016">
        <v>1261</v>
      </c>
      <c r="D1016" t="s">
        <v>3896</v>
      </c>
    </row>
    <row r="1017" spans="1:4" x14ac:dyDescent="0.25">
      <c r="A1017">
        <v>1481</v>
      </c>
      <c r="B1017">
        <v>1017</v>
      </c>
      <c r="C1017">
        <v>1481</v>
      </c>
      <c r="D1017" t="s">
        <v>4062</v>
      </c>
    </row>
    <row r="1018" spans="1:4" x14ac:dyDescent="0.25">
      <c r="A1018">
        <v>1482</v>
      </c>
      <c r="B1018">
        <v>1018</v>
      </c>
      <c r="C1018">
        <v>1482</v>
      </c>
      <c r="D1018" t="s">
        <v>4063</v>
      </c>
    </row>
    <row r="1019" spans="1:4" x14ac:dyDescent="0.25">
      <c r="A1019">
        <v>1483</v>
      </c>
      <c r="B1019">
        <v>1019</v>
      </c>
      <c r="C1019">
        <v>1483</v>
      </c>
      <c r="D1019" t="s">
        <v>4064</v>
      </c>
    </row>
    <row r="1020" spans="1:4" x14ac:dyDescent="0.25">
      <c r="A1020">
        <v>1484</v>
      </c>
      <c r="B1020">
        <v>1020</v>
      </c>
      <c r="C1020">
        <v>1484</v>
      </c>
      <c r="D1020" t="s">
        <v>4065</v>
      </c>
    </row>
    <row r="1021" spans="1:4" x14ac:dyDescent="0.25">
      <c r="A1021">
        <v>1485</v>
      </c>
      <c r="B1021">
        <v>1021</v>
      </c>
      <c r="C1021">
        <v>1485</v>
      </c>
      <c r="D1021" t="s">
        <v>4066</v>
      </c>
    </row>
    <row r="1022" spans="1:4" x14ac:dyDescent="0.25">
      <c r="A1022">
        <v>1487</v>
      </c>
      <c r="B1022">
        <v>1022</v>
      </c>
      <c r="C1022">
        <v>1133</v>
      </c>
      <c r="D1022" t="s">
        <v>3942</v>
      </c>
    </row>
    <row r="1023" spans="1:4" x14ac:dyDescent="0.25">
      <c r="A1023">
        <v>1488</v>
      </c>
      <c r="B1023">
        <v>1023</v>
      </c>
      <c r="C1023">
        <v>1463</v>
      </c>
      <c r="D1023" t="s">
        <v>3941</v>
      </c>
    </row>
    <row r="1024" spans="1:4" x14ac:dyDescent="0.25">
      <c r="A1024">
        <v>1491</v>
      </c>
      <c r="B1024">
        <v>1024</v>
      </c>
      <c r="C1024">
        <v>1443</v>
      </c>
      <c r="D1024" t="s">
        <v>3940</v>
      </c>
    </row>
    <row r="1025" spans="1:4" x14ac:dyDescent="0.25">
      <c r="A1025">
        <v>1492</v>
      </c>
      <c r="B1025">
        <v>1025</v>
      </c>
      <c r="C1025">
        <v>1443</v>
      </c>
      <c r="D1025" t="s">
        <v>3939</v>
      </c>
    </row>
    <row r="1026" spans="1:4" x14ac:dyDescent="0.25">
      <c r="A1026">
        <v>1494</v>
      </c>
      <c r="B1026">
        <v>1026</v>
      </c>
      <c r="C1026">
        <v>381</v>
      </c>
      <c r="D1026" t="s">
        <v>4032</v>
      </c>
    </row>
    <row r="1027" spans="1:4" x14ac:dyDescent="0.25">
      <c r="A1027">
        <v>1495</v>
      </c>
      <c r="B1027">
        <v>1027</v>
      </c>
      <c r="C1027">
        <v>1443</v>
      </c>
      <c r="D1027" t="s">
        <v>4033</v>
      </c>
    </row>
    <row r="1028" spans="1:4" x14ac:dyDescent="0.25">
      <c r="A1028">
        <v>1498</v>
      </c>
      <c r="B1028">
        <v>1028</v>
      </c>
      <c r="C1028">
        <v>1498</v>
      </c>
      <c r="D1028" t="s">
        <v>4067</v>
      </c>
    </row>
    <row r="1029" spans="1:4" x14ac:dyDescent="0.25">
      <c r="A1029">
        <v>1499</v>
      </c>
      <c r="B1029">
        <v>1029</v>
      </c>
      <c r="C1029">
        <v>1499</v>
      </c>
      <c r="D1029" t="s">
        <v>1399</v>
      </c>
    </row>
    <row r="1030" spans="1:4" x14ac:dyDescent="0.25">
      <c r="A1030">
        <v>1500</v>
      </c>
      <c r="B1030">
        <v>1030</v>
      </c>
      <c r="C1030">
        <v>1161</v>
      </c>
      <c r="D1030" t="s">
        <v>4051</v>
      </c>
    </row>
    <row r="1031" spans="1:4" x14ac:dyDescent="0.25">
      <c r="A1031">
        <v>1501</v>
      </c>
      <c r="B1031">
        <v>1031</v>
      </c>
      <c r="C1031">
        <v>103</v>
      </c>
      <c r="D1031" t="s">
        <v>4052</v>
      </c>
    </row>
    <row r="1032" spans="1:4" x14ac:dyDescent="0.25">
      <c r="A1032">
        <v>1504</v>
      </c>
      <c r="B1032">
        <v>1032</v>
      </c>
      <c r="C1032">
        <v>1504</v>
      </c>
      <c r="D1032" t="s">
        <v>4068</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8" customFormat="1" x14ac:dyDescent="0.25">
      <c r="A1" s="116" t="s">
        <v>3766</v>
      </c>
      <c r="B1" s="117"/>
      <c r="C1" s="117"/>
      <c r="D1" s="117"/>
      <c r="E1" s="117"/>
      <c r="F1" s="117"/>
      <c r="G1" s="117"/>
      <c r="H1" s="117"/>
      <c r="I1" s="117"/>
      <c r="J1" s="117"/>
      <c r="K1" s="117"/>
      <c r="L1" s="117"/>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3918</v>
      </c>
      <c r="C38" t="s">
        <v>3919</v>
      </c>
      <c r="I38" s="3" t="s">
        <v>3721</v>
      </c>
      <c r="J38">
        <v>35</v>
      </c>
      <c r="K38" t="s">
        <v>3725</v>
      </c>
      <c r="L38" s="34" t="s">
        <v>3722</v>
      </c>
    </row>
    <row r="39" spans="1:12" x14ac:dyDescent="0.25">
      <c r="A39" s="3">
        <v>35</v>
      </c>
      <c r="B39" t="s">
        <v>4021</v>
      </c>
      <c r="C39" t="s">
        <v>4022</v>
      </c>
      <c r="I39" s="3" t="s">
        <v>3718</v>
      </c>
      <c r="J39">
        <v>36</v>
      </c>
      <c r="K39" t="s">
        <v>3719</v>
      </c>
      <c r="L39" s="34" t="s">
        <v>3720</v>
      </c>
    </row>
    <row r="40" spans="1:12" x14ac:dyDescent="0.25">
      <c r="A40" s="3">
        <v>36</v>
      </c>
      <c r="B40" t="s">
        <v>4046</v>
      </c>
      <c r="C40" t="s">
        <v>4047</v>
      </c>
      <c r="I40" s="3" t="s">
        <v>3735</v>
      </c>
      <c r="J40">
        <v>37</v>
      </c>
      <c r="K40" t="s">
        <v>3736</v>
      </c>
      <c r="L40" s="34" t="s">
        <v>3737</v>
      </c>
    </row>
    <row r="41" spans="1:12" x14ac:dyDescent="0.25">
      <c r="I41" s="3" t="s">
        <v>4048</v>
      </c>
      <c r="J41">
        <v>38</v>
      </c>
      <c r="K41" t="s">
        <v>4049</v>
      </c>
      <c r="L41" s="34" t="s">
        <v>4050</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09" t="s">
        <v>2405</v>
      </c>
      <c r="B1" s="109"/>
      <c r="C1" s="109"/>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2024-09-24T01:02:06Z</dcterms:modified>
</cp:coreProperties>
</file>